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284c449e3e482e8/Documentos/Influir - Consultoria/Ferramenta de análise de venda por produto - similar à aprovação de visual/"/>
    </mc:Choice>
  </mc:AlternateContent>
  <xr:revisionPtr revIDLastSave="20" documentId="8_{8C97FA0F-6D8F-42E9-8A82-35E30BF8D6F3}" xr6:coauthVersionLast="45" xr6:coauthVersionMax="45" xr10:uidLastSave="{F4B63A31-7BD8-4BBE-AF94-5C300CB81538}"/>
  <bookViews>
    <workbookView xWindow="-108" yWindow="-108" windowWidth="23256" windowHeight="12576" firstSheet="1" activeTab="2" xr2:uid="{2C35A852-E388-4918-B6E6-BD090B5F8DEB}"/>
  </bookViews>
  <sheets>
    <sheet name="Listas para Validação de Dados" sheetId="10" state="veryHidden" r:id="rId1"/>
    <sheet name="HOME" sheetId="11" r:id="rId2"/>
    <sheet name="Apresentação" sheetId="7" r:id="rId3"/>
    <sheet name="Base de Dados e filtragem" sheetId="9" r:id="rId4"/>
    <sheet name="campos demandados" sheetId="4" state="veryHidden" r:id="rId5"/>
    <sheet name="AuxiliarGrid" sheetId="6" state="veryHidden" r:id="rId6"/>
  </sheets>
  <functionGroups builtInGroupCount="19"/>
  <definedNames>
    <definedName name="_xlnm._FilterDatabase" localSheetId="3" hidden="1">'Base de Dados e filtragem'!$A$3:$BD$1500</definedName>
    <definedName name="FOTONOVA" localSheetId="0">INDEX(#REF!,MATCH(#REF!,#REF!,0))</definedName>
    <definedName name="FOTONOVA">INDEX(#REF!,MATCH(#REF!,#REF!,0))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7" l="1"/>
  <c r="K5" i="7"/>
  <c r="K4" i="7"/>
  <c r="AA5" i="9" l="1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117" i="9"/>
  <c r="AA118" i="9"/>
  <c r="AA119" i="9"/>
  <c r="AA120" i="9"/>
  <c r="AA121" i="9"/>
  <c r="AA122" i="9"/>
  <c r="AA123" i="9"/>
  <c r="AA124" i="9"/>
  <c r="AA125" i="9"/>
  <c r="AA126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2" i="9"/>
  <c r="AA143" i="9"/>
  <c r="AA144" i="9"/>
  <c r="AA145" i="9"/>
  <c r="AA146" i="9"/>
  <c r="AA147" i="9"/>
  <c r="AA148" i="9"/>
  <c r="AA149" i="9"/>
  <c r="AA150" i="9"/>
  <c r="AA151" i="9"/>
  <c r="AA152" i="9"/>
  <c r="AA153" i="9"/>
  <c r="AA154" i="9"/>
  <c r="AA155" i="9"/>
  <c r="AA156" i="9"/>
  <c r="AA157" i="9"/>
  <c r="AA158" i="9"/>
  <c r="AA159" i="9"/>
  <c r="AA160" i="9"/>
  <c r="AA161" i="9"/>
  <c r="AA162" i="9"/>
  <c r="AA163" i="9"/>
  <c r="AA164" i="9"/>
  <c r="AA165" i="9"/>
  <c r="AA166" i="9"/>
  <c r="AA167" i="9"/>
  <c r="AA168" i="9"/>
  <c r="AA169" i="9"/>
  <c r="AA170" i="9"/>
  <c r="AA171" i="9"/>
  <c r="AA172" i="9"/>
  <c r="AA173" i="9"/>
  <c r="AA174" i="9"/>
  <c r="AA175" i="9"/>
  <c r="AA176" i="9"/>
  <c r="AA177" i="9"/>
  <c r="AA178" i="9"/>
  <c r="AA179" i="9"/>
  <c r="AA180" i="9"/>
  <c r="AA181" i="9"/>
  <c r="AA182" i="9"/>
  <c r="AA183" i="9"/>
  <c r="AA184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05" i="9"/>
  <c r="AA206" i="9"/>
  <c r="AA207" i="9"/>
  <c r="AA208" i="9"/>
  <c r="AA209" i="9"/>
  <c r="AA210" i="9"/>
  <c r="AA211" i="9"/>
  <c r="AA212" i="9"/>
  <c r="AA213" i="9"/>
  <c r="AA214" i="9"/>
  <c r="AA215" i="9"/>
  <c r="AA216" i="9"/>
  <c r="AA217" i="9"/>
  <c r="AA218" i="9"/>
  <c r="AA219" i="9"/>
  <c r="AA220" i="9"/>
  <c r="AA221" i="9"/>
  <c r="AA222" i="9"/>
  <c r="AA223" i="9"/>
  <c r="AA22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345" i="9"/>
  <c r="AA346" i="9"/>
  <c r="AA347" i="9"/>
  <c r="AA348" i="9"/>
  <c r="AA349" i="9"/>
  <c r="AA350" i="9"/>
  <c r="AA351" i="9"/>
  <c r="AA352" i="9"/>
  <c r="AA353" i="9"/>
  <c r="AA354" i="9"/>
  <c r="AA355" i="9"/>
  <c r="AA356" i="9"/>
  <c r="AA357" i="9"/>
  <c r="AA358" i="9"/>
  <c r="AA359" i="9"/>
  <c r="AA360" i="9"/>
  <c r="AA361" i="9"/>
  <c r="AA362" i="9"/>
  <c r="AA363" i="9"/>
  <c r="AA364" i="9"/>
  <c r="AA365" i="9"/>
  <c r="AA366" i="9"/>
  <c r="AA367" i="9"/>
  <c r="AA368" i="9"/>
  <c r="AA369" i="9"/>
  <c r="AA370" i="9"/>
  <c r="AA371" i="9"/>
  <c r="AA372" i="9"/>
  <c r="AA373" i="9"/>
  <c r="AA374" i="9"/>
  <c r="AA375" i="9"/>
  <c r="AA376" i="9"/>
  <c r="AA377" i="9"/>
  <c r="AA378" i="9"/>
  <c r="AA379" i="9"/>
  <c r="AA380" i="9"/>
  <c r="AA381" i="9"/>
  <c r="AA382" i="9"/>
  <c r="AA383" i="9"/>
  <c r="AA384" i="9"/>
  <c r="AA385" i="9"/>
  <c r="AA386" i="9"/>
  <c r="AA387" i="9"/>
  <c r="AA388" i="9"/>
  <c r="AA389" i="9"/>
  <c r="AA390" i="9"/>
  <c r="AA391" i="9"/>
  <c r="AA392" i="9"/>
  <c r="AA393" i="9"/>
  <c r="AA394" i="9"/>
  <c r="AA395" i="9"/>
  <c r="AA396" i="9"/>
  <c r="AA397" i="9"/>
  <c r="AA398" i="9"/>
  <c r="AA399" i="9"/>
  <c r="AA400" i="9"/>
  <c r="AA401" i="9"/>
  <c r="AA402" i="9"/>
  <c r="AA403" i="9"/>
  <c r="AA404" i="9"/>
  <c r="AA405" i="9"/>
  <c r="AA406" i="9"/>
  <c r="AA407" i="9"/>
  <c r="AA408" i="9"/>
  <c r="AA409" i="9"/>
  <c r="AA410" i="9"/>
  <c r="AA411" i="9"/>
  <c r="AA412" i="9"/>
  <c r="AA413" i="9"/>
  <c r="AA414" i="9"/>
  <c r="AA415" i="9"/>
  <c r="AA416" i="9"/>
  <c r="AA417" i="9"/>
  <c r="AA418" i="9"/>
  <c r="AA419" i="9"/>
  <c r="AA420" i="9"/>
  <c r="AA421" i="9"/>
  <c r="AA422" i="9"/>
  <c r="AA423" i="9"/>
  <c r="AA4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AA565" i="9"/>
  <c r="AA566" i="9"/>
  <c r="AA567" i="9"/>
  <c r="AA568" i="9"/>
  <c r="AA569" i="9"/>
  <c r="AA570" i="9"/>
  <c r="AA571" i="9"/>
  <c r="AA572" i="9"/>
  <c r="AA573" i="9"/>
  <c r="AA574" i="9"/>
  <c r="AA575" i="9"/>
  <c r="AA576" i="9"/>
  <c r="AA577" i="9"/>
  <c r="AA578" i="9"/>
  <c r="AA579" i="9"/>
  <c r="AA580" i="9"/>
  <c r="AA581" i="9"/>
  <c r="AA582" i="9"/>
  <c r="AA583" i="9"/>
  <c r="AA584" i="9"/>
  <c r="AA585" i="9"/>
  <c r="AA586" i="9"/>
  <c r="AA587" i="9"/>
  <c r="AA588" i="9"/>
  <c r="AA589" i="9"/>
  <c r="AA590" i="9"/>
  <c r="AA591" i="9"/>
  <c r="AA592" i="9"/>
  <c r="AA593" i="9"/>
  <c r="AA594" i="9"/>
  <c r="AA595" i="9"/>
  <c r="AA596" i="9"/>
  <c r="AA597" i="9"/>
  <c r="AA598" i="9"/>
  <c r="AA599" i="9"/>
  <c r="AA600" i="9"/>
  <c r="AA601" i="9"/>
  <c r="AA602" i="9"/>
  <c r="AA603" i="9"/>
  <c r="AA604" i="9"/>
  <c r="AA605" i="9"/>
  <c r="AA606" i="9"/>
  <c r="AA607" i="9"/>
  <c r="AA608" i="9"/>
  <c r="AA609" i="9"/>
  <c r="AA610" i="9"/>
  <c r="AA611" i="9"/>
  <c r="AA612" i="9"/>
  <c r="AA613" i="9"/>
  <c r="AA614" i="9"/>
  <c r="AA615" i="9"/>
  <c r="AA616" i="9"/>
  <c r="AA617" i="9"/>
  <c r="AA618" i="9"/>
  <c r="AA619" i="9"/>
  <c r="AA620" i="9"/>
  <c r="AA621" i="9"/>
  <c r="AA622" i="9"/>
  <c r="AA623" i="9"/>
  <c r="AA624" i="9"/>
  <c r="AA625" i="9"/>
  <c r="AA626" i="9"/>
  <c r="AA627" i="9"/>
  <c r="AA628" i="9"/>
  <c r="AA629" i="9"/>
  <c r="AA630" i="9"/>
  <c r="AA631" i="9"/>
  <c r="AA632" i="9"/>
  <c r="AA633" i="9"/>
  <c r="AA634" i="9"/>
  <c r="AA635" i="9"/>
  <c r="AA636" i="9"/>
  <c r="AA637" i="9"/>
  <c r="AA638" i="9"/>
  <c r="AA639" i="9"/>
  <c r="AA640" i="9"/>
  <c r="AA641" i="9"/>
  <c r="AA642" i="9"/>
  <c r="AA643" i="9"/>
  <c r="AA644" i="9"/>
  <c r="AA645" i="9"/>
  <c r="AA646" i="9"/>
  <c r="AA647" i="9"/>
  <c r="AA648" i="9"/>
  <c r="AA649" i="9"/>
  <c r="AA650" i="9"/>
  <c r="AA651" i="9"/>
  <c r="AA652" i="9"/>
  <c r="AA653" i="9"/>
  <c r="AA654" i="9"/>
  <c r="AA655" i="9"/>
  <c r="AA656" i="9"/>
  <c r="AA657" i="9"/>
  <c r="AA658" i="9"/>
  <c r="AA659" i="9"/>
  <c r="AA660" i="9"/>
  <c r="AA661" i="9"/>
  <c r="AA662" i="9"/>
  <c r="AA663" i="9"/>
  <c r="AA664" i="9"/>
  <c r="AA665" i="9"/>
  <c r="AA666" i="9"/>
  <c r="AA667" i="9"/>
  <c r="AA668" i="9"/>
  <c r="AA669" i="9"/>
  <c r="AA670" i="9"/>
  <c r="AA671" i="9"/>
  <c r="AA672" i="9"/>
  <c r="AA673" i="9"/>
  <c r="AA674" i="9"/>
  <c r="AA675" i="9"/>
  <c r="AA676" i="9"/>
  <c r="AA677" i="9"/>
  <c r="AA678" i="9"/>
  <c r="AA679" i="9"/>
  <c r="AA680" i="9"/>
  <c r="AA681" i="9"/>
  <c r="AA682" i="9"/>
  <c r="AA683" i="9"/>
  <c r="AA684" i="9"/>
  <c r="AA685" i="9"/>
  <c r="AA686" i="9"/>
  <c r="AA687" i="9"/>
  <c r="AA688" i="9"/>
  <c r="AA689" i="9"/>
  <c r="AA690" i="9"/>
  <c r="AA691" i="9"/>
  <c r="AA692" i="9"/>
  <c r="AA693" i="9"/>
  <c r="AA694" i="9"/>
  <c r="AA695" i="9"/>
  <c r="AA696" i="9"/>
  <c r="AA697" i="9"/>
  <c r="AA698" i="9"/>
  <c r="AA699" i="9"/>
  <c r="AA700" i="9"/>
  <c r="AA701" i="9"/>
  <c r="AA702" i="9"/>
  <c r="AA703" i="9"/>
  <c r="AA704" i="9"/>
  <c r="AA705" i="9"/>
  <c r="AA706" i="9"/>
  <c r="AA707" i="9"/>
  <c r="AA708" i="9"/>
  <c r="AA709" i="9"/>
  <c r="AA710" i="9"/>
  <c r="AA711" i="9"/>
  <c r="AA712" i="9"/>
  <c r="AA713" i="9"/>
  <c r="AA714" i="9"/>
  <c r="AA715" i="9"/>
  <c r="AA716" i="9"/>
  <c r="AA717" i="9"/>
  <c r="AA718" i="9"/>
  <c r="AA719" i="9"/>
  <c r="AA720" i="9"/>
  <c r="AA721" i="9"/>
  <c r="AA722" i="9"/>
  <c r="AA723" i="9"/>
  <c r="AA724" i="9"/>
  <c r="AA725" i="9"/>
  <c r="AA726" i="9"/>
  <c r="AA727" i="9"/>
  <c r="AA728" i="9"/>
  <c r="AA729" i="9"/>
  <c r="AA730" i="9"/>
  <c r="AA731" i="9"/>
  <c r="AA732" i="9"/>
  <c r="AA733" i="9"/>
  <c r="AA734" i="9"/>
  <c r="AA735" i="9"/>
  <c r="AA736" i="9"/>
  <c r="AA737" i="9"/>
  <c r="AA738" i="9"/>
  <c r="AA739" i="9"/>
  <c r="AA740" i="9"/>
  <c r="AA741" i="9"/>
  <c r="AA742" i="9"/>
  <c r="AA743" i="9"/>
  <c r="AA744" i="9"/>
  <c r="AA745" i="9"/>
  <c r="AA746" i="9"/>
  <c r="AA747" i="9"/>
  <c r="AA748" i="9"/>
  <c r="AA749" i="9"/>
  <c r="AA750" i="9"/>
  <c r="AA751" i="9"/>
  <c r="AA752" i="9"/>
  <c r="AA753" i="9"/>
  <c r="AA754" i="9"/>
  <c r="AA755" i="9"/>
  <c r="AA756" i="9"/>
  <c r="AA757" i="9"/>
  <c r="AA758" i="9"/>
  <c r="AA759" i="9"/>
  <c r="AA760" i="9"/>
  <c r="AA761" i="9"/>
  <c r="AA762" i="9"/>
  <c r="AA763" i="9"/>
  <c r="AA764" i="9"/>
  <c r="AA765" i="9"/>
  <c r="AA766" i="9"/>
  <c r="AA767" i="9"/>
  <c r="AA768" i="9"/>
  <c r="AA769" i="9"/>
  <c r="AA770" i="9"/>
  <c r="AA771" i="9"/>
  <c r="AA772" i="9"/>
  <c r="AA773" i="9"/>
  <c r="AA774" i="9"/>
  <c r="AA775" i="9"/>
  <c r="AA776" i="9"/>
  <c r="AA777" i="9"/>
  <c r="AA778" i="9"/>
  <c r="AA779" i="9"/>
  <c r="AA780" i="9"/>
  <c r="AA781" i="9"/>
  <c r="AA782" i="9"/>
  <c r="AA783" i="9"/>
  <c r="AA784" i="9"/>
  <c r="AA785" i="9"/>
  <c r="AA786" i="9"/>
  <c r="AA787" i="9"/>
  <c r="AA788" i="9"/>
  <c r="AA789" i="9"/>
  <c r="AA790" i="9"/>
  <c r="AA791" i="9"/>
  <c r="AA792" i="9"/>
  <c r="AA793" i="9"/>
  <c r="AA794" i="9"/>
  <c r="AA795" i="9"/>
  <c r="AA796" i="9"/>
  <c r="AA797" i="9"/>
  <c r="AA798" i="9"/>
  <c r="AA799" i="9"/>
  <c r="AA800" i="9"/>
  <c r="AA801" i="9"/>
  <c r="AA802" i="9"/>
  <c r="AA803" i="9"/>
  <c r="AA804" i="9"/>
  <c r="AA805" i="9"/>
  <c r="AA806" i="9"/>
  <c r="AA807" i="9"/>
  <c r="AA808" i="9"/>
  <c r="AA809" i="9"/>
  <c r="AA810" i="9"/>
  <c r="AA811" i="9"/>
  <c r="AA812" i="9"/>
  <c r="AA813" i="9"/>
  <c r="AA814" i="9"/>
  <c r="AA815" i="9"/>
  <c r="AA816" i="9"/>
  <c r="AA817" i="9"/>
  <c r="AA818" i="9"/>
  <c r="AA819" i="9"/>
  <c r="AA820" i="9"/>
  <c r="AA821" i="9"/>
  <c r="AA822" i="9"/>
  <c r="AA823" i="9"/>
  <c r="AA824" i="9"/>
  <c r="AA825" i="9"/>
  <c r="AA826" i="9"/>
  <c r="AA827" i="9"/>
  <c r="AA828" i="9"/>
  <c r="AA829" i="9"/>
  <c r="AA830" i="9"/>
  <c r="AA831" i="9"/>
  <c r="AA832" i="9"/>
  <c r="AA833" i="9"/>
  <c r="AA834" i="9"/>
  <c r="AA835" i="9"/>
  <c r="AA836" i="9"/>
  <c r="AA837" i="9"/>
  <c r="AA838" i="9"/>
  <c r="AA839" i="9"/>
  <c r="AA840" i="9"/>
  <c r="AA841" i="9"/>
  <c r="AA842" i="9"/>
  <c r="AA843" i="9"/>
  <c r="AA844" i="9"/>
  <c r="AA845" i="9"/>
  <c r="AA846" i="9"/>
  <c r="AA847" i="9"/>
  <c r="AA848" i="9"/>
  <c r="AA849" i="9"/>
  <c r="AA850" i="9"/>
  <c r="AA851" i="9"/>
  <c r="AA852" i="9"/>
  <c r="AA853" i="9"/>
  <c r="AA854" i="9"/>
  <c r="AA855" i="9"/>
  <c r="AA856" i="9"/>
  <c r="AA857" i="9"/>
  <c r="AA858" i="9"/>
  <c r="AA859" i="9"/>
  <c r="AA860" i="9"/>
  <c r="AA861" i="9"/>
  <c r="AA862" i="9"/>
  <c r="AA863" i="9"/>
  <c r="AA864" i="9"/>
  <c r="AA865" i="9"/>
  <c r="AA866" i="9"/>
  <c r="AA867" i="9"/>
  <c r="AA868" i="9"/>
  <c r="AA869" i="9"/>
  <c r="AA870" i="9"/>
  <c r="AA871" i="9"/>
  <c r="AA872" i="9"/>
  <c r="AA873" i="9"/>
  <c r="AA874" i="9"/>
  <c r="AA875" i="9"/>
  <c r="AA876" i="9"/>
  <c r="AA877" i="9"/>
  <c r="AA878" i="9"/>
  <c r="AA879" i="9"/>
  <c r="AA880" i="9"/>
  <c r="AA881" i="9"/>
  <c r="AA882" i="9"/>
  <c r="AA883" i="9"/>
  <c r="AA884" i="9"/>
  <c r="AA885" i="9"/>
  <c r="AA886" i="9"/>
  <c r="AA887" i="9"/>
  <c r="AA888" i="9"/>
  <c r="AA889" i="9"/>
  <c r="AA890" i="9"/>
  <c r="AA891" i="9"/>
  <c r="AA892" i="9"/>
  <c r="AA893" i="9"/>
  <c r="AA894" i="9"/>
  <c r="AA895" i="9"/>
  <c r="AA896" i="9"/>
  <c r="AA897" i="9"/>
  <c r="AA898" i="9"/>
  <c r="AA899" i="9"/>
  <c r="AA900" i="9"/>
  <c r="AA901" i="9"/>
  <c r="AA902" i="9"/>
  <c r="AA903" i="9"/>
  <c r="AA904" i="9"/>
  <c r="AA905" i="9"/>
  <c r="AA906" i="9"/>
  <c r="AA907" i="9"/>
  <c r="AA908" i="9"/>
  <c r="AA909" i="9"/>
  <c r="AA910" i="9"/>
  <c r="AA911" i="9"/>
  <c r="AA912" i="9"/>
  <c r="AA913" i="9"/>
  <c r="AA914" i="9"/>
  <c r="AA915" i="9"/>
  <c r="AA916" i="9"/>
  <c r="AA917" i="9"/>
  <c r="AA918" i="9"/>
  <c r="AA919" i="9"/>
  <c r="AA920" i="9"/>
  <c r="AA921" i="9"/>
  <c r="AA922" i="9"/>
  <c r="AA923" i="9"/>
  <c r="AA924" i="9"/>
  <c r="AA925" i="9"/>
  <c r="AA926" i="9"/>
  <c r="AA927" i="9"/>
  <c r="AA928" i="9"/>
  <c r="AA929" i="9"/>
  <c r="AA930" i="9"/>
  <c r="AA931" i="9"/>
  <c r="AA932" i="9"/>
  <c r="AA933" i="9"/>
  <c r="AA934" i="9"/>
  <c r="AA935" i="9"/>
  <c r="AA936" i="9"/>
  <c r="AA937" i="9"/>
  <c r="AA938" i="9"/>
  <c r="AA939" i="9"/>
  <c r="AA940" i="9"/>
  <c r="AA941" i="9"/>
  <c r="AA942" i="9"/>
  <c r="AA943" i="9"/>
  <c r="AA944" i="9"/>
  <c r="AA945" i="9"/>
  <c r="AA946" i="9"/>
  <c r="AA947" i="9"/>
  <c r="AA948" i="9"/>
  <c r="AA949" i="9"/>
  <c r="AA950" i="9"/>
  <c r="AA951" i="9"/>
  <c r="AA952" i="9"/>
  <c r="AA953" i="9"/>
  <c r="AA954" i="9"/>
  <c r="AA955" i="9"/>
  <c r="AA956" i="9"/>
  <c r="AA957" i="9"/>
  <c r="AA958" i="9"/>
  <c r="AA959" i="9"/>
  <c r="AA960" i="9"/>
  <c r="AA961" i="9"/>
  <c r="AA962" i="9"/>
  <c r="AA963" i="9"/>
  <c r="AA964" i="9"/>
  <c r="AA965" i="9"/>
  <c r="AA966" i="9"/>
  <c r="AA967" i="9"/>
  <c r="AA968" i="9"/>
  <c r="AA969" i="9"/>
  <c r="AA970" i="9"/>
  <c r="AA971" i="9"/>
  <c r="AA972" i="9"/>
  <c r="AA973" i="9"/>
  <c r="AA974" i="9"/>
  <c r="AA975" i="9"/>
  <c r="AA976" i="9"/>
  <c r="AA977" i="9"/>
  <c r="AA978" i="9"/>
  <c r="AA979" i="9"/>
  <c r="AA980" i="9"/>
  <c r="AA981" i="9"/>
  <c r="AA982" i="9"/>
  <c r="AA983" i="9"/>
  <c r="AA984" i="9"/>
  <c r="AA985" i="9"/>
  <c r="AA986" i="9"/>
  <c r="AA987" i="9"/>
  <c r="AA988" i="9"/>
  <c r="AA989" i="9"/>
  <c r="AA990" i="9"/>
  <c r="AA991" i="9"/>
  <c r="AA992" i="9"/>
  <c r="AA993" i="9"/>
  <c r="AA994" i="9"/>
  <c r="AA995" i="9"/>
  <c r="AA996" i="9"/>
  <c r="AA997" i="9"/>
  <c r="AA998" i="9"/>
  <c r="AA999" i="9"/>
  <c r="AA1000" i="9"/>
  <c r="AA1001" i="9"/>
  <c r="AA1002" i="9"/>
  <c r="AA1003" i="9"/>
  <c r="AA1004" i="9"/>
  <c r="AA1005" i="9"/>
  <c r="AA1006" i="9"/>
  <c r="AA1007" i="9"/>
  <c r="AA1008" i="9"/>
  <c r="AA1009" i="9"/>
  <c r="AA1010" i="9"/>
  <c r="AA1011" i="9"/>
  <c r="AA1012" i="9"/>
  <c r="AA1013" i="9"/>
  <c r="AA1014" i="9"/>
  <c r="AA1015" i="9"/>
  <c r="AA1016" i="9"/>
  <c r="AA1017" i="9"/>
  <c r="AA1018" i="9"/>
  <c r="AA1019" i="9"/>
  <c r="AA1020" i="9"/>
  <c r="AA1021" i="9"/>
  <c r="AA1022" i="9"/>
  <c r="AA1023" i="9"/>
  <c r="AA1024" i="9"/>
  <c r="AA1025" i="9"/>
  <c r="AA1026" i="9"/>
  <c r="AA1027" i="9"/>
  <c r="AA1028" i="9"/>
  <c r="AA1029" i="9"/>
  <c r="AA1030" i="9"/>
  <c r="AA1031" i="9"/>
  <c r="AA1032" i="9"/>
  <c r="AA1033" i="9"/>
  <c r="AA1034" i="9"/>
  <c r="AA1035" i="9"/>
  <c r="AA1036" i="9"/>
  <c r="AA1037" i="9"/>
  <c r="AA1038" i="9"/>
  <c r="AA1039" i="9"/>
  <c r="AA1040" i="9"/>
  <c r="AA1041" i="9"/>
  <c r="AA1042" i="9"/>
  <c r="AA1043" i="9"/>
  <c r="AA1044" i="9"/>
  <c r="AA1045" i="9"/>
  <c r="AA1046" i="9"/>
  <c r="AA1047" i="9"/>
  <c r="AA1048" i="9"/>
  <c r="AA1049" i="9"/>
  <c r="AA1050" i="9"/>
  <c r="AA1051" i="9"/>
  <c r="AA1052" i="9"/>
  <c r="AA1053" i="9"/>
  <c r="AA1054" i="9"/>
  <c r="AA1055" i="9"/>
  <c r="AA1056" i="9"/>
  <c r="AA1057" i="9"/>
  <c r="AA1058" i="9"/>
  <c r="AA1059" i="9"/>
  <c r="AA1060" i="9"/>
  <c r="AA1061" i="9"/>
  <c r="AA1062" i="9"/>
  <c r="AA1063" i="9"/>
  <c r="AA1064" i="9"/>
  <c r="AA1065" i="9"/>
  <c r="AA1066" i="9"/>
  <c r="AA1067" i="9"/>
  <c r="AA1068" i="9"/>
  <c r="AA1069" i="9"/>
  <c r="AA1070" i="9"/>
  <c r="AA1071" i="9"/>
  <c r="AA1072" i="9"/>
  <c r="AA1073" i="9"/>
  <c r="AA1074" i="9"/>
  <c r="AA1075" i="9"/>
  <c r="AA1076" i="9"/>
  <c r="AA1077" i="9"/>
  <c r="AA1078" i="9"/>
  <c r="AA1079" i="9"/>
  <c r="AA1080" i="9"/>
  <c r="AA1081" i="9"/>
  <c r="AA1082" i="9"/>
  <c r="AA1083" i="9"/>
  <c r="AA1084" i="9"/>
  <c r="AA1085" i="9"/>
  <c r="AA1086" i="9"/>
  <c r="AA1087" i="9"/>
  <c r="AA1088" i="9"/>
  <c r="AA1089" i="9"/>
  <c r="AA1090" i="9"/>
  <c r="AA1091" i="9"/>
  <c r="AA1092" i="9"/>
  <c r="AA1093" i="9"/>
  <c r="AA1094" i="9"/>
  <c r="AA1095" i="9"/>
  <c r="AA1096" i="9"/>
  <c r="AA1097" i="9"/>
  <c r="AA1098" i="9"/>
  <c r="AA1099" i="9"/>
  <c r="AA1100" i="9"/>
  <c r="AA1101" i="9"/>
  <c r="AA1102" i="9"/>
  <c r="AA1103" i="9"/>
  <c r="AA1104" i="9"/>
  <c r="AA1105" i="9"/>
  <c r="AA1106" i="9"/>
  <c r="AA1107" i="9"/>
  <c r="AA1108" i="9"/>
  <c r="AA1109" i="9"/>
  <c r="AA1110" i="9"/>
  <c r="AA1111" i="9"/>
  <c r="AA1112" i="9"/>
  <c r="AA1113" i="9"/>
  <c r="AA1114" i="9"/>
  <c r="AA1115" i="9"/>
  <c r="AA1116" i="9"/>
  <c r="AA1117" i="9"/>
  <c r="AA1118" i="9"/>
  <c r="AA1119" i="9"/>
  <c r="AA1120" i="9"/>
  <c r="AA1121" i="9"/>
  <c r="AA1122" i="9"/>
  <c r="AA1123" i="9"/>
  <c r="AA1124" i="9"/>
  <c r="AA1125" i="9"/>
  <c r="AA1126" i="9"/>
  <c r="AA1127" i="9"/>
  <c r="AA1128" i="9"/>
  <c r="AA1129" i="9"/>
  <c r="AA1130" i="9"/>
  <c r="AA1131" i="9"/>
  <c r="AA1132" i="9"/>
  <c r="AA1133" i="9"/>
  <c r="AA1134" i="9"/>
  <c r="AA1135" i="9"/>
  <c r="AA1136" i="9"/>
  <c r="AA1137" i="9"/>
  <c r="AA1138" i="9"/>
  <c r="AA1139" i="9"/>
  <c r="AA1140" i="9"/>
  <c r="AA1141" i="9"/>
  <c r="AA1142" i="9"/>
  <c r="AA1143" i="9"/>
  <c r="AA1144" i="9"/>
  <c r="AA1145" i="9"/>
  <c r="AA1146" i="9"/>
  <c r="AA1147" i="9"/>
  <c r="AA1148" i="9"/>
  <c r="AA1149" i="9"/>
  <c r="AA1150" i="9"/>
  <c r="AA1151" i="9"/>
  <c r="AA1152" i="9"/>
  <c r="AA1153" i="9"/>
  <c r="AA1154" i="9"/>
  <c r="AA1155" i="9"/>
  <c r="AA1156" i="9"/>
  <c r="AA1157" i="9"/>
  <c r="AA1158" i="9"/>
  <c r="AA1159" i="9"/>
  <c r="AA1160" i="9"/>
  <c r="AA1161" i="9"/>
  <c r="AA1162" i="9"/>
  <c r="AA1163" i="9"/>
  <c r="AA1164" i="9"/>
  <c r="AA1165" i="9"/>
  <c r="AA1166" i="9"/>
  <c r="AA1167" i="9"/>
  <c r="AA1168" i="9"/>
  <c r="AA1169" i="9"/>
  <c r="AA1170" i="9"/>
  <c r="AA1171" i="9"/>
  <c r="AA1172" i="9"/>
  <c r="AA1173" i="9"/>
  <c r="AA1174" i="9"/>
  <c r="AA1175" i="9"/>
  <c r="AA1176" i="9"/>
  <c r="AA1177" i="9"/>
  <c r="AA1178" i="9"/>
  <c r="AA1179" i="9"/>
  <c r="AA1180" i="9"/>
  <c r="AA1181" i="9"/>
  <c r="AA1182" i="9"/>
  <c r="AA1183" i="9"/>
  <c r="AA1184" i="9"/>
  <c r="AA1185" i="9"/>
  <c r="AA1186" i="9"/>
  <c r="AA1187" i="9"/>
  <c r="AA1188" i="9"/>
  <c r="AA1189" i="9"/>
  <c r="AA1190" i="9"/>
  <c r="AA1191" i="9"/>
  <c r="AA1192" i="9"/>
  <c r="AA1193" i="9"/>
  <c r="AA1194" i="9"/>
  <c r="AA1195" i="9"/>
  <c r="AA1196" i="9"/>
  <c r="AA1197" i="9"/>
  <c r="AA1198" i="9"/>
  <c r="AA1199" i="9"/>
  <c r="AA1200" i="9"/>
  <c r="AA1201" i="9"/>
  <c r="AA1202" i="9"/>
  <c r="AA1203" i="9"/>
  <c r="AA1204" i="9"/>
  <c r="AA1205" i="9"/>
  <c r="AA1206" i="9"/>
  <c r="AA1207" i="9"/>
  <c r="AA1208" i="9"/>
  <c r="AA1209" i="9"/>
  <c r="AA1210" i="9"/>
  <c r="AA1211" i="9"/>
  <c r="AA1212" i="9"/>
  <c r="AA1213" i="9"/>
  <c r="AA1214" i="9"/>
  <c r="AA1215" i="9"/>
  <c r="AA1216" i="9"/>
  <c r="AA1217" i="9"/>
  <c r="AA1218" i="9"/>
  <c r="AA1219" i="9"/>
  <c r="AA1220" i="9"/>
  <c r="AA1221" i="9"/>
  <c r="AA1222" i="9"/>
  <c r="AA1223" i="9"/>
  <c r="AA1224" i="9"/>
  <c r="AA1225" i="9"/>
  <c r="AA1226" i="9"/>
  <c r="AA1227" i="9"/>
  <c r="AA1228" i="9"/>
  <c r="AA1229" i="9"/>
  <c r="AA1230" i="9"/>
  <c r="AA1231" i="9"/>
  <c r="AA1232" i="9"/>
  <c r="AA1233" i="9"/>
  <c r="AA1234" i="9"/>
  <c r="AA1235" i="9"/>
  <c r="AA1236" i="9"/>
  <c r="AA1237" i="9"/>
  <c r="AA1238" i="9"/>
  <c r="AA1239" i="9"/>
  <c r="AA1240" i="9"/>
  <c r="AA1241" i="9"/>
  <c r="AA1242" i="9"/>
  <c r="AA1243" i="9"/>
  <c r="AA1244" i="9"/>
  <c r="AA1245" i="9"/>
  <c r="AA1246" i="9"/>
  <c r="AA1247" i="9"/>
  <c r="AA1248" i="9"/>
  <c r="AA1249" i="9"/>
  <c r="AA1250" i="9"/>
  <c r="AA1251" i="9"/>
  <c r="AA1252" i="9"/>
  <c r="AA1253" i="9"/>
  <c r="AA1254" i="9"/>
  <c r="AA1255" i="9"/>
  <c r="AA1256" i="9"/>
  <c r="AA1257" i="9"/>
  <c r="AA1258" i="9"/>
  <c r="AA1259" i="9"/>
  <c r="AA1260" i="9"/>
  <c r="AA1261" i="9"/>
  <c r="AA1262" i="9"/>
  <c r="AA1263" i="9"/>
  <c r="AA1264" i="9"/>
  <c r="AA1265" i="9"/>
  <c r="AA1266" i="9"/>
  <c r="AA1267" i="9"/>
  <c r="AA1268" i="9"/>
  <c r="AA1269" i="9"/>
  <c r="AA1270" i="9"/>
  <c r="AA1271" i="9"/>
  <c r="AA1272" i="9"/>
  <c r="AA1273" i="9"/>
  <c r="AA1274" i="9"/>
  <c r="AA1275" i="9"/>
  <c r="AA1276" i="9"/>
  <c r="AA1277" i="9"/>
  <c r="AA1278" i="9"/>
  <c r="AA1279" i="9"/>
  <c r="AA1280" i="9"/>
  <c r="AA1281" i="9"/>
  <c r="AA1282" i="9"/>
  <c r="AA1283" i="9"/>
  <c r="AA1284" i="9"/>
  <c r="AA1285" i="9"/>
  <c r="AA1286" i="9"/>
  <c r="AA1287" i="9"/>
  <c r="AA1288" i="9"/>
  <c r="AA1289" i="9"/>
  <c r="AA1290" i="9"/>
  <c r="AA1291" i="9"/>
  <c r="AA1292" i="9"/>
  <c r="AA1293" i="9"/>
  <c r="AA1294" i="9"/>
  <c r="AA1295" i="9"/>
  <c r="AA1296" i="9"/>
  <c r="AA1297" i="9"/>
  <c r="AA1298" i="9"/>
  <c r="AA1299" i="9"/>
  <c r="AA1300" i="9"/>
  <c r="AA1301" i="9"/>
  <c r="AA1302" i="9"/>
  <c r="AA1303" i="9"/>
  <c r="AA1304" i="9"/>
  <c r="AA1305" i="9"/>
  <c r="AA1306" i="9"/>
  <c r="AA1307" i="9"/>
  <c r="AA1308" i="9"/>
  <c r="AA1309" i="9"/>
  <c r="AA1310" i="9"/>
  <c r="AA1311" i="9"/>
  <c r="AA1312" i="9"/>
  <c r="AA1313" i="9"/>
  <c r="AA1314" i="9"/>
  <c r="AA1315" i="9"/>
  <c r="AA1316" i="9"/>
  <c r="AA1317" i="9"/>
  <c r="AA1318" i="9"/>
  <c r="AA1319" i="9"/>
  <c r="AA1320" i="9"/>
  <c r="AA1321" i="9"/>
  <c r="AA1322" i="9"/>
  <c r="AA1323" i="9"/>
  <c r="AA1324" i="9"/>
  <c r="AA1325" i="9"/>
  <c r="AA1326" i="9"/>
  <c r="AA1327" i="9"/>
  <c r="AA1328" i="9"/>
  <c r="AA1329" i="9"/>
  <c r="AA1330" i="9"/>
  <c r="AA1331" i="9"/>
  <c r="AA1332" i="9"/>
  <c r="AA1333" i="9"/>
  <c r="AA1334" i="9"/>
  <c r="AA1335" i="9"/>
  <c r="AA1336" i="9"/>
  <c r="AA1337" i="9"/>
  <c r="AA1338" i="9"/>
  <c r="AA1339" i="9"/>
  <c r="AA1340" i="9"/>
  <c r="AA1341" i="9"/>
  <c r="AA1342" i="9"/>
  <c r="AA1343" i="9"/>
  <c r="AA1344" i="9"/>
  <c r="AA1345" i="9"/>
  <c r="AA1346" i="9"/>
  <c r="AA1347" i="9"/>
  <c r="AA1348" i="9"/>
  <c r="AA1349" i="9"/>
  <c r="AA1350" i="9"/>
  <c r="AA1351" i="9"/>
  <c r="AA1352" i="9"/>
  <c r="AA1353" i="9"/>
  <c r="AA1354" i="9"/>
  <c r="AA1355" i="9"/>
  <c r="AA1356" i="9"/>
  <c r="AA1357" i="9"/>
  <c r="AA1358" i="9"/>
  <c r="AA1359" i="9"/>
  <c r="AA1360" i="9"/>
  <c r="AA1361" i="9"/>
  <c r="AA1362" i="9"/>
  <c r="AA1363" i="9"/>
  <c r="AA1364" i="9"/>
  <c r="AA1365" i="9"/>
  <c r="AA1366" i="9"/>
  <c r="AA1367" i="9"/>
  <c r="AA1368" i="9"/>
  <c r="AA1369" i="9"/>
  <c r="AA1370" i="9"/>
  <c r="AA1371" i="9"/>
  <c r="AA1372" i="9"/>
  <c r="AA1373" i="9"/>
  <c r="AA1374" i="9"/>
  <c r="AA1375" i="9"/>
  <c r="AA1376" i="9"/>
  <c r="AA1377" i="9"/>
  <c r="AA1378" i="9"/>
  <c r="AA1379" i="9"/>
  <c r="AA1380" i="9"/>
  <c r="AA1381" i="9"/>
  <c r="AA1382" i="9"/>
  <c r="AA1383" i="9"/>
  <c r="AA1384" i="9"/>
  <c r="AA1385" i="9"/>
  <c r="AA1386" i="9"/>
  <c r="AA1387" i="9"/>
  <c r="AA1388" i="9"/>
  <c r="AA1389" i="9"/>
  <c r="AA1390" i="9"/>
  <c r="AA1391" i="9"/>
  <c r="AA1392" i="9"/>
  <c r="AA1393" i="9"/>
  <c r="AA1394" i="9"/>
  <c r="AA1395" i="9"/>
  <c r="AA1396" i="9"/>
  <c r="AA1397" i="9"/>
  <c r="AA1398" i="9"/>
  <c r="AA1399" i="9"/>
  <c r="AA1400" i="9"/>
  <c r="AA1401" i="9"/>
  <c r="AA1402" i="9"/>
  <c r="AA1403" i="9"/>
  <c r="AA1404" i="9"/>
  <c r="AA1405" i="9"/>
  <c r="AA1406" i="9"/>
  <c r="AA1407" i="9"/>
  <c r="AA1408" i="9"/>
  <c r="AA1409" i="9"/>
  <c r="AA1410" i="9"/>
  <c r="AA1411" i="9"/>
  <c r="AA1412" i="9"/>
  <c r="AA1413" i="9"/>
  <c r="AA1414" i="9"/>
  <c r="AA1415" i="9"/>
  <c r="AA1416" i="9"/>
  <c r="AA1417" i="9"/>
  <c r="AA1418" i="9"/>
  <c r="AA1419" i="9"/>
  <c r="AA1420" i="9"/>
  <c r="AA1421" i="9"/>
  <c r="AA1422" i="9"/>
  <c r="AA1423" i="9"/>
  <c r="AA1424" i="9"/>
  <c r="AA1425" i="9"/>
  <c r="AA1426" i="9"/>
  <c r="AA1427" i="9"/>
  <c r="AA1428" i="9"/>
  <c r="AA1429" i="9"/>
  <c r="AA1430" i="9"/>
  <c r="AA1431" i="9"/>
  <c r="AA1432" i="9"/>
  <c r="AA1433" i="9"/>
  <c r="AA1434" i="9"/>
  <c r="AA1435" i="9"/>
  <c r="AA1436" i="9"/>
  <c r="AA1437" i="9"/>
  <c r="AA1438" i="9"/>
  <c r="AA1439" i="9"/>
  <c r="AA1440" i="9"/>
  <c r="AA1441" i="9"/>
  <c r="AA1442" i="9"/>
  <c r="AA1443" i="9"/>
  <c r="AA1444" i="9"/>
  <c r="AA1445" i="9"/>
  <c r="AA1446" i="9"/>
  <c r="AA1447" i="9"/>
  <c r="AA1448" i="9"/>
  <c r="AA1449" i="9"/>
  <c r="AA1450" i="9"/>
  <c r="AA1451" i="9"/>
  <c r="AA1452" i="9"/>
  <c r="AA1453" i="9"/>
  <c r="AA1454" i="9"/>
  <c r="AA1455" i="9"/>
  <c r="AA1456" i="9"/>
  <c r="AA1457" i="9"/>
  <c r="AA1458" i="9"/>
  <c r="AA1459" i="9"/>
  <c r="AA1460" i="9"/>
  <c r="AA1461" i="9"/>
  <c r="AA1462" i="9"/>
  <c r="AA1463" i="9"/>
  <c r="AA1464" i="9"/>
  <c r="AA1465" i="9"/>
  <c r="AA1466" i="9"/>
  <c r="AA1467" i="9"/>
  <c r="AA1468" i="9"/>
  <c r="AA1469" i="9"/>
  <c r="AA1470" i="9"/>
  <c r="AA1471" i="9"/>
  <c r="AA1472" i="9"/>
  <c r="AA1473" i="9"/>
  <c r="AA1474" i="9"/>
  <c r="AA1475" i="9"/>
  <c r="AA1476" i="9"/>
  <c r="AA1477" i="9"/>
  <c r="AA1478" i="9"/>
  <c r="AA1479" i="9"/>
  <c r="AA1480" i="9"/>
  <c r="AA1481" i="9"/>
  <c r="AA1482" i="9"/>
  <c r="AA1483" i="9"/>
  <c r="AA1484" i="9"/>
  <c r="AA1485" i="9"/>
  <c r="AA1486" i="9"/>
  <c r="AA1487" i="9"/>
  <c r="AA1488" i="9"/>
  <c r="AA1489" i="9"/>
  <c r="AA1490" i="9"/>
  <c r="AA1491" i="9"/>
  <c r="AA1492" i="9"/>
  <c r="AA1493" i="9"/>
  <c r="AA1494" i="9"/>
  <c r="AA1495" i="9"/>
  <c r="AA1496" i="9"/>
  <c r="AA1497" i="9"/>
  <c r="AA1498" i="9"/>
  <c r="AA1499" i="9"/>
  <c r="AA1500" i="9"/>
  <c r="AA4" i="9"/>
  <c r="D2" i="10" l="1"/>
  <c r="X115" i="7" l="1"/>
  <c r="X111" i="7"/>
  <c r="X110" i="7"/>
  <c r="Q115" i="7"/>
  <c r="Q111" i="7"/>
  <c r="Q110" i="7"/>
  <c r="J115" i="7"/>
  <c r="J111" i="7"/>
  <c r="J110" i="7"/>
  <c r="C115" i="7"/>
  <c r="C111" i="7"/>
  <c r="C110" i="7"/>
  <c r="X90" i="7"/>
  <c r="X86" i="7"/>
  <c r="X85" i="7"/>
  <c r="Q90" i="7"/>
  <c r="Q86" i="7"/>
  <c r="Q85" i="7"/>
  <c r="J90" i="7"/>
  <c r="J86" i="7"/>
  <c r="J85" i="7"/>
  <c r="C90" i="7"/>
  <c r="C86" i="7"/>
  <c r="C85" i="7"/>
  <c r="X65" i="7"/>
  <c r="X61" i="7"/>
  <c r="X60" i="7"/>
  <c r="Q65" i="7"/>
  <c r="Q61" i="7"/>
  <c r="Q60" i="7"/>
  <c r="J65" i="7"/>
  <c r="J61" i="7"/>
  <c r="J60" i="7"/>
  <c r="C65" i="7"/>
  <c r="C61" i="7"/>
  <c r="C60" i="7"/>
  <c r="X40" i="7"/>
  <c r="X36" i="7"/>
  <c r="X35" i="7"/>
  <c r="Q40" i="7"/>
  <c r="Q36" i="7"/>
  <c r="Q35" i="7"/>
  <c r="J40" i="7"/>
  <c r="J36" i="7"/>
  <c r="J35" i="7"/>
  <c r="C40" i="7"/>
  <c r="C36" i="7"/>
  <c r="C35" i="7"/>
  <c r="X15" i="7"/>
  <c r="X11" i="7"/>
  <c r="X10" i="7"/>
  <c r="Q15" i="7"/>
  <c r="Q11" i="7"/>
  <c r="Q10" i="7"/>
  <c r="J15" i="7"/>
  <c r="J11" i="7"/>
  <c r="J10" i="7"/>
  <c r="C15" i="7"/>
  <c r="C11" i="7"/>
  <c r="C10" i="7"/>
  <c r="AM5" i="9"/>
  <c r="AN5" i="9"/>
  <c r="AO5" i="9"/>
  <c r="AP5" i="9"/>
  <c r="AQ5" i="9"/>
  <c r="AM6" i="9"/>
  <c r="AN6" i="9"/>
  <c r="AO6" i="9"/>
  <c r="AP6" i="9"/>
  <c r="AQ6" i="9"/>
  <c r="AM7" i="9"/>
  <c r="AN7" i="9"/>
  <c r="AO7" i="9"/>
  <c r="AP7" i="9"/>
  <c r="AQ7" i="9"/>
  <c r="AM8" i="9"/>
  <c r="AN8" i="9"/>
  <c r="AO8" i="9"/>
  <c r="AP8" i="9"/>
  <c r="AQ8" i="9"/>
  <c r="AM9" i="9"/>
  <c r="AN9" i="9"/>
  <c r="AO9" i="9"/>
  <c r="AP9" i="9"/>
  <c r="AQ9" i="9"/>
  <c r="AM10" i="9"/>
  <c r="AN10" i="9"/>
  <c r="AO10" i="9"/>
  <c r="AP10" i="9"/>
  <c r="AQ10" i="9"/>
  <c r="AM11" i="9"/>
  <c r="AN11" i="9"/>
  <c r="AO11" i="9"/>
  <c r="AP11" i="9"/>
  <c r="AQ11" i="9"/>
  <c r="AM12" i="9"/>
  <c r="AN12" i="9"/>
  <c r="AO12" i="9"/>
  <c r="AP12" i="9"/>
  <c r="AQ12" i="9"/>
  <c r="AM13" i="9"/>
  <c r="AN13" i="9"/>
  <c r="AO13" i="9"/>
  <c r="AP13" i="9"/>
  <c r="AQ13" i="9"/>
  <c r="AM14" i="9"/>
  <c r="AN14" i="9"/>
  <c r="AO14" i="9"/>
  <c r="AP14" i="9"/>
  <c r="AQ14" i="9"/>
  <c r="AM15" i="9"/>
  <c r="AN15" i="9"/>
  <c r="AO15" i="9"/>
  <c r="AP15" i="9"/>
  <c r="AQ15" i="9"/>
  <c r="AM16" i="9"/>
  <c r="AN16" i="9"/>
  <c r="AO16" i="9"/>
  <c r="AP16" i="9"/>
  <c r="AQ16" i="9"/>
  <c r="AM17" i="9"/>
  <c r="AN17" i="9"/>
  <c r="AO17" i="9"/>
  <c r="AP17" i="9"/>
  <c r="AQ17" i="9"/>
  <c r="AM18" i="9"/>
  <c r="AN18" i="9"/>
  <c r="AO18" i="9"/>
  <c r="AP18" i="9"/>
  <c r="AQ18" i="9"/>
  <c r="AM19" i="9"/>
  <c r="AN19" i="9"/>
  <c r="AO19" i="9"/>
  <c r="AP19" i="9"/>
  <c r="AQ19" i="9"/>
  <c r="AM20" i="9"/>
  <c r="AN20" i="9"/>
  <c r="AO20" i="9"/>
  <c r="AP20" i="9"/>
  <c r="AQ20" i="9"/>
  <c r="AM21" i="9"/>
  <c r="AN21" i="9"/>
  <c r="AO21" i="9"/>
  <c r="AP21" i="9"/>
  <c r="AQ21" i="9"/>
  <c r="AM22" i="9"/>
  <c r="AN22" i="9"/>
  <c r="AO22" i="9"/>
  <c r="AP22" i="9"/>
  <c r="AQ22" i="9"/>
  <c r="AM23" i="9"/>
  <c r="AN23" i="9"/>
  <c r="AO23" i="9"/>
  <c r="AP23" i="9"/>
  <c r="AQ23" i="9"/>
  <c r="AM24" i="9"/>
  <c r="AN24" i="9"/>
  <c r="AO24" i="9"/>
  <c r="AP24" i="9"/>
  <c r="AQ24" i="9"/>
  <c r="AM25" i="9"/>
  <c r="AN25" i="9"/>
  <c r="AO25" i="9"/>
  <c r="AP25" i="9"/>
  <c r="AQ25" i="9"/>
  <c r="AM26" i="9"/>
  <c r="AN26" i="9"/>
  <c r="AO26" i="9"/>
  <c r="AP26" i="9"/>
  <c r="AQ26" i="9"/>
  <c r="AM27" i="9"/>
  <c r="AN27" i="9"/>
  <c r="AO27" i="9"/>
  <c r="AP27" i="9"/>
  <c r="AQ27" i="9"/>
  <c r="AM28" i="9"/>
  <c r="AN28" i="9"/>
  <c r="AO28" i="9"/>
  <c r="AP28" i="9"/>
  <c r="AQ28" i="9"/>
  <c r="AM29" i="9"/>
  <c r="AN29" i="9"/>
  <c r="AO29" i="9"/>
  <c r="AP29" i="9"/>
  <c r="AQ29" i="9"/>
  <c r="AM30" i="9"/>
  <c r="AN30" i="9"/>
  <c r="AO30" i="9"/>
  <c r="AP30" i="9"/>
  <c r="AQ30" i="9"/>
  <c r="AM31" i="9"/>
  <c r="AN31" i="9"/>
  <c r="AO31" i="9"/>
  <c r="AP31" i="9"/>
  <c r="AQ31" i="9"/>
  <c r="AM32" i="9"/>
  <c r="AN32" i="9"/>
  <c r="AO32" i="9"/>
  <c r="AP32" i="9"/>
  <c r="AQ32" i="9"/>
  <c r="AM33" i="9"/>
  <c r="AN33" i="9"/>
  <c r="AO33" i="9"/>
  <c r="AP33" i="9"/>
  <c r="AQ33" i="9"/>
  <c r="AM34" i="9"/>
  <c r="AN34" i="9"/>
  <c r="AO34" i="9"/>
  <c r="AP34" i="9"/>
  <c r="AQ34" i="9"/>
  <c r="AM35" i="9"/>
  <c r="AN35" i="9"/>
  <c r="AO35" i="9"/>
  <c r="AP35" i="9"/>
  <c r="AQ35" i="9"/>
  <c r="AM36" i="9"/>
  <c r="AN36" i="9"/>
  <c r="AO36" i="9"/>
  <c r="AP36" i="9"/>
  <c r="AQ36" i="9"/>
  <c r="AM37" i="9"/>
  <c r="AN37" i="9"/>
  <c r="AO37" i="9"/>
  <c r="AP37" i="9"/>
  <c r="AQ37" i="9"/>
  <c r="AM38" i="9"/>
  <c r="AN38" i="9"/>
  <c r="AO38" i="9"/>
  <c r="AP38" i="9"/>
  <c r="AQ38" i="9"/>
  <c r="AM39" i="9"/>
  <c r="AN39" i="9"/>
  <c r="AO39" i="9"/>
  <c r="AP39" i="9"/>
  <c r="AQ39" i="9"/>
  <c r="AM40" i="9"/>
  <c r="AN40" i="9"/>
  <c r="AO40" i="9"/>
  <c r="AP40" i="9"/>
  <c r="AQ40" i="9"/>
  <c r="AM41" i="9"/>
  <c r="AN41" i="9"/>
  <c r="AO41" i="9"/>
  <c r="AP41" i="9"/>
  <c r="AQ41" i="9"/>
  <c r="AM42" i="9"/>
  <c r="AN42" i="9"/>
  <c r="AO42" i="9"/>
  <c r="AP42" i="9"/>
  <c r="AQ42" i="9"/>
  <c r="AM43" i="9"/>
  <c r="AN43" i="9"/>
  <c r="AO43" i="9"/>
  <c r="AP43" i="9"/>
  <c r="AQ43" i="9"/>
  <c r="AM44" i="9"/>
  <c r="AN44" i="9"/>
  <c r="AO44" i="9"/>
  <c r="AP44" i="9"/>
  <c r="AQ44" i="9"/>
  <c r="AM45" i="9"/>
  <c r="AN45" i="9"/>
  <c r="AO45" i="9"/>
  <c r="AP45" i="9"/>
  <c r="AQ45" i="9"/>
  <c r="AM46" i="9"/>
  <c r="AN46" i="9"/>
  <c r="AO46" i="9"/>
  <c r="AP46" i="9"/>
  <c r="AQ46" i="9"/>
  <c r="AM47" i="9"/>
  <c r="AN47" i="9"/>
  <c r="AO47" i="9"/>
  <c r="AP47" i="9"/>
  <c r="AQ47" i="9"/>
  <c r="AM48" i="9"/>
  <c r="AN48" i="9"/>
  <c r="AO48" i="9"/>
  <c r="AP48" i="9"/>
  <c r="AQ48" i="9"/>
  <c r="AM49" i="9"/>
  <c r="AN49" i="9"/>
  <c r="AO49" i="9"/>
  <c r="AP49" i="9"/>
  <c r="AQ49" i="9"/>
  <c r="AM50" i="9"/>
  <c r="AN50" i="9"/>
  <c r="AO50" i="9"/>
  <c r="AP50" i="9"/>
  <c r="AQ50" i="9"/>
  <c r="AM51" i="9"/>
  <c r="AN51" i="9"/>
  <c r="AO51" i="9"/>
  <c r="AP51" i="9"/>
  <c r="AQ51" i="9"/>
  <c r="AM52" i="9"/>
  <c r="AN52" i="9"/>
  <c r="AO52" i="9"/>
  <c r="AP52" i="9"/>
  <c r="AQ52" i="9"/>
  <c r="AM53" i="9"/>
  <c r="AN53" i="9"/>
  <c r="AO53" i="9"/>
  <c r="AP53" i="9"/>
  <c r="AQ53" i="9"/>
  <c r="AM54" i="9"/>
  <c r="AN54" i="9"/>
  <c r="AO54" i="9"/>
  <c r="AP54" i="9"/>
  <c r="AQ54" i="9"/>
  <c r="AM55" i="9"/>
  <c r="AN55" i="9"/>
  <c r="AO55" i="9"/>
  <c r="AP55" i="9"/>
  <c r="AQ55" i="9"/>
  <c r="AM56" i="9"/>
  <c r="AN56" i="9"/>
  <c r="AO56" i="9"/>
  <c r="AP56" i="9"/>
  <c r="AQ56" i="9"/>
  <c r="AM57" i="9"/>
  <c r="AN57" i="9"/>
  <c r="AO57" i="9"/>
  <c r="AP57" i="9"/>
  <c r="AQ57" i="9"/>
  <c r="AM58" i="9"/>
  <c r="AN58" i="9"/>
  <c r="AO58" i="9"/>
  <c r="AP58" i="9"/>
  <c r="AQ58" i="9"/>
  <c r="AM59" i="9"/>
  <c r="AN59" i="9"/>
  <c r="AO59" i="9"/>
  <c r="AP59" i="9"/>
  <c r="AQ59" i="9"/>
  <c r="AM60" i="9"/>
  <c r="AN60" i="9"/>
  <c r="AO60" i="9"/>
  <c r="AP60" i="9"/>
  <c r="AQ60" i="9"/>
  <c r="AM61" i="9"/>
  <c r="AN61" i="9"/>
  <c r="AO61" i="9"/>
  <c r="AP61" i="9"/>
  <c r="AQ61" i="9"/>
  <c r="AM62" i="9"/>
  <c r="AN62" i="9"/>
  <c r="AO62" i="9"/>
  <c r="AP62" i="9"/>
  <c r="AQ62" i="9"/>
  <c r="AM63" i="9"/>
  <c r="AN63" i="9"/>
  <c r="AO63" i="9"/>
  <c r="AP63" i="9"/>
  <c r="AQ63" i="9"/>
  <c r="AM64" i="9"/>
  <c r="AN64" i="9"/>
  <c r="AO64" i="9"/>
  <c r="AP64" i="9"/>
  <c r="AQ64" i="9"/>
  <c r="AM65" i="9"/>
  <c r="AN65" i="9"/>
  <c r="AO65" i="9"/>
  <c r="AP65" i="9"/>
  <c r="AQ65" i="9"/>
  <c r="AM66" i="9"/>
  <c r="AN66" i="9"/>
  <c r="AO66" i="9"/>
  <c r="AP66" i="9"/>
  <c r="AQ66" i="9"/>
  <c r="AM67" i="9"/>
  <c r="AN67" i="9"/>
  <c r="AO67" i="9"/>
  <c r="AP67" i="9"/>
  <c r="AQ67" i="9"/>
  <c r="AM68" i="9"/>
  <c r="AN68" i="9"/>
  <c r="AO68" i="9"/>
  <c r="AP68" i="9"/>
  <c r="AQ68" i="9"/>
  <c r="AM69" i="9"/>
  <c r="AN69" i="9"/>
  <c r="AO69" i="9"/>
  <c r="AP69" i="9"/>
  <c r="AQ69" i="9"/>
  <c r="AM70" i="9"/>
  <c r="AN70" i="9"/>
  <c r="AO70" i="9"/>
  <c r="AP70" i="9"/>
  <c r="AQ70" i="9"/>
  <c r="AM71" i="9"/>
  <c r="AN71" i="9"/>
  <c r="AO71" i="9"/>
  <c r="AP71" i="9"/>
  <c r="AQ71" i="9"/>
  <c r="AM72" i="9"/>
  <c r="AN72" i="9"/>
  <c r="AO72" i="9"/>
  <c r="AP72" i="9"/>
  <c r="AQ72" i="9"/>
  <c r="AM73" i="9"/>
  <c r="AN73" i="9"/>
  <c r="AO73" i="9"/>
  <c r="AP73" i="9"/>
  <c r="AQ73" i="9"/>
  <c r="AM74" i="9"/>
  <c r="AN74" i="9"/>
  <c r="AO74" i="9"/>
  <c r="AP74" i="9"/>
  <c r="AQ74" i="9"/>
  <c r="AM75" i="9"/>
  <c r="AN75" i="9"/>
  <c r="AO75" i="9"/>
  <c r="AP75" i="9"/>
  <c r="AQ75" i="9"/>
  <c r="AM76" i="9"/>
  <c r="AN76" i="9"/>
  <c r="AO76" i="9"/>
  <c r="AP76" i="9"/>
  <c r="AQ76" i="9"/>
  <c r="AM77" i="9"/>
  <c r="AN77" i="9"/>
  <c r="AO77" i="9"/>
  <c r="AP77" i="9"/>
  <c r="AQ77" i="9"/>
  <c r="AM78" i="9"/>
  <c r="AN78" i="9"/>
  <c r="AO78" i="9"/>
  <c r="AP78" i="9"/>
  <c r="AQ78" i="9"/>
  <c r="AM79" i="9"/>
  <c r="AN79" i="9"/>
  <c r="AO79" i="9"/>
  <c r="AP79" i="9"/>
  <c r="AQ79" i="9"/>
  <c r="AM80" i="9"/>
  <c r="AN80" i="9"/>
  <c r="AO80" i="9"/>
  <c r="AP80" i="9"/>
  <c r="AQ80" i="9"/>
  <c r="AM81" i="9"/>
  <c r="AN81" i="9"/>
  <c r="AO81" i="9"/>
  <c r="AP81" i="9"/>
  <c r="AQ81" i="9"/>
  <c r="AM82" i="9"/>
  <c r="AN82" i="9"/>
  <c r="AO82" i="9"/>
  <c r="AP82" i="9"/>
  <c r="AQ82" i="9"/>
  <c r="AM83" i="9"/>
  <c r="AN83" i="9"/>
  <c r="AO83" i="9"/>
  <c r="AP83" i="9"/>
  <c r="AQ83" i="9"/>
  <c r="AM84" i="9"/>
  <c r="AN84" i="9"/>
  <c r="AO84" i="9"/>
  <c r="AP84" i="9"/>
  <c r="AQ84" i="9"/>
  <c r="AM85" i="9"/>
  <c r="AN85" i="9"/>
  <c r="AO85" i="9"/>
  <c r="AP85" i="9"/>
  <c r="AQ85" i="9"/>
  <c r="AM86" i="9"/>
  <c r="AN86" i="9"/>
  <c r="AO86" i="9"/>
  <c r="AP86" i="9"/>
  <c r="AQ86" i="9"/>
  <c r="AM87" i="9"/>
  <c r="AN87" i="9"/>
  <c r="AO87" i="9"/>
  <c r="AP87" i="9"/>
  <c r="AQ87" i="9"/>
  <c r="AM88" i="9"/>
  <c r="AN88" i="9"/>
  <c r="AO88" i="9"/>
  <c r="AP88" i="9"/>
  <c r="AQ88" i="9"/>
  <c r="AM89" i="9"/>
  <c r="AN89" i="9"/>
  <c r="AO89" i="9"/>
  <c r="AP89" i="9"/>
  <c r="AQ89" i="9"/>
  <c r="AM90" i="9"/>
  <c r="AN90" i="9"/>
  <c r="AO90" i="9"/>
  <c r="AP90" i="9"/>
  <c r="AQ90" i="9"/>
  <c r="AM91" i="9"/>
  <c r="AN91" i="9"/>
  <c r="AO91" i="9"/>
  <c r="AP91" i="9"/>
  <c r="AQ91" i="9"/>
  <c r="AM92" i="9"/>
  <c r="AN92" i="9"/>
  <c r="AO92" i="9"/>
  <c r="AP92" i="9"/>
  <c r="AQ92" i="9"/>
  <c r="AM93" i="9"/>
  <c r="AN93" i="9"/>
  <c r="AO93" i="9"/>
  <c r="AP93" i="9"/>
  <c r="AQ93" i="9"/>
  <c r="AM94" i="9"/>
  <c r="AN94" i="9"/>
  <c r="AO94" i="9"/>
  <c r="AP94" i="9"/>
  <c r="AQ94" i="9"/>
  <c r="AM95" i="9"/>
  <c r="AN95" i="9"/>
  <c r="AO95" i="9"/>
  <c r="AP95" i="9"/>
  <c r="AQ95" i="9"/>
  <c r="AM96" i="9"/>
  <c r="AN96" i="9"/>
  <c r="AO96" i="9"/>
  <c r="AP96" i="9"/>
  <c r="AQ96" i="9"/>
  <c r="AM97" i="9"/>
  <c r="AN97" i="9"/>
  <c r="AO97" i="9"/>
  <c r="AP97" i="9"/>
  <c r="AQ97" i="9"/>
  <c r="AM98" i="9"/>
  <c r="AN98" i="9"/>
  <c r="AO98" i="9"/>
  <c r="AP98" i="9"/>
  <c r="AQ98" i="9"/>
  <c r="AM99" i="9"/>
  <c r="AN99" i="9"/>
  <c r="AO99" i="9"/>
  <c r="AP99" i="9"/>
  <c r="AQ99" i="9"/>
  <c r="AM100" i="9"/>
  <c r="AN100" i="9"/>
  <c r="AO100" i="9"/>
  <c r="AP100" i="9"/>
  <c r="AQ100" i="9"/>
  <c r="AM101" i="9"/>
  <c r="AN101" i="9"/>
  <c r="AO101" i="9"/>
  <c r="AP101" i="9"/>
  <c r="AQ101" i="9"/>
  <c r="AM102" i="9"/>
  <c r="AN102" i="9"/>
  <c r="AO102" i="9"/>
  <c r="AP102" i="9"/>
  <c r="AQ102" i="9"/>
  <c r="AM103" i="9"/>
  <c r="AN103" i="9"/>
  <c r="AO103" i="9"/>
  <c r="AP103" i="9"/>
  <c r="AQ103" i="9"/>
  <c r="AM104" i="9"/>
  <c r="AN104" i="9"/>
  <c r="AO104" i="9"/>
  <c r="AP104" i="9"/>
  <c r="AQ104" i="9"/>
  <c r="AM105" i="9"/>
  <c r="AN105" i="9"/>
  <c r="AO105" i="9"/>
  <c r="AP105" i="9"/>
  <c r="AQ105" i="9"/>
  <c r="AM106" i="9"/>
  <c r="AN106" i="9"/>
  <c r="AO106" i="9"/>
  <c r="AP106" i="9"/>
  <c r="AQ106" i="9"/>
  <c r="AM107" i="9"/>
  <c r="AN107" i="9"/>
  <c r="AO107" i="9"/>
  <c r="AP107" i="9"/>
  <c r="AQ107" i="9"/>
  <c r="AM108" i="9"/>
  <c r="AN108" i="9"/>
  <c r="AO108" i="9"/>
  <c r="AP108" i="9"/>
  <c r="AQ108" i="9"/>
  <c r="AM109" i="9"/>
  <c r="AN109" i="9"/>
  <c r="AO109" i="9"/>
  <c r="AP109" i="9"/>
  <c r="AQ109" i="9"/>
  <c r="AM110" i="9"/>
  <c r="AN110" i="9"/>
  <c r="AO110" i="9"/>
  <c r="AP110" i="9"/>
  <c r="AQ110" i="9"/>
  <c r="AM111" i="9"/>
  <c r="AN111" i="9"/>
  <c r="AO111" i="9"/>
  <c r="AP111" i="9"/>
  <c r="AQ111" i="9"/>
  <c r="AM112" i="9"/>
  <c r="AN112" i="9"/>
  <c r="AO112" i="9"/>
  <c r="AP112" i="9"/>
  <c r="AQ112" i="9"/>
  <c r="AM113" i="9"/>
  <c r="AN113" i="9"/>
  <c r="AO113" i="9"/>
  <c r="AP113" i="9"/>
  <c r="AQ113" i="9"/>
  <c r="AM114" i="9"/>
  <c r="AN114" i="9"/>
  <c r="AO114" i="9"/>
  <c r="AP114" i="9"/>
  <c r="AQ114" i="9"/>
  <c r="AM115" i="9"/>
  <c r="AN115" i="9"/>
  <c r="AO115" i="9"/>
  <c r="AP115" i="9"/>
  <c r="AQ115" i="9"/>
  <c r="AM116" i="9"/>
  <c r="AN116" i="9"/>
  <c r="AO116" i="9"/>
  <c r="AP116" i="9"/>
  <c r="AQ116" i="9"/>
  <c r="AM117" i="9"/>
  <c r="AN117" i="9"/>
  <c r="AO117" i="9"/>
  <c r="AP117" i="9"/>
  <c r="AQ117" i="9"/>
  <c r="AM118" i="9"/>
  <c r="AN118" i="9"/>
  <c r="AO118" i="9"/>
  <c r="AP118" i="9"/>
  <c r="AQ118" i="9"/>
  <c r="AM119" i="9"/>
  <c r="AN119" i="9"/>
  <c r="AO119" i="9"/>
  <c r="AP119" i="9"/>
  <c r="AQ119" i="9"/>
  <c r="AM120" i="9"/>
  <c r="AN120" i="9"/>
  <c r="AO120" i="9"/>
  <c r="AP120" i="9"/>
  <c r="AQ120" i="9"/>
  <c r="AM121" i="9"/>
  <c r="AN121" i="9"/>
  <c r="AO121" i="9"/>
  <c r="AP121" i="9"/>
  <c r="AQ121" i="9"/>
  <c r="AM122" i="9"/>
  <c r="AN122" i="9"/>
  <c r="AO122" i="9"/>
  <c r="AP122" i="9"/>
  <c r="AQ122" i="9"/>
  <c r="AM123" i="9"/>
  <c r="AN123" i="9"/>
  <c r="AO123" i="9"/>
  <c r="AP123" i="9"/>
  <c r="AQ123" i="9"/>
  <c r="AM124" i="9"/>
  <c r="AN124" i="9"/>
  <c r="AO124" i="9"/>
  <c r="AP124" i="9"/>
  <c r="AQ124" i="9"/>
  <c r="AM125" i="9"/>
  <c r="AN125" i="9"/>
  <c r="AO125" i="9"/>
  <c r="AP125" i="9"/>
  <c r="AQ125" i="9"/>
  <c r="AM126" i="9"/>
  <c r="AN126" i="9"/>
  <c r="AO126" i="9"/>
  <c r="AP126" i="9"/>
  <c r="AQ126" i="9"/>
  <c r="AM127" i="9"/>
  <c r="AN127" i="9"/>
  <c r="AO127" i="9"/>
  <c r="AP127" i="9"/>
  <c r="AQ127" i="9"/>
  <c r="AM128" i="9"/>
  <c r="AN128" i="9"/>
  <c r="AO128" i="9"/>
  <c r="AP128" i="9"/>
  <c r="AQ128" i="9"/>
  <c r="AM129" i="9"/>
  <c r="AN129" i="9"/>
  <c r="AO129" i="9"/>
  <c r="AP129" i="9"/>
  <c r="AQ129" i="9"/>
  <c r="AM130" i="9"/>
  <c r="AN130" i="9"/>
  <c r="AO130" i="9"/>
  <c r="AP130" i="9"/>
  <c r="AQ130" i="9"/>
  <c r="AM131" i="9"/>
  <c r="AN131" i="9"/>
  <c r="AO131" i="9"/>
  <c r="AP131" i="9"/>
  <c r="AQ131" i="9"/>
  <c r="AM132" i="9"/>
  <c r="AN132" i="9"/>
  <c r="AO132" i="9"/>
  <c r="AP132" i="9"/>
  <c r="AQ132" i="9"/>
  <c r="AM133" i="9"/>
  <c r="AN133" i="9"/>
  <c r="AO133" i="9"/>
  <c r="AP133" i="9"/>
  <c r="AQ133" i="9"/>
  <c r="AM134" i="9"/>
  <c r="AN134" i="9"/>
  <c r="AO134" i="9"/>
  <c r="AP134" i="9"/>
  <c r="AQ134" i="9"/>
  <c r="AM135" i="9"/>
  <c r="AN135" i="9"/>
  <c r="AO135" i="9"/>
  <c r="AP135" i="9"/>
  <c r="AQ135" i="9"/>
  <c r="AM136" i="9"/>
  <c r="AN136" i="9"/>
  <c r="AO136" i="9"/>
  <c r="AP136" i="9"/>
  <c r="AQ136" i="9"/>
  <c r="AM137" i="9"/>
  <c r="AN137" i="9"/>
  <c r="AO137" i="9"/>
  <c r="AP137" i="9"/>
  <c r="AQ137" i="9"/>
  <c r="AM138" i="9"/>
  <c r="AN138" i="9"/>
  <c r="AO138" i="9"/>
  <c r="AP138" i="9"/>
  <c r="AQ138" i="9"/>
  <c r="AM139" i="9"/>
  <c r="AN139" i="9"/>
  <c r="AO139" i="9"/>
  <c r="AP139" i="9"/>
  <c r="AQ139" i="9"/>
  <c r="AM140" i="9"/>
  <c r="AN140" i="9"/>
  <c r="AO140" i="9"/>
  <c r="AP140" i="9"/>
  <c r="AQ140" i="9"/>
  <c r="AM141" i="9"/>
  <c r="AN141" i="9"/>
  <c r="AO141" i="9"/>
  <c r="AP141" i="9"/>
  <c r="AQ141" i="9"/>
  <c r="AM142" i="9"/>
  <c r="AN142" i="9"/>
  <c r="AO142" i="9"/>
  <c r="AP142" i="9"/>
  <c r="AQ142" i="9"/>
  <c r="AM143" i="9"/>
  <c r="AN143" i="9"/>
  <c r="AO143" i="9"/>
  <c r="AP143" i="9"/>
  <c r="AQ143" i="9"/>
  <c r="AM144" i="9"/>
  <c r="AN144" i="9"/>
  <c r="AO144" i="9"/>
  <c r="AP144" i="9"/>
  <c r="AQ144" i="9"/>
  <c r="AM145" i="9"/>
  <c r="AN145" i="9"/>
  <c r="AO145" i="9"/>
  <c r="AP145" i="9"/>
  <c r="AQ145" i="9"/>
  <c r="AM146" i="9"/>
  <c r="AN146" i="9"/>
  <c r="AO146" i="9"/>
  <c r="AP146" i="9"/>
  <c r="AQ146" i="9"/>
  <c r="AM147" i="9"/>
  <c r="AN147" i="9"/>
  <c r="AO147" i="9"/>
  <c r="AP147" i="9"/>
  <c r="AQ147" i="9"/>
  <c r="AM148" i="9"/>
  <c r="AN148" i="9"/>
  <c r="AO148" i="9"/>
  <c r="AP148" i="9"/>
  <c r="AQ148" i="9"/>
  <c r="AM149" i="9"/>
  <c r="AN149" i="9"/>
  <c r="AO149" i="9"/>
  <c r="AP149" i="9"/>
  <c r="AQ149" i="9"/>
  <c r="AM150" i="9"/>
  <c r="AN150" i="9"/>
  <c r="AO150" i="9"/>
  <c r="AP150" i="9"/>
  <c r="AQ150" i="9"/>
  <c r="AM151" i="9"/>
  <c r="AN151" i="9"/>
  <c r="AO151" i="9"/>
  <c r="AP151" i="9"/>
  <c r="AQ151" i="9"/>
  <c r="AM152" i="9"/>
  <c r="AN152" i="9"/>
  <c r="AO152" i="9"/>
  <c r="AP152" i="9"/>
  <c r="AQ152" i="9"/>
  <c r="AM153" i="9"/>
  <c r="AN153" i="9"/>
  <c r="AO153" i="9"/>
  <c r="AP153" i="9"/>
  <c r="AQ153" i="9"/>
  <c r="AM154" i="9"/>
  <c r="AN154" i="9"/>
  <c r="AO154" i="9"/>
  <c r="AP154" i="9"/>
  <c r="AQ154" i="9"/>
  <c r="AM155" i="9"/>
  <c r="AN155" i="9"/>
  <c r="AO155" i="9"/>
  <c r="AP155" i="9"/>
  <c r="AQ155" i="9"/>
  <c r="AM156" i="9"/>
  <c r="AN156" i="9"/>
  <c r="AO156" i="9"/>
  <c r="AP156" i="9"/>
  <c r="AQ156" i="9"/>
  <c r="AM157" i="9"/>
  <c r="AN157" i="9"/>
  <c r="AO157" i="9"/>
  <c r="AP157" i="9"/>
  <c r="AQ157" i="9"/>
  <c r="AM158" i="9"/>
  <c r="AN158" i="9"/>
  <c r="AO158" i="9"/>
  <c r="AP158" i="9"/>
  <c r="AQ158" i="9"/>
  <c r="AM159" i="9"/>
  <c r="AN159" i="9"/>
  <c r="AO159" i="9"/>
  <c r="AP159" i="9"/>
  <c r="AQ159" i="9"/>
  <c r="AM160" i="9"/>
  <c r="AN160" i="9"/>
  <c r="AO160" i="9"/>
  <c r="AP160" i="9"/>
  <c r="AQ160" i="9"/>
  <c r="AM161" i="9"/>
  <c r="AN161" i="9"/>
  <c r="AO161" i="9"/>
  <c r="AP161" i="9"/>
  <c r="AQ161" i="9"/>
  <c r="AM162" i="9"/>
  <c r="AN162" i="9"/>
  <c r="AO162" i="9"/>
  <c r="AP162" i="9"/>
  <c r="AQ162" i="9"/>
  <c r="AM163" i="9"/>
  <c r="AN163" i="9"/>
  <c r="AO163" i="9"/>
  <c r="AP163" i="9"/>
  <c r="AQ163" i="9"/>
  <c r="AM164" i="9"/>
  <c r="AN164" i="9"/>
  <c r="AO164" i="9"/>
  <c r="AP164" i="9"/>
  <c r="AQ164" i="9"/>
  <c r="AM165" i="9"/>
  <c r="AN165" i="9"/>
  <c r="AO165" i="9"/>
  <c r="AP165" i="9"/>
  <c r="AQ165" i="9"/>
  <c r="AM166" i="9"/>
  <c r="AN166" i="9"/>
  <c r="AO166" i="9"/>
  <c r="AP166" i="9"/>
  <c r="AQ166" i="9"/>
  <c r="AM167" i="9"/>
  <c r="AN167" i="9"/>
  <c r="AO167" i="9"/>
  <c r="AP167" i="9"/>
  <c r="AQ167" i="9"/>
  <c r="AM168" i="9"/>
  <c r="AN168" i="9"/>
  <c r="AO168" i="9"/>
  <c r="AP168" i="9"/>
  <c r="AQ168" i="9"/>
  <c r="AM169" i="9"/>
  <c r="AN169" i="9"/>
  <c r="AO169" i="9"/>
  <c r="AP169" i="9"/>
  <c r="AQ169" i="9"/>
  <c r="AM170" i="9"/>
  <c r="AN170" i="9"/>
  <c r="AO170" i="9"/>
  <c r="AP170" i="9"/>
  <c r="AQ170" i="9"/>
  <c r="AM171" i="9"/>
  <c r="AN171" i="9"/>
  <c r="AO171" i="9"/>
  <c r="AP171" i="9"/>
  <c r="AQ171" i="9"/>
  <c r="AM172" i="9"/>
  <c r="AN172" i="9"/>
  <c r="AO172" i="9"/>
  <c r="AP172" i="9"/>
  <c r="AQ172" i="9"/>
  <c r="AM173" i="9"/>
  <c r="AN173" i="9"/>
  <c r="AO173" i="9"/>
  <c r="AP173" i="9"/>
  <c r="AQ173" i="9"/>
  <c r="AM174" i="9"/>
  <c r="AN174" i="9"/>
  <c r="AO174" i="9"/>
  <c r="AP174" i="9"/>
  <c r="AQ174" i="9"/>
  <c r="AM175" i="9"/>
  <c r="AN175" i="9"/>
  <c r="AO175" i="9"/>
  <c r="AP175" i="9"/>
  <c r="AQ175" i="9"/>
  <c r="AM176" i="9"/>
  <c r="AN176" i="9"/>
  <c r="AO176" i="9"/>
  <c r="AP176" i="9"/>
  <c r="AQ176" i="9"/>
  <c r="AM177" i="9"/>
  <c r="AN177" i="9"/>
  <c r="AO177" i="9"/>
  <c r="AP177" i="9"/>
  <c r="AQ177" i="9"/>
  <c r="AM178" i="9"/>
  <c r="AN178" i="9"/>
  <c r="AO178" i="9"/>
  <c r="AP178" i="9"/>
  <c r="AQ178" i="9"/>
  <c r="AM179" i="9"/>
  <c r="AN179" i="9"/>
  <c r="AO179" i="9"/>
  <c r="AP179" i="9"/>
  <c r="AQ179" i="9"/>
  <c r="AM180" i="9"/>
  <c r="AN180" i="9"/>
  <c r="AO180" i="9"/>
  <c r="AP180" i="9"/>
  <c r="AQ180" i="9"/>
  <c r="AM181" i="9"/>
  <c r="AN181" i="9"/>
  <c r="AO181" i="9"/>
  <c r="AP181" i="9"/>
  <c r="AQ181" i="9"/>
  <c r="AM182" i="9"/>
  <c r="AN182" i="9"/>
  <c r="AO182" i="9"/>
  <c r="AP182" i="9"/>
  <c r="AQ182" i="9"/>
  <c r="AM183" i="9"/>
  <c r="AN183" i="9"/>
  <c r="AO183" i="9"/>
  <c r="AP183" i="9"/>
  <c r="AQ183" i="9"/>
  <c r="AM184" i="9"/>
  <c r="AN184" i="9"/>
  <c r="AO184" i="9"/>
  <c r="AP184" i="9"/>
  <c r="AQ184" i="9"/>
  <c r="AM185" i="9"/>
  <c r="AN185" i="9"/>
  <c r="AO185" i="9"/>
  <c r="AP185" i="9"/>
  <c r="AQ185" i="9"/>
  <c r="AM186" i="9"/>
  <c r="AN186" i="9"/>
  <c r="AO186" i="9"/>
  <c r="AP186" i="9"/>
  <c r="AQ186" i="9"/>
  <c r="AM187" i="9"/>
  <c r="AN187" i="9"/>
  <c r="AO187" i="9"/>
  <c r="AP187" i="9"/>
  <c r="AQ187" i="9"/>
  <c r="AM188" i="9"/>
  <c r="AN188" i="9"/>
  <c r="AO188" i="9"/>
  <c r="AP188" i="9"/>
  <c r="AQ188" i="9"/>
  <c r="AM189" i="9"/>
  <c r="AN189" i="9"/>
  <c r="AO189" i="9"/>
  <c r="AP189" i="9"/>
  <c r="AQ189" i="9"/>
  <c r="AM190" i="9"/>
  <c r="AN190" i="9"/>
  <c r="AO190" i="9"/>
  <c r="AP190" i="9"/>
  <c r="AQ190" i="9"/>
  <c r="AM191" i="9"/>
  <c r="AN191" i="9"/>
  <c r="AO191" i="9"/>
  <c r="AP191" i="9"/>
  <c r="AQ191" i="9"/>
  <c r="AM192" i="9"/>
  <c r="AN192" i="9"/>
  <c r="AO192" i="9"/>
  <c r="AP192" i="9"/>
  <c r="AQ192" i="9"/>
  <c r="AM193" i="9"/>
  <c r="AN193" i="9"/>
  <c r="AO193" i="9"/>
  <c r="AP193" i="9"/>
  <c r="AQ193" i="9"/>
  <c r="AM194" i="9"/>
  <c r="AN194" i="9"/>
  <c r="AO194" i="9"/>
  <c r="AP194" i="9"/>
  <c r="AQ194" i="9"/>
  <c r="AM195" i="9"/>
  <c r="AN195" i="9"/>
  <c r="AO195" i="9"/>
  <c r="AP195" i="9"/>
  <c r="AQ195" i="9"/>
  <c r="AM196" i="9"/>
  <c r="AN196" i="9"/>
  <c r="AO196" i="9"/>
  <c r="AP196" i="9"/>
  <c r="AQ196" i="9"/>
  <c r="AM197" i="9"/>
  <c r="AN197" i="9"/>
  <c r="AO197" i="9"/>
  <c r="AP197" i="9"/>
  <c r="AQ197" i="9"/>
  <c r="AM198" i="9"/>
  <c r="AN198" i="9"/>
  <c r="AO198" i="9"/>
  <c r="AP198" i="9"/>
  <c r="AQ198" i="9"/>
  <c r="AM199" i="9"/>
  <c r="AN199" i="9"/>
  <c r="AO199" i="9"/>
  <c r="AP199" i="9"/>
  <c r="AQ199" i="9"/>
  <c r="AM200" i="9"/>
  <c r="AN200" i="9"/>
  <c r="AO200" i="9"/>
  <c r="AP200" i="9"/>
  <c r="AQ200" i="9"/>
  <c r="AM201" i="9"/>
  <c r="AN201" i="9"/>
  <c r="AO201" i="9"/>
  <c r="AP201" i="9"/>
  <c r="AQ201" i="9"/>
  <c r="AM202" i="9"/>
  <c r="AN202" i="9"/>
  <c r="AO202" i="9"/>
  <c r="AP202" i="9"/>
  <c r="AQ202" i="9"/>
  <c r="AM203" i="9"/>
  <c r="AN203" i="9"/>
  <c r="AO203" i="9"/>
  <c r="AP203" i="9"/>
  <c r="AQ203" i="9"/>
  <c r="AM204" i="9"/>
  <c r="AN204" i="9"/>
  <c r="AO204" i="9"/>
  <c r="AP204" i="9"/>
  <c r="AQ204" i="9"/>
  <c r="AM205" i="9"/>
  <c r="AN205" i="9"/>
  <c r="AO205" i="9"/>
  <c r="AP205" i="9"/>
  <c r="AQ205" i="9"/>
  <c r="AM206" i="9"/>
  <c r="AN206" i="9"/>
  <c r="AO206" i="9"/>
  <c r="AP206" i="9"/>
  <c r="AQ206" i="9"/>
  <c r="AM207" i="9"/>
  <c r="AN207" i="9"/>
  <c r="AO207" i="9"/>
  <c r="AP207" i="9"/>
  <c r="AQ207" i="9"/>
  <c r="AM208" i="9"/>
  <c r="AN208" i="9"/>
  <c r="AO208" i="9"/>
  <c r="AP208" i="9"/>
  <c r="AQ208" i="9"/>
  <c r="AM209" i="9"/>
  <c r="AN209" i="9"/>
  <c r="AO209" i="9"/>
  <c r="AP209" i="9"/>
  <c r="AQ209" i="9"/>
  <c r="AM210" i="9"/>
  <c r="AN210" i="9"/>
  <c r="AO210" i="9"/>
  <c r="AP210" i="9"/>
  <c r="AQ210" i="9"/>
  <c r="AM211" i="9"/>
  <c r="AN211" i="9"/>
  <c r="AO211" i="9"/>
  <c r="AP211" i="9"/>
  <c r="AQ211" i="9"/>
  <c r="AM212" i="9"/>
  <c r="AN212" i="9"/>
  <c r="AO212" i="9"/>
  <c r="AP212" i="9"/>
  <c r="AQ212" i="9"/>
  <c r="AM213" i="9"/>
  <c r="AN213" i="9"/>
  <c r="AO213" i="9"/>
  <c r="AP213" i="9"/>
  <c r="AQ213" i="9"/>
  <c r="AM214" i="9"/>
  <c r="AN214" i="9"/>
  <c r="AO214" i="9"/>
  <c r="AP214" i="9"/>
  <c r="AQ214" i="9"/>
  <c r="AM215" i="9"/>
  <c r="AN215" i="9"/>
  <c r="AO215" i="9"/>
  <c r="AP215" i="9"/>
  <c r="AQ215" i="9"/>
  <c r="AM216" i="9"/>
  <c r="AN216" i="9"/>
  <c r="AO216" i="9"/>
  <c r="AP216" i="9"/>
  <c r="AQ216" i="9"/>
  <c r="AM217" i="9"/>
  <c r="AN217" i="9"/>
  <c r="AO217" i="9"/>
  <c r="AP217" i="9"/>
  <c r="AQ217" i="9"/>
  <c r="AM218" i="9"/>
  <c r="AN218" i="9"/>
  <c r="AO218" i="9"/>
  <c r="AP218" i="9"/>
  <c r="AQ218" i="9"/>
  <c r="AM219" i="9"/>
  <c r="AN219" i="9"/>
  <c r="AO219" i="9"/>
  <c r="AP219" i="9"/>
  <c r="AQ219" i="9"/>
  <c r="AM220" i="9"/>
  <c r="AN220" i="9"/>
  <c r="AO220" i="9"/>
  <c r="AP220" i="9"/>
  <c r="AQ220" i="9"/>
  <c r="AM221" i="9"/>
  <c r="AN221" i="9"/>
  <c r="AO221" i="9"/>
  <c r="AP221" i="9"/>
  <c r="AQ221" i="9"/>
  <c r="AM222" i="9"/>
  <c r="AN222" i="9"/>
  <c r="AO222" i="9"/>
  <c r="AP222" i="9"/>
  <c r="AQ222" i="9"/>
  <c r="AM223" i="9"/>
  <c r="AN223" i="9"/>
  <c r="AO223" i="9"/>
  <c r="AP223" i="9"/>
  <c r="AQ223" i="9"/>
  <c r="AM224" i="9"/>
  <c r="AN224" i="9"/>
  <c r="AO224" i="9"/>
  <c r="AP224" i="9"/>
  <c r="AQ224" i="9"/>
  <c r="AM225" i="9"/>
  <c r="AN225" i="9"/>
  <c r="AO225" i="9"/>
  <c r="AP225" i="9"/>
  <c r="AQ225" i="9"/>
  <c r="AM226" i="9"/>
  <c r="AN226" i="9"/>
  <c r="AO226" i="9"/>
  <c r="AP226" i="9"/>
  <c r="AQ226" i="9"/>
  <c r="AM227" i="9"/>
  <c r="AN227" i="9"/>
  <c r="AO227" i="9"/>
  <c r="AP227" i="9"/>
  <c r="AQ227" i="9"/>
  <c r="AM228" i="9"/>
  <c r="AN228" i="9"/>
  <c r="AO228" i="9"/>
  <c r="AP228" i="9"/>
  <c r="AQ228" i="9"/>
  <c r="AM229" i="9"/>
  <c r="AN229" i="9"/>
  <c r="AO229" i="9"/>
  <c r="AP229" i="9"/>
  <c r="AQ229" i="9"/>
  <c r="AM230" i="9"/>
  <c r="AN230" i="9"/>
  <c r="AO230" i="9"/>
  <c r="AP230" i="9"/>
  <c r="AQ230" i="9"/>
  <c r="AM231" i="9"/>
  <c r="AN231" i="9"/>
  <c r="AO231" i="9"/>
  <c r="AP231" i="9"/>
  <c r="AQ231" i="9"/>
  <c r="AM232" i="9"/>
  <c r="AN232" i="9"/>
  <c r="AO232" i="9"/>
  <c r="AP232" i="9"/>
  <c r="AQ232" i="9"/>
  <c r="AM233" i="9"/>
  <c r="AN233" i="9"/>
  <c r="AO233" i="9"/>
  <c r="AP233" i="9"/>
  <c r="AQ233" i="9"/>
  <c r="AM234" i="9"/>
  <c r="AN234" i="9"/>
  <c r="AO234" i="9"/>
  <c r="AP234" i="9"/>
  <c r="AQ234" i="9"/>
  <c r="AM235" i="9"/>
  <c r="AN235" i="9"/>
  <c r="AO235" i="9"/>
  <c r="AP235" i="9"/>
  <c r="AQ235" i="9"/>
  <c r="AM236" i="9"/>
  <c r="AN236" i="9"/>
  <c r="AO236" i="9"/>
  <c r="AP236" i="9"/>
  <c r="AQ236" i="9"/>
  <c r="AM237" i="9"/>
  <c r="AN237" i="9"/>
  <c r="AO237" i="9"/>
  <c r="AP237" i="9"/>
  <c r="AQ237" i="9"/>
  <c r="AM238" i="9"/>
  <c r="AN238" i="9"/>
  <c r="AO238" i="9"/>
  <c r="AP238" i="9"/>
  <c r="AQ238" i="9"/>
  <c r="AM239" i="9"/>
  <c r="AN239" i="9"/>
  <c r="AO239" i="9"/>
  <c r="AP239" i="9"/>
  <c r="AQ239" i="9"/>
  <c r="AM240" i="9"/>
  <c r="AN240" i="9"/>
  <c r="AO240" i="9"/>
  <c r="AP240" i="9"/>
  <c r="AQ240" i="9"/>
  <c r="AM241" i="9"/>
  <c r="AN241" i="9"/>
  <c r="AO241" i="9"/>
  <c r="AP241" i="9"/>
  <c r="AQ241" i="9"/>
  <c r="AM242" i="9"/>
  <c r="AN242" i="9"/>
  <c r="AO242" i="9"/>
  <c r="AP242" i="9"/>
  <c r="AQ242" i="9"/>
  <c r="AM243" i="9"/>
  <c r="AN243" i="9"/>
  <c r="AO243" i="9"/>
  <c r="AP243" i="9"/>
  <c r="AQ243" i="9"/>
  <c r="AM244" i="9"/>
  <c r="AN244" i="9"/>
  <c r="AO244" i="9"/>
  <c r="AP244" i="9"/>
  <c r="AQ244" i="9"/>
  <c r="AM245" i="9"/>
  <c r="AN245" i="9"/>
  <c r="AO245" i="9"/>
  <c r="AP245" i="9"/>
  <c r="AQ245" i="9"/>
  <c r="AM246" i="9"/>
  <c r="AN246" i="9"/>
  <c r="AO246" i="9"/>
  <c r="AP246" i="9"/>
  <c r="AQ246" i="9"/>
  <c r="AM247" i="9"/>
  <c r="AN247" i="9"/>
  <c r="AO247" i="9"/>
  <c r="AP247" i="9"/>
  <c r="AQ247" i="9"/>
  <c r="AM248" i="9"/>
  <c r="AN248" i="9"/>
  <c r="AO248" i="9"/>
  <c r="AP248" i="9"/>
  <c r="AQ248" i="9"/>
  <c r="AM249" i="9"/>
  <c r="AN249" i="9"/>
  <c r="AO249" i="9"/>
  <c r="AP249" i="9"/>
  <c r="AQ249" i="9"/>
  <c r="AM250" i="9"/>
  <c r="AN250" i="9"/>
  <c r="AO250" i="9"/>
  <c r="AP250" i="9"/>
  <c r="AQ250" i="9"/>
  <c r="AM251" i="9"/>
  <c r="AN251" i="9"/>
  <c r="AO251" i="9"/>
  <c r="AP251" i="9"/>
  <c r="AQ251" i="9"/>
  <c r="AM252" i="9"/>
  <c r="AN252" i="9"/>
  <c r="AO252" i="9"/>
  <c r="AP252" i="9"/>
  <c r="AQ252" i="9"/>
  <c r="AM253" i="9"/>
  <c r="AN253" i="9"/>
  <c r="AO253" i="9"/>
  <c r="AP253" i="9"/>
  <c r="AQ253" i="9"/>
  <c r="AM254" i="9"/>
  <c r="AN254" i="9"/>
  <c r="AO254" i="9"/>
  <c r="AP254" i="9"/>
  <c r="AQ254" i="9"/>
  <c r="AM255" i="9"/>
  <c r="AN255" i="9"/>
  <c r="AO255" i="9"/>
  <c r="AP255" i="9"/>
  <c r="AQ255" i="9"/>
  <c r="AM256" i="9"/>
  <c r="AN256" i="9"/>
  <c r="AO256" i="9"/>
  <c r="AP256" i="9"/>
  <c r="AQ256" i="9"/>
  <c r="AM257" i="9"/>
  <c r="AN257" i="9"/>
  <c r="AO257" i="9"/>
  <c r="AP257" i="9"/>
  <c r="AQ257" i="9"/>
  <c r="AM258" i="9"/>
  <c r="AN258" i="9"/>
  <c r="AO258" i="9"/>
  <c r="AP258" i="9"/>
  <c r="AQ258" i="9"/>
  <c r="AM259" i="9"/>
  <c r="AN259" i="9"/>
  <c r="AO259" i="9"/>
  <c r="AP259" i="9"/>
  <c r="AQ259" i="9"/>
  <c r="AM260" i="9"/>
  <c r="AN260" i="9"/>
  <c r="AO260" i="9"/>
  <c r="AP260" i="9"/>
  <c r="AQ260" i="9"/>
  <c r="AM261" i="9"/>
  <c r="AN261" i="9"/>
  <c r="AO261" i="9"/>
  <c r="AP261" i="9"/>
  <c r="AQ261" i="9"/>
  <c r="AM262" i="9"/>
  <c r="AN262" i="9"/>
  <c r="AO262" i="9"/>
  <c r="AP262" i="9"/>
  <c r="AQ262" i="9"/>
  <c r="AM263" i="9"/>
  <c r="AN263" i="9"/>
  <c r="AO263" i="9"/>
  <c r="AP263" i="9"/>
  <c r="AQ263" i="9"/>
  <c r="AM264" i="9"/>
  <c r="AN264" i="9"/>
  <c r="AO264" i="9"/>
  <c r="AP264" i="9"/>
  <c r="AQ264" i="9"/>
  <c r="AM265" i="9"/>
  <c r="AN265" i="9"/>
  <c r="AO265" i="9"/>
  <c r="AP265" i="9"/>
  <c r="AQ265" i="9"/>
  <c r="AM266" i="9"/>
  <c r="AN266" i="9"/>
  <c r="AO266" i="9"/>
  <c r="AP266" i="9"/>
  <c r="AQ266" i="9"/>
  <c r="AM267" i="9"/>
  <c r="AN267" i="9"/>
  <c r="AO267" i="9"/>
  <c r="AP267" i="9"/>
  <c r="AQ267" i="9"/>
  <c r="AM268" i="9"/>
  <c r="AN268" i="9"/>
  <c r="AO268" i="9"/>
  <c r="AP268" i="9"/>
  <c r="AQ268" i="9"/>
  <c r="AM269" i="9"/>
  <c r="AN269" i="9"/>
  <c r="AO269" i="9"/>
  <c r="AP269" i="9"/>
  <c r="AQ269" i="9"/>
  <c r="AM270" i="9"/>
  <c r="AN270" i="9"/>
  <c r="AO270" i="9"/>
  <c r="AP270" i="9"/>
  <c r="AQ270" i="9"/>
  <c r="AM271" i="9"/>
  <c r="AN271" i="9"/>
  <c r="AO271" i="9"/>
  <c r="AP271" i="9"/>
  <c r="AQ271" i="9"/>
  <c r="AM272" i="9"/>
  <c r="AN272" i="9"/>
  <c r="AO272" i="9"/>
  <c r="AP272" i="9"/>
  <c r="AQ272" i="9"/>
  <c r="AM273" i="9"/>
  <c r="AN273" i="9"/>
  <c r="AO273" i="9"/>
  <c r="AP273" i="9"/>
  <c r="AQ273" i="9"/>
  <c r="AM274" i="9"/>
  <c r="AN274" i="9"/>
  <c r="AO274" i="9"/>
  <c r="AP274" i="9"/>
  <c r="AQ274" i="9"/>
  <c r="AM275" i="9"/>
  <c r="AN275" i="9"/>
  <c r="AO275" i="9"/>
  <c r="AP275" i="9"/>
  <c r="AQ275" i="9"/>
  <c r="AM276" i="9"/>
  <c r="AN276" i="9"/>
  <c r="AO276" i="9"/>
  <c r="AP276" i="9"/>
  <c r="AQ276" i="9"/>
  <c r="AM277" i="9"/>
  <c r="AN277" i="9"/>
  <c r="AO277" i="9"/>
  <c r="AP277" i="9"/>
  <c r="AQ277" i="9"/>
  <c r="AM278" i="9"/>
  <c r="AN278" i="9"/>
  <c r="AO278" i="9"/>
  <c r="AP278" i="9"/>
  <c r="AQ278" i="9"/>
  <c r="AM279" i="9"/>
  <c r="AN279" i="9"/>
  <c r="AO279" i="9"/>
  <c r="AP279" i="9"/>
  <c r="AQ279" i="9"/>
  <c r="AM280" i="9"/>
  <c r="AN280" i="9"/>
  <c r="AO280" i="9"/>
  <c r="AP280" i="9"/>
  <c r="AQ280" i="9"/>
  <c r="AM281" i="9"/>
  <c r="AN281" i="9"/>
  <c r="AO281" i="9"/>
  <c r="AP281" i="9"/>
  <c r="AQ281" i="9"/>
  <c r="AM282" i="9"/>
  <c r="AN282" i="9"/>
  <c r="AO282" i="9"/>
  <c r="AP282" i="9"/>
  <c r="AQ282" i="9"/>
  <c r="AM283" i="9"/>
  <c r="AN283" i="9"/>
  <c r="AO283" i="9"/>
  <c r="AP283" i="9"/>
  <c r="AQ283" i="9"/>
  <c r="AM284" i="9"/>
  <c r="AN284" i="9"/>
  <c r="AO284" i="9"/>
  <c r="AP284" i="9"/>
  <c r="AQ284" i="9"/>
  <c r="AM285" i="9"/>
  <c r="AN285" i="9"/>
  <c r="AO285" i="9"/>
  <c r="AP285" i="9"/>
  <c r="AQ285" i="9"/>
  <c r="AM286" i="9"/>
  <c r="AN286" i="9"/>
  <c r="AO286" i="9"/>
  <c r="AP286" i="9"/>
  <c r="AQ286" i="9"/>
  <c r="AM287" i="9"/>
  <c r="AN287" i="9"/>
  <c r="AO287" i="9"/>
  <c r="AP287" i="9"/>
  <c r="AQ287" i="9"/>
  <c r="AM288" i="9"/>
  <c r="AN288" i="9"/>
  <c r="AO288" i="9"/>
  <c r="AP288" i="9"/>
  <c r="AQ288" i="9"/>
  <c r="AM289" i="9"/>
  <c r="AN289" i="9"/>
  <c r="AO289" i="9"/>
  <c r="AP289" i="9"/>
  <c r="AQ289" i="9"/>
  <c r="AM290" i="9"/>
  <c r="AN290" i="9"/>
  <c r="AO290" i="9"/>
  <c r="AP290" i="9"/>
  <c r="AQ290" i="9"/>
  <c r="AM291" i="9"/>
  <c r="AN291" i="9"/>
  <c r="AO291" i="9"/>
  <c r="AP291" i="9"/>
  <c r="AQ291" i="9"/>
  <c r="AM292" i="9"/>
  <c r="AN292" i="9"/>
  <c r="AO292" i="9"/>
  <c r="AP292" i="9"/>
  <c r="AQ292" i="9"/>
  <c r="AM293" i="9"/>
  <c r="AN293" i="9"/>
  <c r="AO293" i="9"/>
  <c r="AP293" i="9"/>
  <c r="AQ293" i="9"/>
  <c r="AM294" i="9"/>
  <c r="AN294" i="9"/>
  <c r="AO294" i="9"/>
  <c r="AP294" i="9"/>
  <c r="AQ294" i="9"/>
  <c r="AM295" i="9"/>
  <c r="AN295" i="9"/>
  <c r="AO295" i="9"/>
  <c r="AP295" i="9"/>
  <c r="AQ295" i="9"/>
  <c r="AM296" i="9"/>
  <c r="AN296" i="9"/>
  <c r="AO296" i="9"/>
  <c r="AP296" i="9"/>
  <c r="AQ296" i="9"/>
  <c r="AM297" i="9"/>
  <c r="AN297" i="9"/>
  <c r="AO297" i="9"/>
  <c r="AP297" i="9"/>
  <c r="AQ297" i="9"/>
  <c r="AM298" i="9"/>
  <c r="AN298" i="9"/>
  <c r="AO298" i="9"/>
  <c r="AP298" i="9"/>
  <c r="AQ298" i="9"/>
  <c r="AM299" i="9"/>
  <c r="AN299" i="9"/>
  <c r="AO299" i="9"/>
  <c r="AP299" i="9"/>
  <c r="AQ299" i="9"/>
  <c r="AM300" i="9"/>
  <c r="AN300" i="9"/>
  <c r="AO300" i="9"/>
  <c r="AP300" i="9"/>
  <c r="AQ300" i="9"/>
  <c r="AM301" i="9"/>
  <c r="AN301" i="9"/>
  <c r="AO301" i="9"/>
  <c r="AP301" i="9"/>
  <c r="AQ301" i="9"/>
  <c r="AM302" i="9"/>
  <c r="AN302" i="9"/>
  <c r="AO302" i="9"/>
  <c r="AP302" i="9"/>
  <c r="AQ302" i="9"/>
  <c r="AM303" i="9"/>
  <c r="AN303" i="9"/>
  <c r="AO303" i="9"/>
  <c r="AP303" i="9"/>
  <c r="AQ303" i="9"/>
  <c r="AM304" i="9"/>
  <c r="AN304" i="9"/>
  <c r="AO304" i="9"/>
  <c r="AP304" i="9"/>
  <c r="AQ304" i="9"/>
  <c r="AM305" i="9"/>
  <c r="AN305" i="9"/>
  <c r="AO305" i="9"/>
  <c r="AP305" i="9"/>
  <c r="AQ305" i="9"/>
  <c r="AM306" i="9"/>
  <c r="AN306" i="9"/>
  <c r="AO306" i="9"/>
  <c r="AP306" i="9"/>
  <c r="AQ306" i="9"/>
  <c r="AM307" i="9"/>
  <c r="AN307" i="9"/>
  <c r="AO307" i="9"/>
  <c r="AP307" i="9"/>
  <c r="AQ307" i="9"/>
  <c r="AM308" i="9"/>
  <c r="AN308" i="9"/>
  <c r="AO308" i="9"/>
  <c r="AP308" i="9"/>
  <c r="AQ308" i="9"/>
  <c r="AM309" i="9"/>
  <c r="AN309" i="9"/>
  <c r="AO309" i="9"/>
  <c r="AP309" i="9"/>
  <c r="AQ309" i="9"/>
  <c r="AM310" i="9"/>
  <c r="AN310" i="9"/>
  <c r="AO310" i="9"/>
  <c r="AP310" i="9"/>
  <c r="AQ310" i="9"/>
  <c r="AM311" i="9"/>
  <c r="AN311" i="9"/>
  <c r="AO311" i="9"/>
  <c r="AP311" i="9"/>
  <c r="AQ311" i="9"/>
  <c r="AM312" i="9"/>
  <c r="AN312" i="9"/>
  <c r="AO312" i="9"/>
  <c r="AP312" i="9"/>
  <c r="AQ312" i="9"/>
  <c r="AM313" i="9"/>
  <c r="AN313" i="9"/>
  <c r="AO313" i="9"/>
  <c r="AP313" i="9"/>
  <c r="AQ313" i="9"/>
  <c r="AM314" i="9"/>
  <c r="AN314" i="9"/>
  <c r="AO314" i="9"/>
  <c r="AP314" i="9"/>
  <c r="AQ314" i="9"/>
  <c r="AM315" i="9"/>
  <c r="AN315" i="9"/>
  <c r="AO315" i="9"/>
  <c r="AP315" i="9"/>
  <c r="AQ315" i="9"/>
  <c r="AM316" i="9"/>
  <c r="AN316" i="9"/>
  <c r="AO316" i="9"/>
  <c r="AP316" i="9"/>
  <c r="AQ316" i="9"/>
  <c r="AM317" i="9"/>
  <c r="AN317" i="9"/>
  <c r="AO317" i="9"/>
  <c r="AP317" i="9"/>
  <c r="AQ317" i="9"/>
  <c r="AM318" i="9"/>
  <c r="AN318" i="9"/>
  <c r="AO318" i="9"/>
  <c r="AP318" i="9"/>
  <c r="AQ318" i="9"/>
  <c r="AM319" i="9"/>
  <c r="AN319" i="9"/>
  <c r="AO319" i="9"/>
  <c r="AP319" i="9"/>
  <c r="AQ319" i="9"/>
  <c r="AM320" i="9"/>
  <c r="AN320" i="9"/>
  <c r="AO320" i="9"/>
  <c r="AP320" i="9"/>
  <c r="AQ320" i="9"/>
  <c r="AM321" i="9"/>
  <c r="AN321" i="9"/>
  <c r="AO321" i="9"/>
  <c r="AP321" i="9"/>
  <c r="AQ321" i="9"/>
  <c r="AM322" i="9"/>
  <c r="AN322" i="9"/>
  <c r="AO322" i="9"/>
  <c r="AP322" i="9"/>
  <c r="AQ322" i="9"/>
  <c r="AM323" i="9"/>
  <c r="AN323" i="9"/>
  <c r="AO323" i="9"/>
  <c r="AP323" i="9"/>
  <c r="AQ323" i="9"/>
  <c r="AM324" i="9"/>
  <c r="AN324" i="9"/>
  <c r="AO324" i="9"/>
  <c r="AP324" i="9"/>
  <c r="AQ324" i="9"/>
  <c r="AM325" i="9"/>
  <c r="AN325" i="9"/>
  <c r="AO325" i="9"/>
  <c r="AP325" i="9"/>
  <c r="AQ325" i="9"/>
  <c r="AM326" i="9"/>
  <c r="AN326" i="9"/>
  <c r="AO326" i="9"/>
  <c r="AP326" i="9"/>
  <c r="AQ326" i="9"/>
  <c r="AM327" i="9"/>
  <c r="AN327" i="9"/>
  <c r="AO327" i="9"/>
  <c r="AP327" i="9"/>
  <c r="AQ327" i="9"/>
  <c r="AM328" i="9"/>
  <c r="AN328" i="9"/>
  <c r="AO328" i="9"/>
  <c r="AP328" i="9"/>
  <c r="AQ328" i="9"/>
  <c r="AM329" i="9"/>
  <c r="AN329" i="9"/>
  <c r="AO329" i="9"/>
  <c r="AP329" i="9"/>
  <c r="AQ329" i="9"/>
  <c r="AM330" i="9"/>
  <c r="AN330" i="9"/>
  <c r="AO330" i="9"/>
  <c r="AP330" i="9"/>
  <c r="AQ330" i="9"/>
  <c r="AM331" i="9"/>
  <c r="AN331" i="9"/>
  <c r="AO331" i="9"/>
  <c r="AP331" i="9"/>
  <c r="AQ331" i="9"/>
  <c r="AM332" i="9"/>
  <c r="AN332" i="9"/>
  <c r="AO332" i="9"/>
  <c r="AP332" i="9"/>
  <c r="AQ332" i="9"/>
  <c r="AM333" i="9"/>
  <c r="AN333" i="9"/>
  <c r="AO333" i="9"/>
  <c r="AP333" i="9"/>
  <c r="AQ333" i="9"/>
  <c r="AM334" i="9"/>
  <c r="AN334" i="9"/>
  <c r="AO334" i="9"/>
  <c r="AP334" i="9"/>
  <c r="AQ334" i="9"/>
  <c r="AM335" i="9"/>
  <c r="AN335" i="9"/>
  <c r="AO335" i="9"/>
  <c r="AP335" i="9"/>
  <c r="AQ335" i="9"/>
  <c r="AM336" i="9"/>
  <c r="AN336" i="9"/>
  <c r="AO336" i="9"/>
  <c r="AP336" i="9"/>
  <c r="AQ336" i="9"/>
  <c r="AM337" i="9"/>
  <c r="AN337" i="9"/>
  <c r="AO337" i="9"/>
  <c r="AP337" i="9"/>
  <c r="AQ337" i="9"/>
  <c r="AM338" i="9"/>
  <c r="AN338" i="9"/>
  <c r="AO338" i="9"/>
  <c r="AP338" i="9"/>
  <c r="AQ338" i="9"/>
  <c r="AM339" i="9"/>
  <c r="AN339" i="9"/>
  <c r="AO339" i="9"/>
  <c r="AP339" i="9"/>
  <c r="AQ339" i="9"/>
  <c r="AM340" i="9"/>
  <c r="AN340" i="9"/>
  <c r="AO340" i="9"/>
  <c r="AP340" i="9"/>
  <c r="AQ340" i="9"/>
  <c r="AM341" i="9"/>
  <c r="AN341" i="9"/>
  <c r="AO341" i="9"/>
  <c r="AP341" i="9"/>
  <c r="AQ341" i="9"/>
  <c r="AM342" i="9"/>
  <c r="AN342" i="9"/>
  <c r="AO342" i="9"/>
  <c r="AP342" i="9"/>
  <c r="AQ342" i="9"/>
  <c r="AM343" i="9"/>
  <c r="AN343" i="9"/>
  <c r="AO343" i="9"/>
  <c r="AP343" i="9"/>
  <c r="AQ343" i="9"/>
  <c r="AM344" i="9"/>
  <c r="AN344" i="9"/>
  <c r="AO344" i="9"/>
  <c r="AP344" i="9"/>
  <c r="AQ344" i="9"/>
  <c r="AM345" i="9"/>
  <c r="AN345" i="9"/>
  <c r="AO345" i="9"/>
  <c r="AP345" i="9"/>
  <c r="AQ345" i="9"/>
  <c r="AM346" i="9"/>
  <c r="AN346" i="9"/>
  <c r="AO346" i="9"/>
  <c r="AP346" i="9"/>
  <c r="AQ346" i="9"/>
  <c r="AM347" i="9"/>
  <c r="AN347" i="9"/>
  <c r="AO347" i="9"/>
  <c r="AP347" i="9"/>
  <c r="AQ347" i="9"/>
  <c r="AM348" i="9"/>
  <c r="AN348" i="9"/>
  <c r="AO348" i="9"/>
  <c r="AP348" i="9"/>
  <c r="AQ348" i="9"/>
  <c r="AM349" i="9"/>
  <c r="AN349" i="9"/>
  <c r="AO349" i="9"/>
  <c r="AP349" i="9"/>
  <c r="AQ349" i="9"/>
  <c r="AM350" i="9"/>
  <c r="AN350" i="9"/>
  <c r="AO350" i="9"/>
  <c r="AP350" i="9"/>
  <c r="AQ350" i="9"/>
  <c r="AM351" i="9"/>
  <c r="AN351" i="9"/>
  <c r="AO351" i="9"/>
  <c r="AP351" i="9"/>
  <c r="AQ351" i="9"/>
  <c r="AM352" i="9"/>
  <c r="AN352" i="9"/>
  <c r="AO352" i="9"/>
  <c r="AP352" i="9"/>
  <c r="AQ352" i="9"/>
  <c r="AM353" i="9"/>
  <c r="AN353" i="9"/>
  <c r="AO353" i="9"/>
  <c r="AP353" i="9"/>
  <c r="AQ353" i="9"/>
  <c r="AM354" i="9"/>
  <c r="AN354" i="9"/>
  <c r="AO354" i="9"/>
  <c r="AP354" i="9"/>
  <c r="AQ354" i="9"/>
  <c r="AM355" i="9"/>
  <c r="AN355" i="9"/>
  <c r="AO355" i="9"/>
  <c r="AP355" i="9"/>
  <c r="AQ355" i="9"/>
  <c r="AM356" i="9"/>
  <c r="AN356" i="9"/>
  <c r="AO356" i="9"/>
  <c r="AP356" i="9"/>
  <c r="AQ356" i="9"/>
  <c r="AM357" i="9"/>
  <c r="AN357" i="9"/>
  <c r="AO357" i="9"/>
  <c r="AP357" i="9"/>
  <c r="AQ357" i="9"/>
  <c r="AM358" i="9"/>
  <c r="AN358" i="9"/>
  <c r="AO358" i="9"/>
  <c r="AP358" i="9"/>
  <c r="AQ358" i="9"/>
  <c r="AM359" i="9"/>
  <c r="AN359" i="9"/>
  <c r="AO359" i="9"/>
  <c r="AP359" i="9"/>
  <c r="AQ359" i="9"/>
  <c r="AM360" i="9"/>
  <c r="AN360" i="9"/>
  <c r="AO360" i="9"/>
  <c r="AP360" i="9"/>
  <c r="AQ360" i="9"/>
  <c r="AM361" i="9"/>
  <c r="AN361" i="9"/>
  <c r="AO361" i="9"/>
  <c r="AP361" i="9"/>
  <c r="AQ361" i="9"/>
  <c r="AM362" i="9"/>
  <c r="AN362" i="9"/>
  <c r="AO362" i="9"/>
  <c r="AP362" i="9"/>
  <c r="AQ362" i="9"/>
  <c r="AM363" i="9"/>
  <c r="AN363" i="9"/>
  <c r="AO363" i="9"/>
  <c r="AP363" i="9"/>
  <c r="AQ363" i="9"/>
  <c r="AM364" i="9"/>
  <c r="AN364" i="9"/>
  <c r="AO364" i="9"/>
  <c r="AP364" i="9"/>
  <c r="AQ364" i="9"/>
  <c r="AM365" i="9"/>
  <c r="AN365" i="9"/>
  <c r="AO365" i="9"/>
  <c r="AP365" i="9"/>
  <c r="AQ365" i="9"/>
  <c r="AM366" i="9"/>
  <c r="AN366" i="9"/>
  <c r="AO366" i="9"/>
  <c r="AP366" i="9"/>
  <c r="AQ366" i="9"/>
  <c r="AM367" i="9"/>
  <c r="AN367" i="9"/>
  <c r="AO367" i="9"/>
  <c r="AP367" i="9"/>
  <c r="AQ367" i="9"/>
  <c r="AM368" i="9"/>
  <c r="AN368" i="9"/>
  <c r="AO368" i="9"/>
  <c r="AP368" i="9"/>
  <c r="AQ368" i="9"/>
  <c r="AM369" i="9"/>
  <c r="AN369" i="9"/>
  <c r="AO369" i="9"/>
  <c r="AP369" i="9"/>
  <c r="AQ369" i="9"/>
  <c r="AM370" i="9"/>
  <c r="AN370" i="9"/>
  <c r="AO370" i="9"/>
  <c r="AP370" i="9"/>
  <c r="AQ370" i="9"/>
  <c r="AM371" i="9"/>
  <c r="AN371" i="9"/>
  <c r="AO371" i="9"/>
  <c r="AP371" i="9"/>
  <c r="AQ371" i="9"/>
  <c r="AM372" i="9"/>
  <c r="AN372" i="9"/>
  <c r="AO372" i="9"/>
  <c r="AP372" i="9"/>
  <c r="AQ372" i="9"/>
  <c r="AM373" i="9"/>
  <c r="AN373" i="9"/>
  <c r="AO373" i="9"/>
  <c r="AP373" i="9"/>
  <c r="AQ373" i="9"/>
  <c r="AM374" i="9"/>
  <c r="AN374" i="9"/>
  <c r="AO374" i="9"/>
  <c r="AP374" i="9"/>
  <c r="AQ374" i="9"/>
  <c r="AM375" i="9"/>
  <c r="AN375" i="9"/>
  <c r="AO375" i="9"/>
  <c r="AP375" i="9"/>
  <c r="AQ375" i="9"/>
  <c r="AM376" i="9"/>
  <c r="AN376" i="9"/>
  <c r="AO376" i="9"/>
  <c r="AP376" i="9"/>
  <c r="AQ376" i="9"/>
  <c r="AM377" i="9"/>
  <c r="AN377" i="9"/>
  <c r="AO377" i="9"/>
  <c r="AP377" i="9"/>
  <c r="AQ377" i="9"/>
  <c r="AM378" i="9"/>
  <c r="AN378" i="9"/>
  <c r="AO378" i="9"/>
  <c r="AP378" i="9"/>
  <c r="AQ378" i="9"/>
  <c r="AM379" i="9"/>
  <c r="AN379" i="9"/>
  <c r="AO379" i="9"/>
  <c r="AP379" i="9"/>
  <c r="AQ379" i="9"/>
  <c r="AM380" i="9"/>
  <c r="AN380" i="9"/>
  <c r="AO380" i="9"/>
  <c r="AP380" i="9"/>
  <c r="AQ380" i="9"/>
  <c r="AM381" i="9"/>
  <c r="AN381" i="9"/>
  <c r="AO381" i="9"/>
  <c r="AP381" i="9"/>
  <c r="AQ381" i="9"/>
  <c r="AM382" i="9"/>
  <c r="AN382" i="9"/>
  <c r="AO382" i="9"/>
  <c r="AP382" i="9"/>
  <c r="AQ382" i="9"/>
  <c r="AM383" i="9"/>
  <c r="AN383" i="9"/>
  <c r="AO383" i="9"/>
  <c r="AP383" i="9"/>
  <c r="AQ383" i="9"/>
  <c r="AM384" i="9"/>
  <c r="AN384" i="9"/>
  <c r="AO384" i="9"/>
  <c r="AP384" i="9"/>
  <c r="AQ384" i="9"/>
  <c r="AM385" i="9"/>
  <c r="AN385" i="9"/>
  <c r="AO385" i="9"/>
  <c r="AP385" i="9"/>
  <c r="AQ385" i="9"/>
  <c r="AM386" i="9"/>
  <c r="AN386" i="9"/>
  <c r="AO386" i="9"/>
  <c r="AP386" i="9"/>
  <c r="AQ386" i="9"/>
  <c r="AM387" i="9"/>
  <c r="AN387" i="9"/>
  <c r="AO387" i="9"/>
  <c r="AP387" i="9"/>
  <c r="AQ387" i="9"/>
  <c r="AM388" i="9"/>
  <c r="AN388" i="9"/>
  <c r="AO388" i="9"/>
  <c r="AP388" i="9"/>
  <c r="AQ388" i="9"/>
  <c r="AM389" i="9"/>
  <c r="AN389" i="9"/>
  <c r="AO389" i="9"/>
  <c r="AP389" i="9"/>
  <c r="AQ389" i="9"/>
  <c r="AM390" i="9"/>
  <c r="AN390" i="9"/>
  <c r="AO390" i="9"/>
  <c r="AP390" i="9"/>
  <c r="AQ390" i="9"/>
  <c r="AM391" i="9"/>
  <c r="AN391" i="9"/>
  <c r="AO391" i="9"/>
  <c r="AP391" i="9"/>
  <c r="AQ391" i="9"/>
  <c r="AM392" i="9"/>
  <c r="AN392" i="9"/>
  <c r="AO392" i="9"/>
  <c r="AP392" i="9"/>
  <c r="AQ392" i="9"/>
  <c r="AM393" i="9"/>
  <c r="AN393" i="9"/>
  <c r="AO393" i="9"/>
  <c r="AP393" i="9"/>
  <c r="AQ393" i="9"/>
  <c r="AM394" i="9"/>
  <c r="AN394" i="9"/>
  <c r="AO394" i="9"/>
  <c r="AP394" i="9"/>
  <c r="AQ394" i="9"/>
  <c r="AM395" i="9"/>
  <c r="AN395" i="9"/>
  <c r="AO395" i="9"/>
  <c r="AP395" i="9"/>
  <c r="AQ395" i="9"/>
  <c r="AM396" i="9"/>
  <c r="AN396" i="9"/>
  <c r="AO396" i="9"/>
  <c r="AP396" i="9"/>
  <c r="AQ396" i="9"/>
  <c r="AM397" i="9"/>
  <c r="AN397" i="9"/>
  <c r="AO397" i="9"/>
  <c r="AP397" i="9"/>
  <c r="AQ397" i="9"/>
  <c r="AM398" i="9"/>
  <c r="AN398" i="9"/>
  <c r="AO398" i="9"/>
  <c r="AP398" i="9"/>
  <c r="AQ398" i="9"/>
  <c r="AM399" i="9"/>
  <c r="AN399" i="9"/>
  <c r="AO399" i="9"/>
  <c r="AP399" i="9"/>
  <c r="AQ399" i="9"/>
  <c r="AM400" i="9"/>
  <c r="AN400" i="9"/>
  <c r="AO400" i="9"/>
  <c r="AP400" i="9"/>
  <c r="AQ400" i="9"/>
  <c r="AM401" i="9"/>
  <c r="AN401" i="9"/>
  <c r="AO401" i="9"/>
  <c r="AP401" i="9"/>
  <c r="AQ401" i="9"/>
  <c r="AM402" i="9"/>
  <c r="AN402" i="9"/>
  <c r="AO402" i="9"/>
  <c r="AP402" i="9"/>
  <c r="AQ402" i="9"/>
  <c r="AM403" i="9"/>
  <c r="AN403" i="9"/>
  <c r="AO403" i="9"/>
  <c r="AP403" i="9"/>
  <c r="AQ403" i="9"/>
  <c r="AM404" i="9"/>
  <c r="AN404" i="9"/>
  <c r="AO404" i="9"/>
  <c r="AP404" i="9"/>
  <c r="AQ404" i="9"/>
  <c r="AM405" i="9"/>
  <c r="AN405" i="9"/>
  <c r="AO405" i="9"/>
  <c r="AP405" i="9"/>
  <c r="AQ405" i="9"/>
  <c r="AM406" i="9"/>
  <c r="AN406" i="9"/>
  <c r="AO406" i="9"/>
  <c r="AP406" i="9"/>
  <c r="AQ406" i="9"/>
  <c r="AM407" i="9"/>
  <c r="AN407" i="9"/>
  <c r="AO407" i="9"/>
  <c r="AP407" i="9"/>
  <c r="AQ407" i="9"/>
  <c r="AM408" i="9"/>
  <c r="AN408" i="9"/>
  <c r="AO408" i="9"/>
  <c r="AP408" i="9"/>
  <c r="AQ408" i="9"/>
  <c r="AM409" i="9"/>
  <c r="AN409" i="9"/>
  <c r="AO409" i="9"/>
  <c r="AP409" i="9"/>
  <c r="AQ409" i="9"/>
  <c r="AM410" i="9"/>
  <c r="AN410" i="9"/>
  <c r="AO410" i="9"/>
  <c r="AP410" i="9"/>
  <c r="AQ410" i="9"/>
  <c r="AM411" i="9"/>
  <c r="AN411" i="9"/>
  <c r="AO411" i="9"/>
  <c r="AP411" i="9"/>
  <c r="AQ411" i="9"/>
  <c r="AM412" i="9"/>
  <c r="AN412" i="9"/>
  <c r="AO412" i="9"/>
  <c r="AP412" i="9"/>
  <c r="AQ412" i="9"/>
  <c r="AM413" i="9"/>
  <c r="AN413" i="9"/>
  <c r="AO413" i="9"/>
  <c r="AP413" i="9"/>
  <c r="AQ413" i="9"/>
  <c r="AM414" i="9"/>
  <c r="AN414" i="9"/>
  <c r="AO414" i="9"/>
  <c r="AP414" i="9"/>
  <c r="AQ414" i="9"/>
  <c r="AM415" i="9"/>
  <c r="AN415" i="9"/>
  <c r="AO415" i="9"/>
  <c r="AP415" i="9"/>
  <c r="AQ415" i="9"/>
  <c r="AM416" i="9"/>
  <c r="AN416" i="9"/>
  <c r="AO416" i="9"/>
  <c r="AP416" i="9"/>
  <c r="AQ416" i="9"/>
  <c r="AM417" i="9"/>
  <c r="AN417" i="9"/>
  <c r="AO417" i="9"/>
  <c r="AP417" i="9"/>
  <c r="AQ417" i="9"/>
  <c r="AM418" i="9"/>
  <c r="AN418" i="9"/>
  <c r="AO418" i="9"/>
  <c r="AP418" i="9"/>
  <c r="AQ418" i="9"/>
  <c r="AM419" i="9"/>
  <c r="AN419" i="9"/>
  <c r="AO419" i="9"/>
  <c r="AP419" i="9"/>
  <c r="AQ419" i="9"/>
  <c r="AM420" i="9"/>
  <c r="AN420" i="9"/>
  <c r="AO420" i="9"/>
  <c r="AP420" i="9"/>
  <c r="AQ420" i="9"/>
  <c r="AM421" i="9"/>
  <c r="AN421" i="9"/>
  <c r="AO421" i="9"/>
  <c r="AP421" i="9"/>
  <c r="AQ421" i="9"/>
  <c r="AM422" i="9"/>
  <c r="AN422" i="9"/>
  <c r="AO422" i="9"/>
  <c r="AP422" i="9"/>
  <c r="AQ422" i="9"/>
  <c r="AM423" i="9"/>
  <c r="AN423" i="9"/>
  <c r="AO423" i="9"/>
  <c r="AP423" i="9"/>
  <c r="AQ423" i="9"/>
  <c r="AM424" i="9"/>
  <c r="AN424" i="9"/>
  <c r="AO424" i="9"/>
  <c r="AP424" i="9"/>
  <c r="AQ424" i="9"/>
  <c r="AM425" i="9"/>
  <c r="AN425" i="9"/>
  <c r="AO425" i="9"/>
  <c r="AP425" i="9"/>
  <c r="AQ425" i="9"/>
  <c r="AM426" i="9"/>
  <c r="AN426" i="9"/>
  <c r="AO426" i="9"/>
  <c r="AP426" i="9"/>
  <c r="AQ426" i="9"/>
  <c r="AM427" i="9"/>
  <c r="AN427" i="9"/>
  <c r="AO427" i="9"/>
  <c r="AP427" i="9"/>
  <c r="AQ427" i="9"/>
  <c r="AM428" i="9"/>
  <c r="AN428" i="9"/>
  <c r="AO428" i="9"/>
  <c r="AP428" i="9"/>
  <c r="AQ428" i="9"/>
  <c r="AM429" i="9"/>
  <c r="AN429" i="9"/>
  <c r="AO429" i="9"/>
  <c r="AP429" i="9"/>
  <c r="AQ429" i="9"/>
  <c r="AM430" i="9"/>
  <c r="AN430" i="9"/>
  <c r="AO430" i="9"/>
  <c r="AP430" i="9"/>
  <c r="AQ430" i="9"/>
  <c r="AM431" i="9"/>
  <c r="AN431" i="9"/>
  <c r="AO431" i="9"/>
  <c r="AP431" i="9"/>
  <c r="AQ431" i="9"/>
  <c r="AM432" i="9"/>
  <c r="AN432" i="9"/>
  <c r="AO432" i="9"/>
  <c r="AP432" i="9"/>
  <c r="AQ432" i="9"/>
  <c r="AM433" i="9"/>
  <c r="AN433" i="9"/>
  <c r="AO433" i="9"/>
  <c r="AP433" i="9"/>
  <c r="AQ433" i="9"/>
  <c r="AM434" i="9"/>
  <c r="AN434" i="9"/>
  <c r="AO434" i="9"/>
  <c r="AP434" i="9"/>
  <c r="AQ434" i="9"/>
  <c r="AM435" i="9"/>
  <c r="AN435" i="9"/>
  <c r="AO435" i="9"/>
  <c r="AP435" i="9"/>
  <c r="AQ435" i="9"/>
  <c r="AM436" i="9"/>
  <c r="AN436" i="9"/>
  <c r="AO436" i="9"/>
  <c r="AP436" i="9"/>
  <c r="AQ436" i="9"/>
  <c r="AM437" i="9"/>
  <c r="AN437" i="9"/>
  <c r="AO437" i="9"/>
  <c r="AP437" i="9"/>
  <c r="AQ437" i="9"/>
  <c r="AM438" i="9"/>
  <c r="AN438" i="9"/>
  <c r="AO438" i="9"/>
  <c r="AP438" i="9"/>
  <c r="AQ438" i="9"/>
  <c r="AM439" i="9"/>
  <c r="AN439" i="9"/>
  <c r="AO439" i="9"/>
  <c r="AP439" i="9"/>
  <c r="AQ439" i="9"/>
  <c r="AM440" i="9"/>
  <c r="AN440" i="9"/>
  <c r="AO440" i="9"/>
  <c r="AP440" i="9"/>
  <c r="AQ440" i="9"/>
  <c r="AM441" i="9"/>
  <c r="AN441" i="9"/>
  <c r="AO441" i="9"/>
  <c r="AP441" i="9"/>
  <c r="AQ441" i="9"/>
  <c r="AM442" i="9"/>
  <c r="AN442" i="9"/>
  <c r="AO442" i="9"/>
  <c r="AP442" i="9"/>
  <c r="AQ442" i="9"/>
  <c r="AM443" i="9"/>
  <c r="AN443" i="9"/>
  <c r="AO443" i="9"/>
  <c r="AP443" i="9"/>
  <c r="AQ443" i="9"/>
  <c r="AM444" i="9"/>
  <c r="AN444" i="9"/>
  <c r="AO444" i="9"/>
  <c r="AP444" i="9"/>
  <c r="AQ444" i="9"/>
  <c r="AM445" i="9"/>
  <c r="AN445" i="9"/>
  <c r="AO445" i="9"/>
  <c r="AP445" i="9"/>
  <c r="AQ445" i="9"/>
  <c r="AM446" i="9"/>
  <c r="AN446" i="9"/>
  <c r="AO446" i="9"/>
  <c r="AP446" i="9"/>
  <c r="AQ446" i="9"/>
  <c r="AM447" i="9"/>
  <c r="AN447" i="9"/>
  <c r="AO447" i="9"/>
  <c r="AP447" i="9"/>
  <c r="AQ447" i="9"/>
  <c r="AM448" i="9"/>
  <c r="AN448" i="9"/>
  <c r="AO448" i="9"/>
  <c r="AP448" i="9"/>
  <c r="AQ448" i="9"/>
  <c r="AM449" i="9"/>
  <c r="AN449" i="9"/>
  <c r="AO449" i="9"/>
  <c r="AP449" i="9"/>
  <c r="AQ449" i="9"/>
  <c r="AM450" i="9"/>
  <c r="AN450" i="9"/>
  <c r="AO450" i="9"/>
  <c r="AP450" i="9"/>
  <c r="AQ450" i="9"/>
  <c r="AM451" i="9"/>
  <c r="AN451" i="9"/>
  <c r="AO451" i="9"/>
  <c r="AP451" i="9"/>
  <c r="AQ451" i="9"/>
  <c r="AM452" i="9"/>
  <c r="AN452" i="9"/>
  <c r="AO452" i="9"/>
  <c r="AP452" i="9"/>
  <c r="AQ452" i="9"/>
  <c r="AM453" i="9"/>
  <c r="AN453" i="9"/>
  <c r="AO453" i="9"/>
  <c r="AP453" i="9"/>
  <c r="AQ453" i="9"/>
  <c r="AM454" i="9"/>
  <c r="AN454" i="9"/>
  <c r="AO454" i="9"/>
  <c r="AP454" i="9"/>
  <c r="AQ454" i="9"/>
  <c r="AM455" i="9"/>
  <c r="AN455" i="9"/>
  <c r="AO455" i="9"/>
  <c r="AP455" i="9"/>
  <c r="AQ455" i="9"/>
  <c r="AM456" i="9"/>
  <c r="AN456" i="9"/>
  <c r="AO456" i="9"/>
  <c r="AP456" i="9"/>
  <c r="AQ456" i="9"/>
  <c r="AM457" i="9"/>
  <c r="AN457" i="9"/>
  <c r="AO457" i="9"/>
  <c r="AP457" i="9"/>
  <c r="AQ457" i="9"/>
  <c r="AM458" i="9"/>
  <c r="AN458" i="9"/>
  <c r="AO458" i="9"/>
  <c r="AP458" i="9"/>
  <c r="AQ458" i="9"/>
  <c r="AM459" i="9"/>
  <c r="AN459" i="9"/>
  <c r="AO459" i="9"/>
  <c r="AP459" i="9"/>
  <c r="AQ459" i="9"/>
  <c r="AM460" i="9"/>
  <c r="AN460" i="9"/>
  <c r="AO460" i="9"/>
  <c r="AP460" i="9"/>
  <c r="AQ460" i="9"/>
  <c r="AM461" i="9"/>
  <c r="AN461" i="9"/>
  <c r="AO461" i="9"/>
  <c r="AP461" i="9"/>
  <c r="AQ461" i="9"/>
  <c r="AM462" i="9"/>
  <c r="AN462" i="9"/>
  <c r="AO462" i="9"/>
  <c r="AP462" i="9"/>
  <c r="AQ462" i="9"/>
  <c r="AM463" i="9"/>
  <c r="AN463" i="9"/>
  <c r="AO463" i="9"/>
  <c r="AP463" i="9"/>
  <c r="AQ463" i="9"/>
  <c r="AM464" i="9"/>
  <c r="AN464" i="9"/>
  <c r="AO464" i="9"/>
  <c r="AP464" i="9"/>
  <c r="AQ464" i="9"/>
  <c r="AM465" i="9"/>
  <c r="AN465" i="9"/>
  <c r="AO465" i="9"/>
  <c r="AP465" i="9"/>
  <c r="AQ465" i="9"/>
  <c r="AM466" i="9"/>
  <c r="AN466" i="9"/>
  <c r="AO466" i="9"/>
  <c r="AP466" i="9"/>
  <c r="AQ466" i="9"/>
  <c r="AM467" i="9"/>
  <c r="AN467" i="9"/>
  <c r="AO467" i="9"/>
  <c r="AP467" i="9"/>
  <c r="AQ467" i="9"/>
  <c r="AM468" i="9"/>
  <c r="AN468" i="9"/>
  <c r="AO468" i="9"/>
  <c r="AP468" i="9"/>
  <c r="AQ468" i="9"/>
  <c r="AM469" i="9"/>
  <c r="AN469" i="9"/>
  <c r="AO469" i="9"/>
  <c r="AP469" i="9"/>
  <c r="AQ469" i="9"/>
  <c r="AM470" i="9"/>
  <c r="AN470" i="9"/>
  <c r="AO470" i="9"/>
  <c r="AP470" i="9"/>
  <c r="AQ470" i="9"/>
  <c r="AM471" i="9"/>
  <c r="AN471" i="9"/>
  <c r="AO471" i="9"/>
  <c r="AP471" i="9"/>
  <c r="AQ471" i="9"/>
  <c r="AM472" i="9"/>
  <c r="AN472" i="9"/>
  <c r="AO472" i="9"/>
  <c r="AP472" i="9"/>
  <c r="AQ472" i="9"/>
  <c r="AM473" i="9"/>
  <c r="AN473" i="9"/>
  <c r="AO473" i="9"/>
  <c r="AP473" i="9"/>
  <c r="AQ473" i="9"/>
  <c r="AM474" i="9"/>
  <c r="AN474" i="9"/>
  <c r="AO474" i="9"/>
  <c r="AP474" i="9"/>
  <c r="AQ474" i="9"/>
  <c r="AM475" i="9"/>
  <c r="AN475" i="9"/>
  <c r="AO475" i="9"/>
  <c r="AP475" i="9"/>
  <c r="AQ475" i="9"/>
  <c r="AM476" i="9"/>
  <c r="AN476" i="9"/>
  <c r="AO476" i="9"/>
  <c r="AP476" i="9"/>
  <c r="AQ476" i="9"/>
  <c r="AM477" i="9"/>
  <c r="AN477" i="9"/>
  <c r="AO477" i="9"/>
  <c r="AP477" i="9"/>
  <c r="AQ477" i="9"/>
  <c r="AM478" i="9"/>
  <c r="AN478" i="9"/>
  <c r="AO478" i="9"/>
  <c r="AP478" i="9"/>
  <c r="AQ478" i="9"/>
  <c r="AM479" i="9"/>
  <c r="AN479" i="9"/>
  <c r="AO479" i="9"/>
  <c r="AP479" i="9"/>
  <c r="AQ479" i="9"/>
  <c r="AM480" i="9"/>
  <c r="AN480" i="9"/>
  <c r="AO480" i="9"/>
  <c r="AP480" i="9"/>
  <c r="AQ480" i="9"/>
  <c r="AM481" i="9"/>
  <c r="AN481" i="9"/>
  <c r="AO481" i="9"/>
  <c r="AP481" i="9"/>
  <c r="AQ481" i="9"/>
  <c r="AM482" i="9"/>
  <c r="AN482" i="9"/>
  <c r="AO482" i="9"/>
  <c r="AP482" i="9"/>
  <c r="AQ482" i="9"/>
  <c r="AM483" i="9"/>
  <c r="AN483" i="9"/>
  <c r="AO483" i="9"/>
  <c r="AP483" i="9"/>
  <c r="AQ483" i="9"/>
  <c r="AM484" i="9"/>
  <c r="AN484" i="9"/>
  <c r="AO484" i="9"/>
  <c r="AP484" i="9"/>
  <c r="AQ484" i="9"/>
  <c r="AM485" i="9"/>
  <c r="AN485" i="9"/>
  <c r="AO485" i="9"/>
  <c r="AP485" i="9"/>
  <c r="AQ485" i="9"/>
  <c r="AM486" i="9"/>
  <c r="AN486" i="9"/>
  <c r="AO486" i="9"/>
  <c r="AP486" i="9"/>
  <c r="AQ486" i="9"/>
  <c r="AM487" i="9"/>
  <c r="AN487" i="9"/>
  <c r="AO487" i="9"/>
  <c r="AP487" i="9"/>
  <c r="AQ487" i="9"/>
  <c r="AM488" i="9"/>
  <c r="AN488" i="9"/>
  <c r="AO488" i="9"/>
  <c r="AP488" i="9"/>
  <c r="AQ488" i="9"/>
  <c r="AM489" i="9"/>
  <c r="AN489" i="9"/>
  <c r="AO489" i="9"/>
  <c r="AP489" i="9"/>
  <c r="AQ489" i="9"/>
  <c r="AM490" i="9"/>
  <c r="AN490" i="9"/>
  <c r="AO490" i="9"/>
  <c r="AP490" i="9"/>
  <c r="AQ490" i="9"/>
  <c r="AM491" i="9"/>
  <c r="AN491" i="9"/>
  <c r="AO491" i="9"/>
  <c r="AP491" i="9"/>
  <c r="AQ491" i="9"/>
  <c r="AM492" i="9"/>
  <c r="AN492" i="9"/>
  <c r="AO492" i="9"/>
  <c r="AP492" i="9"/>
  <c r="AQ492" i="9"/>
  <c r="AM493" i="9"/>
  <c r="AN493" i="9"/>
  <c r="AO493" i="9"/>
  <c r="AP493" i="9"/>
  <c r="AQ493" i="9"/>
  <c r="AM494" i="9"/>
  <c r="AN494" i="9"/>
  <c r="AO494" i="9"/>
  <c r="AP494" i="9"/>
  <c r="AQ494" i="9"/>
  <c r="AM495" i="9"/>
  <c r="AN495" i="9"/>
  <c r="AO495" i="9"/>
  <c r="AP495" i="9"/>
  <c r="AQ495" i="9"/>
  <c r="AM496" i="9"/>
  <c r="AN496" i="9"/>
  <c r="AO496" i="9"/>
  <c r="AP496" i="9"/>
  <c r="AQ496" i="9"/>
  <c r="AM497" i="9"/>
  <c r="AN497" i="9"/>
  <c r="AO497" i="9"/>
  <c r="AP497" i="9"/>
  <c r="AQ497" i="9"/>
  <c r="AM498" i="9"/>
  <c r="AN498" i="9"/>
  <c r="AO498" i="9"/>
  <c r="AP498" i="9"/>
  <c r="AQ498" i="9"/>
  <c r="AM499" i="9"/>
  <c r="AN499" i="9"/>
  <c r="AO499" i="9"/>
  <c r="AP499" i="9"/>
  <c r="AQ499" i="9"/>
  <c r="AM500" i="9"/>
  <c r="AN500" i="9"/>
  <c r="AO500" i="9"/>
  <c r="AP500" i="9"/>
  <c r="AQ500" i="9"/>
  <c r="AM501" i="9"/>
  <c r="AN501" i="9"/>
  <c r="AO501" i="9"/>
  <c r="AP501" i="9"/>
  <c r="AQ501" i="9"/>
  <c r="AM502" i="9"/>
  <c r="AN502" i="9"/>
  <c r="AO502" i="9"/>
  <c r="AP502" i="9"/>
  <c r="AQ502" i="9"/>
  <c r="AM503" i="9"/>
  <c r="AN503" i="9"/>
  <c r="AO503" i="9"/>
  <c r="AP503" i="9"/>
  <c r="AQ503" i="9"/>
  <c r="AM504" i="9"/>
  <c r="AN504" i="9"/>
  <c r="AO504" i="9"/>
  <c r="AP504" i="9"/>
  <c r="AQ504" i="9"/>
  <c r="AM505" i="9"/>
  <c r="AN505" i="9"/>
  <c r="AO505" i="9"/>
  <c r="AP505" i="9"/>
  <c r="AQ505" i="9"/>
  <c r="AM506" i="9"/>
  <c r="AN506" i="9"/>
  <c r="AO506" i="9"/>
  <c r="AP506" i="9"/>
  <c r="AQ506" i="9"/>
  <c r="AM507" i="9"/>
  <c r="AN507" i="9"/>
  <c r="AO507" i="9"/>
  <c r="AP507" i="9"/>
  <c r="AQ507" i="9"/>
  <c r="AM508" i="9"/>
  <c r="AN508" i="9"/>
  <c r="AO508" i="9"/>
  <c r="AP508" i="9"/>
  <c r="AQ508" i="9"/>
  <c r="AM509" i="9"/>
  <c r="AN509" i="9"/>
  <c r="AO509" i="9"/>
  <c r="AP509" i="9"/>
  <c r="AQ509" i="9"/>
  <c r="AM510" i="9"/>
  <c r="AN510" i="9"/>
  <c r="AO510" i="9"/>
  <c r="AP510" i="9"/>
  <c r="AQ510" i="9"/>
  <c r="AM511" i="9"/>
  <c r="AN511" i="9"/>
  <c r="AO511" i="9"/>
  <c r="AP511" i="9"/>
  <c r="AQ511" i="9"/>
  <c r="AM512" i="9"/>
  <c r="AN512" i="9"/>
  <c r="AO512" i="9"/>
  <c r="AP512" i="9"/>
  <c r="AQ512" i="9"/>
  <c r="AM513" i="9"/>
  <c r="AN513" i="9"/>
  <c r="AO513" i="9"/>
  <c r="AP513" i="9"/>
  <c r="AQ513" i="9"/>
  <c r="AM514" i="9"/>
  <c r="AN514" i="9"/>
  <c r="AO514" i="9"/>
  <c r="AP514" i="9"/>
  <c r="AQ514" i="9"/>
  <c r="AM515" i="9"/>
  <c r="AN515" i="9"/>
  <c r="AO515" i="9"/>
  <c r="AP515" i="9"/>
  <c r="AQ515" i="9"/>
  <c r="AM516" i="9"/>
  <c r="AN516" i="9"/>
  <c r="AO516" i="9"/>
  <c r="AP516" i="9"/>
  <c r="AQ516" i="9"/>
  <c r="AM517" i="9"/>
  <c r="AN517" i="9"/>
  <c r="AO517" i="9"/>
  <c r="AP517" i="9"/>
  <c r="AQ517" i="9"/>
  <c r="AM518" i="9"/>
  <c r="AN518" i="9"/>
  <c r="AO518" i="9"/>
  <c r="AP518" i="9"/>
  <c r="AQ518" i="9"/>
  <c r="AM519" i="9"/>
  <c r="AN519" i="9"/>
  <c r="AO519" i="9"/>
  <c r="AP519" i="9"/>
  <c r="AQ519" i="9"/>
  <c r="AM520" i="9"/>
  <c r="AN520" i="9"/>
  <c r="AO520" i="9"/>
  <c r="AP520" i="9"/>
  <c r="AQ520" i="9"/>
  <c r="AM521" i="9"/>
  <c r="AN521" i="9"/>
  <c r="AO521" i="9"/>
  <c r="AP521" i="9"/>
  <c r="AQ521" i="9"/>
  <c r="AM522" i="9"/>
  <c r="AN522" i="9"/>
  <c r="AO522" i="9"/>
  <c r="AP522" i="9"/>
  <c r="AQ522" i="9"/>
  <c r="AM523" i="9"/>
  <c r="AN523" i="9"/>
  <c r="AO523" i="9"/>
  <c r="AP523" i="9"/>
  <c r="AQ523" i="9"/>
  <c r="AM524" i="9"/>
  <c r="AN524" i="9"/>
  <c r="AO524" i="9"/>
  <c r="AP524" i="9"/>
  <c r="AQ524" i="9"/>
  <c r="AM525" i="9"/>
  <c r="AN525" i="9"/>
  <c r="AO525" i="9"/>
  <c r="AP525" i="9"/>
  <c r="AQ525" i="9"/>
  <c r="AM526" i="9"/>
  <c r="AN526" i="9"/>
  <c r="AO526" i="9"/>
  <c r="AP526" i="9"/>
  <c r="AQ526" i="9"/>
  <c r="AM527" i="9"/>
  <c r="AN527" i="9"/>
  <c r="AO527" i="9"/>
  <c r="AP527" i="9"/>
  <c r="AQ527" i="9"/>
  <c r="AM528" i="9"/>
  <c r="AN528" i="9"/>
  <c r="AO528" i="9"/>
  <c r="AP528" i="9"/>
  <c r="AQ528" i="9"/>
  <c r="AM529" i="9"/>
  <c r="AN529" i="9"/>
  <c r="AO529" i="9"/>
  <c r="AP529" i="9"/>
  <c r="AQ529" i="9"/>
  <c r="AM530" i="9"/>
  <c r="AN530" i="9"/>
  <c r="AO530" i="9"/>
  <c r="AP530" i="9"/>
  <c r="AQ530" i="9"/>
  <c r="AM531" i="9"/>
  <c r="AN531" i="9"/>
  <c r="AO531" i="9"/>
  <c r="AP531" i="9"/>
  <c r="AQ531" i="9"/>
  <c r="AM532" i="9"/>
  <c r="AN532" i="9"/>
  <c r="AO532" i="9"/>
  <c r="AP532" i="9"/>
  <c r="AQ532" i="9"/>
  <c r="AM533" i="9"/>
  <c r="AN533" i="9"/>
  <c r="AO533" i="9"/>
  <c r="AP533" i="9"/>
  <c r="AQ533" i="9"/>
  <c r="AM534" i="9"/>
  <c r="AN534" i="9"/>
  <c r="AO534" i="9"/>
  <c r="AP534" i="9"/>
  <c r="AQ534" i="9"/>
  <c r="AM535" i="9"/>
  <c r="AN535" i="9"/>
  <c r="AO535" i="9"/>
  <c r="AP535" i="9"/>
  <c r="AQ535" i="9"/>
  <c r="AM536" i="9"/>
  <c r="AN536" i="9"/>
  <c r="AO536" i="9"/>
  <c r="AP536" i="9"/>
  <c r="AQ536" i="9"/>
  <c r="AM537" i="9"/>
  <c r="AN537" i="9"/>
  <c r="AO537" i="9"/>
  <c r="AP537" i="9"/>
  <c r="AQ537" i="9"/>
  <c r="AM538" i="9"/>
  <c r="AN538" i="9"/>
  <c r="AO538" i="9"/>
  <c r="AP538" i="9"/>
  <c r="AQ538" i="9"/>
  <c r="AM539" i="9"/>
  <c r="AN539" i="9"/>
  <c r="AO539" i="9"/>
  <c r="AP539" i="9"/>
  <c r="AQ539" i="9"/>
  <c r="AM540" i="9"/>
  <c r="AN540" i="9"/>
  <c r="AO540" i="9"/>
  <c r="AP540" i="9"/>
  <c r="AQ540" i="9"/>
  <c r="AM541" i="9"/>
  <c r="AN541" i="9"/>
  <c r="AO541" i="9"/>
  <c r="AP541" i="9"/>
  <c r="AQ541" i="9"/>
  <c r="AM542" i="9"/>
  <c r="AN542" i="9"/>
  <c r="AO542" i="9"/>
  <c r="AP542" i="9"/>
  <c r="AQ542" i="9"/>
  <c r="AM543" i="9"/>
  <c r="AN543" i="9"/>
  <c r="AO543" i="9"/>
  <c r="AP543" i="9"/>
  <c r="AQ543" i="9"/>
  <c r="AM544" i="9"/>
  <c r="AN544" i="9"/>
  <c r="AO544" i="9"/>
  <c r="AP544" i="9"/>
  <c r="AQ544" i="9"/>
  <c r="AM545" i="9"/>
  <c r="AN545" i="9"/>
  <c r="AO545" i="9"/>
  <c r="AP545" i="9"/>
  <c r="AQ545" i="9"/>
  <c r="AM546" i="9"/>
  <c r="AN546" i="9"/>
  <c r="AO546" i="9"/>
  <c r="AP546" i="9"/>
  <c r="AQ546" i="9"/>
  <c r="AM547" i="9"/>
  <c r="AN547" i="9"/>
  <c r="AO547" i="9"/>
  <c r="AP547" i="9"/>
  <c r="AQ547" i="9"/>
  <c r="AM548" i="9"/>
  <c r="AN548" i="9"/>
  <c r="AO548" i="9"/>
  <c r="AP548" i="9"/>
  <c r="AQ548" i="9"/>
  <c r="AM549" i="9"/>
  <c r="AN549" i="9"/>
  <c r="AO549" i="9"/>
  <c r="AP549" i="9"/>
  <c r="AQ549" i="9"/>
  <c r="AM550" i="9"/>
  <c r="AN550" i="9"/>
  <c r="AO550" i="9"/>
  <c r="AP550" i="9"/>
  <c r="AQ550" i="9"/>
  <c r="AM551" i="9"/>
  <c r="AN551" i="9"/>
  <c r="AO551" i="9"/>
  <c r="AP551" i="9"/>
  <c r="AQ551" i="9"/>
  <c r="AM552" i="9"/>
  <c r="AN552" i="9"/>
  <c r="AO552" i="9"/>
  <c r="AP552" i="9"/>
  <c r="AQ552" i="9"/>
  <c r="AM553" i="9"/>
  <c r="AN553" i="9"/>
  <c r="AO553" i="9"/>
  <c r="AP553" i="9"/>
  <c r="AQ553" i="9"/>
  <c r="AM554" i="9"/>
  <c r="AN554" i="9"/>
  <c r="AO554" i="9"/>
  <c r="AP554" i="9"/>
  <c r="AQ554" i="9"/>
  <c r="AM555" i="9"/>
  <c r="AN555" i="9"/>
  <c r="AO555" i="9"/>
  <c r="AP555" i="9"/>
  <c r="AQ555" i="9"/>
  <c r="AM556" i="9"/>
  <c r="AN556" i="9"/>
  <c r="AO556" i="9"/>
  <c r="AP556" i="9"/>
  <c r="AQ556" i="9"/>
  <c r="AM557" i="9"/>
  <c r="AN557" i="9"/>
  <c r="AO557" i="9"/>
  <c r="AP557" i="9"/>
  <c r="AQ557" i="9"/>
  <c r="AM558" i="9"/>
  <c r="AN558" i="9"/>
  <c r="AO558" i="9"/>
  <c r="AP558" i="9"/>
  <c r="AQ558" i="9"/>
  <c r="AM559" i="9"/>
  <c r="AN559" i="9"/>
  <c r="AO559" i="9"/>
  <c r="AP559" i="9"/>
  <c r="AQ559" i="9"/>
  <c r="AM560" i="9"/>
  <c r="AN560" i="9"/>
  <c r="AO560" i="9"/>
  <c r="AP560" i="9"/>
  <c r="AQ560" i="9"/>
  <c r="AM561" i="9"/>
  <c r="AN561" i="9"/>
  <c r="AO561" i="9"/>
  <c r="AP561" i="9"/>
  <c r="AQ561" i="9"/>
  <c r="AM562" i="9"/>
  <c r="AN562" i="9"/>
  <c r="AO562" i="9"/>
  <c r="AP562" i="9"/>
  <c r="AQ562" i="9"/>
  <c r="AM563" i="9"/>
  <c r="AN563" i="9"/>
  <c r="AO563" i="9"/>
  <c r="AP563" i="9"/>
  <c r="AQ563" i="9"/>
  <c r="AM564" i="9"/>
  <c r="AN564" i="9"/>
  <c r="AO564" i="9"/>
  <c r="AP564" i="9"/>
  <c r="AQ564" i="9"/>
  <c r="AM565" i="9"/>
  <c r="AN565" i="9"/>
  <c r="AO565" i="9"/>
  <c r="AP565" i="9"/>
  <c r="AQ565" i="9"/>
  <c r="AM566" i="9"/>
  <c r="AN566" i="9"/>
  <c r="AO566" i="9"/>
  <c r="AP566" i="9"/>
  <c r="AQ566" i="9"/>
  <c r="AM567" i="9"/>
  <c r="AN567" i="9"/>
  <c r="AO567" i="9"/>
  <c r="AP567" i="9"/>
  <c r="AQ567" i="9"/>
  <c r="AM568" i="9"/>
  <c r="AN568" i="9"/>
  <c r="AO568" i="9"/>
  <c r="AP568" i="9"/>
  <c r="AQ568" i="9"/>
  <c r="AM569" i="9"/>
  <c r="AN569" i="9"/>
  <c r="AO569" i="9"/>
  <c r="AP569" i="9"/>
  <c r="AQ569" i="9"/>
  <c r="AM570" i="9"/>
  <c r="AN570" i="9"/>
  <c r="AO570" i="9"/>
  <c r="AP570" i="9"/>
  <c r="AQ570" i="9"/>
  <c r="AM571" i="9"/>
  <c r="AN571" i="9"/>
  <c r="AO571" i="9"/>
  <c r="AP571" i="9"/>
  <c r="AQ571" i="9"/>
  <c r="AM572" i="9"/>
  <c r="AN572" i="9"/>
  <c r="AO572" i="9"/>
  <c r="AP572" i="9"/>
  <c r="AQ572" i="9"/>
  <c r="AM573" i="9"/>
  <c r="AN573" i="9"/>
  <c r="AO573" i="9"/>
  <c r="AP573" i="9"/>
  <c r="AQ573" i="9"/>
  <c r="AM574" i="9"/>
  <c r="AN574" i="9"/>
  <c r="AO574" i="9"/>
  <c r="AP574" i="9"/>
  <c r="AQ574" i="9"/>
  <c r="AM575" i="9"/>
  <c r="AN575" i="9"/>
  <c r="AO575" i="9"/>
  <c r="AP575" i="9"/>
  <c r="AQ575" i="9"/>
  <c r="AM576" i="9"/>
  <c r="AN576" i="9"/>
  <c r="AO576" i="9"/>
  <c r="AP576" i="9"/>
  <c r="AQ576" i="9"/>
  <c r="AM577" i="9"/>
  <c r="AN577" i="9"/>
  <c r="AO577" i="9"/>
  <c r="AP577" i="9"/>
  <c r="AQ577" i="9"/>
  <c r="AM578" i="9"/>
  <c r="AN578" i="9"/>
  <c r="AO578" i="9"/>
  <c r="AP578" i="9"/>
  <c r="AQ578" i="9"/>
  <c r="AM579" i="9"/>
  <c r="AN579" i="9"/>
  <c r="AO579" i="9"/>
  <c r="AP579" i="9"/>
  <c r="AQ579" i="9"/>
  <c r="AM580" i="9"/>
  <c r="AN580" i="9"/>
  <c r="AO580" i="9"/>
  <c r="AP580" i="9"/>
  <c r="AQ580" i="9"/>
  <c r="AM581" i="9"/>
  <c r="AN581" i="9"/>
  <c r="AO581" i="9"/>
  <c r="AP581" i="9"/>
  <c r="AQ581" i="9"/>
  <c r="AM582" i="9"/>
  <c r="AN582" i="9"/>
  <c r="AO582" i="9"/>
  <c r="AP582" i="9"/>
  <c r="AQ582" i="9"/>
  <c r="AM583" i="9"/>
  <c r="AN583" i="9"/>
  <c r="AO583" i="9"/>
  <c r="AP583" i="9"/>
  <c r="AQ583" i="9"/>
  <c r="AM584" i="9"/>
  <c r="AN584" i="9"/>
  <c r="AO584" i="9"/>
  <c r="AP584" i="9"/>
  <c r="AQ584" i="9"/>
  <c r="AM585" i="9"/>
  <c r="AN585" i="9"/>
  <c r="AO585" i="9"/>
  <c r="AP585" i="9"/>
  <c r="AQ585" i="9"/>
  <c r="AM586" i="9"/>
  <c r="AN586" i="9"/>
  <c r="AO586" i="9"/>
  <c r="AP586" i="9"/>
  <c r="AQ586" i="9"/>
  <c r="AM587" i="9"/>
  <c r="AN587" i="9"/>
  <c r="AO587" i="9"/>
  <c r="AP587" i="9"/>
  <c r="AQ587" i="9"/>
  <c r="AM588" i="9"/>
  <c r="AN588" i="9"/>
  <c r="AO588" i="9"/>
  <c r="AP588" i="9"/>
  <c r="AQ588" i="9"/>
  <c r="AM589" i="9"/>
  <c r="AN589" i="9"/>
  <c r="AO589" i="9"/>
  <c r="AP589" i="9"/>
  <c r="AQ589" i="9"/>
  <c r="AM590" i="9"/>
  <c r="AN590" i="9"/>
  <c r="AO590" i="9"/>
  <c r="AP590" i="9"/>
  <c r="AQ590" i="9"/>
  <c r="AM591" i="9"/>
  <c r="AN591" i="9"/>
  <c r="AO591" i="9"/>
  <c r="AP591" i="9"/>
  <c r="AQ591" i="9"/>
  <c r="AM592" i="9"/>
  <c r="AN592" i="9"/>
  <c r="AO592" i="9"/>
  <c r="AP592" i="9"/>
  <c r="AQ592" i="9"/>
  <c r="AM593" i="9"/>
  <c r="AN593" i="9"/>
  <c r="AO593" i="9"/>
  <c r="AP593" i="9"/>
  <c r="AQ593" i="9"/>
  <c r="AM594" i="9"/>
  <c r="AN594" i="9"/>
  <c r="AO594" i="9"/>
  <c r="AP594" i="9"/>
  <c r="AQ594" i="9"/>
  <c r="AM595" i="9"/>
  <c r="AN595" i="9"/>
  <c r="AO595" i="9"/>
  <c r="AP595" i="9"/>
  <c r="AQ595" i="9"/>
  <c r="AM596" i="9"/>
  <c r="AN596" i="9"/>
  <c r="AO596" i="9"/>
  <c r="AP596" i="9"/>
  <c r="AQ596" i="9"/>
  <c r="AM597" i="9"/>
  <c r="AN597" i="9"/>
  <c r="AO597" i="9"/>
  <c r="AP597" i="9"/>
  <c r="AQ597" i="9"/>
  <c r="AM598" i="9"/>
  <c r="AN598" i="9"/>
  <c r="AO598" i="9"/>
  <c r="AP598" i="9"/>
  <c r="AQ598" i="9"/>
  <c r="AM599" i="9"/>
  <c r="AN599" i="9"/>
  <c r="AO599" i="9"/>
  <c r="AP599" i="9"/>
  <c r="AQ599" i="9"/>
  <c r="AM600" i="9"/>
  <c r="AN600" i="9"/>
  <c r="AO600" i="9"/>
  <c r="AP600" i="9"/>
  <c r="AQ600" i="9"/>
  <c r="AM601" i="9"/>
  <c r="AN601" i="9"/>
  <c r="AO601" i="9"/>
  <c r="AP601" i="9"/>
  <c r="AQ601" i="9"/>
  <c r="AM602" i="9"/>
  <c r="AN602" i="9"/>
  <c r="AO602" i="9"/>
  <c r="AP602" i="9"/>
  <c r="AQ602" i="9"/>
  <c r="AM603" i="9"/>
  <c r="AN603" i="9"/>
  <c r="AO603" i="9"/>
  <c r="AP603" i="9"/>
  <c r="AQ603" i="9"/>
  <c r="AM604" i="9"/>
  <c r="AN604" i="9"/>
  <c r="AO604" i="9"/>
  <c r="AP604" i="9"/>
  <c r="AQ604" i="9"/>
  <c r="AM605" i="9"/>
  <c r="AN605" i="9"/>
  <c r="AO605" i="9"/>
  <c r="AP605" i="9"/>
  <c r="AQ605" i="9"/>
  <c r="AM606" i="9"/>
  <c r="AN606" i="9"/>
  <c r="AO606" i="9"/>
  <c r="AP606" i="9"/>
  <c r="AQ606" i="9"/>
  <c r="AM607" i="9"/>
  <c r="AN607" i="9"/>
  <c r="AO607" i="9"/>
  <c r="AP607" i="9"/>
  <c r="AQ607" i="9"/>
  <c r="AM608" i="9"/>
  <c r="AN608" i="9"/>
  <c r="AO608" i="9"/>
  <c r="AP608" i="9"/>
  <c r="AQ608" i="9"/>
  <c r="AM609" i="9"/>
  <c r="AN609" i="9"/>
  <c r="AO609" i="9"/>
  <c r="AP609" i="9"/>
  <c r="AQ609" i="9"/>
  <c r="AM610" i="9"/>
  <c r="AN610" i="9"/>
  <c r="AO610" i="9"/>
  <c r="AP610" i="9"/>
  <c r="AQ610" i="9"/>
  <c r="AM611" i="9"/>
  <c r="AN611" i="9"/>
  <c r="AO611" i="9"/>
  <c r="AP611" i="9"/>
  <c r="AQ611" i="9"/>
  <c r="AM612" i="9"/>
  <c r="AN612" i="9"/>
  <c r="AO612" i="9"/>
  <c r="AP612" i="9"/>
  <c r="AQ612" i="9"/>
  <c r="AM613" i="9"/>
  <c r="AN613" i="9"/>
  <c r="AO613" i="9"/>
  <c r="AP613" i="9"/>
  <c r="AQ613" i="9"/>
  <c r="AM614" i="9"/>
  <c r="AN614" i="9"/>
  <c r="AO614" i="9"/>
  <c r="AP614" i="9"/>
  <c r="AQ614" i="9"/>
  <c r="AM615" i="9"/>
  <c r="AN615" i="9"/>
  <c r="AO615" i="9"/>
  <c r="AP615" i="9"/>
  <c r="AQ615" i="9"/>
  <c r="AM616" i="9"/>
  <c r="AN616" i="9"/>
  <c r="AO616" i="9"/>
  <c r="AP616" i="9"/>
  <c r="AQ616" i="9"/>
  <c r="AM617" i="9"/>
  <c r="AN617" i="9"/>
  <c r="AO617" i="9"/>
  <c r="AP617" i="9"/>
  <c r="AQ617" i="9"/>
  <c r="AM618" i="9"/>
  <c r="AN618" i="9"/>
  <c r="AO618" i="9"/>
  <c r="AP618" i="9"/>
  <c r="AQ618" i="9"/>
  <c r="AM619" i="9"/>
  <c r="AN619" i="9"/>
  <c r="AO619" i="9"/>
  <c r="AP619" i="9"/>
  <c r="AQ619" i="9"/>
  <c r="AM620" i="9"/>
  <c r="AN620" i="9"/>
  <c r="AO620" i="9"/>
  <c r="AP620" i="9"/>
  <c r="AQ620" i="9"/>
  <c r="AM621" i="9"/>
  <c r="AN621" i="9"/>
  <c r="AO621" i="9"/>
  <c r="AP621" i="9"/>
  <c r="AQ621" i="9"/>
  <c r="AM622" i="9"/>
  <c r="AN622" i="9"/>
  <c r="AO622" i="9"/>
  <c r="AP622" i="9"/>
  <c r="AQ622" i="9"/>
  <c r="AM623" i="9"/>
  <c r="AN623" i="9"/>
  <c r="AO623" i="9"/>
  <c r="AP623" i="9"/>
  <c r="AQ623" i="9"/>
  <c r="AM624" i="9"/>
  <c r="AN624" i="9"/>
  <c r="AO624" i="9"/>
  <c r="AP624" i="9"/>
  <c r="AQ624" i="9"/>
  <c r="AM625" i="9"/>
  <c r="AN625" i="9"/>
  <c r="AO625" i="9"/>
  <c r="AP625" i="9"/>
  <c r="AQ625" i="9"/>
  <c r="AM626" i="9"/>
  <c r="AN626" i="9"/>
  <c r="AO626" i="9"/>
  <c r="AP626" i="9"/>
  <c r="AQ626" i="9"/>
  <c r="AM627" i="9"/>
  <c r="AN627" i="9"/>
  <c r="AO627" i="9"/>
  <c r="AP627" i="9"/>
  <c r="AQ627" i="9"/>
  <c r="AM628" i="9"/>
  <c r="AN628" i="9"/>
  <c r="AO628" i="9"/>
  <c r="AP628" i="9"/>
  <c r="AQ628" i="9"/>
  <c r="AM629" i="9"/>
  <c r="AN629" i="9"/>
  <c r="AO629" i="9"/>
  <c r="AP629" i="9"/>
  <c r="AQ629" i="9"/>
  <c r="AM630" i="9"/>
  <c r="AN630" i="9"/>
  <c r="AO630" i="9"/>
  <c r="AP630" i="9"/>
  <c r="AQ630" i="9"/>
  <c r="AM631" i="9"/>
  <c r="AN631" i="9"/>
  <c r="AO631" i="9"/>
  <c r="AP631" i="9"/>
  <c r="AQ631" i="9"/>
  <c r="AM632" i="9"/>
  <c r="AN632" i="9"/>
  <c r="AO632" i="9"/>
  <c r="AP632" i="9"/>
  <c r="AQ632" i="9"/>
  <c r="AM633" i="9"/>
  <c r="AN633" i="9"/>
  <c r="AO633" i="9"/>
  <c r="AP633" i="9"/>
  <c r="AQ633" i="9"/>
  <c r="AM634" i="9"/>
  <c r="AN634" i="9"/>
  <c r="AO634" i="9"/>
  <c r="AP634" i="9"/>
  <c r="AQ634" i="9"/>
  <c r="AM635" i="9"/>
  <c r="AN635" i="9"/>
  <c r="AO635" i="9"/>
  <c r="AP635" i="9"/>
  <c r="AQ635" i="9"/>
  <c r="AM636" i="9"/>
  <c r="AN636" i="9"/>
  <c r="AO636" i="9"/>
  <c r="AP636" i="9"/>
  <c r="AQ636" i="9"/>
  <c r="AM637" i="9"/>
  <c r="AN637" i="9"/>
  <c r="AO637" i="9"/>
  <c r="AP637" i="9"/>
  <c r="AQ637" i="9"/>
  <c r="AM638" i="9"/>
  <c r="AN638" i="9"/>
  <c r="AO638" i="9"/>
  <c r="AP638" i="9"/>
  <c r="AQ638" i="9"/>
  <c r="AM639" i="9"/>
  <c r="AN639" i="9"/>
  <c r="AO639" i="9"/>
  <c r="AP639" i="9"/>
  <c r="AQ639" i="9"/>
  <c r="AM640" i="9"/>
  <c r="AN640" i="9"/>
  <c r="AO640" i="9"/>
  <c r="AP640" i="9"/>
  <c r="AQ640" i="9"/>
  <c r="AM641" i="9"/>
  <c r="AN641" i="9"/>
  <c r="AO641" i="9"/>
  <c r="AP641" i="9"/>
  <c r="AQ641" i="9"/>
  <c r="AM642" i="9"/>
  <c r="AN642" i="9"/>
  <c r="AO642" i="9"/>
  <c r="AP642" i="9"/>
  <c r="AQ642" i="9"/>
  <c r="AM643" i="9"/>
  <c r="AN643" i="9"/>
  <c r="AO643" i="9"/>
  <c r="AP643" i="9"/>
  <c r="AQ643" i="9"/>
  <c r="AM644" i="9"/>
  <c r="AN644" i="9"/>
  <c r="AO644" i="9"/>
  <c r="AP644" i="9"/>
  <c r="AQ644" i="9"/>
  <c r="AM645" i="9"/>
  <c r="AN645" i="9"/>
  <c r="AO645" i="9"/>
  <c r="AP645" i="9"/>
  <c r="AQ645" i="9"/>
  <c r="AM646" i="9"/>
  <c r="AN646" i="9"/>
  <c r="AO646" i="9"/>
  <c r="AP646" i="9"/>
  <c r="AQ646" i="9"/>
  <c r="AM647" i="9"/>
  <c r="AN647" i="9"/>
  <c r="AO647" i="9"/>
  <c r="AP647" i="9"/>
  <c r="AQ647" i="9"/>
  <c r="AM648" i="9"/>
  <c r="AN648" i="9"/>
  <c r="AO648" i="9"/>
  <c r="AP648" i="9"/>
  <c r="AQ648" i="9"/>
  <c r="AM649" i="9"/>
  <c r="AN649" i="9"/>
  <c r="AO649" i="9"/>
  <c r="AP649" i="9"/>
  <c r="AQ649" i="9"/>
  <c r="AM650" i="9"/>
  <c r="AN650" i="9"/>
  <c r="AO650" i="9"/>
  <c r="AP650" i="9"/>
  <c r="AQ650" i="9"/>
  <c r="AM651" i="9"/>
  <c r="AN651" i="9"/>
  <c r="AO651" i="9"/>
  <c r="AP651" i="9"/>
  <c r="AQ651" i="9"/>
  <c r="AM652" i="9"/>
  <c r="AN652" i="9"/>
  <c r="AO652" i="9"/>
  <c r="AP652" i="9"/>
  <c r="AQ652" i="9"/>
  <c r="AM653" i="9"/>
  <c r="AN653" i="9"/>
  <c r="AO653" i="9"/>
  <c r="AP653" i="9"/>
  <c r="AQ653" i="9"/>
  <c r="AM654" i="9"/>
  <c r="AN654" i="9"/>
  <c r="AO654" i="9"/>
  <c r="AP654" i="9"/>
  <c r="AQ654" i="9"/>
  <c r="AM655" i="9"/>
  <c r="AN655" i="9"/>
  <c r="AO655" i="9"/>
  <c r="AP655" i="9"/>
  <c r="AQ655" i="9"/>
  <c r="AM656" i="9"/>
  <c r="AN656" i="9"/>
  <c r="AO656" i="9"/>
  <c r="AP656" i="9"/>
  <c r="AQ656" i="9"/>
  <c r="AM657" i="9"/>
  <c r="AN657" i="9"/>
  <c r="AO657" i="9"/>
  <c r="AP657" i="9"/>
  <c r="AQ657" i="9"/>
  <c r="AM658" i="9"/>
  <c r="AN658" i="9"/>
  <c r="AO658" i="9"/>
  <c r="AP658" i="9"/>
  <c r="AQ658" i="9"/>
  <c r="AM659" i="9"/>
  <c r="AN659" i="9"/>
  <c r="AO659" i="9"/>
  <c r="AP659" i="9"/>
  <c r="AQ659" i="9"/>
  <c r="AM660" i="9"/>
  <c r="AN660" i="9"/>
  <c r="AO660" i="9"/>
  <c r="AP660" i="9"/>
  <c r="AQ660" i="9"/>
  <c r="AM661" i="9"/>
  <c r="AN661" i="9"/>
  <c r="AO661" i="9"/>
  <c r="AP661" i="9"/>
  <c r="AQ661" i="9"/>
  <c r="AM662" i="9"/>
  <c r="AN662" i="9"/>
  <c r="AO662" i="9"/>
  <c r="AP662" i="9"/>
  <c r="AQ662" i="9"/>
  <c r="AM663" i="9"/>
  <c r="AN663" i="9"/>
  <c r="AO663" i="9"/>
  <c r="AP663" i="9"/>
  <c r="AQ663" i="9"/>
  <c r="AM664" i="9"/>
  <c r="AN664" i="9"/>
  <c r="AO664" i="9"/>
  <c r="AP664" i="9"/>
  <c r="AQ664" i="9"/>
  <c r="AM665" i="9"/>
  <c r="AN665" i="9"/>
  <c r="AO665" i="9"/>
  <c r="AP665" i="9"/>
  <c r="AQ665" i="9"/>
  <c r="AM666" i="9"/>
  <c r="AN666" i="9"/>
  <c r="AO666" i="9"/>
  <c r="AP666" i="9"/>
  <c r="AQ666" i="9"/>
  <c r="AM667" i="9"/>
  <c r="AN667" i="9"/>
  <c r="AO667" i="9"/>
  <c r="AP667" i="9"/>
  <c r="AQ667" i="9"/>
  <c r="AM668" i="9"/>
  <c r="AN668" i="9"/>
  <c r="AO668" i="9"/>
  <c r="AP668" i="9"/>
  <c r="AQ668" i="9"/>
  <c r="AM669" i="9"/>
  <c r="AN669" i="9"/>
  <c r="AO669" i="9"/>
  <c r="AP669" i="9"/>
  <c r="AQ669" i="9"/>
  <c r="AM670" i="9"/>
  <c r="AN670" i="9"/>
  <c r="AO670" i="9"/>
  <c r="AP670" i="9"/>
  <c r="AQ670" i="9"/>
  <c r="AM671" i="9"/>
  <c r="AN671" i="9"/>
  <c r="AO671" i="9"/>
  <c r="AP671" i="9"/>
  <c r="AQ671" i="9"/>
  <c r="AM672" i="9"/>
  <c r="AN672" i="9"/>
  <c r="AO672" i="9"/>
  <c r="AP672" i="9"/>
  <c r="AQ672" i="9"/>
  <c r="AM673" i="9"/>
  <c r="AN673" i="9"/>
  <c r="AO673" i="9"/>
  <c r="AP673" i="9"/>
  <c r="AQ673" i="9"/>
  <c r="AM674" i="9"/>
  <c r="AN674" i="9"/>
  <c r="AO674" i="9"/>
  <c r="AP674" i="9"/>
  <c r="AQ674" i="9"/>
  <c r="AM675" i="9"/>
  <c r="AN675" i="9"/>
  <c r="AO675" i="9"/>
  <c r="AP675" i="9"/>
  <c r="AQ675" i="9"/>
  <c r="AM676" i="9"/>
  <c r="AN676" i="9"/>
  <c r="AO676" i="9"/>
  <c r="AP676" i="9"/>
  <c r="AQ676" i="9"/>
  <c r="AM677" i="9"/>
  <c r="AN677" i="9"/>
  <c r="AO677" i="9"/>
  <c r="AP677" i="9"/>
  <c r="AQ677" i="9"/>
  <c r="AM678" i="9"/>
  <c r="AN678" i="9"/>
  <c r="AO678" i="9"/>
  <c r="AP678" i="9"/>
  <c r="AQ678" i="9"/>
  <c r="AM679" i="9"/>
  <c r="AN679" i="9"/>
  <c r="AO679" i="9"/>
  <c r="AP679" i="9"/>
  <c r="AQ679" i="9"/>
  <c r="AM680" i="9"/>
  <c r="AN680" i="9"/>
  <c r="AO680" i="9"/>
  <c r="AP680" i="9"/>
  <c r="AQ680" i="9"/>
  <c r="AM681" i="9"/>
  <c r="AN681" i="9"/>
  <c r="AO681" i="9"/>
  <c r="AP681" i="9"/>
  <c r="AQ681" i="9"/>
  <c r="AM682" i="9"/>
  <c r="AN682" i="9"/>
  <c r="AO682" i="9"/>
  <c r="AP682" i="9"/>
  <c r="AQ682" i="9"/>
  <c r="AM683" i="9"/>
  <c r="AN683" i="9"/>
  <c r="AO683" i="9"/>
  <c r="AP683" i="9"/>
  <c r="AQ683" i="9"/>
  <c r="AM684" i="9"/>
  <c r="AN684" i="9"/>
  <c r="AO684" i="9"/>
  <c r="AP684" i="9"/>
  <c r="AQ684" i="9"/>
  <c r="AM685" i="9"/>
  <c r="AN685" i="9"/>
  <c r="AO685" i="9"/>
  <c r="AP685" i="9"/>
  <c r="AQ685" i="9"/>
  <c r="AM686" i="9"/>
  <c r="AN686" i="9"/>
  <c r="AO686" i="9"/>
  <c r="AP686" i="9"/>
  <c r="AQ686" i="9"/>
  <c r="AM687" i="9"/>
  <c r="AN687" i="9"/>
  <c r="AO687" i="9"/>
  <c r="AP687" i="9"/>
  <c r="AQ687" i="9"/>
  <c r="AM688" i="9"/>
  <c r="AN688" i="9"/>
  <c r="AO688" i="9"/>
  <c r="AP688" i="9"/>
  <c r="AQ688" i="9"/>
  <c r="AM689" i="9"/>
  <c r="AN689" i="9"/>
  <c r="AO689" i="9"/>
  <c r="AP689" i="9"/>
  <c r="AQ689" i="9"/>
  <c r="AM690" i="9"/>
  <c r="AN690" i="9"/>
  <c r="AO690" i="9"/>
  <c r="AP690" i="9"/>
  <c r="AQ690" i="9"/>
  <c r="AM691" i="9"/>
  <c r="AN691" i="9"/>
  <c r="AO691" i="9"/>
  <c r="AP691" i="9"/>
  <c r="AQ691" i="9"/>
  <c r="AM692" i="9"/>
  <c r="AN692" i="9"/>
  <c r="AO692" i="9"/>
  <c r="AP692" i="9"/>
  <c r="AQ692" i="9"/>
  <c r="AM693" i="9"/>
  <c r="AN693" i="9"/>
  <c r="AO693" i="9"/>
  <c r="AP693" i="9"/>
  <c r="AQ693" i="9"/>
  <c r="AM694" i="9"/>
  <c r="AN694" i="9"/>
  <c r="AO694" i="9"/>
  <c r="AP694" i="9"/>
  <c r="AQ694" i="9"/>
  <c r="AM695" i="9"/>
  <c r="AN695" i="9"/>
  <c r="AO695" i="9"/>
  <c r="AP695" i="9"/>
  <c r="AQ695" i="9"/>
  <c r="AM696" i="9"/>
  <c r="AN696" i="9"/>
  <c r="AO696" i="9"/>
  <c r="AP696" i="9"/>
  <c r="AQ696" i="9"/>
  <c r="AM697" i="9"/>
  <c r="AN697" i="9"/>
  <c r="AO697" i="9"/>
  <c r="AP697" i="9"/>
  <c r="AQ697" i="9"/>
  <c r="AM698" i="9"/>
  <c r="AN698" i="9"/>
  <c r="AO698" i="9"/>
  <c r="AP698" i="9"/>
  <c r="AQ698" i="9"/>
  <c r="AM699" i="9"/>
  <c r="AN699" i="9"/>
  <c r="AO699" i="9"/>
  <c r="AP699" i="9"/>
  <c r="AQ699" i="9"/>
  <c r="AM700" i="9"/>
  <c r="AN700" i="9"/>
  <c r="AO700" i="9"/>
  <c r="AP700" i="9"/>
  <c r="AQ700" i="9"/>
  <c r="AM701" i="9"/>
  <c r="AN701" i="9"/>
  <c r="AO701" i="9"/>
  <c r="AP701" i="9"/>
  <c r="AQ701" i="9"/>
  <c r="AM702" i="9"/>
  <c r="AN702" i="9"/>
  <c r="AO702" i="9"/>
  <c r="AP702" i="9"/>
  <c r="AQ702" i="9"/>
  <c r="AM703" i="9"/>
  <c r="AN703" i="9"/>
  <c r="AO703" i="9"/>
  <c r="AP703" i="9"/>
  <c r="AQ703" i="9"/>
  <c r="AM704" i="9"/>
  <c r="AN704" i="9"/>
  <c r="AO704" i="9"/>
  <c r="AP704" i="9"/>
  <c r="AQ704" i="9"/>
  <c r="AM705" i="9"/>
  <c r="AN705" i="9"/>
  <c r="AO705" i="9"/>
  <c r="AP705" i="9"/>
  <c r="AQ705" i="9"/>
  <c r="AM706" i="9"/>
  <c r="AN706" i="9"/>
  <c r="AO706" i="9"/>
  <c r="AP706" i="9"/>
  <c r="AQ706" i="9"/>
  <c r="AM707" i="9"/>
  <c r="AN707" i="9"/>
  <c r="AO707" i="9"/>
  <c r="AP707" i="9"/>
  <c r="AQ707" i="9"/>
  <c r="AM708" i="9"/>
  <c r="AN708" i="9"/>
  <c r="AO708" i="9"/>
  <c r="AP708" i="9"/>
  <c r="AQ708" i="9"/>
  <c r="AM709" i="9"/>
  <c r="AN709" i="9"/>
  <c r="AO709" i="9"/>
  <c r="AP709" i="9"/>
  <c r="AQ709" i="9"/>
  <c r="AM710" i="9"/>
  <c r="AN710" i="9"/>
  <c r="AO710" i="9"/>
  <c r="AP710" i="9"/>
  <c r="AQ710" i="9"/>
  <c r="AM711" i="9"/>
  <c r="AN711" i="9"/>
  <c r="AO711" i="9"/>
  <c r="AP711" i="9"/>
  <c r="AQ711" i="9"/>
  <c r="AM712" i="9"/>
  <c r="AN712" i="9"/>
  <c r="AO712" i="9"/>
  <c r="AP712" i="9"/>
  <c r="AQ712" i="9"/>
  <c r="AM713" i="9"/>
  <c r="AN713" i="9"/>
  <c r="AO713" i="9"/>
  <c r="AP713" i="9"/>
  <c r="AQ713" i="9"/>
  <c r="AM714" i="9"/>
  <c r="AN714" i="9"/>
  <c r="AO714" i="9"/>
  <c r="AP714" i="9"/>
  <c r="AQ714" i="9"/>
  <c r="AM715" i="9"/>
  <c r="AN715" i="9"/>
  <c r="AO715" i="9"/>
  <c r="AP715" i="9"/>
  <c r="AQ715" i="9"/>
  <c r="AM716" i="9"/>
  <c r="AN716" i="9"/>
  <c r="AO716" i="9"/>
  <c r="AP716" i="9"/>
  <c r="AQ716" i="9"/>
  <c r="AM717" i="9"/>
  <c r="AN717" i="9"/>
  <c r="AO717" i="9"/>
  <c r="AP717" i="9"/>
  <c r="AQ717" i="9"/>
  <c r="AM718" i="9"/>
  <c r="AN718" i="9"/>
  <c r="AO718" i="9"/>
  <c r="AP718" i="9"/>
  <c r="AQ718" i="9"/>
  <c r="AM719" i="9"/>
  <c r="AN719" i="9"/>
  <c r="AO719" i="9"/>
  <c r="AP719" i="9"/>
  <c r="AQ719" i="9"/>
  <c r="AM720" i="9"/>
  <c r="AN720" i="9"/>
  <c r="AO720" i="9"/>
  <c r="AP720" i="9"/>
  <c r="AQ720" i="9"/>
  <c r="AM721" i="9"/>
  <c r="AN721" i="9"/>
  <c r="AO721" i="9"/>
  <c r="AP721" i="9"/>
  <c r="AQ721" i="9"/>
  <c r="AM722" i="9"/>
  <c r="AN722" i="9"/>
  <c r="AO722" i="9"/>
  <c r="AP722" i="9"/>
  <c r="AQ722" i="9"/>
  <c r="AM723" i="9"/>
  <c r="AN723" i="9"/>
  <c r="AO723" i="9"/>
  <c r="AP723" i="9"/>
  <c r="AQ723" i="9"/>
  <c r="AM724" i="9"/>
  <c r="AN724" i="9"/>
  <c r="AO724" i="9"/>
  <c r="AP724" i="9"/>
  <c r="AQ724" i="9"/>
  <c r="AM725" i="9"/>
  <c r="AN725" i="9"/>
  <c r="AO725" i="9"/>
  <c r="AP725" i="9"/>
  <c r="AQ725" i="9"/>
  <c r="AM726" i="9"/>
  <c r="AN726" i="9"/>
  <c r="AO726" i="9"/>
  <c r="AP726" i="9"/>
  <c r="AQ726" i="9"/>
  <c r="AM727" i="9"/>
  <c r="AN727" i="9"/>
  <c r="AO727" i="9"/>
  <c r="AP727" i="9"/>
  <c r="AQ727" i="9"/>
  <c r="AM728" i="9"/>
  <c r="AN728" i="9"/>
  <c r="AO728" i="9"/>
  <c r="AP728" i="9"/>
  <c r="AQ728" i="9"/>
  <c r="AM729" i="9"/>
  <c r="AN729" i="9"/>
  <c r="AO729" i="9"/>
  <c r="AP729" i="9"/>
  <c r="AQ729" i="9"/>
  <c r="AM730" i="9"/>
  <c r="AN730" i="9"/>
  <c r="AO730" i="9"/>
  <c r="AP730" i="9"/>
  <c r="AQ730" i="9"/>
  <c r="AM731" i="9"/>
  <c r="AN731" i="9"/>
  <c r="AO731" i="9"/>
  <c r="AP731" i="9"/>
  <c r="AQ731" i="9"/>
  <c r="AM732" i="9"/>
  <c r="AN732" i="9"/>
  <c r="AO732" i="9"/>
  <c r="AP732" i="9"/>
  <c r="AQ732" i="9"/>
  <c r="AM733" i="9"/>
  <c r="AN733" i="9"/>
  <c r="AO733" i="9"/>
  <c r="AP733" i="9"/>
  <c r="AQ733" i="9"/>
  <c r="AM734" i="9"/>
  <c r="AN734" i="9"/>
  <c r="AO734" i="9"/>
  <c r="AP734" i="9"/>
  <c r="AQ734" i="9"/>
  <c r="AM735" i="9"/>
  <c r="AN735" i="9"/>
  <c r="AO735" i="9"/>
  <c r="AP735" i="9"/>
  <c r="AQ735" i="9"/>
  <c r="AM736" i="9"/>
  <c r="AN736" i="9"/>
  <c r="AO736" i="9"/>
  <c r="AP736" i="9"/>
  <c r="AQ736" i="9"/>
  <c r="AM737" i="9"/>
  <c r="AN737" i="9"/>
  <c r="AO737" i="9"/>
  <c r="AP737" i="9"/>
  <c r="AQ737" i="9"/>
  <c r="AM738" i="9"/>
  <c r="AN738" i="9"/>
  <c r="AO738" i="9"/>
  <c r="AP738" i="9"/>
  <c r="AQ738" i="9"/>
  <c r="AM739" i="9"/>
  <c r="AN739" i="9"/>
  <c r="AO739" i="9"/>
  <c r="AP739" i="9"/>
  <c r="AQ739" i="9"/>
  <c r="AM740" i="9"/>
  <c r="AN740" i="9"/>
  <c r="AO740" i="9"/>
  <c r="AP740" i="9"/>
  <c r="AQ740" i="9"/>
  <c r="AM741" i="9"/>
  <c r="AN741" i="9"/>
  <c r="AO741" i="9"/>
  <c r="AP741" i="9"/>
  <c r="AQ741" i="9"/>
  <c r="AM742" i="9"/>
  <c r="AN742" i="9"/>
  <c r="AO742" i="9"/>
  <c r="AP742" i="9"/>
  <c r="AQ742" i="9"/>
  <c r="AM743" i="9"/>
  <c r="AN743" i="9"/>
  <c r="AO743" i="9"/>
  <c r="AP743" i="9"/>
  <c r="AQ743" i="9"/>
  <c r="AM744" i="9"/>
  <c r="AN744" i="9"/>
  <c r="AO744" i="9"/>
  <c r="AP744" i="9"/>
  <c r="AQ744" i="9"/>
  <c r="AM745" i="9"/>
  <c r="AN745" i="9"/>
  <c r="AO745" i="9"/>
  <c r="AP745" i="9"/>
  <c r="AQ745" i="9"/>
  <c r="AM746" i="9"/>
  <c r="AN746" i="9"/>
  <c r="AO746" i="9"/>
  <c r="AP746" i="9"/>
  <c r="AQ746" i="9"/>
  <c r="AM747" i="9"/>
  <c r="AN747" i="9"/>
  <c r="AO747" i="9"/>
  <c r="AP747" i="9"/>
  <c r="AQ747" i="9"/>
  <c r="AM748" i="9"/>
  <c r="AN748" i="9"/>
  <c r="AO748" i="9"/>
  <c r="AP748" i="9"/>
  <c r="AQ748" i="9"/>
  <c r="AM749" i="9"/>
  <c r="AN749" i="9"/>
  <c r="AO749" i="9"/>
  <c r="AP749" i="9"/>
  <c r="AQ749" i="9"/>
  <c r="AM750" i="9"/>
  <c r="AN750" i="9"/>
  <c r="AO750" i="9"/>
  <c r="AP750" i="9"/>
  <c r="AQ750" i="9"/>
  <c r="AM751" i="9"/>
  <c r="AN751" i="9"/>
  <c r="AO751" i="9"/>
  <c r="AP751" i="9"/>
  <c r="AQ751" i="9"/>
  <c r="AM752" i="9"/>
  <c r="AN752" i="9"/>
  <c r="AO752" i="9"/>
  <c r="AP752" i="9"/>
  <c r="AQ752" i="9"/>
  <c r="AM753" i="9"/>
  <c r="AN753" i="9"/>
  <c r="AO753" i="9"/>
  <c r="AP753" i="9"/>
  <c r="AQ753" i="9"/>
  <c r="AM754" i="9"/>
  <c r="AN754" i="9"/>
  <c r="AO754" i="9"/>
  <c r="AP754" i="9"/>
  <c r="AQ754" i="9"/>
  <c r="AM755" i="9"/>
  <c r="AN755" i="9"/>
  <c r="AO755" i="9"/>
  <c r="AP755" i="9"/>
  <c r="AQ755" i="9"/>
  <c r="AM756" i="9"/>
  <c r="AN756" i="9"/>
  <c r="AO756" i="9"/>
  <c r="AP756" i="9"/>
  <c r="AQ756" i="9"/>
  <c r="AM757" i="9"/>
  <c r="AN757" i="9"/>
  <c r="AO757" i="9"/>
  <c r="AP757" i="9"/>
  <c r="AQ757" i="9"/>
  <c r="AM758" i="9"/>
  <c r="AN758" i="9"/>
  <c r="AO758" i="9"/>
  <c r="AP758" i="9"/>
  <c r="AQ758" i="9"/>
  <c r="AM759" i="9"/>
  <c r="AN759" i="9"/>
  <c r="AO759" i="9"/>
  <c r="AP759" i="9"/>
  <c r="AQ759" i="9"/>
  <c r="AM760" i="9"/>
  <c r="AN760" i="9"/>
  <c r="AO760" i="9"/>
  <c r="AP760" i="9"/>
  <c r="AQ760" i="9"/>
  <c r="AM761" i="9"/>
  <c r="AN761" i="9"/>
  <c r="AO761" i="9"/>
  <c r="AP761" i="9"/>
  <c r="AQ761" i="9"/>
  <c r="AM762" i="9"/>
  <c r="AN762" i="9"/>
  <c r="AO762" i="9"/>
  <c r="AP762" i="9"/>
  <c r="AQ762" i="9"/>
  <c r="AM763" i="9"/>
  <c r="AN763" i="9"/>
  <c r="AO763" i="9"/>
  <c r="AP763" i="9"/>
  <c r="AQ763" i="9"/>
  <c r="AM764" i="9"/>
  <c r="AN764" i="9"/>
  <c r="AO764" i="9"/>
  <c r="AP764" i="9"/>
  <c r="AQ764" i="9"/>
  <c r="AM765" i="9"/>
  <c r="AN765" i="9"/>
  <c r="AO765" i="9"/>
  <c r="AP765" i="9"/>
  <c r="AQ765" i="9"/>
  <c r="AM766" i="9"/>
  <c r="AN766" i="9"/>
  <c r="AO766" i="9"/>
  <c r="AP766" i="9"/>
  <c r="AQ766" i="9"/>
  <c r="AM767" i="9"/>
  <c r="AN767" i="9"/>
  <c r="AO767" i="9"/>
  <c r="AP767" i="9"/>
  <c r="AQ767" i="9"/>
  <c r="AM768" i="9"/>
  <c r="AN768" i="9"/>
  <c r="AO768" i="9"/>
  <c r="AP768" i="9"/>
  <c r="AQ768" i="9"/>
  <c r="AM769" i="9"/>
  <c r="AN769" i="9"/>
  <c r="AO769" i="9"/>
  <c r="AP769" i="9"/>
  <c r="AQ769" i="9"/>
  <c r="AM770" i="9"/>
  <c r="AN770" i="9"/>
  <c r="AO770" i="9"/>
  <c r="AP770" i="9"/>
  <c r="AQ770" i="9"/>
  <c r="AM771" i="9"/>
  <c r="AN771" i="9"/>
  <c r="AO771" i="9"/>
  <c r="AP771" i="9"/>
  <c r="AQ771" i="9"/>
  <c r="AM772" i="9"/>
  <c r="AN772" i="9"/>
  <c r="AO772" i="9"/>
  <c r="AP772" i="9"/>
  <c r="AQ772" i="9"/>
  <c r="AM773" i="9"/>
  <c r="AN773" i="9"/>
  <c r="AO773" i="9"/>
  <c r="AP773" i="9"/>
  <c r="AQ773" i="9"/>
  <c r="AM774" i="9"/>
  <c r="AN774" i="9"/>
  <c r="AO774" i="9"/>
  <c r="AP774" i="9"/>
  <c r="AQ774" i="9"/>
  <c r="AM775" i="9"/>
  <c r="AN775" i="9"/>
  <c r="AO775" i="9"/>
  <c r="AP775" i="9"/>
  <c r="AQ775" i="9"/>
  <c r="AM776" i="9"/>
  <c r="AN776" i="9"/>
  <c r="AO776" i="9"/>
  <c r="AP776" i="9"/>
  <c r="AQ776" i="9"/>
  <c r="AM777" i="9"/>
  <c r="AN777" i="9"/>
  <c r="AO777" i="9"/>
  <c r="AP777" i="9"/>
  <c r="AQ777" i="9"/>
  <c r="AM778" i="9"/>
  <c r="AN778" i="9"/>
  <c r="AO778" i="9"/>
  <c r="AP778" i="9"/>
  <c r="AQ778" i="9"/>
  <c r="AM779" i="9"/>
  <c r="AN779" i="9"/>
  <c r="AO779" i="9"/>
  <c r="AP779" i="9"/>
  <c r="AQ779" i="9"/>
  <c r="AM780" i="9"/>
  <c r="AN780" i="9"/>
  <c r="AO780" i="9"/>
  <c r="AP780" i="9"/>
  <c r="AQ780" i="9"/>
  <c r="AM781" i="9"/>
  <c r="AN781" i="9"/>
  <c r="AO781" i="9"/>
  <c r="AP781" i="9"/>
  <c r="AQ781" i="9"/>
  <c r="AM782" i="9"/>
  <c r="AN782" i="9"/>
  <c r="AO782" i="9"/>
  <c r="AP782" i="9"/>
  <c r="AQ782" i="9"/>
  <c r="AM783" i="9"/>
  <c r="AN783" i="9"/>
  <c r="AO783" i="9"/>
  <c r="AP783" i="9"/>
  <c r="AQ783" i="9"/>
  <c r="AM784" i="9"/>
  <c r="AN784" i="9"/>
  <c r="AO784" i="9"/>
  <c r="AP784" i="9"/>
  <c r="AQ784" i="9"/>
  <c r="AM785" i="9"/>
  <c r="AN785" i="9"/>
  <c r="AO785" i="9"/>
  <c r="AP785" i="9"/>
  <c r="AQ785" i="9"/>
  <c r="AM786" i="9"/>
  <c r="AN786" i="9"/>
  <c r="AO786" i="9"/>
  <c r="AP786" i="9"/>
  <c r="AQ786" i="9"/>
  <c r="AM787" i="9"/>
  <c r="AN787" i="9"/>
  <c r="AO787" i="9"/>
  <c r="AP787" i="9"/>
  <c r="AQ787" i="9"/>
  <c r="AM788" i="9"/>
  <c r="AN788" i="9"/>
  <c r="AO788" i="9"/>
  <c r="AP788" i="9"/>
  <c r="AQ788" i="9"/>
  <c r="AM789" i="9"/>
  <c r="AN789" i="9"/>
  <c r="AO789" i="9"/>
  <c r="AP789" i="9"/>
  <c r="AQ789" i="9"/>
  <c r="AM790" i="9"/>
  <c r="AN790" i="9"/>
  <c r="AO790" i="9"/>
  <c r="AP790" i="9"/>
  <c r="AQ790" i="9"/>
  <c r="AM791" i="9"/>
  <c r="AN791" i="9"/>
  <c r="AO791" i="9"/>
  <c r="AP791" i="9"/>
  <c r="AQ791" i="9"/>
  <c r="AM792" i="9"/>
  <c r="AN792" i="9"/>
  <c r="AO792" i="9"/>
  <c r="AP792" i="9"/>
  <c r="AQ792" i="9"/>
  <c r="AM793" i="9"/>
  <c r="AN793" i="9"/>
  <c r="AO793" i="9"/>
  <c r="AP793" i="9"/>
  <c r="AQ793" i="9"/>
  <c r="AM794" i="9"/>
  <c r="AN794" i="9"/>
  <c r="AO794" i="9"/>
  <c r="AP794" i="9"/>
  <c r="AQ794" i="9"/>
  <c r="AM795" i="9"/>
  <c r="AN795" i="9"/>
  <c r="AO795" i="9"/>
  <c r="AP795" i="9"/>
  <c r="AQ795" i="9"/>
  <c r="AM796" i="9"/>
  <c r="AN796" i="9"/>
  <c r="AO796" i="9"/>
  <c r="AP796" i="9"/>
  <c r="AQ796" i="9"/>
  <c r="AM797" i="9"/>
  <c r="AN797" i="9"/>
  <c r="AO797" i="9"/>
  <c r="AP797" i="9"/>
  <c r="AQ797" i="9"/>
  <c r="AM798" i="9"/>
  <c r="AN798" i="9"/>
  <c r="AO798" i="9"/>
  <c r="AP798" i="9"/>
  <c r="AQ798" i="9"/>
  <c r="AM799" i="9"/>
  <c r="AN799" i="9"/>
  <c r="AO799" i="9"/>
  <c r="AP799" i="9"/>
  <c r="AQ799" i="9"/>
  <c r="AM800" i="9"/>
  <c r="AN800" i="9"/>
  <c r="AO800" i="9"/>
  <c r="AP800" i="9"/>
  <c r="AQ800" i="9"/>
  <c r="AM801" i="9"/>
  <c r="AN801" i="9"/>
  <c r="AO801" i="9"/>
  <c r="AP801" i="9"/>
  <c r="AQ801" i="9"/>
  <c r="AM802" i="9"/>
  <c r="AN802" i="9"/>
  <c r="AO802" i="9"/>
  <c r="AP802" i="9"/>
  <c r="AQ802" i="9"/>
  <c r="AM803" i="9"/>
  <c r="AN803" i="9"/>
  <c r="AO803" i="9"/>
  <c r="AP803" i="9"/>
  <c r="AQ803" i="9"/>
  <c r="AM804" i="9"/>
  <c r="AN804" i="9"/>
  <c r="AO804" i="9"/>
  <c r="AP804" i="9"/>
  <c r="AQ804" i="9"/>
  <c r="AM805" i="9"/>
  <c r="AN805" i="9"/>
  <c r="AO805" i="9"/>
  <c r="AP805" i="9"/>
  <c r="AQ805" i="9"/>
  <c r="AM806" i="9"/>
  <c r="AN806" i="9"/>
  <c r="AO806" i="9"/>
  <c r="AP806" i="9"/>
  <c r="AQ806" i="9"/>
  <c r="AM807" i="9"/>
  <c r="AN807" i="9"/>
  <c r="AO807" i="9"/>
  <c r="AP807" i="9"/>
  <c r="AQ807" i="9"/>
  <c r="AM808" i="9"/>
  <c r="AN808" i="9"/>
  <c r="AO808" i="9"/>
  <c r="AP808" i="9"/>
  <c r="AQ808" i="9"/>
  <c r="AM809" i="9"/>
  <c r="AN809" i="9"/>
  <c r="AO809" i="9"/>
  <c r="AP809" i="9"/>
  <c r="AQ809" i="9"/>
  <c r="AM810" i="9"/>
  <c r="AN810" i="9"/>
  <c r="AO810" i="9"/>
  <c r="AP810" i="9"/>
  <c r="AQ810" i="9"/>
  <c r="AM811" i="9"/>
  <c r="AN811" i="9"/>
  <c r="AO811" i="9"/>
  <c r="AP811" i="9"/>
  <c r="AQ811" i="9"/>
  <c r="AM812" i="9"/>
  <c r="AN812" i="9"/>
  <c r="AO812" i="9"/>
  <c r="AP812" i="9"/>
  <c r="AQ812" i="9"/>
  <c r="AM813" i="9"/>
  <c r="AN813" i="9"/>
  <c r="AO813" i="9"/>
  <c r="AP813" i="9"/>
  <c r="AQ813" i="9"/>
  <c r="AM814" i="9"/>
  <c r="AN814" i="9"/>
  <c r="AO814" i="9"/>
  <c r="AP814" i="9"/>
  <c r="AQ814" i="9"/>
  <c r="AM815" i="9"/>
  <c r="AN815" i="9"/>
  <c r="AO815" i="9"/>
  <c r="AP815" i="9"/>
  <c r="AQ815" i="9"/>
  <c r="AM816" i="9"/>
  <c r="AN816" i="9"/>
  <c r="AO816" i="9"/>
  <c r="AP816" i="9"/>
  <c r="AQ816" i="9"/>
  <c r="AM817" i="9"/>
  <c r="AN817" i="9"/>
  <c r="AO817" i="9"/>
  <c r="AP817" i="9"/>
  <c r="AQ817" i="9"/>
  <c r="AM818" i="9"/>
  <c r="AN818" i="9"/>
  <c r="AO818" i="9"/>
  <c r="AP818" i="9"/>
  <c r="AQ818" i="9"/>
  <c r="AM819" i="9"/>
  <c r="AN819" i="9"/>
  <c r="AO819" i="9"/>
  <c r="AP819" i="9"/>
  <c r="AQ819" i="9"/>
  <c r="AM820" i="9"/>
  <c r="AN820" i="9"/>
  <c r="AO820" i="9"/>
  <c r="AP820" i="9"/>
  <c r="AQ820" i="9"/>
  <c r="AM821" i="9"/>
  <c r="AN821" i="9"/>
  <c r="AO821" i="9"/>
  <c r="AP821" i="9"/>
  <c r="AQ821" i="9"/>
  <c r="AM822" i="9"/>
  <c r="AN822" i="9"/>
  <c r="AO822" i="9"/>
  <c r="AP822" i="9"/>
  <c r="AQ822" i="9"/>
  <c r="AM823" i="9"/>
  <c r="AN823" i="9"/>
  <c r="AO823" i="9"/>
  <c r="AP823" i="9"/>
  <c r="AQ823" i="9"/>
  <c r="AM824" i="9"/>
  <c r="AN824" i="9"/>
  <c r="AO824" i="9"/>
  <c r="AP824" i="9"/>
  <c r="AQ824" i="9"/>
  <c r="AM825" i="9"/>
  <c r="AN825" i="9"/>
  <c r="AO825" i="9"/>
  <c r="AP825" i="9"/>
  <c r="AQ825" i="9"/>
  <c r="AM826" i="9"/>
  <c r="AN826" i="9"/>
  <c r="AO826" i="9"/>
  <c r="AP826" i="9"/>
  <c r="AQ826" i="9"/>
  <c r="AM827" i="9"/>
  <c r="AN827" i="9"/>
  <c r="AO827" i="9"/>
  <c r="AP827" i="9"/>
  <c r="AQ827" i="9"/>
  <c r="AM828" i="9"/>
  <c r="AN828" i="9"/>
  <c r="AO828" i="9"/>
  <c r="AP828" i="9"/>
  <c r="AQ828" i="9"/>
  <c r="AM829" i="9"/>
  <c r="AN829" i="9"/>
  <c r="AO829" i="9"/>
  <c r="AP829" i="9"/>
  <c r="AQ829" i="9"/>
  <c r="AM830" i="9"/>
  <c r="AN830" i="9"/>
  <c r="AO830" i="9"/>
  <c r="AP830" i="9"/>
  <c r="AQ830" i="9"/>
  <c r="AM831" i="9"/>
  <c r="AN831" i="9"/>
  <c r="AO831" i="9"/>
  <c r="AP831" i="9"/>
  <c r="AQ831" i="9"/>
  <c r="AM832" i="9"/>
  <c r="AN832" i="9"/>
  <c r="AO832" i="9"/>
  <c r="AP832" i="9"/>
  <c r="AQ832" i="9"/>
  <c r="AM833" i="9"/>
  <c r="AN833" i="9"/>
  <c r="AO833" i="9"/>
  <c r="AP833" i="9"/>
  <c r="AQ833" i="9"/>
  <c r="AM834" i="9"/>
  <c r="AN834" i="9"/>
  <c r="AO834" i="9"/>
  <c r="AP834" i="9"/>
  <c r="AQ834" i="9"/>
  <c r="AM835" i="9"/>
  <c r="AN835" i="9"/>
  <c r="AO835" i="9"/>
  <c r="AP835" i="9"/>
  <c r="AQ835" i="9"/>
  <c r="AM836" i="9"/>
  <c r="AN836" i="9"/>
  <c r="AO836" i="9"/>
  <c r="AP836" i="9"/>
  <c r="AQ836" i="9"/>
  <c r="AM837" i="9"/>
  <c r="AN837" i="9"/>
  <c r="AO837" i="9"/>
  <c r="AP837" i="9"/>
  <c r="AQ837" i="9"/>
  <c r="AM838" i="9"/>
  <c r="AN838" i="9"/>
  <c r="AO838" i="9"/>
  <c r="AP838" i="9"/>
  <c r="AQ838" i="9"/>
  <c r="AM839" i="9"/>
  <c r="AN839" i="9"/>
  <c r="AO839" i="9"/>
  <c r="AP839" i="9"/>
  <c r="AQ839" i="9"/>
  <c r="AM840" i="9"/>
  <c r="AN840" i="9"/>
  <c r="AO840" i="9"/>
  <c r="AP840" i="9"/>
  <c r="AQ840" i="9"/>
  <c r="AM841" i="9"/>
  <c r="AN841" i="9"/>
  <c r="AO841" i="9"/>
  <c r="AP841" i="9"/>
  <c r="AQ841" i="9"/>
  <c r="AM842" i="9"/>
  <c r="AN842" i="9"/>
  <c r="AO842" i="9"/>
  <c r="AP842" i="9"/>
  <c r="AQ842" i="9"/>
  <c r="AM843" i="9"/>
  <c r="AN843" i="9"/>
  <c r="AO843" i="9"/>
  <c r="AP843" i="9"/>
  <c r="AQ843" i="9"/>
  <c r="AM844" i="9"/>
  <c r="AN844" i="9"/>
  <c r="AO844" i="9"/>
  <c r="AP844" i="9"/>
  <c r="AQ844" i="9"/>
  <c r="AM845" i="9"/>
  <c r="AN845" i="9"/>
  <c r="AO845" i="9"/>
  <c r="AP845" i="9"/>
  <c r="AQ845" i="9"/>
  <c r="AM846" i="9"/>
  <c r="AN846" i="9"/>
  <c r="AO846" i="9"/>
  <c r="AP846" i="9"/>
  <c r="AQ846" i="9"/>
  <c r="AM847" i="9"/>
  <c r="AN847" i="9"/>
  <c r="AO847" i="9"/>
  <c r="AP847" i="9"/>
  <c r="AQ847" i="9"/>
  <c r="AM848" i="9"/>
  <c r="AN848" i="9"/>
  <c r="AO848" i="9"/>
  <c r="AP848" i="9"/>
  <c r="AQ848" i="9"/>
  <c r="AM849" i="9"/>
  <c r="AN849" i="9"/>
  <c r="AO849" i="9"/>
  <c r="AP849" i="9"/>
  <c r="AQ849" i="9"/>
  <c r="AM850" i="9"/>
  <c r="AN850" i="9"/>
  <c r="AO850" i="9"/>
  <c r="AP850" i="9"/>
  <c r="AQ850" i="9"/>
  <c r="AM851" i="9"/>
  <c r="AN851" i="9"/>
  <c r="AO851" i="9"/>
  <c r="AP851" i="9"/>
  <c r="AQ851" i="9"/>
  <c r="AM852" i="9"/>
  <c r="AN852" i="9"/>
  <c r="AO852" i="9"/>
  <c r="AP852" i="9"/>
  <c r="AQ852" i="9"/>
  <c r="AM853" i="9"/>
  <c r="AN853" i="9"/>
  <c r="AO853" i="9"/>
  <c r="AP853" i="9"/>
  <c r="AQ853" i="9"/>
  <c r="AM854" i="9"/>
  <c r="AN854" i="9"/>
  <c r="AO854" i="9"/>
  <c r="AP854" i="9"/>
  <c r="AQ854" i="9"/>
  <c r="AM855" i="9"/>
  <c r="AN855" i="9"/>
  <c r="AO855" i="9"/>
  <c r="AP855" i="9"/>
  <c r="AQ855" i="9"/>
  <c r="AM856" i="9"/>
  <c r="AN856" i="9"/>
  <c r="AO856" i="9"/>
  <c r="AP856" i="9"/>
  <c r="AQ856" i="9"/>
  <c r="AM857" i="9"/>
  <c r="AN857" i="9"/>
  <c r="AO857" i="9"/>
  <c r="AP857" i="9"/>
  <c r="AQ857" i="9"/>
  <c r="AM858" i="9"/>
  <c r="AN858" i="9"/>
  <c r="AO858" i="9"/>
  <c r="AP858" i="9"/>
  <c r="AQ858" i="9"/>
  <c r="AM859" i="9"/>
  <c r="AN859" i="9"/>
  <c r="AO859" i="9"/>
  <c r="AP859" i="9"/>
  <c r="AQ859" i="9"/>
  <c r="AM860" i="9"/>
  <c r="AN860" i="9"/>
  <c r="AO860" i="9"/>
  <c r="AP860" i="9"/>
  <c r="AQ860" i="9"/>
  <c r="AM861" i="9"/>
  <c r="AN861" i="9"/>
  <c r="AO861" i="9"/>
  <c r="AP861" i="9"/>
  <c r="AQ861" i="9"/>
  <c r="AM862" i="9"/>
  <c r="AN862" i="9"/>
  <c r="AO862" i="9"/>
  <c r="AP862" i="9"/>
  <c r="AQ862" i="9"/>
  <c r="AM863" i="9"/>
  <c r="AN863" i="9"/>
  <c r="AO863" i="9"/>
  <c r="AP863" i="9"/>
  <c r="AQ863" i="9"/>
  <c r="AM864" i="9"/>
  <c r="AN864" i="9"/>
  <c r="AO864" i="9"/>
  <c r="AP864" i="9"/>
  <c r="AQ864" i="9"/>
  <c r="AM865" i="9"/>
  <c r="AN865" i="9"/>
  <c r="AO865" i="9"/>
  <c r="AP865" i="9"/>
  <c r="AQ865" i="9"/>
  <c r="AM866" i="9"/>
  <c r="AN866" i="9"/>
  <c r="AO866" i="9"/>
  <c r="AP866" i="9"/>
  <c r="AQ866" i="9"/>
  <c r="AM867" i="9"/>
  <c r="AN867" i="9"/>
  <c r="AO867" i="9"/>
  <c r="AP867" i="9"/>
  <c r="AQ867" i="9"/>
  <c r="AM868" i="9"/>
  <c r="AN868" i="9"/>
  <c r="AO868" i="9"/>
  <c r="AP868" i="9"/>
  <c r="AQ868" i="9"/>
  <c r="AM869" i="9"/>
  <c r="AN869" i="9"/>
  <c r="AO869" i="9"/>
  <c r="AP869" i="9"/>
  <c r="AQ869" i="9"/>
  <c r="AM870" i="9"/>
  <c r="AN870" i="9"/>
  <c r="AO870" i="9"/>
  <c r="AP870" i="9"/>
  <c r="AQ870" i="9"/>
  <c r="AM871" i="9"/>
  <c r="AN871" i="9"/>
  <c r="AO871" i="9"/>
  <c r="AP871" i="9"/>
  <c r="AQ871" i="9"/>
  <c r="AM872" i="9"/>
  <c r="AN872" i="9"/>
  <c r="AO872" i="9"/>
  <c r="AP872" i="9"/>
  <c r="AQ872" i="9"/>
  <c r="AM873" i="9"/>
  <c r="AN873" i="9"/>
  <c r="AO873" i="9"/>
  <c r="AP873" i="9"/>
  <c r="AQ873" i="9"/>
  <c r="AM874" i="9"/>
  <c r="AN874" i="9"/>
  <c r="AO874" i="9"/>
  <c r="AP874" i="9"/>
  <c r="AQ874" i="9"/>
  <c r="AM875" i="9"/>
  <c r="AN875" i="9"/>
  <c r="AO875" i="9"/>
  <c r="AP875" i="9"/>
  <c r="AQ875" i="9"/>
  <c r="AM876" i="9"/>
  <c r="AN876" i="9"/>
  <c r="AO876" i="9"/>
  <c r="AP876" i="9"/>
  <c r="AQ876" i="9"/>
  <c r="AM877" i="9"/>
  <c r="AN877" i="9"/>
  <c r="AO877" i="9"/>
  <c r="AP877" i="9"/>
  <c r="AQ877" i="9"/>
  <c r="AM878" i="9"/>
  <c r="AN878" i="9"/>
  <c r="AO878" i="9"/>
  <c r="AP878" i="9"/>
  <c r="AQ878" i="9"/>
  <c r="AM879" i="9"/>
  <c r="AN879" i="9"/>
  <c r="AO879" i="9"/>
  <c r="AP879" i="9"/>
  <c r="AQ879" i="9"/>
  <c r="AM880" i="9"/>
  <c r="AN880" i="9"/>
  <c r="AO880" i="9"/>
  <c r="AP880" i="9"/>
  <c r="AQ880" i="9"/>
  <c r="AM881" i="9"/>
  <c r="AN881" i="9"/>
  <c r="AO881" i="9"/>
  <c r="AP881" i="9"/>
  <c r="AQ881" i="9"/>
  <c r="AM882" i="9"/>
  <c r="AN882" i="9"/>
  <c r="AO882" i="9"/>
  <c r="AP882" i="9"/>
  <c r="AQ882" i="9"/>
  <c r="AM883" i="9"/>
  <c r="AN883" i="9"/>
  <c r="AO883" i="9"/>
  <c r="AP883" i="9"/>
  <c r="AQ883" i="9"/>
  <c r="AM884" i="9"/>
  <c r="AN884" i="9"/>
  <c r="AO884" i="9"/>
  <c r="AP884" i="9"/>
  <c r="AQ884" i="9"/>
  <c r="AM885" i="9"/>
  <c r="AN885" i="9"/>
  <c r="AO885" i="9"/>
  <c r="AP885" i="9"/>
  <c r="AQ885" i="9"/>
  <c r="AM886" i="9"/>
  <c r="AN886" i="9"/>
  <c r="AO886" i="9"/>
  <c r="AP886" i="9"/>
  <c r="AQ886" i="9"/>
  <c r="AM887" i="9"/>
  <c r="AN887" i="9"/>
  <c r="AO887" i="9"/>
  <c r="AP887" i="9"/>
  <c r="AQ887" i="9"/>
  <c r="AM888" i="9"/>
  <c r="AN888" i="9"/>
  <c r="AO888" i="9"/>
  <c r="AP888" i="9"/>
  <c r="AQ888" i="9"/>
  <c r="AM889" i="9"/>
  <c r="AN889" i="9"/>
  <c r="AO889" i="9"/>
  <c r="AP889" i="9"/>
  <c r="AQ889" i="9"/>
  <c r="AM890" i="9"/>
  <c r="AN890" i="9"/>
  <c r="AO890" i="9"/>
  <c r="AP890" i="9"/>
  <c r="AQ890" i="9"/>
  <c r="AM891" i="9"/>
  <c r="AN891" i="9"/>
  <c r="AO891" i="9"/>
  <c r="AP891" i="9"/>
  <c r="AQ891" i="9"/>
  <c r="AM892" i="9"/>
  <c r="AN892" i="9"/>
  <c r="AO892" i="9"/>
  <c r="AP892" i="9"/>
  <c r="AQ892" i="9"/>
  <c r="AM893" i="9"/>
  <c r="AN893" i="9"/>
  <c r="AO893" i="9"/>
  <c r="AP893" i="9"/>
  <c r="AQ893" i="9"/>
  <c r="AM894" i="9"/>
  <c r="AN894" i="9"/>
  <c r="AO894" i="9"/>
  <c r="AP894" i="9"/>
  <c r="AQ894" i="9"/>
  <c r="AM895" i="9"/>
  <c r="AN895" i="9"/>
  <c r="AO895" i="9"/>
  <c r="AP895" i="9"/>
  <c r="AQ895" i="9"/>
  <c r="AM896" i="9"/>
  <c r="AN896" i="9"/>
  <c r="AO896" i="9"/>
  <c r="AP896" i="9"/>
  <c r="AQ896" i="9"/>
  <c r="AM897" i="9"/>
  <c r="AN897" i="9"/>
  <c r="AO897" i="9"/>
  <c r="AP897" i="9"/>
  <c r="AQ897" i="9"/>
  <c r="AM898" i="9"/>
  <c r="AN898" i="9"/>
  <c r="AO898" i="9"/>
  <c r="AP898" i="9"/>
  <c r="AQ898" i="9"/>
  <c r="AM899" i="9"/>
  <c r="AN899" i="9"/>
  <c r="AO899" i="9"/>
  <c r="AP899" i="9"/>
  <c r="AQ899" i="9"/>
  <c r="AM900" i="9"/>
  <c r="AN900" i="9"/>
  <c r="AO900" i="9"/>
  <c r="AP900" i="9"/>
  <c r="AQ900" i="9"/>
  <c r="AM901" i="9"/>
  <c r="AN901" i="9"/>
  <c r="AO901" i="9"/>
  <c r="AP901" i="9"/>
  <c r="AQ901" i="9"/>
  <c r="AM902" i="9"/>
  <c r="AN902" i="9"/>
  <c r="AO902" i="9"/>
  <c r="AP902" i="9"/>
  <c r="AQ902" i="9"/>
  <c r="AM903" i="9"/>
  <c r="AN903" i="9"/>
  <c r="AO903" i="9"/>
  <c r="AP903" i="9"/>
  <c r="AQ903" i="9"/>
  <c r="AM904" i="9"/>
  <c r="AN904" i="9"/>
  <c r="AO904" i="9"/>
  <c r="AP904" i="9"/>
  <c r="AQ904" i="9"/>
  <c r="AM905" i="9"/>
  <c r="AN905" i="9"/>
  <c r="AO905" i="9"/>
  <c r="AP905" i="9"/>
  <c r="AQ905" i="9"/>
  <c r="AM906" i="9"/>
  <c r="AN906" i="9"/>
  <c r="AO906" i="9"/>
  <c r="AP906" i="9"/>
  <c r="AQ906" i="9"/>
  <c r="AM907" i="9"/>
  <c r="AN907" i="9"/>
  <c r="AO907" i="9"/>
  <c r="AP907" i="9"/>
  <c r="AQ907" i="9"/>
  <c r="AM908" i="9"/>
  <c r="AN908" i="9"/>
  <c r="AO908" i="9"/>
  <c r="AP908" i="9"/>
  <c r="AQ908" i="9"/>
  <c r="AM909" i="9"/>
  <c r="AN909" i="9"/>
  <c r="AO909" i="9"/>
  <c r="AP909" i="9"/>
  <c r="AQ909" i="9"/>
  <c r="AM910" i="9"/>
  <c r="AN910" i="9"/>
  <c r="AO910" i="9"/>
  <c r="AP910" i="9"/>
  <c r="AQ910" i="9"/>
  <c r="AM911" i="9"/>
  <c r="AN911" i="9"/>
  <c r="AO911" i="9"/>
  <c r="AP911" i="9"/>
  <c r="AQ911" i="9"/>
  <c r="AM912" i="9"/>
  <c r="AN912" i="9"/>
  <c r="AO912" i="9"/>
  <c r="AP912" i="9"/>
  <c r="AQ912" i="9"/>
  <c r="AM913" i="9"/>
  <c r="AN913" i="9"/>
  <c r="AO913" i="9"/>
  <c r="AP913" i="9"/>
  <c r="AQ913" i="9"/>
  <c r="AM914" i="9"/>
  <c r="AN914" i="9"/>
  <c r="AO914" i="9"/>
  <c r="AP914" i="9"/>
  <c r="AQ914" i="9"/>
  <c r="AM915" i="9"/>
  <c r="AN915" i="9"/>
  <c r="AO915" i="9"/>
  <c r="AP915" i="9"/>
  <c r="AQ915" i="9"/>
  <c r="AM916" i="9"/>
  <c r="AN916" i="9"/>
  <c r="AO916" i="9"/>
  <c r="AP916" i="9"/>
  <c r="AQ916" i="9"/>
  <c r="AM917" i="9"/>
  <c r="AN917" i="9"/>
  <c r="AO917" i="9"/>
  <c r="AP917" i="9"/>
  <c r="AQ917" i="9"/>
  <c r="AM918" i="9"/>
  <c r="AN918" i="9"/>
  <c r="AO918" i="9"/>
  <c r="AP918" i="9"/>
  <c r="AQ918" i="9"/>
  <c r="AM919" i="9"/>
  <c r="AN919" i="9"/>
  <c r="AO919" i="9"/>
  <c r="AP919" i="9"/>
  <c r="AQ919" i="9"/>
  <c r="AM920" i="9"/>
  <c r="AN920" i="9"/>
  <c r="AO920" i="9"/>
  <c r="AP920" i="9"/>
  <c r="AQ920" i="9"/>
  <c r="AM921" i="9"/>
  <c r="AN921" i="9"/>
  <c r="AO921" i="9"/>
  <c r="AP921" i="9"/>
  <c r="AQ921" i="9"/>
  <c r="AM922" i="9"/>
  <c r="AN922" i="9"/>
  <c r="AO922" i="9"/>
  <c r="AP922" i="9"/>
  <c r="AQ922" i="9"/>
  <c r="AM923" i="9"/>
  <c r="AN923" i="9"/>
  <c r="AO923" i="9"/>
  <c r="AP923" i="9"/>
  <c r="AQ923" i="9"/>
  <c r="AM924" i="9"/>
  <c r="AN924" i="9"/>
  <c r="AO924" i="9"/>
  <c r="AP924" i="9"/>
  <c r="AQ924" i="9"/>
  <c r="AM925" i="9"/>
  <c r="AN925" i="9"/>
  <c r="AO925" i="9"/>
  <c r="AP925" i="9"/>
  <c r="AQ925" i="9"/>
  <c r="AM926" i="9"/>
  <c r="AN926" i="9"/>
  <c r="AO926" i="9"/>
  <c r="AP926" i="9"/>
  <c r="AQ926" i="9"/>
  <c r="AM927" i="9"/>
  <c r="AN927" i="9"/>
  <c r="AO927" i="9"/>
  <c r="AP927" i="9"/>
  <c r="AQ927" i="9"/>
  <c r="AM928" i="9"/>
  <c r="AN928" i="9"/>
  <c r="AO928" i="9"/>
  <c r="AP928" i="9"/>
  <c r="AQ928" i="9"/>
  <c r="AM929" i="9"/>
  <c r="AN929" i="9"/>
  <c r="AO929" i="9"/>
  <c r="AP929" i="9"/>
  <c r="AQ929" i="9"/>
  <c r="AM930" i="9"/>
  <c r="AN930" i="9"/>
  <c r="AO930" i="9"/>
  <c r="AP930" i="9"/>
  <c r="AQ930" i="9"/>
  <c r="AM931" i="9"/>
  <c r="AN931" i="9"/>
  <c r="AO931" i="9"/>
  <c r="AP931" i="9"/>
  <c r="AQ931" i="9"/>
  <c r="AM932" i="9"/>
  <c r="AN932" i="9"/>
  <c r="AO932" i="9"/>
  <c r="AP932" i="9"/>
  <c r="AQ932" i="9"/>
  <c r="AM933" i="9"/>
  <c r="AN933" i="9"/>
  <c r="AO933" i="9"/>
  <c r="AP933" i="9"/>
  <c r="AQ933" i="9"/>
  <c r="AM934" i="9"/>
  <c r="AN934" i="9"/>
  <c r="AO934" i="9"/>
  <c r="AP934" i="9"/>
  <c r="AQ934" i="9"/>
  <c r="AM935" i="9"/>
  <c r="AN935" i="9"/>
  <c r="AO935" i="9"/>
  <c r="AP935" i="9"/>
  <c r="AQ935" i="9"/>
  <c r="AM936" i="9"/>
  <c r="AN936" i="9"/>
  <c r="AO936" i="9"/>
  <c r="AP936" i="9"/>
  <c r="AQ936" i="9"/>
  <c r="AM937" i="9"/>
  <c r="AN937" i="9"/>
  <c r="AO937" i="9"/>
  <c r="AP937" i="9"/>
  <c r="AQ937" i="9"/>
  <c r="AM938" i="9"/>
  <c r="AN938" i="9"/>
  <c r="AO938" i="9"/>
  <c r="AP938" i="9"/>
  <c r="AQ938" i="9"/>
  <c r="AM939" i="9"/>
  <c r="AN939" i="9"/>
  <c r="AO939" i="9"/>
  <c r="AP939" i="9"/>
  <c r="AQ939" i="9"/>
  <c r="AM940" i="9"/>
  <c r="AN940" i="9"/>
  <c r="AO940" i="9"/>
  <c r="AP940" i="9"/>
  <c r="AQ940" i="9"/>
  <c r="AM941" i="9"/>
  <c r="AN941" i="9"/>
  <c r="AO941" i="9"/>
  <c r="AP941" i="9"/>
  <c r="AQ941" i="9"/>
  <c r="AM942" i="9"/>
  <c r="AN942" i="9"/>
  <c r="AO942" i="9"/>
  <c r="AP942" i="9"/>
  <c r="AQ942" i="9"/>
  <c r="AM943" i="9"/>
  <c r="AN943" i="9"/>
  <c r="AO943" i="9"/>
  <c r="AP943" i="9"/>
  <c r="AQ943" i="9"/>
  <c r="AM944" i="9"/>
  <c r="AN944" i="9"/>
  <c r="AO944" i="9"/>
  <c r="AP944" i="9"/>
  <c r="AQ944" i="9"/>
  <c r="AM945" i="9"/>
  <c r="AN945" i="9"/>
  <c r="AO945" i="9"/>
  <c r="AP945" i="9"/>
  <c r="AQ945" i="9"/>
  <c r="AM946" i="9"/>
  <c r="AN946" i="9"/>
  <c r="AO946" i="9"/>
  <c r="AP946" i="9"/>
  <c r="AQ946" i="9"/>
  <c r="AM947" i="9"/>
  <c r="AN947" i="9"/>
  <c r="AO947" i="9"/>
  <c r="AP947" i="9"/>
  <c r="AQ947" i="9"/>
  <c r="AM948" i="9"/>
  <c r="AN948" i="9"/>
  <c r="AO948" i="9"/>
  <c r="AP948" i="9"/>
  <c r="AQ948" i="9"/>
  <c r="AM949" i="9"/>
  <c r="AN949" i="9"/>
  <c r="AO949" i="9"/>
  <c r="AP949" i="9"/>
  <c r="AQ949" i="9"/>
  <c r="AM950" i="9"/>
  <c r="AN950" i="9"/>
  <c r="AO950" i="9"/>
  <c r="AP950" i="9"/>
  <c r="AQ950" i="9"/>
  <c r="AM951" i="9"/>
  <c r="AN951" i="9"/>
  <c r="AO951" i="9"/>
  <c r="AP951" i="9"/>
  <c r="AQ951" i="9"/>
  <c r="AM952" i="9"/>
  <c r="AN952" i="9"/>
  <c r="AO952" i="9"/>
  <c r="AP952" i="9"/>
  <c r="AQ952" i="9"/>
  <c r="AM953" i="9"/>
  <c r="AN953" i="9"/>
  <c r="AO953" i="9"/>
  <c r="AP953" i="9"/>
  <c r="AQ953" i="9"/>
  <c r="AM954" i="9"/>
  <c r="AN954" i="9"/>
  <c r="AO954" i="9"/>
  <c r="AP954" i="9"/>
  <c r="AQ954" i="9"/>
  <c r="AM955" i="9"/>
  <c r="AN955" i="9"/>
  <c r="AO955" i="9"/>
  <c r="AP955" i="9"/>
  <c r="AQ955" i="9"/>
  <c r="AM956" i="9"/>
  <c r="AN956" i="9"/>
  <c r="AO956" i="9"/>
  <c r="AP956" i="9"/>
  <c r="AQ956" i="9"/>
  <c r="AM957" i="9"/>
  <c r="AN957" i="9"/>
  <c r="AO957" i="9"/>
  <c r="AP957" i="9"/>
  <c r="AQ957" i="9"/>
  <c r="AM958" i="9"/>
  <c r="AN958" i="9"/>
  <c r="AO958" i="9"/>
  <c r="AP958" i="9"/>
  <c r="AQ958" i="9"/>
  <c r="AM959" i="9"/>
  <c r="AN959" i="9"/>
  <c r="AO959" i="9"/>
  <c r="AP959" i="9"/>
  <c r="AQ959" i="9"/>
  <c r="AM960" i="9"/>
  <c r="AN960" i="9"/>
  <c r="AO960" i="9"/>
  <c r="AP960" i="9"/>
  <c r="AQ960" i="9"/>
  <c r="AM961" i="9"/>
  <c r="AN961" i="9"/>
  <c r="AO961" i="9"/>
  <c r="AP961" i="9"/>
  <c r="AQ961" i="9"/>
  <c r="AM962" i="9"/>
  <c r="AN962" i="9"/>
  <c r="AO962" i="9"/>
  <c r="AP962" i="9"/>
  <c r="AQ962" i="9"/>
  <c r="AM963" i="9"/>
  <c r="AN963" i="9"/>
  <c r="AO963" i="9"/>
  <c r="AP963" i="9"/>
  <c r="AQ963" i="9"/>
  <c r="AM964" i="9"/>
  <c r="AN964" i="9"/>
  <c r="AO964" i="9"/>
  <c r="AP964" i="9"/>
  <c r="AQ964" i="9"/>
  <c r="AM965" i="9"/>
  <c r="AN965" i="9"/>
  <c r="AO965" i="9"/>
  <c r="AP965" i="9"/>
  <c r="AQ965" i="9"/>
  <c r="AM966" i="9"/>
  <c r="AN966" i="9"/>
  <c r="AO966" i="9"/>
  <c r="AP966" i="9"/>
  <c r="AQ966" i="9"/>
  <c r="AM967" i="9"/>
  <c r="AN967" i="9"/>
  <c r="AO967" i="9"/>
  <c r="AP967" i="9"/>
  <c r="AQ967" i="9"/>
  <c r="AM968" i="9"/>
  <c r="AN968" i="9"/>
  <c r="AO968" i="9"/>
  <c r="AP968" i="9"/>
  <c r="AQ968" i="9"/>
  <c r="AM969" i="9"/>
  <c r="AN969" i="9"/>
  <c r="AO969" i="9"/>
  <c r="AP969" i="9"/>
  <c r="AQ969" i="9"/>
  <c r="AM970" i="9"/>
  <c r="AN970" i="9"/>
  <c r="AO970" i="9"/>
  <c r="AP970" i="9"/>
  <c r="AQ970" i="9"/>
  <c r="AM971" i="9"/>
  <c r="AN971" i="9"/>
  <c r="AO971" i="9"/>
  <c r="AP971" i="9"/>
  <c r="AQ971" i="9"/>
  <c r="AM972" i="9"/>
  <c r="AN972" i="9"/>
  <c r="AO972" i="9"/>
  <c r="AP972" i="9"/>
  <c r="AQ972" i="9"/>
  <c r="AM973" i="9"/>
  <c r="AN973" i="9"/>
  <c r="AO973" i="9"/>
  <c r="AP973" i="9"/>
  <c r="AQ973" i="9"/>
  <c r="AM974" i="9"/>
  <c r="AN974" i="9"/>
  <c r="AO974" i="9"/>
  <c r="AP974" i="9"/>
  <c r="AQ974" i="9"/>
  <c r="AM975" i="9"/>
  <c r="AN975" i="9"/>
  <c r="AO975" i="9"/>
  <c r="AP975" i="9"/>
  <c r="AQ975" i="9"/>
  <c r="AM976" i="9"/>
  <c r="AN976" i="9"/>
  <c r="AO976" i="9"/>
  <c r="AP976" i="9"/>
  <c r="AQ976" i="9"/>
  <c r="AM977" i="9"/>
  <c r="AN977" i="9"/>
  <c r="AO977" i="9"/>
  <c r="AP977" i="9"/>
  <c r="AQ977" i="9"/>
  <c r="AM978" i="9"/>
  <c r="AN978" i="9"/>
  <c r="AO978" i="9"/>
  <c r="AP978" i="9"/>
  <c r="AQ978" i="9"/>
  <c r="AM979" i="9"/>
  <c r="AN979" i="9"/>
  <c r="AO979" i="9"/>
  <c r="AP979" i="9"/>
  <c r="AQ979" i="9"/>
  <c r="AM980" i="9"/>
  <c r="AN980" i="9"/>
  <c r="AO980" i="9"/>
  <c r="AP980" i="9"/>
  <c r="AQ980" i="9"/>
  <c r="AM981" i="9"/>
  <c r="AN981" i="9"/>
  <c r="AO981" i="9"/>
  <c r="AP981" i="9"/>
  <c r="AQ981" i="9"/>
  <c r="AM982" i="9"/>
  <c r="AN982" i="9"/>
  <c r="AO982" i="9"/>
  <c r="AP982" i="9"/>
  <c r="AQ982" i="9"/>
  <c r="AM983" i="9"/>
  <c r="AN983" i="9"/>
  <c r="AO983" i="9"/>
  <c r="AP983" i="9"/>
  <c r="AQ983" i="9"/>
  <c r="AM984" i="9"/>
  <c r="AN984" i="9"/>
  <c r="AO984" i="9"/>
  <c r="AP984" i="9"/>
  <c r="AQ984" i="9"/>
  <c r="AM985" i="9"/>
  <c r="AN985" i="9"/>
  <c r="AO985" i="9"/>
  <c r="AP985" i="9"/>
  <c r="AQ985" i="9"/>
  <c r="AM986" i="9"/>
  <c r="AN986" i="9"/>
  <c r="AO986" i="9"/>
  <c r="AP986" i="9"/>
  <c r="AQ986" i="9"/>
  <c r="AM987" i="9"/>
  <c r="AN987" i="9"/>
  <c r="AO987" i="9"/>
  <c r="AP987" i="9"/>
  <c r="AQ987" i="9"/>
  <c r="AM988" i="9"/>
  <c r="AN988" i="9"/>
  <c r="AO988" i="9"/>
  <c r="AP988" i="9"/>
  <c r="AQ988" i="9"/>
  <c r="AM989" i="9"/>
  <c r="AN989" i="9"/>
  <c r="AO989" i="9"/>
  <c r="AP989" i="9"/>
  <c r="AQ989" i="9"/>
  <c r="AM990" i="9"/>
  <c r="AN990" i="9"/>
  <c r="AO990" i="9"/>
  <c r="AP990" i="9"/>
  <c r="AQ990" i="9"/>
  <c r="AM991" i="9"/>
  <c r="AN991" i="9"/>
  <c r="AO991" i="9"/>
  <c r="AP991" i="9"/>
  <c r="AQ991" i="9"/>
  <c r="AM992" i="9"/>
  <c r="AN992" i="9"/>
  <c r="AO992" i="9"/>
  <c r="AP992" i="9"/>
  <c r="AQ992" i="9"/>
  <c r="AM993" i="9"/>
  <c r="AN993" i="9"/>
  <c r="AO993" i="9"/>
  <c r="AP993" i="9"/>
  <c r="AQ993" i="9"/>
  <c r="AM994" i="9"/>
  <c r="AN994" i="9"/>
  <c r="AO994" i="9"/>
  <c r="AP994" i="9"/>
  <c r="AQ994" i="9"/>
  <c r="AM995" i="9"/>
  <c r="AN995" i="9"/>
  <c r="AO995" i="9"/>
  <c r="AP995" i="9"/>
  <c r="AQ995" i="9"/>
  <c r="AM996" i="9"/>
  <c r="AN996" i="9"/>
  <c r="AO996" i="9"/>
  <c r="AP996" i="9"/>
  <c r="AQ996" i="9"/>
  <c r="AM997" i="9"/>
  <c r="AN997" i="9"/>
  <c r="AO997" i="9"/>
  <c r="AP997" i="9"/>
  <c r="AQ997" i="9"/>
  <c r="AM998" i="9"/>
  <c r="AN998" i="9"/>
  <c r="AO998" i="9"/>
  <c r="AP998" i="9"/>
  <c r="AQ998" i="9"/>
  <c r="AM999" i="9"/>
  <c r="AN999" i="9"/>
  <c r="AO999" i="9"/>
  <c r="AP999" i="9"/>
  <c r="AQ999" i="9"/>
  <c r="AM1000" i="9"/>
  <c r="AN1000" i="9"/>
  <c r="AO1000" i="9"/>
  <c r="AP1000" i="9"/>
  <c r="AQ1000" i="9"/>
  <c r="AM1001" i="9"/>
  <c r="AN1001" i="9"/>
  <c r="AO1001" i="9"/>
  <c r="AP1001" i="9"/>
  <c r="AQ1001" i="9"/>
  <c r="AM1002" i="9"/>
  <c r="AN1002" i="9"/>
  <c r="AO1002" i="9"/>
  <c r="AP1002" i="9"/>
  <c r="AQ1002" i="9"/>
  <c r="AM1003" i="9"/>
  <c r="AN1003" i="9"/>
  <c r="AO1003" i="9"/>
  <c r="AP1003" i="9"/>
  <c r="AQ1003" i="9"/>
  <c r="AM1004" i="9"/>
  <c r="AN1004" i="9"/>
  <c r="AO1004" i="9"/>
  <c r="AP1004" i="9"/>
  <c r="AQ1004" i="9"/>
  <c r="AM1005" i="9"/>
  <c r="AN1005" i="9"/>
  <c r="AO1005" i="9"/>
  <c r="AP1005" i="9"/>
  <c r="AQ1005" i="9"/>
  <c r="AM1006" i="9"/>
  <c r="AN1006" i="9"/>
  <c r="AO1006" i="9"/>
  <c r="AP1006" i="9"/>
  <c r="AQ1006" i="9"/>
  <c r="AM1007" i="9"/>
  <c r="AN1007" i="9"/>
  <c r="AO1007" i="9"/>
  <c r="AP1007" i="9"/>
  <c r="AQ1007" i="9"/>
  <c r="AM1008" i="9"/>
  <c r="AN1008" i="9"/>
  <c r="AO1008" i="9"/>
  <c r="AP1008" i="9"/>
  <c r="AQ1008" i="9"/>
  <c r="AM1009" i="9"/>
  <c r="AN1009" i="9"/>
  <c r="AO1009" i="9"/>
  <c r="AP1009" i="9"/>
  <c r="AQ1009" i="9"/>
  <c r="AM1010" i="9"/>
  <c r="AN1010" i="9"/>
  <c r="AO1010" i="9"/>
  <c r="AP1010" i="9"/>
  <c r="AQ1010" i="9"/>
  <c r="AM1011" i="9"/>
  <c r="AN1011" i="9"/>
  <c r="AO1011" i="9"/>
  <c r="AP1011" i="9"/>
  <c r="AQ1011" i="9"/>
  <c r="AM1012" i="9"/>
  <c r="AN1012" i="9"/>
  <c r="AO1012" i="9"/>
  <c r="AP1012" i="9"/>
  <c r="AQ1012" i="9"/>
  <c r="AM1013" i="9"/>
  <c r="AN1013" i="9"/>
  <c r="AO1013" i="9"/>
  <c r="AP1013" i="9"/>
  <c r="AQ1013" i="9"/>
  <c r="AM1014" i="9"/>
  <c r="AN1014" i="9"/>
  <c r="AO1014" i="9"/>
  <c r="AP1014" i="9"/>
  <c r="AQ1014" i="9"/>
  <c r="AM1015" i="9"/>
  <c r="AN1015" i="9"/>
  <c r="AO1015" i="9"/>
  <c r="AP1015" i="9"/>
  <c r="AQ1015" i="9"/>
  <c r="AM1016" i="9"/>
  <c r="AN1016" i="9"/>
  <c r="AO1016" i="9"/>
  <c r="AP1016" i="9"/>
  <c r="AQ1016" i="9"/>
  <c r="AM1017" i="9"/>
  <c r="AN1017" i="9"/>
  <c r="AO1017" i="9"/>
  <c r="AP1017" i="9"/>
  <c r="AQ1017" i="9"/>
  <c r="AM1018" i="9"/>
  <c r="AN1018" i="9"/>
  <c r="AO1018" i="9"/>
  <c r="AP1018" i="9"/>
  <c r="AQ1018" i="9"/>
  <c r="AM1019" i="9"/>
  <c r="AN1019" i="9"/>
  <c r="AO1019" i="9"/>
  <c r="AP1019" i="9"/>
  <c r="AQ1019" i="9"/>
  <c r="AM1020" i="9"/>
  <c r="AN1020" i="9"/>
  <c r="AO1020" i="9"/>
  <c r="AP1020" i="9"/>
  <c r="AQ1020" i="9"/>
  <c r="AM1021" i="9"/>
  <c r="AN1021" i="9"/>
  <c r="AO1021" i="9"/>
  <c r="AP1021" i="9"/>
  <c r="AQ1021" i="9"/>
  <c r="AM1022" i="9"/>
  <c r="AN1022" i="9"/>
  <c r="AO1022" i="9"/>
  <c r="AP1022" i="9"/>
  <c r="AQ1022" i="9"/>
  <c r="AM1023" i="9"/>
  <c r="AN1023" i="9"/>
  <c r="AO1023" i="9"/>
  <c r="AP1023" i="9"/>
  <c r="AQ1023" i="9"/>
  <c r="AM1024" i="9"/>
  <c r="AN1024" i="9"/>
  <c r="AO1024" i="9"/>
  <c r="AP1024" i="9"/>
  <c r="AQ1024" i="9"/>
  <c r="AM1025" i="9"/>
  <c r="AN1025" i="9"/>
  <c r="AO1025" i="9"/>
  <c r="AP1025" i="9"/>
  <c r="AQ1025" i="9"/>
  <c r="AM1026" i="9"/>
  <c r="AN1026" i="9"/>
  <c r="AO1026" i="9"/>
  <c r="AP1026" i="9"/>
  <c r="AQ1026" i="9"/>
  <c r="AM1027" i="9"/>
  <c r="AN1027" i="9"/>
  <c r="AO1027" i="9"/>
  <c r="AP1027" i="9"/>
  <c r="AQ1027" i="9"/>
  <c r="AM1028" i="9"/>
  <c r="AN1028" i="9"/>
  <c r="AO1028" i="9"/>
  <c r="AP1028" i="9"/>
  <c r="AQ1028" i="9"/>
  <c r="AM1029" i="9"/>
  <c r="AN1029" i="9"/>
  <c r="AO1029" i="9"/>
  <c r="AP1029" i="9"/>
  <c r="AQ1029" i="9"/>
  <c r="AM1030" i="9"/>
  <c r="AN1030" i="9"/>
  <c r="AO1030" i="9"/>
  <c r="AP1030" i="9"/>
  <c r="AQ1030" i="9"/>
  <c r="AM1031" i="9"/>
  <c r="AN1031" i="9"/>
  <c r="AO1031" i="9"/>
  <c r="AP1031" i="9"/>
  <c r="AQ1031" i="9"/>
  <c r="AM1032" i="9"/>
  <c r="AN1032" i="9"/>
  <c r="AO1032" i="9"/>
  <c r="AP1032" i="9"/>
  <c r="AQ1032" i="9"/>
  <c r="AM1033" i="9"/>
  <c r="AN1033" i="9"/>
  <c r="AO1033" i="9"/>
  <c r="AP1033" i="9"/>
  <c r="AQ1033" i="9"/>
  <c r="AM1034" i="9"/>
  <c r="AN1034" i="9"/>
  <c r="AO1034" i="9"/>
  <c r="AP1034" i="9"/>
  <c r="AQ1034" i="9"/>
  <c r="AM1035" i="9"/>
  <c r="AN1035" i="9"/>
  <c r="AO1035" i="9"/>
  <c r="AP1035" i="9"/>
  <c r="AQ1035" i="9"/>
  <c r="AM1036" i="9"/>
  <c r="AN1036" i="9"/>
  <c r="AO1036" i="9"/>
  <c r="AP1036" i="9"/>
  <c r="AQ1036" i="9"/>
  <c r="AM1037" i="9"/>
  <c r="AN1037" i="9"/>
  <c r="AO1037" i="9"/>
  <c r="AP1037" i="9"/>
  <c r="AQ1037" i="9"/>
  <c r="AM1038" i="9"/>
  <c r="AN1038" i="9"/>
  <c r="AO1038" i="9"/>
  <c r="AP1038" i="9"/>
  <c r="AQ1038" i="9"/>
  <c r="AM1039" i="9"/>
  <c r="AN1039" i="9"/>
  <c r="AO1039" i="9"/>
  <c r="AP1039" i="9"/>
  <c r="AQ1039" i="9"/>
  <c r="AM1040" i="9"/>
  <c r="AN1040" i="9"/>
  <c r="AO1040" i="9"/>
  <c r="AP1040" i="9"/>
  <c r="AQ1040" i="9"/>
  <c r="AM1041" i="9"/>
  <c r="AN1041" i="9"/>
  <c r="AO1041" i="9"/>
  <c r="AP1041" i="9"/>
  <c r="AQ1041" i="9"/>
  <c r="AM1042" i="9"/>
  <c r="AN1042" i="9"/>
  <c r="AO1042" i="9"/>
  <c r="AP1042" i="9"/>
  <c r="AQ1042" i="9"/>
  <c r="AM1043" i="9"/>
  <c r="AN1043" i="9"/>
  <c r="AO1043" i="9"/>
  <c r="AP1043" i="9"/>
  <c r="AQ1043" i="9"/>
  <c r="AM1044" i="9"/>
  <c r="AN1044" i="9"/>
  <c r="AO1044" i="9"/>
  <c r="AP1044" i="9"/>
  <c r="AQ1044" i="9"/>
  <c r="AM1045" i="9"/>
  <c r="AN1045" i="9"/>
  <c r="AO1045" i="9"/>
  <c r="AP1045" i="9"/>
  <c r="AQ1045" i="9"/>
  <c r="AM1046" i="9"/>
  <c r="AN1046" i="9"/>
  <c r="AO1046" i="9"/>
  <c r="AP1046" i="9"/>
  <c r="AQ1046" i="9"/>
  <c r="AM1047" i="9"/>
  <c r="AN1047" i="9"/>
  <c r="AO1047" i="9"/>
  <c r="AP1047" i="9"/>
  <c r="AQ1047" i="9"/>
  <c r="AM1048" i="9"/>
  <c r="AN1048" i="9"/>
  <c r="AO1048" i="9"/>
  <c r="AP1048" i="9"/>
  <c r="AQ1048" i="9"/>
  <c r="AM1049" i="9"/>
  <c r="AN1049" i="9"/>
  <c r="AO1049" i="9"/>
  <c r="AP1049" i="9"/>
  <c r="AQ1049" i="9"/>
  <c r="AM1050" i="9"/>
  <c r="AN1050" i="9"/>
  <c r="AO1050" i="9"/>
  <c r="AP1050" i="9"/>
  <c r="AQ1050" i="9"/>
  <c r="AM1051" i="9"/>
  <c r="AN1051" i="9"/>
  <c r="AO1051" i="9"/>
  <c r="AP1051" i="9"/>
  <c r="AQ1051" i="9"/>
  <c r="AM1052" i="9"/>
  <c r="AN1052" i="9"/>
  <c r="AO1052" i="9"/>
  <c r="AP1052" i="9"/>
  <c r="AQ1052" i="9"/>
  <c r="AM1053" i="9"/>
  <c r="AN1053" i="9"/>
  <c r="AO1053" i="9"/>
  <c r="AP1053" i="9"/>
  <c r="AQ1053" i="9"/>
  <c r="AM1054" i="9"/>
  <c r="AN1054" i="9"/>
  <c r="AO1054" i="9"/>
  <c r="AP1054" i="9"/>
  <c r="AQ1054" i="9"/>
  <c r="AM1055" i="9"/>
  <c r="AN1055" i="9"/>
  <c r="AO1055" i="9"/>
  <c r="AP1055" i="9"/>
  <c r="AQ1055" i="9"/>
  <c r="AM1056" i="9"/>
  <c r="AN1056" i="9"/>
  <c r="AO1056" i="9"/>
  <c r="AP1056" i="9"/>
  <c r="AQ1056" i="9"/>
  <c r="AM1057" i="9"/>
  <c r="AN1057" i="9"/>
  <c r="AO1057" i="9"/>
  <c r="AP1057" i="9"/>
  <c r="AQ1057" i="9"/>
  <c r="AM1058" i="9"/>
  <c r="AN1058" i="9"/>
  <c r="AO1058" i="9"/>
  <c r="AP1058" i="9"/>
  <c r="AQ1058" i="9"/>
  <c r="AM1059" i="9"/>
  <c r="AN1059" i="9"/>
  <c r="AO1059" i="9"/>
  <c r="AP1059" i="9"/>
  <c r="AQ1059" i="9"/>
  <c r="AM1060" i="9"/>
  <c r="AN1060" i="9"/>
  <c r="AO1060" i="9"/>
  <c r="AP1060" i="9"/>
  <c r="AQ1060" i="9"/>
  <c r="AM1061" i="9"/>
  <c r="AN1061" i="9"/>
  <c r="AO1061" i="9"/>
  <c r="AP1061" i="9"/>
  <c r="AQ1061" i="9"/>
  <c r="AM1062" i="9"/>
  <c r="AN1062" i="9"/>
  <c r="AO1062" i="9"/>
  <c r="AP1062" i="9"/>
  <c r="AQ1062" i="9"/>
  <c r="AM1063" i="9"/>
  <c r="AN1063" i="9"/>
  <c r="AO1063" i="9"/>
  <c r="AP1063" i="9"/>
  <c r="AQ1063" i="9"/>
  <c r="AM1064" i="9"/>
  <c r="AN1064" i="9"/>
  <c r="AO1064" i="9"/>
  <c r="AP1064" i="9"/>
  <c r="AQ1064" i="9"/>
  <c r="AM1065" i="9"/>
  <c r="AN1065" i="9"/>
  <c r="AO1065" i="9"/>
  <c r="AP1065" i="9"/>
  <c r="AQ1065" i="9"/>
  <c r="AM1066" i="9"/>
  <c r="AN1066" i="9"/>
  <c r="AO1066" i="9"/>
  <c r="AP1066" i="9"/>
  <c r="AQ1066" i="9"/>
  <c r="AM1067" i="9"/>
  <c r="AN1067" i="9"/>
  <c r="AO1067" i="9"/>
  <c r="AP1067" i="9"/>
  <c r="AQ1067" i="9"/>
  <c r="AM1068" i="9"/>
  <c r="AN1068" i="9"/>
  <c r="AO1068" i="9"/>
  <c r="AP1068" i="9"/>
  <c r="AQ1068" i="9"/>
  <c r="AM1069" i="9"/>
  <c r="AN1069" i="9"/>
  <c r="AO1069" i="9"/>
  <c r="AP1069" i="9"/>
  <c r="AQ1069" i="9"/>
  <c r="AM1070" i="9"/>
  <c r="AN1070" i="9"/>
  <c r="AO1070" i="9"/>
  <c r="AP1070" i="9"/>
  <c r="AQ1070" i="9"/>
  <c r="AM1071" i="9"/>
  <c r="AN1071" i="9"/>
  <c r="AO1071" i="9"/>
  <c r="AP1071" i="9"/>
  <c r="AQ1071" i="9"/>
  <c r="AM1072" i="9"/>
  <c r="AN1072" i="9"/>
  <c r="AO1072" i="9"/>
  <c r="AP1072" i="9"/>
  <c r="AQ1072" i="9"/>
  <c r="AM1073" i="9"/>
  <c r="AN1073" i="9"/>
  <c r="AO1073" i="9"/>
  <c r="AP1073" i="9"/>
  <c r="AQ1073" i="9"/>
  <c r="AM1074" i="9"/>
  <c r="AN1074" i="9"/>
  <c r="AO1074" i="9"/>
  <c r="AP1074" i="9"/>
  <c r="AQ1074" i="9"/>
  <c r="AM1075" i="9"/>
  <c r="AN1075" i="9"/>
  <c r="AO1075" i="9"/>
  <c r="AP1075" i="9"/>
  <c r="AQ1075" i="9"/>
  <c r="AM1076" i="9"/>
  <c r="AN1076" i="9"/>
  <c r="AO1076" i="9"/>
  <c r="AP1076" i="9"/>
  <c r="AQ1076" i="9"/>
  <c r="AM1077" i="9"/>
  <c r="AN1077" i="9"/>
  <c r="AO1077" i="9"/>
  <c r="AP1077" i="9"/>
  <c r="AQ1077" i="9"/>
  <c r="AM1078" i="9"/>
  <c r="AN1078" i="9"/>
  <c r="AO1078" i="9"/>
  <c r="AP1078" i="9"/>
  <c r="AQ1078" i="9"/>
  <c r="AM1079" i="9"/>
  <c r="AN1079" i="9"/>
  <c r="AO1079" i="9"/>
  <c r="AP1079" i="9"/>
  <c r="AQ1079" i="9"/>
  <c r="AM1080" i="9"/>
  <c r="AN1080" i="9"/>
  <c r="AO1080" i="9"/>
  <c r="AP1080" i="9"/>
  <c r="AQ1080" i="9"/>
  <c r="AM1081" i="9"/>
  <c r="AN1081" i="9"/>
  <c r="AO1081" i="9"/>
  <c r="AP1081" i="9"/>
  <c r="AQ1081" i="9"/>
  <c r="AM1082" i="9"/>
  <c r="AN1082" i="9"/>
  <c r="AO1082" i="9"/>
  <c r="AP1082" i="9"/>
  <c r="AQ1082" i="9"/>
  <c r="AM1083" i="9"/>
  <c r="AN1083" i="9"/>
  <c r="AO1083" i="9"/>
  <c r="AP1083" i="9"/>
  <c r="AQ1083" i="9"/>
  <c r="AM1084" i="9"/>
  <c r="AN1084" i="9"/>
  <c r="AO1084" i="9"/>
  <c r="AP1084" i="9"/>
  <c r="AQ1084" i="9"/>
  <c r="AM1085" i="9"/>
  <c r="AN1085" i="9"/>
  <c r="AO1085" i="9"/>
  <c r="AP1085" i="9"/>
  <c r="AQ1085" i="9"/>
  <c r="AM1086" i="9"/>
  <c r="AN1086" i="9"/>
  <c r="AO1086" i="9"/>
  <c r="AP1086" i="9"/>
  <c r="AQ1086" i="9"/>
  <c r="AM1087" i="9"/>
  <c r="AN1087" i="9"/>
  <c r="AO1087" i="9"/>
  <c r="AP1087" i="9"/>
  <c r="AQ1087" i="9"/>
  <c r="AM1088" i="9"/>
  <c r="AN1088" i="9"/>
  <c r="AO1088" i="9"/>
  <c r="AP1088" i="9"/>
  <c r="AQ1088" i="9"/>
  <c r="AM1089" i="9"/>
  <c r="AN1089" i="9"/>
  <c r="AO1089" i="9"/>
  <c r="AP1089" i="9"/>
  <c r="AQ1089" i="9"/>
  <c r="AM1090" i="9"/>
  <c r="AN1090" i="9"/>
  <c r="AO1090" i="9"/>
  <c r="AP1090" i="9"/>
  <c r="AQ1090" i="9"/>
  <c r="AM1091" i="9"/>
  <c r="AN1091" i="9"/>
  <c r="AO1091" i="9"/>
  <c r="AP1091" i="9"/>
  <c r="AQ1091" i="9"/>
  <c r="AM1092" i="9"/>
  <c r="AN1092" i="9"/>
  <c r="AO1092" i="9"/>
  <c r="AP1092" i="9"/>
  <c r="AQ1092" i="9"/>
  <c r="AM1093" i="9"/>
  <c r="AN1093" i="9"/>
  <c r="AO1093" i="9"/>
  <c r="AP1093" i="9"/>
  <c r="AQ1093" i="9"/>
  <c r="AM1094" i="9"/>
  <c r="AN1094" i="9"/>
  <c r="AO1094" i="9"/>
  <c r="AP1094" i="9"/>
  <c r="AQ1094" i="9"/>
  <c r="AM1095" i="9"/>
  <c r="AN1095" i="9"/>
  <c r="AO1095" i="9"/>
  <c r="AP1095" i="9"/>
  <c r="AQ1095" i="9"/>
  <c r="AM1096" i="9"/>
  <c r="AN1096" i="9"/>
  <c r="AO1096" i="9"/>
  <c r="AP1096" i="9"/>
  <c r="AQ1096" i="9"/>
  <c r="AM1097" i="9"/>
  <c r="AN1097" i="9"/>
  <c r="AO1097" i="9"/>
  <c r="AP1097" i="9"/>
  <c r="AQ1097" i="9"/>
  <c r="AM1098" i="9"/>
  <c r="AN1098" i="9"/>
  <c r="AO1098" i="9"/>
  <c r="AP1098" i="9"/>
  <c r="AQ1098" i="9"/>
  <c r="AM1099" i="9"/>
  <c r="AN1099" i="9"/>
  <c r="AO1099" i="9"/>
  <c r="AP1099" i="9"/>
  <c r="AQ1099" i="9"/>
  <c r="AM1100" i="9"/>
  <c r="AN1100" i="9"/>
  <c r="AO1100" i="9"/>
  <c r="AP1100" i="9"/>
  <c r="AQ1100" i="9"/>
  <c r="AM1101" i="9"/>
  <c r="AN1101" i="9"/>
  <c r="AO1101" i="9"/>
  <c r="AP1101" i="9"/>
  <c r="AQ1101" i="9"/>
  <c r="AM1102" i="9"/>
  <c r="AN1102" i="9"/>
  <c r="AO1102" i="9"/>
  <c r="AP1102" i="9"/>
  <c r="AQ1102" i="9"/>
  <c r="AM1103" i="9"/>
  <c r="AN1103" i="9"/>
  <c r="AO1103" i="9"/>
  <c r="AP1103" i="9"/>
  <c r="AQ1103" i="9"/>
  <c r="AM1104" i="9"/>
  <c r="AN1104" i="9"/>
  <c r="AO1104" i="9"/>
  <c r="AP1104" i="9"/>
  <c r="AQ1104" i="9"/>
  <c r="AM1105" i="9"/>
  <c r="AN1105" i="9"/>
  <c r="AO1105" i="9"/>
  <c r="AP1105" i="9"/>
  <c r="AQ1105" i="9"/>
  <c r="AM1106" i="9"/>
  <c r="AN1106" i="9"/>
  <c r="AO1106" i="9"/>
  <c r="AP1106" i="9"/>
  <c r="AQ1106" i="9"/>
  <c r="AM1107" i="9"/>
  <c r="AN1107" i="9"/>
  <c r="AO1107" i="9"/>
  <c r="AP1107" i="9"/>
  <c r="AQ1107" i="9"/>
  <c r="AM1108" i="9"/>
  <c r="AN1108" i="9"/>
  <c r="AO1108" i="9"/>
  <c r="AP1108" i="9"/>
  <c r="AQ1108" i="9"/>
  <c r="AM1109" i="9"/>
  <c r="AN1109" i="9"/>
  <c r="AO1109" i="9"/>
  <c r="AP1109" i="9"/>
  <c r="AQ1109" i="9"/>
  <c r="AM1110" i="9"/>
  <c r="AN1110" i="9"/>
  <c r="AO1110" i="9"/>
  <c r="AP1110" i="9"/>
  <c r="AQ1110" i="9"/>
  <c r="AM1111" i="9"/>
  <c r="AN1111" i="9"/>
  <c r="AO1111" i="9"/>
  <c r="AP1111" i="9"/>
  <c r="AQ1111" i="9"/>
  <c r="AM1112" i="9"/>
  <c r="AN1112" i="9"/>
  <c r="AO1112" i="9"/>
  <c r="AP1112" i="9"/>
  <c r="AQ1112" i="9"/>
  <c r="AM1113" i="9"/>
  <c r="AN1113" i="9"/>
  <c r="AO1113" i="9"/>
  <c r="AP1113" i="9"/>
  <c r="AQ1113" i="9"/>
  <c r="AM1114" i="9"/>
  <c r="AN1114" i="9"/>
  <c r="AO1114" i="9"/>
  <c r="AP1114" i="9"/>
  <c r="AQ1114" i="9"/>
  <c r="AM1115" i="9"/>
  <c r="AN1115" i="9"/>
  <c r="AO1115" i="9"/>
  <c r="AP1115" i="9"/>
  <c r="AQ1115" i="9"/>
  <c r="AM1116" i="9"/>
  <c r="AN1116" i="9"/>
  <c r="AO1116" i="9"/>
  <c r="AP1116" i="9"/>
  <c r="AQ1116" i="9"/>
  <c r="AM1117" i="9"/>
  <c r="AN1117" i="9"/>
  <c r="AO1117" i="9"/>
  <c r="AP1117" i="9"/>
  <c r="AQ1117" i="9"/>
  <c r="AM1118" i="9"/>
  <c r="AN1118" i="9"/>
  <c r="AO1118" i="9"/>
  <c r="AP1118" i="9"/>
  <c r="AQ1118" i="9"/>
  <c r="AM1119" i="9"/>
  <c r="AN1119" i="9"/>
  <c r="AO1119" i="9"/>
  <c r="AP1119" i="9"/>
  <c r="AQ1119" i="9"/>
  <c r="AM1120" i="9"/>
  <c r="AN1120" i="9"/>
  <c r="AO1120" i="9"/>
  <c r="AP1120" i="9"/>
  <c r="AQ1120" i="9"/>
  <c r="AM1121" i="9"/>
  <c r="AN1121" i="9"/>
  <c r="AO1121" i="9"/>
  <c r="AP1121" i="9"/>
  <c r="AQ1121" i="9"/>
  <c r="AM1122" i="9"/>
  <c r="AN1122" i="9"/>
  <c r="AO1122" i="9"/>
  <c r="AP1122" i="9"/>
  <c r="AQ1122" i="9"/>
  <c r="AM1123" i="9"/>
  <c r="AN1123" i="9"/>
  <c r="AO1123" i="9"/>
  <c r="AP1123" i="9"/>
  <c r="AQ1123" i="9"/>
  <c r="AM1124" i="9"/>
  <c r="AN1124" i="9"/>
  <c r="AO1124" i="9"/>
  <c r="AP1124" i="9"/>
  <c r="AQ1124" i="9"/>
  <c r="AM1125" i="9"/>
  <c r="AN1125" i="9"/>
  <c r="AO1125" i="9"/>
  <c r="AP1125" i="9"/>
  <c r="AQ1125" i="9"/>
  <c r="AM1126" i="9"/>
  <c r="AN1126" i="9"/>
  <c r="AO1126" i="9"/>
  <c r="AP1126" i="9"/>
  <c r="AQ1126" i="9"/>
  <c r="AM1127" i="9"/>
  <c r="AN1127" i="9"/>
  <c r="AO1127" i="9"/>
  <c r="AP1127" i="9"/>
  <c r="AQ1127" i="9"/>
  <c r="AM1128" i="9"/>
  <c r="AN1128" i="9"/>
  <c r="AO1128" i="9"/>
  <c r="AP1128" i="9"/>
  <c r="AQ1128" i="9"/>
  <c r="AM1129" i="9"/>
  <c r="AN1129" i="9"/>
  <c r="AO1129" i="9"/>
  <c r="AP1129" i="9"/>
  <c r="AQ1129" i="9"/>
  <c r="AM1130" i="9"/>
  <c r="AN1130" i="9"/>
  <c r="AO1130" i="9"/>
  <c r="AP1130" i="9"/>
  <c r="AQ1130" i="9"/>
  <c r="AM1131" i="9"/>
  <c r="AN1131" i="9"/>
  <c r="AO1131" i="9"/>
  <c r="AP1131" i="9"/>
  <c r="AQ1131" i="9"/>
  <c r="AM1132" i="9"/>
  <c r="AN1132" i="9"/>
  <c r="AO1132" i="9"/>
  <c r="AP1132" i="9"/>
  <c r="AQ1132" i="9"/>
  <c r="AM1133" i="9"/>
  <c r="AN1133" i="9"/>
  <c r="AO1133" i="9"/>
  <c r="AP1133" i="9"/>
  <c r="AQ1133" i="9"/>
  <c r="AM1134" i="9"/>
  <c r="AN1134" i="9"/>
  <c r="AO1134" i="9"/>
  <c r="AP1134" i="9"/>
  <c r="AQ1134" i="9"/>
  <c r="AM1135" i="9"/>
  <c r="AN1135" i="9"/>
  <c r="AO1135" i="9"/>
  <c r="AP1135" i="9"/>
  <c r="AQ1135" i="9"/>
  <c r="AM1136" i="9"/>
  <c r="AN1136" i="9"/>
  <c r="AO1136" i="9"/>
  <c r="AP1136" i="9"/>
  <c r="AQ1136" i="9"/>
  <c r="AM1137" i="9"/>
  <c r="AN1137" i="9"/>
  <c r="AO1137" i="9"/>
  <c r="AP1137" i="9"/>
  <c r="AQ1137" i="9"/>
  <c r="AM1138" i="9"/>
  <c r="AN1138" i="9"/>
  <c r="AO1138" i="9"/>
  <c r="AP1138" i="9"/>
  <c r="AQ1138" i="9"/>
  <c r="AM1139" i="9"/>
  <c r="AN1139" i="9"/>
  <c r="AO1139" i="9"/>
  <c r="AP1139" i="9"/>
  <c r="AQ1139" i="9"/>
  <c r="AM1140" i="9"/>
  <c r="AN1140" i="9"/>
  <c r="AO1140" i="9"/>
  <c r="AP1140" i="9"/>
  <c r="AQ1140" i="9"/>
  <c r="AM1141" i="9"/>
  <c r="AN1141" i="9"/>
  <c r="AO1141" i="9"/>
  <c r="AP1141" i="9"/>
  <c r="AQ1141" i="9"/>
  <c r="AM1142" i="9"/>
  <c r="AN1142" i="9"/>
  <c r="AO1142" i="9"/>
  <c r="AP1142" i="9"/>
  <c r="AQ1142" i="9"/>
  <c r="AM1143" i="9"/>
  <c r="AN1143" i="9"/>
  <c r="AO1143" i="9"/>
  <c r="AP1143" i="9"/>
  <c r="AQ1143" i="9"/>
  <c r="AM1144" i="9"/>
  <c r="AN1144" i="9"/>
  <c r="AO1144" i="9"/>
  <c r="AP1144" i="9"/>
  <c r="AQ1144" i="9"/>
  <c r="AM1145" i="9"/>
  <c r="AN1145" i="9"/>
  <c r="AO1145" i="9"/>
  <c r="AP1145" i="9"/>
  <c r="AQ1145" i="9"/>
  <c r="AM1146" i="9"/>
  <c r="AN1146" i="9"/>
  <c r="AO1146" i="9"/>
  <c r="AP1146" i="9"/>
  <c r="AQ1146" i="9"/>
  <c r="AM1147" i="9"/>
  <c r="AN1147" i="9"/>
  <c r="AO1147" i="9"/>
  <c r="AP1147" i="9"/>
  <c r="AQ1147" i="9"/>
  <c r="AM1148" i="9"/>
  <c r="AN1148" i="9"/>
  <c r="AO1148" i="9"/>
  <c r="AP1148" i="9"/>
  <c r="AQ1148" i="9"/>
  <c r="AM1149" i="9"/>
  <c r="AN1149" i="9"/>
  <c r="AO1149" i="9"/>
  <c r="AP1149" i="9"/>
  <c r="AQ1149" i="9"/>
  <c r="AM1150" i="9"/>
  <c r="AN1150" i="9"/>
  <c r="AO1150" i="9"/>
  <c r="AP1150" i="9"/>
  <c r="AQ1150" i="9"/>
  <c r="AM1151" i="9"/>
  <c r="AN1151" i="9"/>
  <c r="AO1151" i="9"/>
  <c r="AP1151" i="9"/>
  <c r="AQ1151" i="9"/>
  <c r="AM1152" i="9"/>
  <c r="AN1152" i="9"/>
  <c r="AO1152" i="9"/>
  <c r="AP1152" i="9"/>
  <c r="AQ1152" i="9"/>
  <c r="AM1153" i="9"/>
  <c r="AN1153" i="9"/>
  <c r="AO1153" i="9"/>
  <c r="AP1153" i="9"/>
  <c r="AQ1153" i="9"/>
  <c r="AM1154" i="9"/>
  <c r="AN1154" i="9"/>
  <c r="AO1154" i="9"/>
  <c r="AP1154" i="9"/>
  <c r="AQ1154" i="9"/>
  <c r="AM1155" i="9"/>
  <c r="AN1155" i="9"/>
  <c r="AO1155" i="9"/>
  <c r="AP1155" i="9"/>
  <c r="AQ1155" i="9"/>
  <c r="AM1156" i="9"/>
  <c r="AN1156" i="9"/>
  <c r="AO1156" i="9"/>
  <c r="AP1156" i="9"/>
  <c r="AQ1156" i="9"/>
  <c r="AM1157" i="9"/>
  <c r="AN1157" i="9"/>
  <c r="AO1157" i="9"/>
  <c r="AP1157" i="9"/>
  <c r="AQ1157" i="9"/>
  <c r="AM1158" i="9"/>
  <c r="AN1158" i="9"/>
  <c r="AO1158" i="9"/>
  <c r="AP1158" i="9"/>
  <c r="AQ1158" i="9"/>
  <c r="AM1159" i="9"/>
  <c r="AN1159" i="9"/>
  <c r="AO1159" i="9"/>
  <c r="AP1159" i="9"/>
  <c r="AQ1159" i="9"/>
  <c r="AM1160" i="9"/>
  <c r="AN1160" i="9"/>
  <c r="AO1160" i="9"/>
  <c r="AP1160" i="9"/>
  <c r="AQ1160" i="9"/>
  <c r="AM1161" i="9"/>
  <c r="AN1161" i="9"/>
  <c r="AO1161" i="9"/>
  <c r="AP1161" i="9"/>
  <c r="AQ1161" i="9"/>
  <c r="AM1162" i="9"/>
  <c r="AN1162" i="9"/>
  <c r="AO1162" i="9"/>
  <c r="AP1162" i="9"/>
  <c r="AQ1162" i="9"/>
  <c r="AM1163" i="9"/>
  <c r="AN1163" i="9"/>
  <c r="AO1163" i="9"/>
  <c r="AP1163" i="9"/>
  <c r="AQ1163" i="9"/>
  <c r="AM1164" i="9"/>
  <c r="AN1164" i="9"/>
  <c r="AO1164" i="9"/>
  <c r="AP1164" i="9"/>
  <c r="AQ1164" i="9"/>
  <c r="AM1165" i="9"/>
  <c r="AN1165" i="9"/>
  <c r="AO1165" i="9"/>
  <c r="AP1165" i="9"/>
  <c r="AQ1165" i="9"/>
  <c r="AM1166" i="9"/>
  <c r="AN1166" i="9"/>
  <c r="AO1166" i="9"/>
  <c r="AP1166" i="9"/>
  <c r="AQ1166" i="9"/>
  <c r="AM1167" i="9"/>
  <c r="AN1167" i="9"/>
  <c r="AO1167" i="9"/>
  <c r="AP1167" i="9"/>
  <c r="AQ1167" i="9"/>
  <c r="AM1168" i="9"/>
  <c r="AN1168" i="9"/>
  <c r="AO1168" i="9"/>
  <c r="AP1168" i="9"/>
  <c r="AQ1168" i="9"/>
  <c r="AM1169" i="9"/>
  <c r="AN1169" i="9"/>
  <c r="AO1169" i="9"/>
  <c r="AP1169" i="9"/>
  <c r="AQ1169" i="9"/>
  <c r="AM1170" i="9"/>
  <c r="AN1170" i="9"/>
  <c r="AO1170" i="9"/>
  <c r="AP1170" i="9"/>
  <c r="AQ1170" i="9"/>
  <c r="AM1171" i="9"/>
  <c r="AN1171" i="9"/>
  <c r="AO1171" i="9"/>
  <c r="AP1171" i="9"/>
  <c r="AQ1171" i="9"/>
  <c r="AM1172" i="9"/>
  <c r="AN1172" i="9"/>
  <c r="AO1172" i="9"/>
  <c r="AP1172" i="9"/>
  <c r="AQ1172" i="9"/>
  <c r="AM1173" i="9"/>
  <c r="AN1173" i="9"/>
  <c r="AO1173" i="9"/>
  <c r="AP1173" i="9"/>
  <c r="AQ1173" i="9"/>
  <c r="AM1174" i="9"/>
  <c r="AN1174" i="9"/>
  <c r="AO1174" i="9"/>
  <c r="AP1174" i="9"/>
  <c r="AQ1174" i="9"/>
  <c r="AM1175" i="9"/>
  <c r="AN1175" i="9"/>
  <c r="AO1175" i="9"/>
  <c r="AP1175" i="9"/>
  <c r="AQ1175" i="9"/>
  <c r="AM1176" i="9"/>
  <c r="AN1176" i="9"/>
  <c r="AO1176" i="9"/>
  <c r="AP1176" i="9"/>
  <c r="AQ1176" i="9"/>
  <c r="AM1177" i="9"/>
  <c r="AN1177" i="9"/>
  <c r="AO1177" i="9"/>
  <c r="AP1177" i="9"/>
  <c r="AQ1177" i="9"/>
  <c r="AM1178" i="9"/>
  <c r="AN1178" i="9"/>
  <c r="AO1178" i="9"/>
  <c r="AP1178" i="9"/>
  <c r="AQ1178" i="9"/>
  <c r="AM1179" i="9"/>
  <c r="AN1179" i="9"/>
  <c r="AO1179" i="9"/>
  <c r="AP1179" i="9"/>
  <c r="AQ1179" i="9"/>
  <c r="AM1180" i="9"/>
  <c r="AN1180" i="9"/>
  <c r="AO1180" i="9"/>
  <c r="AP1180" i="9"/>
  <c r="AQ1180" i="9"/>
  <c r="AM1181" i="9"/>
  <c r="AN1181" i="9"/>
  <c r="AO1181" i="9"/>
  <c r="AP1181" i="9"/>
  <c r="AQ1181" i="9"/>
  <c r="AM1182" i="9"/>
  <c r="AN1182" i="9"/>
  <c r="AO1182" i="9"/>
  <c r="AP1182" i="9"/>
  <c r="AQ1182" i="9"/>
  <c r="AM1183" i="9"/>
  <c r="AN1183" i="9"/>
  <c r="AO1183" i="9"/>
  <c r="AP1183" i="9"/>
  <c r="AQ1183" i="9"/>
  <c r="AM1184" i="9"/>
  <c r="AN1184" i="9"/>
  <c r="AO1184" i="9"/>
  <c r="AP1184" i="9"/>
  <c r="AQ1184" i="9"/>
  <c r="AM1185" i="9"/>
  <c r="AN1185" i="9"/>
  <c r="AO1185" i="9"/>
  <c r="AP1185" i="9"/>
  <c r="AQ1185" i="9"/>
  <c r="AM1186" i="9"/>
  <c r="AN1186" i="9"/>
  <c r="AO1186" i="9"/>
  <c r="AP1186" i="9"/>
  <c r="AQ1186" i="9"/>
  <c r="AM1187" i="9"/>
  <c r="AN1187" i="9"/>
  <c r="AO1187" i="9"/>
  <c r="AP1187" i="9"/>
  <c r="AQ1187" i="9"/>
  <c r="AM1188" i="9"/>
  <c r="AN1188" i="9"/>
  <c r="AO1188" i="9"/>
  <c r="AP1188" i="9"/>
  <c r="AQ1188" i="9"/>
  <c r="AM1189" i="9"/>
  <c r="AN1189" i="9"/>
  <c r="AO1189" i="9"/>
  <c r="AP1189" i="9"/>
  <c r="AQ1189" i="9"/>
  <c r="AM1190" i="9"/>
  <c r="AN1190" i="9"/>
  <c r="AO1190" i="9"/>
  <c r="AP1190" i="9"/>
  <c r="AQ1190" i="9"/>
  <c r="AM1191" i="9"/>
  <c r="AN1191" i="9"/>
  <c r="AO1191" i="9"/>
  <c r="AP1191" i="9"/>
  <c r="AQ1191" i="9"/>
  <c r="AM1192" i="9"/>
  <c r="AN1192" i="9"/>
  <c r="AO1192" i="9"/>
  <c r="AP1192" i="9"/>
  <c r="AQ1192" i="9"/>
  <c r="AM1193" i="9"/>
  <c r="AN1193" i="9"/>
  <c r="AO1193" i="9"/>
  <c r="AP1193" i="9"/>
  <c r="AQ1193" i="9"/>
  <c r="AM1194" i="9"/>
  <c r="AN1194" i="9"/>
  <c r="AO1194" i="9"/>
  <c r="AP1194" i="9"/>
  <c r="AQ1194" i="9"/>
  <c r="AM1195" i="9"/>
  <c r="AN1195" i="9"/>
  <c r="AO1195" i="9"/>
  <c r="AP1195" i="9"/>
  <c r="AQ1195" i="9"/>
  <c r="AM1196" i="9"/>
  <c r="AN1196" i="9"/>
  <c r="AO1196" i="9"/>
  <c r="AP1196" i="9"/>
  <c r="AQ1196" i="9"/>
  <c r="AM1197" i="9"/>
  <c r="AN1197" i="9"/>
  <c r="AO1197" i="9"/>
  <c r="AP1197" i="9"/>
  <c r="AQ1197" i="9"/>
  <c r="AM1198" i="9"/>
  <c r="AN1198" i="9"/>
  <c r="AO1198" i="9"/>
  <c r="AP1198" i="9"/>
  <c r="AQ1198" i="9"/>
  <c r="AM1199" i="9"/>
  <c r="AN1199" i="9"/>
  <c r="AO1199" i="9"/>
  <c r="AP1199" i="9"/>
  <c r="AQ1199" i="9"/>
  <c r="AM1200" i="9"/>
  <c r="AN1200" i="9"/>
  <c r="AO1200" i="9"/>
  <c r="AP1200" i="9"/>
  <c r="AQ1200" i="9"/>
  <c r="AM1201" i="9"/>
  <c r="AN1201" i="9"/>
  <c r="AO1201" i="9"/>
  <c r="AP1201" i="9"/>
  <c r="AQ1201" i="9"/>
  <c r="AM1202" i="9"/>
  <c r="AN1202" i="9"/>
  <c r="AO1202" i="9"/>
  <c r="AP1202" i="9"/>
  <c r="AQ1202" i="9"/>
  <c r="AM1203" i="9"/>
  <c r="AN1203" i="9"/>
  <c r="AO1203" i="9"/>
  <c r="AP1203" i="9"/>
  <c r="AQ1203" i="9"/>
  <c r="AM1204" i="9"/>
  <c r="AN1204" i="9"/>
  <c r="AO1204" i="9"/>
  <c r="AP1204" i="9"/>
  <c r="AQ1204" i="9"/>
  <c r="AM1205" i="9"/>
  <c r="AN1205" i="9"/>
  <c r="AO1205" i="9"/>
  <c r="AP1205" i="9"/>
  <c r="AQ1205" i="9"/>
  <c r="AM1206" i="9"/>
  <c r="AN1206" i="9"/>
  <c r="AO1206" i="9"/>
  <c r="AP1206" i="9"/>
  <c r="AQ1206" i="9"/>
  <c r="AM1207" i="9"/>
  <c r="AN1207" i="9"/>
  <c r="AO1207" i="9"/>
  <c r="AP1207" i="9"/>
  <c r="AQ1207" i="9"/>
  <c r="AM1208" i="9"/>
  <c r="AN1208" i="9"/>
  <c r="AO1208" i="9"/>
  <c r="AP1208" i="9"/>
  <c r="AQ1208" i="9"/>
  <c r="AM1209" i="9"/>
  <c r="AN1209" i="9"/>
  <c r="AO1209" i="9"/>
  <c r="AP1209" i="9"/>
  <c r="AQ1209" i="9"/>
  <c r="AM1210" i="9"/>
  <c r="AN1210" i="9"/>
  <c r="AO1210" i="9"/>
  <c r="AP1210" i="9"/>
  <c r="AQ1210" i="9"/>
  <c r="AM1211" i="9"/>
  <c r="AN1211" i="9"/>
  <c r="AO1211" i="9"/>
  <c r="AP1211" i="9"/>
  <c r="AQ1211" i="9"/>
  <c r="AM1212" i="9"/>
  <c r="AN1212" i="9"/>
  <c r="AO1212" i="9"/>
  <c r="AP1212" i="9"/>
  <c r="AQ1212" i="9"/>
  <c r="AM1213" i="9"/>
  <c r="AN1213" i="9"/>
  <c r="AO1213" i="9"/>
  <c r="AP1213" i="9"/>
  <c r="AQ1213" i="9"/>
  <c r="AM1214" i="9"/>
  <c r="AN1214" i="9"/>
  <c r="AO1214" i="9"/>
  <c r="AP1214" i="9"/>
  <c r="AQ1214" i="9"/>
  <c r="AM1215" i="9"/>
  <c r="AN1215" i="9"/>
  <c r="AO1215" i="9"/>
  <c r="AP1215" i="9"/>
  <c r="AQ1215" i="9"/>
  <c r="AM1216" i="9"/>
  <c r="AN1216" i="9"/>
  <c r="AO1216" i="9"/>
  <c r="AP1216" i="9"/>
  <c r="AQ1216" i="9"/>
  <c r="AM1217" i="9"/>
  <c r="AN1217" i="9"/>
  <c r="AO1217" i="9"/>
  <c r="AP1217" i="9"/>
  <c r="AQ1217" i="9"/>
  <c r="AM1218" i="9"/>
  <c r="AN1218" i="9"/>
  <c r="AO1218" i="9"/>
  <c r="AP1218" i="9"/>
  <c r="AQ1218" i="9"/>
  <c r="AM1219" i="9"/>
  <c r="AN1219" i="9"/>
  <c r="AO1219" i="9"/>
  <c r="AP1219" i="9"/>
  <c r="AQ1219" i="9"/>
  <c r="AM1220" i="9"/>
  <c r="AN1220" i="9"/>
  <c r="AO1220" i="9"/>
  <c r="AP1220" i="9"/>
  <c r="AQ1220" i="9"/>
  <c r="AM1221" i="9"/>
  <c r="AN1221" i="9"/>
  <c r="AO1221" i="9"/>
  <c r="AP1221" i="9"/>
  <c r="AQ1221" i="9"/>
  <c r="AM1222" i="9"/>
  <c r="AN1222" i="9"/>
  <c r="AO1222" i="9"/>
  <c r="AP1222" i="9"/>
  <c r="AQ1222" i="9"/>
  <c r="AM1223" i="9"/>
  <c r="AN1223" i="9"/>
  <c r="AO1223" i="9"/>
  <c r="AP1223" i="9"/>
  <c r="AQ1223" i="9"/>
  <c r="AM1224" i="9"/>
  <c r="AN1224" i="9"/>
  <c r="AO1224" i="9"/>
  <c r="AP1224" i="9"/>
  <c r="AQ1224" i="9"/>
  <c r="AM1225" i="9"/>
  <c r="AN1225" i="9"/>
  <c r="AO1225" i="9"/>
  <c r="AP1225" i="9"/>
  <c r="AQ1225" i="9"/>
  <c r="AM1226" i="9"/>
  <c r="AN1226" i="9"/>
  <c r="AO1226" i="9"/>
  <c r="AP1226" i="9"/>
  <c r="AQ1226" i="9"/>
  <c r="AM1227" i="9"/>
  <c r="AN1227" i="9"/>
  <c r="AO1227" i="9"/>
  <c r="AP1227" i="9"/>
  <c r="AQ1227" i="9"/>
  <c r="AM1228" i="9"/>
  <c r="AN1228" i="9"/>
  <c r="AO1228" i="9"/>
  <c r="AP1228" i="9"/>
  <c r="AQ1228" i="9"/>
  <c r="AM1229" i="9"/>
  <c r="AN1229" i="9"/>
  <c r="AO1229" i="9"/>
  <c r="AP1229" i="9"/>
  <c r="AQ1229" i="9"/>
  <c r="AM1230" i="9"/>
  <c r="AN1230" i="9"/>
  <c r="AO1230" i="9"/>
  <c r="AP1230" i="9"/>
  <c r="AQ1230" i="9"/>
  <c r="AM1231" i="9"/>
  <c r="AN1231" i="9"/>
  <c r="AO1231" i="9"/>
  <c r="AP1231" i="9"/>
  <c r="AQ1231" i="9"/>
  <c r="AM1232" i="9"/>
  <c r="AN1232" i="9"/>
  <c r="AO1232" i="9"/>
  <c r="AP1232" i="9"/>
  <c r="AQ1232" i="9"/>
  <c r="AM1233" i="9"/>
  <c r="AN1233" i="9"/>
  <c r="AO1233" i="9"/>
  <c r="AP1233" i="9"/>
  <c r="AQ1233" i="9"/>
  <c r="AM1234" i="9"/>
  <c r="AN1234" i="9"/>
  <c r="AO1234" i="9"/>
  <c r="AP1234" i="9"/>
  <c r="AQ1234" i="9"/>
  <c r="AM1235" i="9"/>
  <c r="AN1235" i="9"/>
  <c r="AO1235" i="9"/>
  <c r="AP1235" i="9"/>
  <c r="AQ1235" i="9"/>
  <c r="AM1236" i="9"/>
  <c r="AN1236" i="9"/>
  <c r="AO1236" i="9"/>
  <c r="AP1236" i="9"/>
  <c r="AQ1236" i="9"/>
  <c r="AM1237" i="9"/>
  <c r="AN1237" i="9"/>
  <c r="AO1237" i="9"/>
  <c r="AP1237" i="9"/>
  <c r="AQ1237" i="9"/>
  <c r="AM1238" i="9"/>
  <c r="AN1238" i="9"/>
  <c r="AO1238" i="9"/>
  <c r="AP1238" i="9"/>
  <c r="AQ1238" i="9"/>
  <c r="AM1239" i="9"/>
  <c r="AN1239" i="9"/>
  <c r="AO1239" i="9"/>
  <c r="AP1239" i="9"/>
  <c r="AQ1239" i="9"/>
  <c r="AM1240" i="9"/>
  <c r="AN1240" i="9"/>
  <c r="AO1240" i="9"/>
  <c r="AP1240" i="9"/>
  <c r="AQ1240" i="9"/>
  <c r="AM1241" i="9"/>
  <c r="AN1241" i="9"/>
  <c r="AO1241" i="9"/>
  <c r="AP1241" i="9"/>
  <c r="AQ1241" i="9"/>
  <c r="AM1242" i="9"/>
  <c r="AN1242" i="9"/>
  <c r="AO1242" i="9"/>
  <c r="AP1242" i="9"/>
  <c r="AQ1242" i="9"/>
  <c r="AM1243" i="9"/>
  <c r="AN1243" i="9"/>
  <c r="AO1243" i="9"/>
  <c r="AP1243" i="9"/>
  <c r="AQ1243" i="9"/>
  <c r="AM1244" i="9"/>
  <c r="AN1244" i="9"/>
  <c r="AO1244" i="9"/>
  <c r="AP1244" i="9"/>
  <c r="AQ1244" i="9"/>
  <c r="AM1245" i="9"/>
  <c r="AN1245" i="9"/>
  <c r="AO1245" i="9"/>
  <c r="AP1245" i="9"/>
  <c r="AQ1245" i="9"/>
  <c r="AM1246" i="9"/>
  <c r="AN1246" i="9"/>
  <c r="AO1246" i="9"/>
  <c r="AP1246" i="9"/>
  <c r="AQ1246" i="9"/>
  <c r="AM1247" i="9"/>
  <c r="AN1247" i="9"/>
  <c r="AO1247" i="9"/>
  <c r="AP1247" i="9"/>
  <c r="AQ1247" i="9"/>
  <c r="AM1248" i="9"/>
  <c r="AN1248" i="9"/>
  <c r="AO1248" i="9"/>
  <c r="AP1248" i="9"/>
  <c r="AQ1248" i="9"/>
  <c r="AM1249" i="9"/>
  <c r="AN1249" i="9"/>
  <c r="AO1249" i="9"/>
  <c r="AP1249" i="9"/>
  <c r="AQ1249" i="9"/>
  <c r="AM1250" i="9"/>
  <c r="AN1250" i="9"/>
  <c r="AO1250" i="9"/>
  <c r="AP1250" i="9"/>
  <c r="AQ1250" i="9"/>
  <c r="AM1251" i="9"/>
  <c r="AN1251" i="9"/>
  <c r="AO1251" i="9"/>
  <c r="AP1251" i="9"/>
  <c r="AQ1251" i="9"/>
  <c r="AM1252" i="9"/>
  <c r="AN1252" i="9"/>
  <c r="AO1252" i="9"/>
  <c r="AP1252" i="9"/>
  <c r="AQ1252" i="9"/>
  <c r="AM1253" i="9"/>
  <c r="AN1253" i="9"/>
  <c r="AO1253" i="9"/>
  <c r="AP1253" i="9"/>
  <c r="AQ1253" i="9"/>
  <c r="AM1254" i="9"/>
  <c r="AN1254" i="9"/>
  <c r="AO1254" i="9"/>
  <c r="AP1254" i="9"/>
  <c r="AQ1254" i="9"/>
  <c r="AM1255" i="9"/>
  <c r="AN1255" i="9"/>
  <c r="AO1255" i="9"/>
  <c r="AP1255" i="9"/>
  <c r="AQ1255" i="9"/>
  <c r="AM1256" i="9"/>
  <c r="AN1256" i="9"/>
  <c r="AO1256" i="9"/>
  <c r="AP1256" i="9"/>
  <c r="AQ1256" i="9"/>
  <c r="AM1257" i="9"/>
  <c r="AN1257" i="9"/>
  <c r="AO1257" i="9"/>
  <c r="AP1257" i="9"/>
  <c r="AQ1257" i="9"/>
  <c r="AM1258" i="9"/>
  <c r="AN1258" i="9"/>
  <c r="AO1258" i="9"/>
  <c r="AP1258" i="9"/>
  <c r="AQ1258" i="9"/>
  <c r="AM1259" i="9"/>
  <c r="AN1259" i="9"/>
  <c r="AO1259" i="9"/>
  <c r="AP1259" i="9"/>
  <c r="AQ1259" i="9"/>
  <c r="AM1260" i="9"/>
  <c r="AN1260" i="9"/>
  <c r="AO1260" i="9"/>
  <c r="AP1260" i="9"/>
  <c r="AQ1260" i="9"/>
  <c r="AM1261" i="9"/>
  <c r="AN1261" i="9"/>
  <c r="AO1261" i="9"/>
  <c r="AP1261" i="9"/>
  <c r="AQ1261" i="9"/>
  <c r="AM1262" i="9"/>
  <c r="AN1262" i="9"/>
  <c r="AO1262" i="9"/>
  <c r="AP1262" i="9"/>
  <c r="AQ1262" i="9"/>
  <c r="AM1263" i="9"/>
  <c r="AN1263" i="9"/>
  <c r="AO1263" i="9"/>
  <c r="AP1263" i="9"/>
  <c r="AQ1263" i="9"/>
  <c r="AM1264" i="9"/>
  <c r="AN1264" i="9"/>
  <c r="AO1264" i="9"/>
  <c r="AP1264" i="9"/>
  <c r="AQ1264" i="9"/>
  <c r="AM1265" i="9"/>
  <c r="AN1265" i="9"/>
  <c r="AO1265" i="9"/>
  <c r="AP1265" i="9"/>
  <c r="AQ1265" i="9"/>
  <c r="AM1266" i="9"/>
  <c r="AN1266" i="9"/>
  <c r="AO1266" i="9"/>
  <c r="AP1266" i="9"/>
  <c r="AQ1266" i="9"/>
  <c r="AM1267" i="9"/>
  <c r="AN1267" i="9"/>
  <c r="AO1267" i="9"/>
  <c r="AP1267" i="9"/>
  <c r="AQ1267" i="9"/>
  <c r="AM1268" i="9"/>
  <c r="AN1268" i="9"/>
  <c r="AO1268" i="9"/>
  <c r="AP1268" i="9"/>
  <c r="AQ1268" i="9"/>
  <c r="AM1269" i="9"/>
  <c r="AN1269" i="9"/>
  <c r="AO1269" i="9"/>
  <c r="AP1269" i="9"/>
  <c r="AQ1269" i="9"/>
  <c r="AM1270" i="9"/>
  <c r="AN1270" i="9"/>
  <c r="AO1270" i="9"/>
  <c r="AP1270" i="9"/>
  <c r="AQ1270" i="9"/>
  <c r="AM1271" i="9"/>
  <c r="AN1271" i="9"/>
  <c r="AO1271" i="9"/>
  <c r="AP1271" i="9"/>
  <c r="AQ1271" i="9"/>
  <c r="AM1272" i="9"/>
  <c r="AN1272" i="9"/>
  <c r="AO1272" i="9"/>
  <c r="AP1272" i="9"/>
  <c r="AQ1272" i="9"/>
  <c r="AM1273" i="9"/>
  <c r="AN1273" i="9"/>
  <c r="AO1273" i="9"/>
  <c r="AP1273" i="9"/>
  <c r="AQ1273" i="9"/>
  <c r="AM1274" i="9"/>
  <c r="AN1274" i="9"/>
  <c r="AO1274" i="9"/>
  <c r="AP1274" i="9"/>
  <c r="AQ1274" i="9"/>
  <c r="AM1275" i="9"/>
  <c r="AN1275" i="9"/>
  <c r="AO1275" i="9"/>
  <c r="AP1275" i="9"/>
  <c r="AQ1275" i="9"/>
  <c r="AM1276" i="9"/>
  <c r="AN1276" i="9"/>
  <c r="AO1276" i="9"/>
  <c r="AP1276" i="9"/>
  <c r="AQ1276" i="9"/>
  <c r="AM1277" i="9"/>
  <c r="AN1277" i="9"/>
  <c r="AO1277" i="9"/>
  <c r="AP1277" i="9"/>
  <c r="AQ1277" i="9"/>
  <c r="AM1278" i="9"/>
  <c r="AN1278" i="9"/>
  <c r="AO1278" i="9"/>
  <c r="AP1278" i="9"/>
  <c r="AQ1278" i="9"/>
  <c r="AM1279" i="9"/>
  <c r="AN1279" i="9"/>
  <c r="AO1279" i="9"/>
  <c r="AP1279" i="9"/>
  <c r="AQ1279" i="9"/>
  <c r="AM1280" i="9"/>
  <c r="AN1280" i="9"/>
  <c r="AO1280" i="9"/>
  <c r="AP1280" i="9"/>
  <c r="AQ1280" i="9"/>
  <c r="AM1281" i="9"/>
  <c r="AN1281" i="9"/>
  <c r="AO1281" i="9"/>
  <c r="AP1281" i="9"/>
  <c r="AQ1281" i="9"/>
  <c r="AM1282" i="9"/>
  <c r="AN1282" i="9"/>
  <c r="AO1282" i="9"/>
  <c r="AP1282" i="9"/>
  <c r="AQ1282" i="9"/>
  <c r="AM1283" i="9"/>
  <c r="AN1283" i="9"/>
  <c r="AO1283" i="9"/>
  <c r="AP1283" i="9"/>
  <c r="AQ1283" i="9"/>
  <c r="AM1284" i="9"/>
  <c r="AN1284" i="9"/>
  <c r="AO1284" i="9"/>
  <c r="AP1284" i="9"/>
  <c r="AQ1284" i="9"/>
  <c r="AM1285" i="9"/>
  <c r="AN1285" i="9"/>
  <c r="AO1285" i="9"/>
  <c r="AP1285" i="9"/>
  <c r="AQ1285" i="9"/>
  <c r="AM1286" i="9"/>
  <c r="AN1286" i="9"/>
  <c r="AO1286" i="9"/>
  <c r="AP1286" i="9"/>
  <c r="AQ1286" i="9"/>
  <c r="AM1287" i="9"/>
  <c r="AN1287" i="9"/>
  <c r="AO1287" i="9"/>
  <c r="AP1287" i="9"/>
  <c r="AQ1287" i="9"/>
  <c r="AM1288" i="9"/>
  <c r="AN1288" i="9"/>
  <c r="AO1288" i="9"/>
  <c r="AP1288" i="9"/>
  <c r="AQ1288" i="9"/>
  <c r="AM1289" i="9"/>
  <c r="AN1289" i="9"/>
  <c r="AO1289" i="9"/>
  <c r="AP1289" i="9"/>
  <c r="AQ1289" i="9"/>
  <c r="AM1290" i="9"/>
  <c r="AN1290" i="9"/>
  <c r="AO1290" i="9"/>
  <c r="AP1290" i="9"/>
  <c r="AQ1290" i="9"/>
  <c r="AM1291" i="9"/>
  <c r="AN1291" i="9"/>
  <c r="AO1291" i="9"/>
  <c r="AP1291" i="9"/>
  <c r="AQ1291" i="9"/>
  <c r="AM1292" i="9"/>
  <c r="AN1292" i="9"/>
  <c r="AO1292" i="9"/>
  <c r="AP1292" i="9"/>
  <c r="AQ1292" i="9"/>
  <c r="AM1293" i="9"/>
  <c r="AN1293" i="9"/>
  <c r="AO1293" i="9"/>
  <c r="AP1293" i="9"/>
  <c r="AQ1293" i="9"/>
  <c r="AM1294" i="9"/>
  <c r="AN1294" i="9"/>
  <c r="AO1294" i="9"/>
  <c r="AP1294" i="9"/>
  <c r="AQ1294" i="9"/>
  <c r="AM1295" i="9"/>
  <c r="AN1295" i="9"/>
  <c r="AO1295" i="9"/>
  <c r="AP1295" i="9"/>
  <c r="AQ1295" i="9"/>
  <c r="AM1296" i="9"/>
  <c r="AN1296" i="9"/>
  <c r="AO1296" i="9"/>
  <c r="AP1296" i="9"/>
  <c r="AQ1296" i="9"/>
  <c r="AM1297" i="9"/>
  <c r="AN1297" i="9"/>
  <c r="AO1297" i="9"/>
  <c r="AP1297" i="9"/>
  <c r="AQ1297" i="9"/>
  <c r="AM1298" i="9"/>
  <c r="AN1298" i="9"/>
  <c r="AO1298" i="9"/>
  <c r="AP1298" i="9"/>
  <c r="AQ1298" i="9"/>
  <c r="AM1299" i="9"/>
  <c r="AN1299" i="9"/>
  <c r="AO1299" i="9"/>
  <c r="AP1299" i="9"/>
  <c r="AQ1299" i="9"/>
  <c r="AM1300" i="9"/>
  <c r="AN1300" i="9"/>
  <c r="AO1300" i="9"/>
  <c r="AP1300" i="9"/>
  <c r="AQ1300" i="9"/>
  <c r="AM1301" i="9"/>
  <c r="AN1301" i="9"/>
  <c r="AO1301" i="9"/>
  <c r="AP1301" i="9"/>
  <c r="AQ1301" i="9"/>
  <c r="AM1302" i="9"/>
  <c r="AN1302" i="9"/>
  <c r="AO1302" i="9"/>
  <c r="AP1302" i="9"/>
  <c r="AQ1302" i="9"/>
  <c r="AM1303" i="9"/>
  <c r="AN1303" i="9"/>
  <c r="AO1303" i="9"/>
  <c r="AP1303" i="9"/>
  <c r="AQ1303" i="9"/>
  <c r="AM1304" i="9"/>
  <c r="AN1304" i="9"/>
  <c r="AO1304" i="9"/>
  <c r="AP1304" i="9"/>
  <c r="AQ1304" i="9"/>
  <c r="AM1305" i="9"/>
  <c r="AN1305" i="9"/>
  <c r="AO1305" i="9"/>
  <c r="AP1305" i="9"/>
  <c r="AQ1305" i="9"/>
  <c r="AM1306" i="9"/>
  <c r="AN1306" i="9"/>
  <c r="AO1306" i="9"/>
  <c r="AP1306" i="9"/>
  <c r="AQ1306" i="9"/>
  <c r="AM1307" i="9"/>
  <c r="AN1307" i="9"/>
  <c r="AO1307" i="9"/>
  <c r="AP1307" i="9"/>
  <c r="AQ1307" i="9"/>
  <c r="AM1308" i="9"/>
  <c r="AN1308" i="9"/>
  <c r="AO1308" i="9"/>
  <c r="AP1308" i="9"/>
  <c r="AQ1308" i="9"/>
  <c r="AM1309" i="9"/>
  <c r="AN1309" i="9"/>
  <c r="AO1309" i="9"/>
  <c r="AP1309" i="9"/>
  <c r="AQ1309" i="9"/>
  <c r="AM1310" i="9"/>
  <c r="AN1310" i="9"/>
  <c r="AO1310" i="9"/>
  <c r="AP1310" i="9"/>
  <c r="AQ1310" i="9"/>
  <c r="AM1311" i="9"/>
  <c r="AN1311" i="9"/>
  <c r="AO1311" i="9"/>
  <c r="AP1311" i="9"/>
  <c r="AQ1311" i="9"/>
  <c r="AM1312" i="9"/>
  <c r="AN1312" i="9"/>
  <c r="AO1312" i="9"/>
  <c r="AP1312" i="9"/>
  <c r="AQ1312" i="9"/>
  <c r="AM1313" i="9"/>
  <c r="AN1313" i="9"/>
  <c r="AO1313" i="9"/>
  <c r="AP1313" i="9"/>
  <c r="AQ1313" i="9"/>
  <c r="AM1314" i="9"/>
  <c r="AN1314" i="9"/>
  <c r="AO1314" i="9"/>
  <c r="AP1314" i="9"/>
  <c r="AQ1314" i="9"/>
  <c r="AM1315" i="9"/>
  <c r="AN1315" i="9"/>
  <c r="AO1315" i="9"/>
  <c r="AP1315" i="9"/>
  <c r="AQ1315" i="9"/>
  <c r="AM1316" i="9"/>
  <c r="AN1316" i="9"/>
  <c r="AO1316" i="9"/>
  <c r="AP1316" i="9"/>
  <c r="AQ1316" i="9"/>
  <c r="AM1317" i="9"/>
  <c r="AN1317" i="9"/>
  <c r="AO1317" i="9"/>
  <c r="AP1317" i="9"/>
  <c r="AQ1317" i="9"/>
  <c r="AM1318" i="9"/>
  <c r="AN1318" i="9"/>
  <c r="AO1318" i="9"/>
  <c r="AP1318" i="9"/>
  <c r="AQ1318" i="9"/>
  <c r="AM1319" i="9"/>
  <c r="AN1319" i="9"/>
  <c r="AO1319" i="9"/>
  <c r="AP1319" i="9"/>
  <c r="AQ1319" i="9"/>
  <c r="AM1320" i="9"/>
  <c r="AN1320" i="9"/>
  <c r="AO1320" i="9"/>
  <c r="AP1320" i="9"/>
  <c r="AQ1320" i="9"/>
  <c r="AM1321" i="9"/>
  <c r="AN1321" i="9"/>
  <c r="AO1321" i="9"/>
  <c r="AP1321" i="9"/>
  <c r="AQ1321" i="9"/>
  <c r="AM1322" i="9"/>
  <c r="AN1322" i="9"/>
  <c r="AO1322" i="9"/>
  <c r="AP1322" i="9"/>
  <c r="AQ1322" i="9"/>
  <c r="AM1323" i="9"/>
  <c r="AN1323" i="9"/>
  <c r="AO1323" i="9"/>
  <c r="AP1323" i="9"/>
  <c r="AQ1323" i="9"/>
  <c r="AM1324" i="9"/>
  <c r="AN1324" i="9"/>
  <c r="AO1324" i="9"/>
  <c r="AP1324" i="9"/>
  <c r="AQ1324" i="9"/>
  <c r="AM1325" i="9"/>
  <c r="AN1325" i="9"/>
  <c r="AO1325" i="9"/>
  <c r="AP1325" i="9"/>
  <c r="AQ1325" i="9"/>
  <c r="AM1326" i="9"/>
  <c r="AN1326" i="9"/>
  <c r="AO1326" i="9"/>
  <c r="AP1326" i="9"/>
  <c r="AQ1326" i="9"/>
  <c r="AM1327" i="9"/>
  <c r="AN1327" i="9"/>
  <c r="AO1327" i="9"/>
  <c r="AP1327" i="9"/>
  <c r="AQ1327" i="9"/>
  <c r="AM1328" i="9"/>
  <c r="AN1328" i="9"/>
  <c r="AO1328" i="9"/>
  <c r="AP1328" i="9"/>
  <c r="AQ1328" i="9"/>
  <c r="AM1329" i="9"/>
  <c r="AN1329" i="9"/>
  <c r="AO1329" i="9"/>
  <c r="AP1329" i="9"/>
  <c r="AQ1329" i="9"/>
  <c r="AM1330" i="9"/>
  <c r="AN1330" i="9"/>
  <c r="AO1330" i="9"/>
  <c r="AP1330" i="9"/>
  <c r="AQ1330" i="9"/>
  <c r="AM1331" i="9"/>
  <c r="AN1331" i="9"/>
  <c r="AO1331" i="9"/>
  <c r="AP1331" i="9"/>
  <c r="AQ1331" i="9"/>
  <c r="AM1332" i="9"/>
  <c r="AN1332" i="9"/>
  <c r="AO1332" i="9"/>
  <c r="AP1332" i="9"/>
  <c r="AQ1332" i="9"/>
  <c r="AM1333" i="9"/>
  <c r="AN1333" i="9"/>
  <c r="AO1333" i="9"/>
  <c r="AP1333" i="9"/>
  <c r="AQ1333" i="9"/>
  <c r="AM1334" i="9"/>
  <c r="AN1334" i="9"/>
  <c r="AO1334" i="9"/>
  <c r="AP1334" i="9"/>
  <c r="AQ1334" i="9"/>
  <c r="AM1335" i="9"/>
  <c r="AN1335" i="9"/>
  <c r="AO1335" i="9"/>
  <c r="AP1335" i="9"/>
  <c r="AQ1335" i="9"/>
  <c r="AM1336" i="9"/>
  <c r="AN1336" i="9"/>
  <c r="AO1336" i="9"/>
  <c r="AP1336" i="9"/>
  <c r="AQ1336" i="9"/>
  <c r="AM1337" i="9"/>
  <c r="AN1337" i="9"/>
  <c r="AO1337" i="9"/>
  <c r="AP1337" i="9"/>
  <c r="AQ1337" i="9"/>
  <c r="AM1338" i="9"/>
  <c r="AN1338" i="9"/>
  <c r="AO1338" i="9"/>
  <c r="AP1338" i="9"/>
  <c r="AQ1338" i="9"/>
  <c r="AM1339" i="9"/>
  <c r="AN1339" i="9"/>
  <c r="AO1339" i="9"/>
  <c r="AP1339" i="9"/>
  <c r="AQ1339" i="9"/>
  <c r="AM1340" i="9"/>
  <c r="AN1340" i="9"/>
  <c r="AO1340" i="9"/>
  <c r="AP1340" i="9"/>
  <c r="AQ1340" i="9"/>
  <c r="AM1341" i="9"/>
  <c r="AN1341" i="9"/>
  <c r="AO1341" i="9"/>
  <c r="AP1341" i="9"/>
  <c r="AQ1341" i="9"/>
  <c r="AM1342" i="9"/>
  <c r="AN1342" i="9"/>
  <c r="AO1342" i="9"/>
  <c r="AP1342" i="9"/>
  <c r="AQ1342" i="9"/>
  <c r="AM1343" i="9"/>
  <c r="AN1343" i="9"/>
  <c r="AO1343" i="9"/>
  <c r="AP1343" i="9"/>
  <c r="AQ1343" i="9"/>
  <c r="AM1344" i="9"/>
  <c r="AN1344" i="9"/>
  <c r="AO1344" i="9"/>
  <c r="AP1344" i="9"/>
  <c r="AQ1344" i="9"/>
  <c r="AM1345" i="9"/>
  <c r="AN1345" i="9"/>
  <c r="AO1345" i="9"/>
  <c r="AP1345" i="9"/>
  <c r="AQ1345" i="9"/>
  <c r="AM1346" i="9"/>
  <c r="AN1346" i="9"/>
  <c r="AO1346" i="9"/>
  <c r="AP1346" i="9"/>
  <c r="AQ1346" i="9"/>
  <c r="AM1347" i="9"/>
  <c r="AN1347" i="9"/>
  <c r="AO1347" i="9"/>
  <c r="AP1347" i="9"/>
  <c r="AQ1347" i="9"/>
  <c r="AM1348" i="9"/>
  <c r="AN1348" i="9"/>
  <c r="AO1348" i="9"/>
  <c r="AP1348" i="9"/>
  <c r="AQ1348" i="9"/>
  <c r="AM1349" i="9"/>
  <c r="AN1349" i="9"/>
  <c r="AO1349" i="9"/>
  <c r="AP1349" i="9"/>
  <c r="AQ1349" i="9"/>
  <c r="AM1350" i="9"/>
  <c r="AN1350" i="9"/>
  <c r="AO1350" i="9"/>
  <c r="AP1350" i="9"/>
  <c r="AQ1350" i="9"/>
  <c r="AM1351" i="9"/>
  <c r="AN1351" i="9"/>
  <c r="AO1351" i="9"/>
  <c r="AP1351" i="9"/>
  <c r="AQ1351" i="9"/>
  <c r="AM1352" i="9"/>
  <c r="AN1352" i="9"/>
  <c r="AO1352" i="9"/>
  <c r="AP1352" i="9"/>
  <c r="AQ1352" i="9"/>
  <c r="AM1353" i="9"/>
  <c r="AN1353" i="9"/>
  <c r="AO1353" i="9"/>
  <c r="AP1353" i="9"/>
  <c r="AQ1353" i="9"/>
  <c r="AM1354" i="9"/>
  <c r="AN1354" i="9"/>
  <c r="AO1354" i="9"/>
  <c r="AP1354" i="9"/>
  <c r="AQ1354" i="9"/>
  <c r="AM1355" i="9"/>
  <c r="AN1355" i="9"/>
  <c r="AO1355" i="9"/>
  <c r="AP1355" i="9"/>
  <c r="AQ1355" i="9"/>
  <c r="AM1356" i="9"/>
  <c r="AN1356" i="9"/>
  <c r="AO1356" i="9"/>
  <c r="AP1356" i="9"/>
  <c r="AQ1356" i="9"/>
  <c r="AM1357" i="9"/>
  <c r="AN1357" i="9"/>
  <c r="AO1357" i="9"/>
  <c r="AP1357" i="9"/>
  <c r="AQ1357" i="9"/>
  <c r="AM1358" i="9"/>
  <c r="AN1358" i="9"/>
  <c r="AO1358" i="9"/>
  <c r="AP1358" i="9"/>
  <c r="AQ1358" i="9"/>
  <c r="AM1359" i="9"/>
  <c r="AN1359" i="9"/>
  <c r="AO1359" i="9"/>
  <c r="AP1359" i="9"/>
  <c r="AQ1359" i="9"/>
  <c r="AM1360" i="9"/>
  <c r="AN1360" i="9"/>
  <c r="AO1360" i="9"/>
  <c r="AP1360" i="9"/>
  <c r="AQ1360" i="9"/>
  <c r="AM1361" i="9"/>
  <c r="AN1361" i="9"/>
  <c r="AO1361" i="9"/>
  <c r="AP1361" i="9"/>
  <c r="AQ1361" i="9"/>
  <c r="AM1362" i="9"/>
  <c r="AN1362" i="9"/>
  <c r="AO1362" i="9"/>
  <c r="AP1362" i="9"/>
  <c r="AQ1362" i="9"/>
  <c r="AM1363" i="9"/>
  <c r="AN1363" i="9"/>
  <c r="AO1363" i="9"/>
  <c r="AP1363" i="9"/>
  <c r="AQ1363" i="9"/>
  <c r="AM1364" i="9"/>
  <c r="AN1364" i="9"/>
  <c r="AO1364" i="9"/>
  <c r="AP1364" i="9"/>
  <c r="AQ1364" i="9"/>
  <c r="AM1365" i="9"/>
  <c r="AN1365" i="9"/>
  <c r="AO1365" i="9"/>
  <c r="AP1365" i="9"/>
  <c r="AQ1365" i="9"/>
  <c r="AM1366" i="9"/>
  <c r="AN1366" i="9"/>
  <c r="AO1366" i="9"/>
  <c r="AP1366" i="9"/>
  <c r="AQ1366" i="9"/>
  <c r="AM1367" i="9"/>
  <c r="AN1367" i="9"/>
  <c r="AO1367" i="9"/>
  <c r="AP1367" i="9"/>
  <c r="AQ1367" i="9"/>
  <c r="AM1368" i="9"/>
  <c r="AN1368" i="9"/>
  <c r="AO1368" i="9"/>
  <c r="AP1368" i="9"/>
  <c r="AQ1368" i="9"/>
  <c r="AM1369" i="9"/>
  <c r="AN1369" i="9"/>
  <c r="AO1369" i="9"/>
  <c r="AP1369" i="9"/>
  <c r="AQ1369" i="9"/>
  <c r="AM1370" i="9"/>
  <c r="AN1370" i="9"/>
  <c r="AO1370" i="9"/>
  <c r="AP1370" i="9"/>
  <c r="AQ1370" i="9"/>
  <c r="AM1371" i="9"/>
  <c r="AN1371" i="9"/>
  <c r="AO1371" i="9"/>
  <c r="AP1371" i="9"/>
  <c r="AQ1371" i="9"/>
  <c r="AM1372" i="9"/>
  <c r="AN1372" i="9"/>
  <c r="AO1372" i="9"/>
  <c r="AP1372" i="9"/>
  <c r="AQ1372" i="9"/>
  <c r="AM1373" i="9"/>
  <c r="AN1373" i="9"/>
  <c r="AO1373" i="9"/>
  <c r="AP1373" i="9"/>
  <c r="AQ1373" i="9"/>
  <c r="AM1374" i="9"/>
  <c r="AN1374" i="9"/>
  <c r="AO1374" i="9"/>
  <c r="AP1374" i="9"/>
  <c r="AQ1374" i="9"/>
  <c r="AM1375" i="9"/>
  <c r="AN1375" i="9"/>
  <c r="AO1375" i="9"/>
  <c r="AP1375" i="9"/>
  <c r="AQ1375" i="9"/>
  <c r="AM1376" i="9"/>
  <c r="AN1376" i="9"/>
  <c r="AO1376" i="9"/>
  <c r="AP1376" i="9"/>
  <c r="AQ1376" i="9"/>
  <c r="AM1377" i="9"/>
  <c r="AN1377" i="9"/>
  <c r="AO1377" i="9"/>
  <c r="AP1377" i="9"/>
  <c r="AQ1377" i="9"/>
  <c r="AM1378" i="9"/>
  <c r="AN1378" i="9"/>
  <c r="AO1378" i="9"/>
  <c r="AP1378" i="9"/>
  <c r="AQ1378" i="9"/>
  <c r="AM1379" i="9"/>
  <c r="AN1379" i="9"/>
  <c r="AO1379" i="9"/>
  <c r="AP1379" i="9"/>
  <c r="AQ1379" i="9"/>
  <c r="AM1380" i="9"/>
  <c r="AN1380" i="9"/>
  <c r="AO1380" i="9"/>
  <c r="AP1380" i="9"/>
  <c r="AQ1380" i="9"/>
  <c r="AM1381" i="9"/>
  <c r="AN1381" i="9"/>
  <c r="AO1381" i="9"/>
  <c r="AP1381" i="9"/>
  <c r="AQ1381" i="9"/>
  <c r="AM1382" i="9"/>
  <c r="AN1382" i="9"/>
  <c r="AO1382" i="9"/>
  <c r="AP1382" i="9"/>
  <c r="AQ1382" i="9"/>
  <c r="AM1383" i="9"/>
  <c r="AN1383" i="9"/>
  <c r="AO1383" i="9"/>
  <c r="AP1383" i="9"/>
  <c r="AQ1383" i="9"/>
  <c r="AM1384" i="9"/>
  <c r="AN1384" i="9"/>
  <c r="AO1384" i="9"/>
  <c r="AP1384" i="9"/>
  <c r="AQ1384" i="9"/>
  <c r="AM1385" i="9"/>
  <c r="AN1385" i="9"/>
  <c r="AO1385" i="9"/>
  <c r="AP1385" i="9"/>
  <c r="AQ1385" i="9"/>
  <c r="AM1386" i="9"/>
  <c r="AN1386" i="9"/>
  <c r="AO1386" i="9"/>
  <c r="AP1386" i="9"/>
  <c r="AQ1386" i="9"/>
  <c r="AM1387" i="9"/>
  <c r="AN1387" i="9"/>
  <c r="AO1387" i="9"/>
  <c r="AP1387" i="9"/>
  <c r="AQ1387" i="9"/>
  <c r="AM1388" i="9"/>
  <c r="AN1388" i="9"/>
  <c r="AO1388" i="9"/>
  <c r="AP1388" i="9"/>
  <c r="AQ1388" i="9"/>
  <c r="AM1389" i="9"/>
  <c r="AN1389" i="9"/>
  <c r="AO1389" i="9"/>
  <c r="AP1389" i="9"/>
  <c r="AQ1389" i="9"/>
  <c r="AM1390" i="9"/>
  <c r="AN1390" i="9"/>
  <c r="AO1390" i="9"/>
  <c r="AP1390" i="9"/>
  <c r="AQ1390" i="9"/>
  <c r="AM1391" i="9"/>
  <c r="AN1391" i="9"/>
  <c r="AO1391" i="9"/>
  <c r="AP1391" i="9"/>
  <c r="AQ1391" i="9"/>
  <c r="AM1392" i="9"/>
  <c r="AN1392" i="9"/>
  <c r="AO1392" i="9"/>
  <c r="AP1392" i="9"/>
  <c r="AQ1392" i="9"/>
  <c r="AM1393" i="9"/>
  <c r="AN1393" i="9"/>
  <c r="AO1393" i="9"/>
  <c r="AP1393" i="9"/>
  <c r="AQ1393" i="9"/>
  <c r="AM1394" i="9"/>
  <c r="AN1394" i="9"/>
  <c r="AO1394" i="9"/>
  <c r="AP1394" i="9"/>
  <c r="AQ1394" i="9"/>
  <c r="AM1395" i="9"/>
  <c r="AN1395" i="9"/>
  <c r="AO1395" i="9"/>
  <c r="AP1395" i="9"/>
  <c r="AQ1395" i="9"/>
  <c r="AM1396" i="9"/>
  <c r="AN1396" i="9"/>
  <c r="AO1396" i="9"/>
  <c r="AP1396" i="9"/>
  <c r="AQ1396" i="9"/>
  <c r="AM1397" i="9"/>
  <c r="AN1397" i="9"/>
  <c r="AO1397" i="9"/>
  <c r="AP1397" i="9"/>
  <c r="AQ1397" i="9"/>
  <c r="AM1398" i="9"/>
  <c r="AN1398" i="9"/>
  <c r="AO1398" i="9"/>
  <c r="AP1398" i="9"/>
  <c r="AQ1398" i="9"/>
  <c r="AM1399" i="9"/>
  <c r="AN1399" i="9"/>
  <c r="AO1399" i="9"/>
  <c r="AP1399" i="9"/>
  <c r="AQ1399" i="9"/>
  <c r="AM1400" i="9"/>
  <c r="AN1400" i="9"/>
  <c r="AO1400" i="9"/>
  <c r="AP1400" i="9"/>
  <c r="AQ1400" i="9"/>
  <c r="AM1401" i="9"/>
  <c r="AN1401" i="9"/>
  <c r="AO1401" i="9"/>
  <c r="AP1401" i="9"/>
  <c r="AQ1401" i="9"/>
  <c r="AM1402" i="9"/>
  <c r="AN1402" i="9"/>
  <c r="AO1402" i="9"/>
  <c r="AP1402" i="9"/>
  <c r="AQ1402" i="9"/>
  <c r="AM1403" i="9"/>
  <c r="AN1403" i="9"/>
  <c r="AO1403" i="9"/>
  <c r="AP1403" i="9"/>
  <c r="AQ1403" i="9"/>
  <c r="AM1404" i="9"/>
  <c r="AN1404" i="9"/>
  <c r="AO1404" i="9"/>
  <c r="AP1404" i="9"/>
  <c r="AQ1404" i="9"/>
  <c r="AM1405" i="9"/>
  <c r="AN1405" i="9"/>
  <c r="AO1405" i="9"/>
  <c r="AP1405" i="9"/>
  <c r="AQ1405" i="9"/>
  <c r="AM1406" i="9"/>
  <c r="AN1406" i="9"/>
  <c r="AO1406" i="9"/>
  <c r="AP1406" i="9"/>
  <c r="AQ1406" i="9"/>
  <c r="AM1407" i="9"/>
  <c r="AN1407" i="9"/>
  <c r="AO1407" i="9"/>
  <c r="AP1407" i="9"/>
  <c r="AQ1407" i="9"/>
  <c r="AM1408" i="9"/>
  <c r="AN1408" i="9"/>
  <c r="AO1408" i="9"/>
  <c r="AP1408" i="9"/>
  <c r="AQ1408" i="9"/>
  <c r="AM1409" i="9"/>
  <c r="AN1409" i="9"/>
  <c r="AO1409" i="9"/>
  <c r="AP1409" i="9"/>
  <c r="AQ1409" i="9"/>
  <c r="AM1410" i="9"/>
  <c r="AN1410" i="9"/>
  <c r="AO1410" i="9"/>
  <c r="AP1410" i="9"/>
  <c r="AQ1410" i="9"/>
  <c r="AM1411" i="9"/>
  <c r="AN1411" i="9"/>
  <c r="AO1411" i="9"/>
  <c r="AP1411" i="9"/>
  <c r="AQ1411" i="9"/>
  <c r="AM1412" i="9"/>
  <c r="AN1412" i="9"/>
  <c r="AO1412" i="9"/>
  <c r="AP1412" i="9"/>
  <c r="AQ1412" i="9"/>
  <c r="AM1413" i="9"/>
  <c r="AN1413" i="9"/>
  <c r="AO1413" i="9"/>
  <c r="AP1413" i="9"/>
  <c r="AQ1413" i="9"/>
  <c r="AM1414" i="9"/>
  <c r="AN1414" i="9"/>
  <c r="AO1414" i="9"/>
  <c r="AP1414" i="9"/>
  <c r="AQ1414" i="9"/>
  <c r="AM1415" i="9"/>
  <c r="AN1415" i="9"/>
  <c r="AO1415" i="9"/>
  <c r="AP1415" i="9"/>
  <c r="AQ1415" i="9"/>
  <c r="AM1416" i="9"/>
  <c r="AN1416" i="9"/>
  <c r="AO1416" i="9"/>
  <c r="AP1416" i="9"/>
  <c r="AQ1416" i="9"/>
  <c r="AM1417" i="9"/>
  <c r="AN1417" i="9"/>
  <c r="AO1417" i="9"/>
  <c r="AP1417" i="9"/>
  <c r="AQ1417" i="9"/>
  <c r="AM1418" i="9"/>
  <c r="AN1418" i="9"/>
  <c r="AO1418" i="9"/>
  <c r="AP1418" i="9"/>
  <c r="AQ1418" i="9"/>
  <c r="AM1419" i="9"/>
  <c r="AN1419" i="9"/>
  <c r="AO1419" i="9"/>
  <c r="AP1419" i="9"/>
  <c r="AQ1419" i="9"/>
  <c r="AM1420" i="9"/>
  <c r="AN1420" i="9"/>
  <c r="AO1420" i="9"/>
  <c r="AP1420" i="9"/>
  <c r="AQ1420" i="9"/>
  <c r="AM1421" i="9"/>
  <c r="AN1421" i="9"/>
  <c r="AO1421" i="9"/>
  <c r="AP1421" i="9"/>
  <c r="AQ1421" i="9"/>
  <c r="AM1422" i="9"/>
  <c r="AN1422" i="9"/>
  <c r="AO1422" i="9"/>
  <c r="AP1422" i="9"/>
  <c r="AQ1422" i="9"/>
  <c r="AM1423" i="9"/>
  <c r="AN1423" i="9"/>
  <c r="AO1423" i="9"/>
  <c r="AP1423" i="9"/>
  <c r="AQ1423" i="9"/>
  <c r="AM1424" i="9"/>
  <c r="AN1424" i="9"/>
  <c r="AO1424" i="9"/>
  <c r="AP1424" i="9"/>
  <c r="AQ1424" i="9"/>
  <c r="AM1425" i="9"/>
  <c r="AN1425" i="9"/>
  <c r="AO1425" i="9"/>
  <c r="AP1425" i="9"/>
  <c r="AQ1425" i="9"/>
  <c r="AM1426" i="9"/>
  <c r="AN1426" i="9"/>
  <c r="AO1426" i="9"/>
  <c r="AP1426" i="9"/>
  <c r="AQ1426" i="9"/>
  <c r="AM1427" i="9"/>
  <c r="AN1427" i="9"/>
  <c r="AO1427" i="9"/>
  <c r="AP1427" i="9"/>
  <c r="AQ1427" i="9"/>
  <c r="AM1428" i="9"/>
  <c r="AN1428" i="9"/>
  <c r="AO1428" i="9"/>
  <c r="AP1428" i="9"/>
  <c r="AQ1428" i="9"/>
  <c r="AM1429" i="9"/>
  <c r="AN1429" i="9"/>
  <c r="AO1429" i="9"/>
  <c r="AP1429" i="9"/>
  <c r="AQ1429" i="9"/>
  <c r="AM1430" i="9"/>
  <c r="AN1430" i="9"/>
  <c r="AO1430" i="9"/>
  <c r="AP1430" i="9"/>
  <c r="AQ1430" i="9"/>
  <c r="AM1431" i="9"/>
  <c r="AN1431" i="9"/>
  <c r="AO1431" i="9"/>
  <c r="AP1431" i="9"/>
  <c r="AQ1431" i="9"/>
  <c r="AM1432" i="9"/>
  <c r="AN1432" i="9"/>
  <c r="AO1432" i="9"/>
  <c r="AP1432" i="9"/>
  <c r="AQ1432" i="9"/>
  <c r="AM1433" i="9"/>
  <c r="AN1433" i="9"/>
  <c r="AO1433" i="9"/>
  <c r="AP1433" i="9"/>
  <c r="AQ1433" i="9"/>
  <c r="AM1434" i="9"/>
  <c r="AN1434" i="9"/>
  <c r="AO1434" i="9"/>
  <c r="AP1434" i="9"/>
  <c r="AQ1434" i="9"/>
  <c r="AM1435" i="9"/>
  <c r="AN1435" i="9"/>
  <c r="AO1435" i="9"/>
  <c r="AP1435" i="9"/>
  <c r="AQ1435" i="9"/>
  <c r="AM1436" i="9"/>
  <c r="AN1436" i="9"/>
  <c r="AO1436" i="9"/>
  <c r="AP1436" i="9"/>
  <c r="AQ1436" i="9"/>
  <c r="AM1437" i="9"/>
  <c r="AN1437" i="9"/>
  <c r="AO1437" i="9"/>
  <c r="AP1437" i="9"/>
  <c r="AQ1437" i="9"/>
  <c r="AM1438" i="9"/>
  <c r="AN1438" i="9"/>
  <c r="AO1438" i="9"/>
  <c r="AP1438" i="9"/>
  <c r="AQ1438" i="9"/>
  <c r="AM1439" i="9"/>
  <c r="AN1439" i="9"/>
  <c r="AO1439" i="9"/>
  <c r="AP1439" i="9"/>
  <c r="AQ1439" i="9"/>
  <c r="AM1440" i="9"/>
  <c r="AN1440" i="9"/>
  <c r="AO1440" i="9"/>
  <c r="AP1440" i="9"/>
  <c r="AQ1440" i="9"/>
  <c r="AM1441" i="9"/>
  <c r="AN1441" i="9"/>
  <c r="AO1441" i="9"/>
  <c r="AP1441" i="9"/>
  <c r="AQ1441" i="9"/>
  <c r="AM1442" i="9"/>
  <c r="AN1442" i="9"/>
  <c r="AO1442" i="9"/>
  <c r="AP1442" i="9"/>
  <c r="AQ1442" i="9"/>
  <c r="AM1443" i="9"/>
  <c r="AN1443" i="9"/>
  <c r="AO1443" i="9"/>
  <c r="AP1443" i="9"/>
  <c r="AQ1443" i="9"/>
  <c r="AM1444" i="9"/>
  <c r="AN1444" i="9"/>
  <c r="AO1444" i="9"/>
  <c r="AP1444" i="9"/>
  <c r="AQ1444" i="9"/>
  <c r="AM1445" i="9"/>
  <c r="AN1445" i="9"/>
  <c r="AO1445" i="9"/>
  <c r="AP1445" i="9"/>
  <c r="AQ1445" i="9"/>
  <c r="AM1446" i="9"/>
  <c r="AN1446" i="9"/>
  <c r="AO1446" i="9"/>
  <c r="AP1446" i="9"/>
  <c r="AQ1446" i="9"/>
  <c r="AM1447" i="9"/>
  <c r="AN1447" i="9"/>
  <c r="AO1447" i="9"/>
  <c r="AP1447" i="9"/>
  <c r="AQ1447" i="9"/>
  <c r="AM1448" i="9"/>
  <c r="AN1448" i="9"/>
  <c r="AO1448" i="9"/>
  <c r="AP1448" i="9"/>
  <c r="AQ1448" i="9"/>
  <c r="AM1449" i="9"/>
  <c r="AN1449" i="9"/>
  <c r="AO1449" i="9"/>
  <c r="AP1449" i="9"/>
  <c r="AQ1449" i="9"/>
  <c r="AM1450" i="9"/>
  <c r="AN1450" i="9"/>
  <c r="AO1450" i="9"/>
  <c r="AP1450" i="9"/>
  <c r="AQ1450" i="9"/>
  <c r="AM1451" i="9"/>
  <c r="AN1451" i="9"/>
  <c r="AO1451" i="9"/>
  <c r="AP1451" i="9"/>
  <c r="AQ1451" i="9"/>
  <c r="AM1452" i="9"/>
  <c r="AN1452" i="9"/>
  <c r="AO1452" i="9"/>
  <c r="AP1452" i="9"/>
  <c r="AQ1452" i="9"/>
  <c r="AM1453" i="9"/>
  <c r="AN1453" i="9"/>
  <c r="AO1453" i="9"/>
  <c r="AP1453" i="9"/>
  <c r="AQ1453" i="9"/>
  <c r="AM1454" i="9"/>
  <c r="AN1454" i="9"/>
  <c r="AO1454" i="9"/>
  <c r="AP1454" i="9"/>
  <c r="AQ1454" i="9"/>
  <c r="AM1455" i="9"/>
  <c r="AN1455" i="9"/>
  <c r="AO1455" i="9"/>
  <c r="AP1455" i="9"/>
  <c r="AQ1455" i="9"/>
  <c r="AM1456" i="9"/>
  <c r="AN1456" i="9"/>
  <c r="AO1456" i="9"/>
  <c r="AP1456" i="9"/>
  <c r="AQ1456" i="9"/>
  <c r="AM1457" i="9"/>
  <c r="AN1457" i="9"/>
  <c r="AO1457" i="9"/>
  <c r="AP1457" i="9"/>
  <c r="AQ1457" i="9"/>
  <c r="AM1458" i="9"/>
  <c r="AN1458" i="9"/>
  <c r="AO1458" i="9"/>
  <c r="AP1458" i="9"/>
  <c r="AQ1458" i="9"/>
  <c r="AM1459" i="9"/>
  <c r="AN1459" i="9"/>
  <c r="AO1459" i="9"/>
  <c r="AP1459" i="9"/>
  <c r="AQ1459" i="9"/>
  <c r="AM1460" i="9"/>
  <c r="AN1460" i="9"/>
  <c r="AO1460" i="9"/>
  <c r="AP1460" i="9"/>
  <c r="AQ1460" i="9"/>
  <c r="AM1461" i="9"/>
  <c r="AN1461" i="9"/>
  <c r="AO1461" i="9"/>
  <c r="AP1461" i="9"/>
  <c r="AQ1461" i="9"/>
  <c r="AM1462" i="9"/>
  <c r="AN1462" i="9"/>
  <c r="AO1462" i="9"/>
  <c r="AP1462" i="9"/>
  <c r="AQ1462" i="9"/>
  <c r="AM1463" i="9"/>
  <c r="AN1463" i="9"/>
  <c r="AO1463" i="9"/>
  <c r="AP1463" i="9"/>
  <c r="AQ1463" i="9"/>
  <c r="AM1464" i="9"/>
  <c r="AN1464" i="9"/>
  <c r="AO1464" i="9"/>
  <c r="AP1464" i="9"/>
  <c r="AQ1464" i="9"/>
  <c r="AM1465" i="9"/>
  <c r="AN1465" i="9"/>
  <c r="AO1465" i="9"/>
  <c r="AP1465" i="9"/>
  <c r="AQ1465" i="9"/>
  <c r="AM1466" i="9"/>
  <c r="AN1466" i="9"/>
  <c r="AO1466" i="9"/>
  <c r="AP1466" i="9"/>
  <c r="AQ1466" i="9"/>
  <c r="AM1467" i="9"/>
  <c r="AN1467" i="9"/>
  <c r="AO1467" i="9"/>
  <c r="AP1467" i="9"/>
  <c r="AQ1467" i="9"/>
  <c r="AM1468" i="9"/>
  <c r="AN1468" i="9"/>
  <c r="AO1468" i="9"/>
  <c r="AP1468" i="9"/>
  <c r="AQ1468" i="9"/>
  <c r="AM1469" i="9"/>
  <c r="AN1469" i="9"/>
  <c r="AO1469" i="9"/>
  <c r="AP1469" i="9"/>
  <c r="AQ1469" i="9"/>
  <c r="AM1470" i="9"/>
  <c r="AN1470" i="9"/>
  <c r="AO1470" i="9"/>
  <c r="AP1470" i="9"/>
  <c r="AQ1470" i="9"/>
  <c r="AM1471" i="9"/>
  <c r="AN1471" i="9"/>
  <c r="AO1471" i="9"/>
  <c r="AP1471" i="9"/>
  <c r="AQ1471" i="9"/>
  <c r="AM1472" i="9"/>
  <c r="AN1472" i="9"/>
  <c r="AO1472" i="9"/>
  <c r="AP1472" i="9"/>
  <c r="AQ1472" i="9"/>
  <c r="AM1473" i="9"/>
  <c r="AN1473" i="9"/>
  <c r="AO1473" i="9"/>
  <c r="AP1473" i="9"/>
  <c r="AQ1473" i="9"/>
  <c r="AM1474" i="9"/>
  <c r="AN1474" i="9"/>
  <c r="AO1474" i="9"/>
  <c r="AP1474" i="9"/>
  <c r="AQ1474" i="9"/>
  <c r="AM1475" i="9"/>
  <c r="AN1475" i="9"/>
  <c r="AO1475" i="9"/>
  <c r="AP1475" i="9"/>
  <c r="AQ1475" i="9"/>
  <c r="AM1476" i="9"/>
  <c r="AN1476" i="9"/>
  <c r="AO1476" i="9"/>
  <c r="AP1476" i="9"/>
  <c r="AQ1476" i="9"/>
  <c r="AM1477" i="9"/>
  <c r="AN1477" i="9"/>
  <c r="AO1477" i="9"/>
  <c r="AP1477" i="9"/>
  <c r="AQ1477" i="9"/>
  <c r="AM1478" i="9"/>
  <c r="AN1478" i="9"/>
  <c r="AO1478" i="9"/>
  <c r="AP1478" i="9"/>
  <c r="AQ1478" i="9"/>
  <c r="AM1479" i="9"/>
  <c r="AN1479" i="9"/>
  <c r="AO1479" i="9"/>
  <c r="AP1479" i="9"/>
  <c r="AQ1479" i="9"/>
  <c r="AM1480" i="9"/>
  <c r="AN1480" i="9"/>
  <c r="AO1480" i="9"/>
  <c r="AP1480" i="9"/>
  <c r="AQ1480" i="9"/>
  <c r="AM1481" i="9"/>
  <c r="AN1481" i="9"/>
  <c r="AO1481" i="9"/>
  <c r="AP1481" i="9"/>
  <c r="AQ1481" i="9"/>
  <c r="AM1482" i="9"/>
  <c r="AN1482" i="9"/>
  <c r="AO1482" i="9"/>
  <c r="AP1482" i="9"/>
  <c r="AQ1482" i="9"/>
  <c r="AM1483" i="9"/>
  <c r="AN1483" i="9"/>
  <c r="AO1483" i="9"/>
  <c r="AP1483" i="9"/>
  <c r="AQ1483" i="9"/>
  <c r="AM1484" i="9"/>
  <c r="AN1484" i="9"/>
  <c r="AO1484" i="9"/>
  <c r="AP1484" i="9"/>
  <c r="AQ1484" i="9"/>
  <c r="AM1485" i="9"/>
  <c r="AN1485" i="9"/>
  <c r="AO1485" i="9"/>
  <c r="AP1485" i="9"/>
  <c r="AQ1485" i="9"/>
  <c r="AM1486" i="9"/>
  <c r="AN1486" i="9"/>
  <c r="AO1486" i="9"/>
  <c r="AP1486" i="9"/>
  <c r="AQ1486" i="9"/>
  <c r="AM1487" i="9"/>
  <c r="AN1487" i="9"/>
  <c r="AO1487" i="9"/>
  <c r="AP1487" i="9"/>
  <c r="AQ1487" i="9"/>
  <c r="AM1488" i="9"/>
  <c r="AN1488" i="9"/>
  <c r="AO1488" i="9"/>
  <c r="AP1488" i="9"/>
  <c r="AQ1488" i="9"/>
  <c r="AM1489" i="9"/>
  <c r="AN1489" i="9"/>
  <c r="AO1489" i="9"/>
  <c r="AP1489" i="9"/>
  <c r="AQ1489" i="9"/>
  <c r="AM1490" i="9"/>
  <c r="AN1490" i="9"/>
  <c r="AO1490" i="9"/>
  <c r="AP1490" i="9"/>
  <c r="AQ1490" i="9"/>
  <c r="AM1491" i="9"/>
  <c r="AN1491" i="9"/>
  <c r="AO1491" i="9"/>
  <c r="AP1491" i="9"/>
  <c r="AQ1491" i="9"/>
  <c r="AM1492" i="9"/>
  <c r="AN1492" i="9"/>
  <c r="AO1492" i="9"/>
  <c r="AP1492" i="9"/>
  <c r="AQ1492" i="9"/>
  <c r="AM1493" i="9"/>
  <c r="AN1493" i="9"/>
  <c r="AO1493" i="9"/>
  <c r="AP1493" i="9"/>
  <c r="AQ1493" i="9"/>
  <c r="AM1494" i="9"/>
  <c r="AN1494" i="9"/>
  <c r="AO1494" i="9"/>
  <c r="AP1494" i="9"/>
  <c r="AQ1494" i="9"/>
  <c r="AM1495" i="9"/>
  <c r="AN1495" i="9"/>
  <c r="AO1495" i="9"/>
  <c r="AP1495" i="9"/>
  <c r="AQ1495" i="9"/>
  <c r="AM1496" i="9"/>
  <c r="AN1496" i="9"/>
  <c r="AO1496" i="9"/>
  <c r="AP1496" i="9"/>
  <c r="AQ1496" i="9"/>
  <c r="AM1497" i="9"/>
  <c r="AN1497" i="9"/>
  <c r="AO1497" i="9"/>
  <c r="AP1497" i="9"/>
  <c r="AQ1497" i="9"/>
  <c r="AM1498" i="9"/>
  <c r="AN1498" i="9"/>
  <c r="AO1498" i="9"/>
  <c r="AP1498" i="9"/>
  <c r="AQ1498" i="9"/>
  <c r="AM1499" i="9"/>
  <c r="AN1499" i="9"/>
  <c r="AO1499" i="9"/>
  <c r="AP1499" i="9"/>
  <c r="AQ1499" i="9"/>
  <c r="AM1500" i="9"/>
  <c r="AN1500" i="9"/>
  <c r="AO1500" i="9"/>
  <c r="AP1500" i="9"/>
  <c r="AQ1500" i="9"/>
  <c r="AQ4" i="9"/>
  <c r="AP4" i="9"/>
  <c r="AO4" i="9"/>
  <c r="AN4" i="9"/>
  <c r="AM4" i="9"/>
  <c r="AJ5" i="9"/>
  <c r="AK5" i="9"/>
  <c r="AL5" i="9"/>
  <c r="AJ6" i="9"/>
  <c r="AK6" i="9"/>
  <c r="AL6" i="9"/>
  <c r="AJ7" i="9"/>
  <c r="AK7" i="9"/>
  <c r="AL7" i="9"/>
  <c r="AJ8" i="9"/>
  <c r="AK8" i="9"/>
  <c r="AL8" i="9"/>
  <c r="AJ9" i="9"/>
  <c r="AK9" i="9"/>
  <c r="AL9" i="9"/>
  <c r="AJ10" i="9"/>
  <c r="AK10" i="9"/>
  <c r="AL10" i="9"/>
  <c r="AJ11" i="9"/>
  <c r="AK11" i="9"/>
  <c r="AL11" i="9"/>
  <c r="AJ12" i="9"/>
  <c r="AK12" i="9"/>
  <c r="AL12" i="9"/>
  <c r="AJ13" i="9"/>
  <c r="AK13" i="9"/>
  <c r="AL13" i="9"/>
  <c r="AJ14" i="9"/>
  <c r="AK14" i="9"/>
  <c r="AL14" i="9"/>
  <c r="AJ15" i="9"/>
  <c r="AK15" i="9"/>
  <c r="AL15" i="9"/>
  <c r="AJ16" i="9"/>
  <c r="AK16" i="9"/>
  <c r="AL16" i="9"/>
  <c r="AJ17" i="9"/>
  <c r="AK17" i="9"/>
  <c r="AL17" i="9"/>
  <c r="AJ18" i="9"/>
  <c r="AK18" i="9"/>
  <c r="AL18" i="9"/>
  <c r="AJ19" i="9"/>
  <c r="AK19" i="9"/>
  <c r="AL19" i="9"/>
  <c r="AJ20" i="9"/>
  <c r="AK20" i="9"/>
  <c r="AL20" i="9"/>
  <c r="AJ21" i="9"/>
  <c r="AK21" i="9"/>
  <c r="AL21" i="9"/>
  <c r="AJ22" i="9"/>
  <c r="AK22" i="9"/>
  <c r="AL22" i="9"/>
  <c r="AJ23" i="9"/>
  <c r="AK23" i="9"/>
  <c r="AL23" i="9"/>
  <c r="AJ24" i="9"/>
  <c r="AK24" i="9"/>
  <c r="AL24" i="9"/>
  <c r="AJ25" i="9"/>
  <c r="AK25" i="9"/>
  <c r="AL25" i="9"/>
  <c r="AJ26" i="9"/>
  <c r="AK26" i="9"/>
  <c r="AL26" i="9"/>
  <c r="AJ27" i="9"/>
  <c r="AK27" i="9"/>
  <c r="AL27" i="9"/>
  <c r="AJ28" i="9"/>
  <c r="AK28" i="9"/>
  <c r="AL28" i="9"/>
  <c r="AJ29" i="9"/>
  <c r="AK29" i="9"/>
  <c r="AL29" i="9"/>
  <c r="AJ30" i="9"/>
  <c r="AK30" i="9"/>
  <c r="AL30" i="9"/>
  <c r="AJ31" i="9"/>
  <c r="AK31" i="9"/>
  <c r="AL31" i="9"/>
  <c r="AJ32" i="9"/>
  <c r="AK32" i="9"/>
  <c r="AL32" i="9"/>
  <c r="AJ33" i="9"/>
  <c r="AK33" i="9"/>
  <c r="AL33" i="9"/>
  <c r="AJ34" i="9"/>
  <c r="AK34" i="9"/>
  <c r="AL34" i="9"/>
  <c r="AJ35" i="9"/>
  <c r="AK35" i="9"/>
  <c r="AL35" i="9"/>
  <c r="AJ36" i="9"/>
  <c r="AK36" i="9"/>
  <c r="AL36" i="9"/>
  <c r="AJ37" i="9"/>
  <c r="AK37" i="9"/>
  <c r="AL37" i="9"/>
  <c r="AJ38" i="9"/>
  <c r="AK38" i="9"/>
  <c r="AL38" i="9"/>
  <c r="AJ39" i="9"/>
  <c r="AK39" i="9"/>
  <c r="AL39" i="9"/>
  <c r="AJ40" i="9"/>
  <c r="AK40" i="9"/>
  <c r="AL40" i="9"/>
  <c r="AJ41" i="9"/>
  <c r="AK41" i="9"/>
  <c r="AL41" i="9"/>
  <c r="AJ42" i="9"/>
  <c r="AK42" i="9"/>
  <c r="AL42" i="9"/>
  <c r="AJ43" i="9"/>
  <c r="AK43" i="9"/>
  <c r="AL43" i="9"/>
  <c r="AJ44" i="9"/>
  <c r="AK44" i="9"/>
  <c r="AL44" i="9"/>
  <c r="AJ45" i="9"/>
  <c r="AK45" i="9"/>
  <c r="AL45" i="9"/>
  <c r="AJ46" i="9"/>
  <c r="AK46" i="9"/>
  <c r="AL46" i="9"/>
  <c r="AJ47" i="9"/>
  <c r="AK47" i="9"/>
  <c r="AL47" i="9"/>
  <c r="AJ48" i="9"/>
  <c r="AK48" i="9"/>
  <c r="AL48" i="9"/>
  <c r="AJ49" i="9"/>
  <c r="AK49" i="9"/>
  <c r="AL49" i="9"/>
  <c r="AJ50" i="9"/>
  <c r="AK50" i="9"/>
  <c r="AL50" i="9"/>
  <c r="AJ51" i="9"/>
  <c r="AK51" i="9"/>
  <c r="AL51" i="9"/>
  <c r="AJ52" i="9"/>
  <c r="AK52" i="9"/>
  <c r="AL52" i="9"/>
  <c r="AJ53" i="9"/>
  <c r="AK53" i="9"/>
  <c r="AL53" i="9"/>
  <c r="AJ54" i="9"/>
  <c r="AK54" i="9"/>
  <c r="AL54" i="9"/>
  <c r="AJ55" i="9"/>
  <c r="AK55" i="9"/>
  <c r="AL55" i="9"/>
  <c r="AJ56" i="9"/>
  <c r="AK56" i="9"/>
  <c r="AL56" i="9"/>
  <c r="AJ57" i="9"/>
  <c r="AK57" i="9"/>
  <c r="AL57" i="9"/>
  <c r="AJ58" i="9"/>
  <c r="AK58" i="9"/>
  <c r="AL58" i="9"/>
  <c r="AJ59" i="9"/>
  <c r="AK59" i="9"/>
  <c r="AL59" i="9"/>
  <c r="AJ60" i="9"/>
  <c r="AK60" i="9"/>
  <c r="AL60" i="9"/>
  <c r="AJ61" i="9"/>
  <c r="AK61" i="9"/>
  <c r="AL61" i="9"/>
  <c r="AJ62" i="9"/>
  <c r="AK62" i="9"/>
  <c r="AL62" i="9"/>
  <c r="AJ63" i="9"/>
  <c r="AK63" i="9"/>
  <c r="AL63" i="9"/>
  <c r="AJ64" i="9"/>
  <c r="AK64" i="9"/>
  <c r="AL64" i="9"/>
  <c r="AJ65" i="9"/>
  <c r="AK65" i="9"/>
  <c r="AL65" i="9"/>
  <c r="AJ66" i="9"/>
  <c r="AK66" i="9"/>
  <c r="AL66" i="9"/>
  <c r="AJ67" i="9"/>
  <c r="AK67" i="9"/>
  <c r="AL67" i="9"/>
  <c r="AJ68" i="9"/>
  <c r="AK68" i="9"/>
  <c r="AL68" i="9"/>
  <c r="AJ69" i="9"/>
  <c r="AK69" i="9"/>
  <c r="AL69" i="9"/>
  <c r="AJ70" i="9"/>
  <c r="AK70" i="9"/>
  <c r="AL70" i="9"/>
  <c r="AJ71" i="9"/>
  <c r="AK71" i="9"/>
  <c r="AL71" i="9"/>
  <c r="AJ72" i="9"/>
  <c r="AK72" i="9"/>
  <c r="AL72" i="9"/>
  <c r="AJ73" i="9"/>
  <c r="AK73" i="9"/>
  <c r="AL73" i="9"/>
  <c r="AJ74" i="9"/>
  <c r="AK74" i="9"/>
  <c r="AL74" i="9"/>
  <c r="AJ75" i="9"/>
  <c r="AK75" i="9"/>
  <c r="AL75" i="9"/>
  <c r="AJ76" i="9"/>
  <c r="AK76" i="9"/>
  <c r="AL76" i="9"/>
  <c r="AJ77" i="9"/>
  <c r="AK77" i="9"/>
  <c r="AL77" i="9"/>
  <c r="AJ78" i="9"/>
  <c r="AK78" i="9"/>
  <c r="AL78" i="9"/>
  <c r="AJ79" i="9"/>
  <c r="AK79" i="9"/>
  <c r="AL79" i="9"/>
  <c r="AJ80" i="9"/>
  <c r="AK80" i="9"/>
  <c r="AL80" i="9"/>
  <c r="AJ81" i="9"/>
  <c r="AK81" i="9"/>
  <c r="AL81" i="9"/>
  <c r="AJ82" i="9"/>
  <c r="AK82" i="9"/>
  <c r="AL82" i="9"/>
  <c r="AJ83" i="9"/>
  <c r="AK83" i="9"/>
  <c r="AL83" i="9"/>
  <c r="AJ84" i="9"/>
  <c r="AK84" i="9"/>
  <c r="AL84" i="9"/>
  <c r="AJ85" i="9"/>
  <c r="AK85" i="9"/>
  <c r="AL85" i="9"/>
  <c r="AJ86" i="9"/>
  <c r="AK86" i="9"/>
  <c r="AL86" i="9"/>
  <c r="AJ87" i="9"/>
  <c r="AK87" i="9"/>
  <c r="AL87" i="9"/>
  <c r="AJ88" i="9"/>
  <c r="AK88" i="9"/>
  <c r="AL88" i="9"/>
  <c r="AJ89" i="9"/>
  <c r="AK89" i="9"/>
  <c r="AL89" i="9"/>
  <c r="AJ90" i="9"/>
  <c r="AK90" i="9"/>
  <c r="AL90" i="9"/>
  <c r="AJ91" i="9"/>
  <c r="AK91" i="9"/>
  <c r="AL91" i="9"/>
  <c r="AJ92" i="9"/>
  <c r="AK92" i="9"/>
  <c r="AL92" i="9"/>
  <c r="AJ93" i="9"/>
  <c r="AK93" i="9"/>
  <c r="AL93" i="9"/>
  <c r="AJ94" i="9"/>
  <c r="AK94" i="9"/>
  <c r="AL94" i="9"/>
  <c r="AJ95" i="9"/>
  <c r="AK95" i="9"/>
  <c r="AL95" i="9"/>
  <c r="AJ96" i="9"/>
  <c r="AK96" i="9"/>
  <c r="AL96" i="9"/>
  <c r="AJ97" i="9"/>
  <c r="AK97" i="9"/>
  <c r="AL97" i="9"/>
  <c r="AJ98" i="9"/>
  <c r="AK98" i="9"/>
  <c r="AL98" i="9"/>
  <c r="AJ99" i="9"/>
  <c r="AK99" i="9"/>
  <c r="AL99" i="9"/>
  <c r="AJ100" i="9"/>
  <c r="AK100" i="9"/>
  <c r="AL100" i="9"/>
  <c r="AJ101" i="9"/>
  <c r="AK101" i="9"/>
  <c r="AL101" i="9"/>
  <c r="AJ102" i="9"/>
  <c r="AK102" i="9"/>
  <c r="AL102" i="9"/>
  <c r="AJ103" i="9"/>
  <c r="AK103" i="9"/>
  <c r="AL103" i="9"/>
  <c r="AJ104" i="9"/>
  <c r="AK104" i="9"/>
  <c r="AL104" i="9"/>
  <c r="AJ105" i="9"/>
  <c r="AK105" i="9"/>
  <c r="AL105" i="9"/>
  <c r="AJ106" i="9"/>
  <c r="AK106" i="9"/>
  <c r="AL106" i="9"/>
  <c r="AJ107" i="9"/>
  <c r="AK107" i="9"/>
  <c r="AL107" i="9"/>
  <c r="AJ108" i="9"/>
  <c r="AK108" i="9"/>
  <c r="AL108" i="9"/>
  <c r="AJ109" i="9"/>
  <c r="AK109" i="9"/>
  <c r="AL109" i="9"/>
  <c r="AJ110" i="9"/>
  <c r="AK110" i="9"/>
  <c r="AL110" i="9"/>
  <c r="AJ111" i="9"/>
  <c r="AK111" i="9"/>
  <c r="AL111" i="9"/>
  <c r="AJ112" i="9"/>
  <c r="AK112" i="9"/>
  <c r="AL112" i="9"/>
  <c r="AJ113" i="9"/>
  <c r="AK113" i="9"/>
  <c r="AL113" i="9"/>
  <c r="AJ114" i="9"/>
  <c r="AK114" i="9"/>
  <c r="AL114" i="9"/>
  <c r="AJ115" i="9"/>
  <c r="AK115" i="9"/>
  <c r="AL115" i="9"/>
  <c r="AJ116" i="9"/>
  <c r="AK116" i="9"/>
  <c r="AL116" i="9"/>
  <c r="AJ117" i="9"/>
  <c r="AK117" i="9"/>
  <c r="AL117" i="9"/>
  <c r="AJ118" i="9"/>
  <c r="AK118" i="9"/>
  <c r="AL118" i="9"/>
  <c r="AJ119" i="9"/>
  <c r="AK119" i="9"/>
  <c r="AL119" i="9"/>
  <c r="AJ120" i="9"/>
  <c r="AK120" i="9"/>
  <c r="AL120" i="9"/>
  <c r="AJ121" i="9"/>
  <c r="AK121" i="9"/>
  <c r="AL121" i="9"/>
  <c r="AJ122" i="9"/>
  <c r="AK122" i="9"/>
  <c r="AL122" i="9"/>
  <c r="AJ123" i="9"/>
  <c r="AK123" i="9"/>
  <c r="AL123" i="9"/>
  <c r="AJ124" i="9"/>
  <c r="AK124" i="9"/>
  <c r="AL124" i="9"/>
  <c r="AJ125" i="9"/>
  <c r="AK125" i="9"/>
  <c r="AL125" i="9"/>
  <c r="AJ126" i="9"/>
  <c r="AK126" i="9"/>
  <c r="AL126" i="9"/>
  <c r="AJ127" i="9"/>
  <c r="AK127" i="9"/>
  <c r="AL127" i="9"/>
  <c r="AJ128" i="9"/>
  <c r="AK128" i="9"/>
  <c r="AL128" i="9"/>
  <c r="AJ129" i="9"/>
  <c r="AK129" i="9"/>
  <c r="AL129" i="9"/>
  <c r="AJ130" i="9"/>
  <c r="AK130" i="9"/>
  <c r="AL130" i="9"/>
  <c r="AJ131" i="9"/>
  <c r="AK131" i="9"/>
  <c r="AL131" i="9"/>
  <c r="AJ132" i="9"/>
  <c r="AK132" i="9"/>
  <c r="AL132" i="9"/>
  <c r="AJ133" i="9"/>
  <c r="AK133" i="9"/>
  <c r="AL133" i="9"/>
  <c r="AJ134" i="9"/>
  <c r="AK134" i="9"/>
  <c r="AL134" i="9"/>
  <c r="AJ135" i="9"/>
  <c r="AK135" i="9"/>
  <c r="AL135" i="9"/>
  <c r="AJ136" i="9"/>
  <c r="AK136" i="9"/>
  <c r="AL136" i="9"/>
  <c r="AJ137" i="9"/>
  <c r="AK137" i="9"/>
  <c r="AL137" i="9"/>
  <c r="AJ138" i="9"/>
  <c r="AK138" i="9"/>
  <c r="AL138" i="9"/>
  <c r="AJ139" i="9"/>
  <c r="AK139" i="9"/>
  <c r="AL139" i="9"/>
  <c r="AJ140" i="9"/>
  <c r="AK140" i="9"/>
  <c r="AL140" i="9"/>
  <c r="AJ141" i="9"/>
  <c r="AK141" i="9"/>
  <c r="AL141" i="9"/>
  <c r="AJ142" i="9"/>
  <c r="AK142" i="9"/>
  <c r="AL142" i="9"/>
  <c r="AJ143" i="9"/>
  <c r="AK143" i="9"/>
  <c r="AL143" i="9"/>
  <c r="AJ144" i="9"/>
  <c r="AK144" i="9"/>
  <c r="AL144" i="9"/>
  <c r="AJ145" i="9"/>
  <c r="AK145" i="9"/>
  <c r="AL145" i="9"/>
  <c r="AJ146" i="9"/>
  <c r="AK146" i="9"/>
  <c r="AL146" i="9"/>
  <c r="AJ147" i="9"/>
  <c r="AK147" i="9"/>
  <c r="AL147" i="9"/>
  <c r="AJ148" i="9"/>
  <c r="AK148" i="9"/>
  <c r="AL148" i="9"/>
  <c r="AJ149" i="9"/>
  <c r="AK149" i="9"/>
  <c r="AL149" i="9"/>
  <c r="AJ150" i="9"/>
  <c r="AK150" i="9"/>
  <c r="AL150" i="9"/>
  <c r="AJ151" i="9"/>
  <c r="AK151" i="9"/>
  <c r="AL151" i="9"/>
  <c r="AJ152" i="9"/>
  <c r="AK152" i="9"/>
  <c r="AL152" i="9"/>
  <c r="AJ153" i="9"/>
  <c r="AK153" i="9"/>
  <c r="AL153" i="9"/>
  <c r="AJ154" i="9"/>
  <c r="AK154" i="9"/>
  <c r="AL154" i="9"/>
  <c r="AJ155" i="9"/>
  <c r="AK155" i="9"/>
  <c r="AL155" i="9"/>
  <c r="AJ156" i="9"/>
  <c r="AK156" i="9"/>
  <c r="AL156" i="9"/>
  <c r="AJ157" i="9"/>
  <c r="AK157" i="9"/>
  <c r="AL157" i="9"/>
  <c r="AJ158" i="9"/>
  <c r="AK158" i="9"/>
  <c r="AL158" i="9"/>
  <c r="AJ159" i="9"/>
  <c r="AK159" i="9"/>
  <c r="AL159" i="9"/>
  <c r="AJ160" i="9"/>
  <c r="AK160" i="9"/>
  <c r="AL160" i="9"/>
  <c r="AJ161" i="9"/>
  <c r="AK161" i="9"/>
  <c r="AL161" i="9"/>
  <c r="AJ162" i="9"/>
  <c r="AK162" i="9"/>
  <c r="AL162" i="9"/>
  <c r="AJ163" i="9"/>
  <c r="AK163" i="9"/>
  <c r="AL163" i="9"/>
  <c r="AJ164" i="9"/>
  <c r="AK164" i="9"/>
  <c r="AL164" i="9"/>
  <c r="AJ165" i="9"/>
  <c r="AK165" i="9"/>
  <c r="AL165" i="9"/>
  <c r="AJ166" i="9"/>
  <c r="AK166" i="9"/>
  <c r="AL166" i="9"/>
  <c r="AJ167" i="9"/>
  <c r="AK167" i="9"/>
  <c r="AL167" i="9"/>
  <c r="AJ168" i="9"/>
  <c r="AK168" i="9"/>
  <c r="AL168" i="9"/>
  <c r="AJ169" i="9"/>
  <c r="AK169" i="9"/>
  <c r="AL169" i="9"/>
  <c r="AJ170" i="9"/>
  <c r="AK170" i="9"/>
  <c r="AL170" i="9"/>
  <c r="AJ171" i="9"/>
  <c r="AK171" i="9"/>
  <c r="AL171" i="9"/>
  <c r="AJ172" i="9"/>
  <c r="AK172" i="9"/>
  <c r="AL172" i="9"/>
  <c r="AJ173" i="9"/>
  <c r="AK173" i="9"/>
  <c r="AL173" i="9"/>
  <c r="AJ174" i="9"/>
  <c r="AK174" i="9"/>
  <c r="AL174" i="9"/>
  <c r="AJ175" i="9"/>
  <c r="AK175" i="9"/>
  <c r="AL175" i="9"/>
  <c r="AJ176" i="9"/>
  <c r="AK176" i="9"/>
  <c r="AL176" i="9"/>
  <c r="AJ177" i="9"/>
  <c r="AK177" i="9"/>
  <c r="AL177" i="9"/>
  <c r="AJ178" i="9"/>
  <c r="AK178" i="9"/>
  <c r="AL178" i="9"/>
  <c r="AJ179" i="9"/>
  <c r="AK179" i="9"/>
  <c r="AL179" i="9"/>
  <c r="AJ180" i="9"/>
  <c r="AK180" i="9"/>
  <c r="AL180" i="9"/>
  <c r="AJ181" i="9"/>
  <c r="AK181" i="9"/>
  <c r="AL181" i="9"/>
  <c r="AJ182" i="9"/>
  <c r="AK182" i="9"/>
  <c r="AL182" i="9"/>
  <c r="AJ183" i="9"/>
  <c r="AK183" i="9"/>
  <c r="AL183" i="9"/>
  <c r="AJ184" i="9"/>
  <c r="AK184" i="9"/>
  <c r="AL184" i="9"/>
  <c r="AJ185" i="9"/>
  <c r="AK185" i="9"/>
  <c r="AL185" i="9"/>
  <c r="AJ186" i="9"/>
  <c r="AK186" i="9"/>
  <c r="AL186" i="9"/>
  <c r="AJ187" i="9"/>
  <c r="AK187" i="9"/>
  <c r="AL187" i="9"/>
  <c r="AJ188" i="9"/>
  <c r="AK188" i="9"/>
  <c r="AL188" i="9"/>
  <c r="AJ189" i="9"/>
  <c r="AK189" i="9"/>
  <c r="AL189" i="9"/>
  <c r="AJ190" i="9"/>
  <c r="AK190" i="9"/>
  <c r="AL190" i="9"/>
  <c r="AJ191" i="9"/>
  <c r="AK191" i="9"/>
  <c r="AL191" i="9"/>
  <c r="AJ192" i="9"/>
  <c r="AK192" i="9"/>
  <c r="AL192" i="9"/>
  <c r="AJ193" i="9"/>
  <c r="AK193" i="9"/>
  <c r="AL193" i="9"/>
  <c r="AJ194" i="9"/>
  <c r="AK194" i="9"/>
  <c r="AL194" i="9"/>
  <c r="AJ195" i="9"/>
  <c r="AK195" i="9"/>
  <c r="AL195" i="9"/>
  <c r="AJ196" i="9"/>
  <c r="AK196" i="9"/>
  <c r="AL196" i="9"/>
  <c r="AJ197" i="9"/>
  <c r="AK197" i="9"/>
  <c r="AL197" i="9"/>
  <c r="AJ198" i="9"/>
  <c r="AK198" i="9"/>
  <c r="AL198" i="9"/>
  <c r="AJ199" i="9"/>
  <c r="AK199" i="9"/>
  <c r="AL199" i="9"/>
  <c r="AJ200" i="9"/>
  <c r="AK200" i="9"/>
  <c r="AL200" i="9"/>
  <c r="AJ201" i="9"/>
  <c r="AK201" i="9"/>
  <c r="AL201" i="9"/>
  <c r="AJ202" i="9"/>
  <c r="AK202" i="9"/>
  <c r="AL202" i="9"/>
  <c r="AJ203" i="9"/>
  <c r="AK203" i="9"/>
  <c r="AL203" i="9"/>
  <c r="AJ204" i="9"/>
  <c r="AK204" i="9"/>
  <c r="AL204" i="9"/>
  <c r="AJ205" i="9"/>
  <c r="AK205" i="9"/>
  <c r="AL205" i="9"/>
  <c r="AJ206" i="9"/>
  <c r="AK206" i="9"/>
  <c r="AL206" i="9"/>
  <c r="AJ207" i="9"/>
  <c r="AK207" i="9"/>
  <c r="AL207" i="9"/>
  <c r="AJ208" i="9"/>
  <c r="AK208" i="9"/>
  <c r="AL208" i="9"/>
  <c r="AJ209" i="9"/>
  <c r="AK209" i="9"/>
  <c r="AL209" i="9"/>
  <c r="AJ210" i="9"/>
  <c r="AK210" i="9"/>
  <c r="AL210" i="9"/>
  <c r="AJ211" i="9"/>
  <c r="AK211" i="9"/>
  <c r="AL211" i="9"/>
  <c r="AJ212" i="9"/>
  <c r="AK212" i="9"/>
  <c r="AL212" i="9"/>
  <c r="AJ213" i="9"/>
  <c r="AK213" i="9"/>
  <c r="AL213" i="9"/>
  <c r="AJ214" i="9"/>
  <c r="AK214" i="9"/>
  <c r="AL214" i="9"/>
  <c r="AJ215" i="9"/>
  <c r="AK215" i="9"/>
  <c r="AL215" i="9"/>
  <c r="AJ216" i="9"/>
  <c r="AK216" i="9"/>
  <c r="AL216" i="9"/>
  <c r="AJ217" i="9"/>
  <c r="AK217" i="9"/>
  <c r="AL217" i="9"/>
  <c r="AJ218" i="9"/>
  <c r="AK218" i="9"/>
  <c r="AL218" i="9"/>
  <c r="AJ219" i="9"/>
  <c r="AK219" i="9"/>
  <c r="AL219" i="9"/>
  <c r="AJ220" i="9"/>
  <c r="AK220" i="9"/>
  <c r="AL220" i="9"/>
  <c r="AJ221" i="9"/>
  <c r="AK221" i="9"/>
  <c r="AL221" i="9"/>
  <c r="AJ222" i="9"/>
  <c r="AK222" i="9"/>
  <c r="AL222" i="9"/>
  <c r="AJ223" i="9"/>
  <c r="AK223" i="9"/>
  <c r="AL223" i="9"/>
  <c r="AJ224" i="9"/>
  <c r="AK224" i="9"/>
  <c r="AL224" i="9"/>
  <c r="AJ225" i="9"/>
  <c r="AK225" i="9"/>
  <c r="AL225" i="9"/>
  <c r="AJ226" i="9"/>
  <c r="AK226" i="9"/>
  <c r="AL226" i="9"/>
  <c r="AJ227" i="9"/>
  <c r="AK227" i="9"/>
  <c r="AL227" i="9"/>
  <c r="AJ228" i="9"/>
  <c r="AK228" i="9"/>
  <c r="AL228" i="9"/>
  <c r="AJ229" i="9"/>
  <c r="AK229" i="9"/>
  <c r="AL229" i="9"/>
  <c r="AJ230" i="9"/>
  <c r="AK230" i="9"/>
  <c r="AL230" i="9"/>
  <c r="AJ231" i="9"/>
  <c r="AK231" i="9"/>
  <c r="AL231" i="9"/>
  <c r="AJ232" i="9"/>
  <c r="AK232" i="9"/>
  <c r="AL232" i="9"/>
  <c r="AJ233" i="9"/>
  <c r="AK233" i="9"/>
  <c r="AL233" i="9"/>
  <c r="AJ234" i="9"/>
  <c r="AK234" i="9"/>
  <c r="AL234" i="9"/>
  <c r="AJ235" i="9"/>
  <c r="AK235" i="9"/>
  <c r="AL235" i="9"/>
  <c r="AJ236" i="9"/>
  <c r="AK236" i="9"/>
  <c r="AL236" i="9"/>
  <c r="AJ237" i="9"/>
  <c r="AK237" i="9"/>
  <c r="AL237" i="9"/>
  <c r="AJ238" i="9"/>
  <c r="AK238" i="9"/>
  <c r="AL238" i="9"/>
  <c r="AJ239" i="9"/>
  <c r="AK239" i="9"/>
  <c r="AL239" i="9"/>
  <c r="AJ240" i="9"/>
  <c r="AK240" i="9"/>
  <c r="AL240" i="9"/>
  <c r="AJ241" i="9"/>
  <c r="AK241" i="9"/>
  <c r="AL241" i="9"/>
  <c r="AJ242" i="9"/>
  <c r="AK242" i="9"/>
  <c r="AL242" i="9"/>
  <c r="AJ243" i="9"/>
  <c r="AK243" i="9"/>
  <c r="AL243" i="9"/>
  <c r="AJ244" i="9"/>
  <c r="AK244" i="9"/>
  <c r="AL244" i="9"/>
  <c r="AJ245" i="9"/>
  <c r="AK245" i="9"/>
  <c r="AL245" i="9"/>
  <c r="AJ246" i="9"/>
  <c r="AK246" i="9"/>
  <c r="AL246" i="9"/>
  <c r="AJ247" i="9"/>
  <c r="AK247" i="9"/>
  <c r="AL247" i="9"/>
  <c r="AJ248" i="9"/>
  <c r="AK248" i="9"/>
  <c r="AL248" i="9"/>
  <c r="AJ249" i="9"/>
  <c r="AK249" i="9"/>
  <c r="AL249" i="9"/>
  <c r="AJ250" i="9"/>
  <c r="AK250" i="9"/>
  <c r="AL250" i="9"/>
  <c r="AJ251" i="9"/>
  <c r="AK251" i="9"/>
  <c r="AL251" i="9"/>
  <c r="AJ252" i="9"/>
  <c r="AK252" i="9"/>
  <c r="AL252" i="9"/>
  <c r="AJ253" i="9"/>
  <c r="AK253" i="9"/>
  <c r="AL253" i="9"/>
  <c r="AJ254" i="9"/>
  <c r="AK254" i="9"/>
  <c r="AL254" i="9"/>
  <c r="AJ255" i="9"/>
  <c r="AK255" i="9"/>
  <c r="AL255" i="9"/>
  <c r="AJ256" i="9"/>
  <c r="AK256" i="9"/>
  <c r="AL256" i="9"/>
  <c r="AJ257" i="9"/>
  <c r="AK257" i="9"/>
  <c r="AL257" i="9"/>
  <c r="AJ258" i="9"/>
  <c r="AK258" i="9"/>
  <c r="AL258" i="9"/>
  <c r="AJ259" i="9"/>
  <c r="AK259" i="9"/>
  <c r="AL259" i="9"/>
  <c r="AJ260" i="9"/>
  <c r="AK260" i="9"/>
  <c r="AL260" i="9"/>
  <c r="AJ261" i="9"/>
  <c r="AK261" i="9"/>
  <c r="AL261" i="9"/>
  <c r="AJ262" i="9"/>
  <c r="AK262" i="9"/>
  <c r="AL262" i="9"/>
  <c r="AJ263" i="9"/>
  <c r="AK263" i="9"/>
  <c r="AL263" i="9"/>
  <c r="AJ264" i="9"/>
  <c r="AK264" i="9"/>
  <c r="AL264" i="9"/>
  <c r="AJ265" i="9"/>
  <c r="AK265" i="9"/>
  <c r="AL265" i="9"/>
  <c r="AJ266" i="9"/>
  <c r="AK266" i="9"/>
  <c r="AL266" i="9"/>
  <c r="AJ267" i="9"/>
  <c r="AK267" i="9"/>
  <c r="AL267" i="9"/>
  <c r="AJ268" i="9"/>
  <c r="AK268" i="9"/>
  <c r="AL268" i="9"/>
  <c r="AJ269" i="9"/>
  <c r="AK269" i="9"/>
  <c r="AL269" i="9"/>
  <c r="AJ270" i="9"/>
  <c r="AK270" i="9"/>
  <c r="AL270" i="9"/>
  <c r="AJ271" i="9"/>
  <c r="AK271" i="9"/>
  <c r="AL271" i="9"/>
  <c r="AJ272" i="9"/>
  <c r="AK272" i="9"/>
  <c r="AL272" i="9"/>
  <c r="AJ273" i="9"/>
  <c r="AK273" i="9"/>
  <c r="AL273" i="9"/>
  <c r="AJ274" i="9"/>
  <c r="AK274" i="9"/>
  <c r="AL274" i="9"/>
  <c r="AJ275" i="9"/>
  <c r="AK275" i="9"/>
  <c r="AL275" i="9"/>
  <c r="AJ276" i="9"/>
  <c r="AK276" i="9"/>
  <c r="AL276" i="9"/>
  <c r="AJ277" i="9"/>
  <c r="AK277" i="9"/>
  <c r="AL277" i="9"/>
  <c r="AJ278" i="9"/>
  <c r="AK278" i="9"/>
  <c r="AL278" i="9"/>
  <c r="AJ279" i="9"/>
  <c r="AK279" i="9"/>
  <c r="AL279" i="9"/>
  <c r="AJ280" i="9"/>
  <c r="AK280" i="9"/>
  <c r="AL280" i="9"/>
  <c r="AJ281" i="9"/>
  <c r="AK281" i="9"/>
  <c r="AL281" i="9"/>
  <c r="AJ282" i="9"/>
  <c r="AK282" i="9"/>
  <c r="AL282" i="9"/>
  <c r="AJ283" i="9"/>
  <c r="AK283" i="9"/>
  <c r="AL283" i="9"/>
  <c r="AJ284" i="9"/>
  <c r="AK284" i="9"/>
  <c r="AL284" i="9"/>
  <c r="AJ285" i="9"/>
  <c r="AK285" i="9"/>
  <c r="AL285" i="9"/>
  <c r="AJ286" i="9"/>
  <c r="AK286" i="9"/>
  <c r="AL286" i="9"/>
  <c r="AJ287" i="9"/>
  <c r="AK287" i="9"/>
  <c r="AL287" i="9"/>
  <c r="AJ288" i="9"/>
  <c r="AK288" i="9"/>
  <c r="AL288" i="9"/>
  <c r="AJ289" i="9"/>
  <c r="AK289" i="9"/>
  <c r="AL289" i="9"/>
  <c r="AJ290" i="9"/>
  <c r="AK290" i="9"/>
  <c r="AL290" i="9"/>
  <c r="AJ291" i="9"/>
  <c r="AK291" i="9"/>
  <c r="AL291" i="9"/>
  <c r="AJ292" i="9"/>
  <c r="AK292" i="9"/>
  <c r="AL292" i="9"/>
  <c r="AJ293" i="9"/>
  <c r="AK293" i="9"/>
  <c r="AL293" i="9"/>
  <c r="AJ294" i="9"/>
  <c r="AK294" i="9"/>
  <c r="AL294" i="9"/>
  <c r="AJ295" i="9"/>
  <c r="AK295" i="9"/>
  <c r="AL295" i="9"/>
  <c r="AJ296" i="9"/>
  <c r="AK296" i="9"/>
  <c r="AL296" i="9"/>
  <c r="AJ297" i="9"/>
  <c r="AK297" i="9"/>
  <c r="AL297" i="9"/>
  <c r="AJ298" i="9"/>
  <c r="AK298" i="9"/>
  <c r="AL298" i="9"/>
  <c r="AJ299" i="9"/>
  <c r="AK299" i="9"/>
  <c r="AL299" i="9"/>
  <c r="AJ300" i="9"/>
  <c r="AK300" i="9"/>
  <c r="AL300" i="9"/>
  <c r="AJ301" i="9"/>
  <c r="AK301" i="9"/>
  <c r="AL301" i="9"/>
  <c r="AJ302" i="9"/>
  <c r="AK302" i="9"/>
  <c r="AL302" i="9"/>
  <c r="AJ303" i="9"/>
  <c r="AK303" i="9"/>
  <c r="AL303" i="9"/>
  <c r="AJ304" i="9"/>
  <c r="AK304" i="9"/>
  <c r="AL304" i="9"/>
  <c r="AJ305" i="9"/>
  <c r="AK305" i="9"/>
  <c r="AL305" i="9"/>
  <c r="AJ306" i="9"/>
  <c r="AK306" i="9"/>
  <c r="AL306" i="9"/>
  <c r="AJ307" i="9"/>
  <c r="AK307" i="9"/>
  <c r="AL307" i="9"/>
  <c r="AJ308" i="9"/>
  <c r="AK308" i="9"/>
  <c r="AL308" i="9"/>
  <c r="AJ309" i="9"/>
  <c r="AK309" i="9"/>
  <c r="AL309" i="9"/>
  <c r="AJ310" i="9"/>
  <c r="AK310" i="9"/>
  <c r="AL310" i="9"/>
  <c r="AJ311" i="9"/>
  <c r="AK311" i="9"/>
  <c r="AL311" i="9"/>
  <c r="AJ312" i="9"/>
  <c r="AK312" i="9"/>
  <c r="AL312" i="9"/>
  <c r="AJ313" i="9"/>
  <c r="AK313" i="9"/>
  <c r="AL313" i="9"/>
  <c r="AJ314" i="9"/>
  <c r="AK314" i="9"/>
  <c r="AL314" i="9"/>
  <c r="AJ315" i="9"/>
  <c r="AK315" i="9"/>
  <c r="AL315" i="9"/>
  <c r="AJ316" i="9"/>
  <c r="AK316" i="9"/>
  <c r="AL316" i="9"/>
  <c r="AJ317" i="9"/>
  <c r="AK317" i="9"/>
  <c r="AL317" i="9"/>
  <c r="AJ318" i="9"/>
  <c r="AK318" i="9"/>
  <c r="AL318" i="9"/>
  <c r="AJ319" i="9"/>
  <c r="AK319" i="9"/>
  <c r="AL319" i="9"/>
  <c r="AJ320" i="9"/>
  <c r="AK320" i="9"/>
  <c r="AL320" i="9"/>
  <c r="AJ321" i="9"/>
  <c r="AK321" i="9"/>
  <c r="AL321" i="9"/>
  <c r="AJ322" i="9"/>
  <c r="AK322" i="9"/>
  <c r="AL322" i="9"/>
  <c r="AJ323" i="9"/>
  <c r="AK323" i="9"/>
  <c r="AL323" i="9"/>
  <c r="AJ324" i="9"/>
  <c r="AK324" i="9"/>
  <c r="AL324" i="9"/>
  <c r="AJ325" i="9"/>
  <c r="AK325" i="9"/>
  <c r="AL325" i="9"/>
  <c r="AJ326" i="9"/>
  <c r="AK326" i="9"/>
  <c r="AL326" i="9"/>
  <c r="AJ327" i="9"/>
  <c r="AK327" i="9"/>
  <c r="AL327" i="9"/>
  <c r="AJ328" i="9"/>
  <c r="AK328" i="9"/>
  <c r="AL328" i="9"/>
  <c r="AJ329" i="9"/>
  <c r="AK329" i="9"/>
  <c r="AL329" i="9"/>
  <c r="AJ330" i="9"/>
  <c r="AK330" i="9"/>
  <c r="AL330" i="9"/>
  <c r="AJ331" i="9"/>
  <c r="AK331" i="9"/>
  <c r="AL331" i="9"/>
  <c r="AJ332" i="9"/>
  <c r="AK332" i="9"/>
  <c r="AL332" i="9"/>
  <c r="AJ333" i="9"/>
  <c r="AK333" i="9"/>
  <c r="AL333" i="9"/>
  <c r="AJ334" i="9"/>
  <c r="AK334" i="9"/>
  <c r="AL334" i="9"/>
  <c r="AJ335" i="9"/>
  <c r="AK335" i="9"/>
  <c r="AL335" i="9"/>
  <c r="AJ336" i="9"/>
  <c r="AK336" i="9"/>
  <c r="AL336" i="9"/>
  <c r="AJ337" i="9"/>
  <c r="AK337" i="9"/>
  <c r="AL337" i="9"/>
  <c r="AJ338" i="9"/>
  <c r="AK338" i="9"/>
  <c r="AL338" i="9"/>
  <c r="AJ339" i="9"/>
  <c r="AK339" i="9"/>
  <c r="AL339" i="9"/>
  <c r="AJ340" i="9"/>
  <c r="AK340" i="9"/>
  <c r="AL340" i="9"/>
  <c r="AJ341" i="9"/>
  <c r="AK341" i="9"/>
  <c r="AL341" i="9"/>
  <c r="AJ342" i="9"/>
  <c r="AK342" i="9"/>
  <c r="AL342" i="9"/>
  <c r="AJ343" i="9"/>
  <c r="AK343" i="9"/>
  <c r="AL343" i="9"/>
  <c r="AJ344" i="9"/>
  <c r="AK344" i="9"/>
  <c r="AL344" i="9"/>
  <c r="AJ345" i="9"/>
  <c r="AK345" i="9"/>
  <c r="AL345" i="9"/>
  <c r="AJ346" i="9"/>
  <c r="AK346" i="9"/>
  <c r="AL346" i="9"/>
  <c r="AJ347" i="9"/>
  <c r="AK347" i="9"/>
  <c r="AL347" i="9"/>
  <c r="AJ348" i="9"/>
  <c r="AK348" i="9"/>
  <c r="AL348" i="9"/>
  <c r="AJ349" i="9"/>
  <c r="AK349" i="9"/>
  <c r="AL349" i="9"/>
  <c r="AJ350" i="9"/>
  <c r="AK350" i="9"/>
  <c r="AL350" i="9"/>
  <c r="AJ351" i="9"/>
  <c r="AK351" i="9"/>
  <c r="AL351" i="9"/>
  <c r="AJ352" i="9"/>
  <c r="AK352" i="9"/>
  <c r="AL352" i="9"/>
  <c r="AJ353" i="9"/>
  <c r="AK353" i="9"/>
  <c r="AL353" i="9"/>
  <c r="AJ354" i="9"/>
  <c r="AK354" i="9"/>
  <c r="AL354" i="9"/>
  <c r="AJ355" i="9"/>
  <c r="AK355" i="9"/>
  <c r="AL355" i="9"/>
  <c r="AJ356" i="9"/>
  <c r="AK356" i="9"/>
  <c r="AL356" i="9"/>
  <c r="AJ357" i="9"/>
  <c r="AK357" i="9"/>
  <c r="AL357" i="9"/>
  <c r="AJ358" i="9"/>
  <c r="AK358" i="9"/>
  <c r="AL358" i="9"/>
  <c r="AJ359" i="9"/>
  <c r="AK359" i="9"/>
  <c r="AL359" i="9"/>
  <c r="AJ360" i="9"/>
  <c r="AK360" i="9"/>
  <c r="AL360" i="9"/>
  <c r="AJ361" i="9"/>
  <c r="AK361" i="9"/>
  <c r="AL361" i="9"/>
  <c r="AJ362" i="9"/>
  <c r="AK362" i="9"/>
  <c r="AL362" i="9"/>
  <c r="AJ363" i="9"/>
  <c r="AK363" i="9"/>
  <c r="AL363" i="9"/>
  <c r="AJ364" i="9"/>
  <c r="AK364" i="9"/>
  <c r="AL364" i="9"/>
  <c r="AJ365" i="9"/>
  <c r="AK365" i="9"/>
  <c r="AL365" i="9"/>
  <c r="AJ366" i="9"/>
  <c r="AK366" i="9"/>
  <c r="AL366" i="9"/>
  <c r="AJ367" i="9"/>
  <c r="AK367" i="9"/>
  <c r="AL367" i="9"/>
  <c r="AJ368" i="9"/>
  <c r="AK368" i="9"/>
  <c r="AL368" i="9"/>
  <c r="AJ369" i="9"/>
  <c r="AK369" i="9"/>
  <c r="AL369" i="9"/>
  <c r="AJ370" i="9"/>
  <c r="AK370" i="9"/>
  <c r="AL370" i="9"/>
  <c r="AJ371" i="9"/>
  <c r="AK371" i="9"/>
  <c r="AL371" i="9"/>
  <c r="AJ372" i="9"/>
  <c r="AK372" i="9"/>
  <c r="AL372" i="9"/>
  <c r="AJ373" i="9"/>
  <c r="AK373" i="9"/>
  <c r="AL373" i="9"/>
  <c r="AJ374" i="9"/>
  <c r="AK374" i="9"/>
  <c r="AL374" i="9"/>
  <c r="AJ375" i="9"/>
  <c r="AK375" i="9"/>
  <c r="AL375" i="9"/>
  <c r="AJ376" i="9"/>
  <c r="AK376" i="9"/>
  <c r="AL376" i="9"/>
  <c r="AJ377" i="9"/>
  <c r="AK377" i="9"/>
  <c r="AL377" i="9"/>
  <c r="AJ378" i="9"/>
  <c r="AK378" i="9"/>
  <c r="AL378" i="9"/>
  <c r="AJ379" i="9"/>
  <c r="AK379" i="9"/>
  <c r="AL379" i="9"/>
  <c r="AJ380" i="9"/>
  <c r="AK380" i="9"/>
  <c r="AL380" i="9"/>
  <c r="AJ381" i="9"/>
  <c r="AK381" i="9"/>
  <c r="AL381" i="9"/>
  <c r="AJ382" i="9"/>
  <c r="AK382" i="9"/>
  <c r="AL382" i="9"/>
  <c r="AJ383" i="9"/>
  <c r="AK383" i="9"/>
  <c r="AL383" i="9"/>
  <c r="AJ384" i="9"/>
  <c r="AK384" i="9"/>
  <c r="AL384" i="9"/>
  <c r="AJ385" i="9"/>
  <c r="AK385" i="9"/>
  <c r="AL385" i="9"/>
  <c r="AJ386" i="9"/>
  <c r="AK386" i="9"/>
  <c r="AL386" i="9"/>
  <c r="AJ387" i="9"/>
  <c r="AK387" i="9"/>
  <c r="AL387" i="9"/>
  <c r="AJ388" i="9"/>
  <c r="AK388" i="9"/>
  <c r="AL388" i="9"/>
  <c r="AJ389" i="9"/>
  <c r="AK389" i="9"/>
  <c r="AL389" i="9"/>
  <c r="AJ390" i="9"/>
  <c r="AK390" i="9"/>
  <c r="AL390" i="9"/>
  <c r="AJ391" i="9"/>
  <c r="AK391" i="9"/>
  <c r="AL391" i="9"/>
  <c r="AJ392" i="9"/>
  <c r="AK392" i="9"/>
  <c r="AL392" i="9"/>
  <c r="AJ393" i="9"/>
  <c r="AK393" i="9"/>
  <c r="AL393" i="9"/>
  <c r="AJ394" i="9"/>
  <c r="AK394" i="9"/>
  <c r="AL394" i="9"/>
  <c r="AJ395" i="9"/>
  <c r="AK395" i="9"/>
  <c r="AL395" i="9"/>
  <c r="AJ396" i="9"/>
  <c r="AK396" i="9"/>
  <c r="AL396" i="9"/>
  <c r="AJ397" i="9"/>
  <c r="AK397" i="9"/>
  <c r="AL397" i="9"/>
  <c r="AJ398" i="9"/>
  <c r="AK398" i="9"/>
  <c r="AL398" i="9"/>
  <c r="AJ399" i="9"/>
  <c r="AK399" i="9"/>
  <c r="AL399" i="9"/>
  <c r="AJ400" i="9"/>
  <c r="AK400" i="9"/>
  <c r="AL400" i="9"/>
  <c r="AJ401" i="9"/>
  <c r="AK401" i="9"/>
  <c r="AL401" i="9"/>
  <c r="AJ402" i="9"/>
  <c r="AK402" i="9"/>
  <c r="AL402" i="9"/>
  <c r="AJ403" i="9"/>
  <c r="AK403" i="9"/>
  <c r="AL403" i="9"/>
  <c r="AJ404" i="9"/>
  <c r="AK404" i="9"/>
  <c r="AL404" i="9"/>
  <c r="AJ405" i="9"/>
  <c r="AK405" i="9"/>
  <c r="AL405" i="9"/>
  <c r="AJ406" i="9"/>
  <c r="AK406" i="9"/>
  <c r="AL406" i="9"/>
  <c r="AJ407" i="9"/>
  <c r="AK407" i="9"/>
  <c r="AL407" i="9"/>
  <c r="AJ408" i="9"/>
  <c r="AK408" i="9"/>
  <c r="AL408" i="9"/>
  <c r="AJ409" i="9"/>
  <c r="AK409" i="9"/>
  <c r="AL409" i="9"/>
  <c r="AJ410" i="9"/>
  <c r="AK410" i="9"/>
  <c r="AL410" i="9"/>
  <c r="AJ411" i="9"/>
  <c r="AK411" i="9"/>
  <c r="AL411" i="9"/>
  <c r="AJ412" i="9"/>
  <c r="AK412" i="9"/>
  <c r="AL412" i="9"/>
  <c r="AJ413" i="9"/>
  <c r="AK413" i="9"/>
  <c r="AL413" i="9"/>
  <c r="AJ414" i="9"/>
  <c r="AK414" i="9"/>
  <c r="AL414" i="9"/>
  <c r="AJ415" i="9"/>
  <c r="AK415" i="9"/>
  <c r="AL415" i="9"/>
  <c r="AJ416" i="9"/>
  <c r="AK416" i="9"/>
  <c r="AL416" i="9"/>
  <c r="AJ417" i="9"/>
  <c r="AK417" i="9"/>
  <c r="AL417" i="9"/>
  <c r="AJ418" i="9"/>
  <c r="AK418" i="9"/>
  <c r="AL418" i="9"/>
  <c r="AJ419" i="9"/>
  <c r="AK419" i="9"/>
  <c r="AL419" i="9"/>
  <c r="AJ420" i="9"/>
  <c r="AK420" i="9"/>
  <c r="AL420" i="9"/>
  <c r="AJ421" i="9"/>
  <c r="AK421" i="9"/>
  <c r="AL421" i="9"/>
  <c r="AJ422" i="9"/>
  <c r="AK422" i="9"/>
  <c r="AL422" i="9"/>
  <c r="AJ423" i="9"/>
  <c r="AK423" i="9"/>
  <c r="AL423" i="9"/>
  <c r="AJ424" i="9"/>
  <c r="AK424" i="9"/>
  <c r="AL424" i="9"/>
  <c r="AJ425" i="9"/>
  <c r="AK425" i="9"/>
  <c r="AL425" i="9"/>
  <c r="AJ426" i="9"/>
  <c r="AK426" i="9"/>
  <c r="AL426" i="9"/>
  <c r="AJ427" i="9"/>
  <c r="AK427" i="9"/>
  <c r="AL427" i="9"/>
  <c r="AJ428" i="9"/>
  <c r="AK428" i="9"/>
  <c r="AL428" i="9"/>
  <c r="AJ429" i="9"/>
  <c r="AK429" i="9"/>
  <c r="AL429" i="9"/>
  <c r="AJ430" i="9"/>
  <c r="AK430" i="9"/>
  <c r="AL430" i="9"/>
  <c r="AJ431" i="9"/>
  <c r="AK431" i="9"/>
  <c r="AL431" i="9"/>
  <c r="AJ432" i="9"/>
  <c r="AK432" i="9"/>
  <c r="AL432" i="9"/>
  <c r="AJ433" i="9"/>
  <c r="AK433" i="9"/>
  <c r="AL433" i="9"/>
  <c r="AJ434" i="9"/>
  <c r="AK434" i="9"/>
  <c r="AL434" i="9"/>
  <c r="AJ435" i="9"/>
  <c r="AK435" i="9"/>
  <c r="AL435" i="9"/>
  <c r="AJ436" i="9"/>
  <c r="AK436" i="9"/>
  <c r="AL436" i="9"/>
  <c r="AJ437" i="9"/>
  <c r="AK437" i="9"/>
  <c r="AL437" i="9"/>
  <c r="AJ438" i="9"/>
  <c r="AK438" i="9"/>
  <c r="AL438" i="9"/>
  <c r="AJ439" i="9"/>
  <c r="AK439" i="9"/>
  <c r="AL439" i="9"/>
  <c r="AJ440" i="9"/>
  <c r="AK440" i="9"/>
  <c r="AL440" i="9"/>
  <c r="AJ441" i="9"/>
  <c r="AK441" i="9"/>
  <c r="AL441" i="9"/>
  <c r="AJ442" i="9"/>
  <c r="AK442" i="9"/>
  <c r="AL442" i="9"/>
  <c r="AJ443" i="9"/>
  <c r="AK443" i="9"/>
  <c r="AL443" i="9"/>
  <c r="AJ444" i="9"/>
  <c r="AK444" i="9"/>
  <c r="AL444" i="9"/>
  <c r="AJ445" i="9"/>
  <c r="AK445" i="9"/>
  <c r="AL445" i="9"/>
  <c r="AJ446" i="9"/>
  <c r="AK446" i="9"/>
  <c r="AL446" i="9"/>
  <c r="AJ447" i="9"/>
  <c r="AK447" i="9"/>
  <c r="AL447" i="9"/>
  <c r="AJ448" i="9"/>
  <c r="AK448" i="9"/>
  <c r="AL448" i="9"/>
  <c r="AJ449" i="9"/>
  <c r="AK449" i="9"/>
  <c r="AL449" i="9"/>
  <c r="AJ450" i="9"/>
  <c r="AK450" i="9"/>
  <c r="AL450" i="9"/>
  <c r="AJ451" i="9"/>
  <c r="AK451" i="9"/>
  <c r="AL451" i="9"/>
  <c r="AJ452" i="9"/>
  <c r="AK452" i="9"/>
  <c r="AL452" i="9"/>
  <c r="AJ453" i="9"/>
  <c r="AK453" i="9"/>
  <c r="AL453" i="9"/>
  <c r="AJ454" i="9"/>
  <c r="AK454" i="9"/>
  <c r="AL454" i="9"/>
  <c r="AJ455" i="9"/>
  <c r="AK455" i="9"/>
  <c r="AL455" i="9"/>
  <c r="AJ456" i="9"/>
  <c r="AK456" i="9"/>
  <c r="AL456" i="9"/>
  <c r="AJ457" i="9"/>
  <c r="AK457" i="9"/>
  <c r="AL457" i="9"/>
  <c r="AJ458" i="9"/>
  <c r="AK458" i="9"/>
  <c r="AL458" i="9"/>
  <c r="AJ459" i="9"/>
  <c r="AK459" i="9"/>
  <c r="AL459" i="9"/>
  <c r="AJ460" i="9"/>
  <c r="AK460" i="9"/>
  <c r="AL460" i="9"/>
  <c r="AJ461" i="9"/>
  <c r="AK461" i="9"/>
  <c r="AL461" i="9"/>
  <c r="AJ462" i="9"/>
  <c r="AK462" i="9"/>
  <c r="AL462" i="9"/>
  <c r="AJ463" i="9"/>
  <c r="AK463" i="9"/>
  <c r="AL463" i="9"/>
  <c r="AJ464" i="9"/>
  <c r="AK464" i="9"/>
  <c r="AL464" i="9"/>
  <c r="AJ465" i="9"/>
  <c r="AK465" i="9"/>
  <c r="AL465" i="9"/>
  <c r="AJ466" i="9"/>
  <c r="AK466" i="9"/>
  <c r="AL466" i="9"/>
  <c r="AJ467" i="9"/>
  <c r="AK467" i="9"/>
  <c r="AL467" i="9"/>
  <c r="AJ468" i="9"/>
  <c r="AK468" i="9"/>
  <c r="AL468" i="9"/>
  <c r="AJ469" i="9"/>
  <c r="AK469" i="9"/>
  <c r="AL469" i="9"/>
  <c r="AJ470" i="9"/>
  <c r="AK470" i="9"/>
  <c r="AL470" i="9"/>
  <c r="AJ471" i="9"/>
  <c r="AK471" i="9"/>
  <c r="AL471" i="9"/>
  <c r="AJ472" i="9"/>
  <c r="AK472" i="9"/>
  <c r="AL472" i="9"/>
  <c r="AJ473" i="9"/>
  <c r="AK473" i="9"/>
  <c r="AL473" i="9"/>
  <c r="AJ474" i="9"/>
  <c r="AK474" i="9"/>
  <c r="AL474" i="9"/>
  <c r="AJ475" i="9"/>
  <c r="AK475" i="9"/>
  <c r="AL475" i="9"/>
  <c r="AJ476" i="9"/>
  <c r="AK476" i="9"/>
  <c r="AL476" i="9"/>
  <c r="AJ477" i="9"/>
  <c r="AK477" i="9"/>
  <c r="AL477" i="9"/>
  <c r="AJ478" i="9"/>
  <c r="AK478" i="9"/>
  <c r="AL478" i="9"/>
  <c r="AJ479" i="9"/>
  <c r="AK479" i="9"/>
  <c r="AL479" i="9"/>
  <c r="AJ480" i="9"/>
  <c r="AK480" i="9"/>
  <c r="AL480" i="9"/>
  <c r="AJ481" i="9"/>
  <c r="AK481" i="9"/>
  <c r="AL481" i="9"/>
  <c r="AJ482" i="9"/>
  <c r="AK482" i="9"/>
  <c r="AL482" i="9"/>
  <c r="AJ483" i="9"/>
  <c r="AK483" i="9"/>
  <c r="AL483" i="9"/>
  <c r="AJ484" i="9"/>
  <c r="AK484" i="9"/>
  <c r="AL484" i="9"/>
  <c r="AJ485" i="9"/>
  <c r="AK485" i="9"/>
  <c r="AL485" i="9"/>
  <c r="AJ486" i="9"/>
  <c r="AK486" i="9"/>
  <c r="AL486" i="9"/>
  <c r="AJ487" i="9"/>
  <c r="AK487" i="9"/>
  <c r="AL487" i="9"/>
  <c r="AJ488" i="9"/>
  <c r="AK488" i="9"/>
  <c r="AL488" i="9"/>
  <c r="AJ489" i="9"/>
  <c r="AK489" i="9"/>
  <c r="AL489" i="9"/>
  <c r="AJ490" i="9"/>
  <c r="AK490" i="9"/>
  <c r="AL490" i="9"/>
  <c r="AJ491" i="9"/>
  <c r="AK491" i="9"/>
  <c r="AL491" i="9"/>
  <c r="AJ492" i="9"/>
  <c r="AK492" i="9"/>
  <c r="AL492" i="9"/>
  <c r="AJ493" i="9"/>
  <c r="AK493" i="9"/>
  <c r="AL493" i="9"/>
  <c r="AJ494" i="9"/>
  <c r="AK494" i="9"/>
  <c r="AL494" i="9"/>
  <c r="AJ495" i="9"/>
  <c r="AK495" i="9"/>
  <c r="AL495" i="9"/>
  <c r="AJ496" i="9"/>
  <c r="AK496" i="9"/>
  <c r="AL496" i="9"/>
  <c r="AJ497" i="9"/>
  <c r="AK497" i="9"/>
  <c r="AL497" i="9"/>
  <c r="AJ498" i="9"/>
  <c r="AK498" i="9"/>
  <c r="AL498" i="9"/>
  <c r="AJ499" i="9"/>
  <c r="AK499" i="9"/>
  <c r="AL499" i="9"/>
  <c r="AJ500" i="9"/>
  <c r="AK500" i="9"/>
  <c r="AL500" i="9"/>
  <c r="AJ501" i="9"/>
  <c r="AK501" i="9"/>
  <c r="AL501" i="9"/>
  <c r="AJ502" i="9"/>
  <c r="AK502" i="9"/>
  <c r="AL502" i="9"/>
  <c r="AJ503" i="9"/>
  <c r="AK503" i="9"/>
  <c r="AL503" i="9"/>
  <c r="AJ504" i="9"/>
  <c r="AK504" i="9"/>
  <c r="AL504" i="9"/>
  <c r="AJ505" i="9"/>
  <c r="AK505" i="9"/>
  <c r="AL505" i="9"/>
  <c r="AJ506" i="9"/>
  <c r="AK506" i="9"/>
  <c r="AL506" i="9"/>
  <c r="AJ507" i="9"/>
  <c r="AK507" i="9"/>
  <c r="AL507" i="9"/>
  <c r="AJ508" i="9"/>
  <c r="AK508" i="9"/>
  <c r="AL508" i="9"/>
  <c r="AJ509" i="9"/>
  <c r="AK509" i="9"/>
  <c r="AL509" i="9"/>
  <c r="AJ510" i="9"/>
  <c r="AK510" i="9"/>
  <c r="AL510" i="9"/>
  <c r="AJ511" i="9"/>
  <c r="AK511" i="9"/>
  <c r="AL511" i="9"/>
  <c r="AJ512" i="9"/>
  <c r="AK512" i="9"/>
  <c r="AL512" i="9"/>
  <c r="AJ513" i="9"/>
  <c r="AK513" i="9"/>
  <c r="AL513" i="9"/>
  <c r="AJ514" i="9"/>
  <c r="AK514" i="9"/>
  <c r="AL514" i="9"/>
  <c r="AJ515" i="9"/>
  <c r="AK515" i="9"/>
  <c r="AL515" i="9"/>
  <c r="AJ516" i="9"/>
  <c r="AK516" i="9"/>
  <c r="AL516" i="9"/>
  <c r="AJ517" i="9"/>
  <c r="AK517" i="9"/>
  <c r="AL517" i="9"/>
  <c r="AJ518" i="9"/>
  <c r="AK518" i="9"/>
  <c r="AL518" i="9"/>
  <c r="AJ519" i="9"/>
  <c r="AK519" i="9"/>
  <c r="AL519" i="9"/>
  <c r="AJ520" i="9"/>
  <c r="AK520" i="9"/>
  <c r="AL520" i="9"/>
  <c r="AJ521" i="9"/>
  <c r="AK521" i="9"/>
  <c r="AL521" i="9"/>
  <c r="AJ522" i="9"/>
  <c r="AK522" i="9"/>
  <c r="AL522" i="9"/>
  <c r="AJ523" i="9"/>
  <c r="AK523" i="9"/>
  <c r="AL523" i="9"/>
  <c r="AJ524" i="9"/>
  <c r="AK524" i="9"/>
  <c r="AL524" i="9"/>
  <c r="AJ525" i="9"/>
  <c r="AK525" i="9"/>
  <c r="AL525" i="9"/>
  <c r="AJ526" i="9"/>
  <c r="AK526" i="9"/>
  <c r="AL526" i="9"/>
  <c r="AJ527" i="9"/>
  <c r="AK527" i="9"/>
  <c r="AL527" i="9"/>
  <c r="AJ528" i="9"/>
  <c r="AK528" i="9"/>
  <c r="AL528" i="9"/>
  <c r="AJ529" i="9"/>
  <c r="AK529" i="9"/>
  <c r="AL529" i="9"/>
  <c r="AJ530" i="9"/>
  <c r="AK530" i="9"/>
  <c r="AL530" i="9"/>
  <c r="AJ531" i="9"/>
  <c r="AK531" i="9"/>
  <c r="AL531" i="9"/>
  <c r="AJ532" i="9"/>
  <c r="AK532" i="9"/>
  <c r="AL532" i="9"/>
  <c r="AJ533" i="9"/>
  <c r="AK533" i="9"/>
  <c r="AL533" i="9"/>
  <c r="AJ534" i="9"/>
  <c r="AK534" i="9"/>
  <c r="AL534" i="9"/>
  <c r="AJ535" i="9"/>
  <c r="AK535" i="9"/>
  <c r="AL535" i="9"/>
  <c r="AJ536" i="9"/>
  <c r="AK536" i="9"/>
  <c r="AL536" i="9"/>
  <c r="AJ537" i="9"/>
  <c r="AK537" i="9"/>
  <c r="AL537" i="9"/>
  <c r="AJ538" i="9"/>
  <c r="AK538" i="9"/>
  <c r="AL538" i="9"/>
  <c r="AJ539" i="9"/>
  <c r="AK539" i="9"/>
  <c r="AL539" i="9"/>
  <c r="AJ540" i="9"/>
  <c r="AK540" i="9"/>
  <c r="AL540" i="9"/>
  <c r="AJ541" i="9"/>
  <c r="AK541" i="9"/>
  <c r="AL541" i="9"/>
  <c r="AJ542" i="9"/>
  <c r="AK542" i="9"/>
  <c r="AL542" i="9"/>
  <c r="AJ543" i="9"/>
  <c r="AK543" i="9"/>
  <c r="AL543" i="9"/>
  <c r="AJ544" i="9"/>
  <c r="AK544" i="9"/>
  <c r="AL544" i="9"/>
  <c r="AJ545" i="9"/>
  <c r="AK545" i="9"/>
  <c r="AL545" i="9"/>
  <c r="AJ546" i="9"/>
  <c r="AK546" i="9"/>
  <c r="AL546" i="9"/>
  <c r="AJ547" i="9"/>
  <c r="AK547" i="9"/>
  <c r="AL547" i="9"/>
  <c r="AJ548" i="9"/>
  <c r="AK548" i="9"/>
  <c r="AL548" i="9"/>
  <c r="AJ549" i="9"/>
  <c r="AK549" i="9"/>
  <c r="AL549" i="9"/>
  <c r="AJ550" i="9"/>
  <c r="AK550" i="9"/>
  <c r="AL550" i="9"/>
  <c r="AJ551" i="9"/>
  <c r="AK551" i="9"/>
  <c r="AL551" i="9"/>
  <c r="AJ552" i="9"/>
  <c r="AK552" i="9"/>
  <c r="AL552" i="9"/>
  <c r="AJ553" i="9"/>
  <c r="AK553" i="9"/>
  <c r="AL553" i="9"/>
  <c r="AJ554" i="9"/>
  <c r="AK554" i="9"/>
  <c r="AL554" i="9"/>
  <c r="AJ555" i="9"/>
  <c r="AK555" i="9"/>
  <c r="AL555" i="9"/>
  <c r="AJ556" i="9"/>
  <c r="AK556" i="9"/>
  <c r="AL556" i="9"/>
  <c r="AJ557" i="9"/>
  <c r="AK557" i="9"/>
  <c r="AL557" i="9"/>
  <c r="AJ558" i="9"/>
  <c r="AK558" i="9"/>
  <c r="AL558" i="9"/>
  <c r="AJ559" i="9"/>
  <c r="AK559" i="9"/>
  <c r="AL559" i="9"/>
  <c r="AJ560" i="9"/>
  <c r="AK560" i="9"/>
  <c r="AL560" i="9"/>
  <c r="AJ561" i="9"/>
  <c r="AK561" i="9"/>
  <c r="AL561" i="9"/>
  <c r="AJ562" i="9"/>
  <c r="AK562" i="9"/>
  <c r="AL562" i="9"/>
  <c r="AJ563" i="9"/>
  <c r="AK563" i="9"/>
  <c r="AL563" i="9"/>
  <c r="AJ564" i="9"/>
  <c r="AK564" i="9"/>
  <c r="AL564" i="9"/>
  <c r="AJ565" i="9"/>
  <c r="AK565" i="9"/>
  <c r="AL565" i="9"/>
  <c r="AJ566" i="9"/>
  <c r="AK566" i="9"/>
  <c r="AL566" i="9"/>
  <c r="AJ567" i="9"/>
  <c r="AK567" i="9"/>
  <c r="AL567" i="9"/>
  <c r="AJ568" i="9"/>
  <c r="AK568" i="9"/>
  <c r="AL568" i="9"/>
  <c r="AJ569" i="9"/>
  <c r="AK569" i="9"/>
  <c r="AL569" i="9"/>
  <c r="AJ570" i="9"/>
  <c r="AK570" i="9"/>
  <c r="AL570" i="9"/>
  <c r="AJ571" i="9"/>
  <c r="AK571" i="9"/>
  <c r="AL571" i="9"/>
  <c r="AJ572" i="9"/>
  <c r="AK572" i="9"/>
  <c r="AL572" i="9"/>
  <c r="AJ573" i="9"/>
  <c r="AK573" i="9"/>
  <c r="AL573" i="9"/>
  <c r="AJ574" i="9"/>
  <c r="AK574" i="9"/>
  <c r="AL574" i="9"/>
  <c r="AJ575" i="9"/>
  <c r="AK575" i="9"/>
  <c r="AL575" i="9"/>
  <c r="AJ576" i="9"/>
  <c r="AK576" i="9"/>
  <c r="AL576" i="9"/>
  <c r="AJ577" i="9"/>
  <c r="AK577" i="9"/>
  <c r="AL577" i="9"/>
  <c r="AJ578" i="9"/>
  <c r="AK578" i="9"/>
  <c r="AL578" i="9"/>
  <c r="AJ579" i="9"/>
  <c r="AK579" i="9"/>
  <c r="AL579" i="9"/>
  <c r="AJ580" i="9"/>
  <c r="AK580" i="9"/>
  <c r="AL580" i="9"/>
  <c r="AJ581" i="9"/>
  <c r="AK581" i="9"/>
  <c r="AL581" i="9"/>
  <c r="AJ582" i="9"/>
  <c r="AK582" i="9"/>
  <c r="AL582" i="9"/>
  <c r="AJ583" i="9"/>
  <c r="AK583" i="9"/>
  <c r="AL583" i="9"/>
  <c r="AJ584" i="9"/>
  <c r="AK584" i="9"/>
  <c r="AL584" i="9"/>
  <c r="AJ585" i="9"/>
  <c r="AK585" i="9"/>
  <c r="AL585" i="9"/>
  <c r="AJ586" i="9"/>
  <c r="AK586" i="9"/>
  <c r="AL586" i="9"/>
  <c r="AJ587" i="9"/>
  <c r="AK587" i="9"/>
  <c r="AL587" i="9"/>
  <c r="AJ588" i="9"/>
  <c r="AK588" i="9"/>
  <c r="AL588" i="9"/>
  <c r="AJ589" i="9"/>
  <c r="AK589" i="9"/>
  <c r="AL589" i="9"/>
  <c r="AJ590" i="9"/>
  <c r="AK590" i="9"/>
  <c r="AL590" i="9"/>
  <c r="AJ591" i="9"/>
  <c r="AK591" i="9"/>
  <c r="AL591" i="9"/>
  <c r="AJ592" i="9"/>
  <c r="AK592" i="9"/>
  <c r="AL592" i="9"/>
  <c r="AJ593" i="9"/>
  <c r="AK593" i="9"/>
  <c r="AL593" i="9"/>
  <c r="AJ594" i="9"/>
  <c r="AK594" i="9"/>
  <c r="AL594" i="9"/>
  <c r="AJ595" i="9"/>
  <c r="AK595" i="9"/>
  <c r="AL595" i="9"/>
  <c r="AJ596" i="9"/>
  <c r="AK596" i="9"/>
  <c r="AL596" i="9"/>
  <c r="AJ597" i="9"/>
  <c r="AK597" i="9"/>
  <c r="AL597" i="9"/>
  <c r="AJ598" i="9"/>
  <c r="AK598" i="9"/>
  <c r="AL598" i="9"/>
  <c r="AJ599" i="9"/>
  <c r="AK599" i="9"/>
  <c r="AL599" i="9"/>
  <c r="AJ600" i="9"/>
  <c r="AK600" i="9"/>
  <c r="AL600" i="9"/>
  <c r="AJ601" i="9"/>
  <c r="AK601" i="9"/>
  <c r="AL601" i="9"/>
  <c r="AJ602" i="9"/>
  <c r="AK602" i="9"/>
  <c r="AL602" i="9"/>
  <c r="AJ603" i="9"/>
  <c r="AK603" i="9"/>
  <c r="AL603" i="9"/>
  <c r="AJ604" i="9"/>
  <c r="AK604" i="9"/>
  <c r="AL604" i="9"/>
  <c r="AJ605" i="9"/>
  <c r="AK605" i="9"/>
  <c r="AL605" i="9"/>
  <c r="AJ606" i="9"/>
  <c r="AK606" i="9"/>
  <c r="AL606" i="9"/>
  <c r="AJ607" i="9"/>
  <c r="AK607" i="9"/>
  <c r="AL607" i="9"/>
  <c r="AJ608" i="9"/>
  <c r="AK608" i="9"/>
  <c r="AL608" i="9"/>
  <c r="AJ609" i="9"/>
  <c r="AK609" i="9"/>
  <c r="AL609" i="9"/>
  <c r="AJ610" i="9"/>
  <c r="AK610" i="9"/>
  <c r="AL610" i="9"/>
  <c r="AJ611" i="9"/>
  <c r="AK611" i="9"/>
  <c r="AL611" i="9"/>
  <c r="AJ612" i="9"/>
  <c r="AK612" i="9"/>
  <c r="AL612" i="9"/>
  <c r="AJ613" i="9"/>
  <c r="AK613" i="9"/>
  <c r="AL613" i="9"/>
  <c r="AJ614" i="9"/>
  <c r="AK614" i="9"/>
  <c r="AL614" i="9"/>
  <c r="AJ615" i="9"/>
  <c r="AK615" i="9"/>
  <c r="AL615" i="9"/>
  <c r="AJ616" i="9"/>
  <c r="AK616" i="9"/>
  <c r="AL616" i="9"/>
  <c r="AJ617" i="9"/>
  <c r="AK617" i="9"/>
  <c r="AL617" i="9"/>
  <c r="AJ618" i="9"/>
  <c r="AK618" i="9"/>
  <c r="AL618" i="9"/>
  <c r="AJ619" i="9"/>
  <c r="AK619" i="9"/>
  <c r="AL619" i="9"/>
  <c r="AJ620" i="9"/>
  <c r="AK620" i="9"/>
  <c r="AL620" i="9"/>
  <c r="AJ621" i="9"/>
  <c r="AK621" i="9"/>
  <c r="AL621" i="9"/>
  <c r="AJ622" i="9"/>
  <c r="AK622" i="9"/>
  <c r="AL622" i="9"/>
  <c r="AJ623" i="9"/>
  <c r="AK623" i="9"/>
  <c r="AL623" i="9"/>
  <c r="AJ624" i="9"/>
  <c r="AK624" i="9"/>
  <c r="AL624" i="9"/>
  <c r="AJ625" i="9"/>
  <c r="AK625" i="9"/>
  <c r="AL625" i="9"/>
  <c r="AJ626" i="9"/>
  <c r="AK626" i="9"/>
  <c r="AL626" i="9"/>
  <c r="AJ627" i="9"/>
  <c r="AK627" i="9"/>
  <c r="AL627" i="9"/>
  <c r="AJ628" i="9"/>
  <c r="AK628" i="9"/>
  <c r="AL628" i="9"/>
  <c r="AJ629" i="9"/>
  <c r="AK629" i="9"/>
  <c r="AL629" i="9"/>
  <c r="AJ630" i="9"/>
  <c r="AK630" i="9"/>
  <c r="AL630" i="9"/>
  <c r="AJ631" i="9"/>
  <c r="AK631" i="9"/>
  <c r="AL631" i="9"/>
  <c r="AJ632" i="9"/>
  <c r="AK632" i="9"/>
  <c r="AL632" i="9"/>
  <c r="AJ633" i="9"/>
  <c r="AK633" i="9"/>
  <c r="AL633" i="9"/>
  <c r="AJ634" i="9"/>
  <c r="AK634" i="9"/>
  <c r="AL634" i="9"/>
  <c r="AJ635" i="9"/>
  <c r="AK635" i="9"/>
  <c r="AL635" i="9"/>
  <c r="AJ636" i="9"/>
  <c r="AK636" i="9"/>
  <c r="AL636" i="9"/>
  <c r="AJ637" i="9"/>
  <c r="AK637" i="9"/>
  <c r="AL637" i="9"/>
  <c r="AJ638" i="9"/>
  <c r="AK638" i="9"/>
  <c r="AL638" i="9"/>
  <c r="AJ639" i="9"/>
  <c r="AK639" i="9"/>
  <c r="AL639" i="9"/>
  <c r="AJ640" i="9"/>
  <c r="AK640" i="9"/>
  <c r="AL640" i="9"/>
  <c r="AJ641" i="9"/>
  <c r="AK641" i="9"/>
  <c r="AL641" i="9"/>
  <c r="AJ642" i="9"/>
  <c r="AK642" i="9"/>
  <c r="AL642" i="9"/>
  <c r="AJ643" i="9"/>
  <c r="AK643" i="9"/>
  <c r="AL643" i="9"/>
  <c r="AJ644" i="9"/>
  <c r="AK644" i="9"/>
  <c r="AL644" i="9"/>
  <c r="AJ645" i="9"/>
  <c r="AK645" i="9"/>
  <c r="AL645" i="9"/>
  <c r="AJ646" i="9"/>
  <c r="AK646" i="9"/>
  <c r="AL646" i="9"/>
  <c r="AJ647" i="9"/>
  <c r="AK647" i="9"/>
  <c r="AL647" i="9"/>
  <c r="AJ648" i="9"/>
  <c r="AK648" i="9"/>
  <c r="AL648" i="9"/>
  <c r="AJ649" i="9"/>
  <c r="AK649" i="9"/>
  <c r="AL649" i="9"/>
  <c r="AJ650" i="9"/>
  <c r="AK650" i="9"/>
  <c r="AL650" i="9"/>
  <c r="AJ651" i="9"/>
  <c r="AK651" i="9"/>
  <c r="AL651" i="9"/>
  <c r="AJ652" i="9"/>
  <c r="AK652" i="9"/>
  <c r="AL652" i="9"/>
  <c r="AJ653" i="9"/>
  <c r="AK653" i="9"/>
  <c r="AL653" i="9"/>
  <c r="AJ654" i="9"/>
  <c r="AK654" i="9"/>
  <c r="AL654" i="9"/>
  <c r="AJ655" i="9"/>
  <c r="AK655" i="9"/>
  <c r="AL655" i="9"/>
  <c r="AJ656" i="9"/>
  <c r="AK656" i="9"/>
  <c r="AL656" i="9"/>
  <c r="AJ657" i="9"/>
  <c r="AK657" i="9"/>
  <c r="AL657" i="9"/>
  <c r="AJ658" i="9"/>
  <c r="AK658" i="9"/>
  <c r="AL658" i="9"/>
  <c r="AJ659" i="9"/>
  <c r="AK659" i="9"/>
  <c r="AL659" i="9"/>
  <c r="AJ660" i="9"/>
  <c r="AK660" i="9"/>
  <c r="AL660" i="9"/>
  <c r="AJ661" i="9"/>
  <c r="AK661" i="9"/>
  <c r="AL661" i="9"/>
  <c r="AJ662" i="9"/>
  <c r="AK662" i="9"/>
  <c r="AL662" i="9"/>
  <c r="AJ663" i="9"/>
  <c r="AK663" i="9"/>
  <c r="AL663" i="9"/>
  <c r="AJ664" i="9"/>
  <c r="AK664" i="9"/>
  <c r="AL664" i="9"/>
  <c r="AJ665" i="9"/>
  <c r="AK665" i="9"/>
  <c r="AL665" i="9"/>
  <c r="AJ666" i="9"/>
  <c r="AK666" i="9"/>
  <c r="AL666" i="9"/>
  <c r="AJ667" i="9"/>
  <c r="AK667" i="9"/>
  <c r="AL667" i="9"/>
  <c r="AJ668" i="9"/>
  <c r="AK668" i="9"/>
  <c r="AL668" i="9"/>
  <c r="AJ669" i="9"/>
  <c r="AK669" i="9"/>
  <c r="AL669" i="9"/>
  <c r="AJ670" i="9"/>
  <c r="AK670" i="9"/>
  <c r="AL670" i="9"/>
  <c r="AJ671" i="9"/>
  <c r="AK671" i="9"/>
  <c r="AL671" i="9"/>
  <c r="AJ672" i="9"/>
  <c r="AK672" i="9"/>
  <c r="AL672" i="9"/>
  <c r="AJ673" i="9"/>
  <c r="AK673" i="9"/>
  <c r="AL673" i="9"/>
  <c r="AJ674" i="9"/>
  <c r="AK674" i="9"/>
  <c r="AL674" i="9"/>
  <c r="AJ675" i="9"/>
  <c r="AK675" i="9"/>
  <c r="AL675" i="9"/>
  <c r="AJ676" i="9"/>
  <c r="AK676" i="9"/>
  <c r="AL676" i="9"/>
  <c r="AJ677" i="9"/>
  <c r="AK677" i="9"/>
  <c r="AL677" i="9"/>
  <c r="AJ678" i="9"/>
  <c r="AK678" i="9"/>
  <c r="AL678" i="9"/>
  <c r="AJ679" i="9"/>
  <c r="AK679" i="9"/>
  <c r="AL679" i="9"/>
  <c r="AJ680" i="9"/>
  <c r="AK680" i="9"/>
  <c r="AL680" i="9"/>
  <c r="AJ681" i="9"/>
  <c r="AK681" i="9"/>
  <c r="AL681" i="9"/>
  <c r="AJ682" i="9"/>
  <c r="AK682" i="9"/>
  <c r="AL682" i="9"/>
  <c r="AJ683" i="9"/>
  <c r="AK683" i="9"/>
  <c r="AL683" i="9"/>
  <c r="AJ684" i="9"/>
  <c r="AK684" i="9"/>
  <c r="AL684" i="9"/>
  <c r="AJ685" i="9"/>
  <c r="AK685" i="9"/>
  <c r="AL685" i="9"/>
  <c r="AJ686" i="9"/>
  <c r="AK686" i="9"/>
  <c r="AL686" i="9"/>
  <c r="AJ687" i="9"/>
  <c r="AK687" i="9"/>
  <c r="AL687" i="9"/>
  <c r="AJ688" i="9"/>
  <c r="AK688" i="9"/>
  <c r="AL688" i="9"/>
  <c r="AJ689" i="9"/>
  <c r="AK689" i="9"/>
  <c r="AL689" i="9"/>
  <c r="AJ690" i="9"/>
  <c r="AK690" i="9"/>
  <c r="AL690" i="9"/>
  <c r="AJ691" i="9"/>
  <c r="AK691" i="9"/>
  <c r="AL691" i="9"/>
  <c r="AJ692" i="9"/>
  <c r="AK692" i="9"/>
  <c r="AL692" i="9"/>
  <c r="AJ693" i="9"/>
  <c r="AK693" i="9"/>
  <c r="AL693" i="9"/>
  <c r="AJ694" i="9"/>
  <c r="AK694" i="9"/>
  <c r="AL694" i="9"/>
  <c r="AJ695" i="9"/>
  <c r="AK695" i="9"/>
  <c r="AL695" i="9"/>
  <c r="AJ696" i="9"/>
  <c r="AK696" i="9"/>
  <c r="AL696" i="9"/>
  <c r="AJ697" i="9"/>
  <c r="AK697" i="9"/>
  <c r="AL697" i="9"/>
  <c r="AJ698" i="9"/>
  <c r="AK698" i="9"/>
  <c r="AL698" i="9"/>
  <c r="AJ699" i="9"/>
  <c r="AK699" i="9"/>
  <c r="AL699" i="9"/>
  <c r="AJ700" i="9"/>
  <c r="AK700" i="9"/>
  <c r="AL700" i="9"/>
  <c r="AJ701" i="9"/>
  <c r="AK701" i="9"/>
  <c r="AL701" i="9"/>
  <c r="AJ702" i="9"/>
  <c r="AK702" i="9"/>
  <c r="AL702" i="9"/>
  <c r="AJ703" i="9"/>
  <c r="AK703" i="9"/>
  <c r="AL703" i="9"/>
  <c r="AJ704" i="9"/>
  <c r="AK704" i="9"/>
  <c r="AL704" i="9"/>
  <c r="AJ705" i="9"/>
  <c r="AK705" i="9"/>
  <c r="AL705" i="9"/>
  <c r="AJ706" i="9"/>
  <c r="AK706" i="9"/>
  <c r="AL706" i="9"/>
  <c r="AJ707" i="9"/>
  <c r="AK707" i="9"/>
  <c r="AL707" i="9"/>
  <c r="AJ708" i="9"/>
  <c r="AK708" i="9"/>
  <c r="AL708" i="9"/>
  <c r="AJ709" i="9"/>
  <c r="AK709" i="9"/>
  <c r="AL709" i="9"/>
  <c r="AJ710" i="9"/>
  <c r="AK710" i="9"/>
  <c r="AL710" i="9"/>
  <c r="AJ711" i="9"/>
  <c r="AK711" i="9"/>
  <c r="AL711" i="9"/>
  <c r="AJ712" i="9"/>
  <c r="AK712" i="9"/>
  <c r="AL712" i="9"/>
  <c r="AJ713" i="9"/>
  <c r="AK713" i="9"/>
  <c r="AL713" i="9"/>
  <c r="AJ714" i="9"/>
  <c r="AK714" i="9"/>
  <c r="AL714" i="9"/>
  <c r="AJ715" i="9"/>
  <c r="AK715" i="9"/>
  <c r="AL715" i="9"/>
  <c r="AJ716" i="9"/>
  <c r="AK716" i="9"/>
  <c r="AL716" i="9"/>
  <c r="AJ717" i="9"/>
  <c r="AK717" i="9"/>
  <c r="AL717" i="9"/>
  <c r="AJ718" i="9"/>
  <c r="AK718" i="9"/>
  <c r="AL718" i="9"/>
  <c r="AJ719" i="9"/>
  <c r="AK719" i="9"/>
  <c r="AL719" i="9"/>
  <c r="AJ720" i="9"/>
  <c r="AK720" i="9"/>
  <c r="AL720" i="9"/>
  <c r="AJ721" i="9"/>
  <c r="AK721" i="9"/>
  <c r="AL721" i="9"/>
  <c r="AJ722" i="9"/>
  <c r="AK722" i="9"/>
  <c r="AL722" i="9"/>
  <c r="AJ723" i="9"/>
  <c r="AK723" i="9"/>
  <c r="AL723" i="9"/>
  <c r="AJ724" i="9"/>
  <c r="AK724" i="9"/>
  <c r="AL724" i="9"/>
  <c r="AJ725" i="9"/>
  <c r="AK725" i="9"/>
  <c r="AL725" i="9"/>
  <c r="AJ726" i="9"/>
  <c r="AK726" i="9"/>
  <c r="AL726" i="9"/>
  <c r="AJ727" i="9"/>
  <c r="AK727" i="9"/>
  <c r="AL727" i="9"/>
  <c r="AJ728" i="9"/>
  <c r="AK728" i="9"/>
  <c r="AL728" i="9"/>
  <c r="AJ729" i="9"/>
  <c r="AK729" i="9"/>
  <c r="AL729" i="9"/>
  <c r="AJ730" i="9"/>
  <c r="AK730" i="9"/>
  <c r="AL730" i="9"/>
  <c r="AJ731" i="9"/>
  <c r="AK731" i="9"/>
  <c r="AL731" i="9"/>
  <c r="AJ732" i="9"/>
  <c r="AK732" i="9"/>
  <c r="AL732" i="9"/>
  <c r="AJ733" i="9"/>
  <c r="AK733" i="9"/>
  <c r="AL733" i="9"/>
  <c r="AJ734" i="9"/>
  <c r="AK734" i="9"/>
  <c r="AL734" i="9"/>
  <c r="AJ735" i="9"/>
  <c r="AK735" i="9"/>
  <c r="AL735" i="9"/>
  <c r="AJ736" i="9"/>
  <c r="AK736" i="9"/>
  <c r="AL736" i="9"/>
  <c r="AJ737" i="9"/>
  <c r="AK737" i="9"/>
  <c r="AL737" i="9"/>
  <c r="AJ738" i="9"/>
  <c r="AK738" i="9"/>
  <c r="AL738" i="9"/>
  <c r="AJ739" i="9"/>
  <c r="AK739" i="9"/>
  <c r="AL739" i="9"/>
  <c r="AJ740" i="9"/>
  <c r="AK740" i="9"/>
  <c r="AL740" i="9"/>
  <c r="AJ741" i="9"/>
  <c r="AK741" i="9"/>
  <c r="AL741" i="9"/>
  <c r="AJ742" i="9"/>
  <c r="AK742" i="9"/>
  <c r="AL742" i="9"/>
  <c r="AJ743" i="9"/>
  <c r="AK743" i="9"/>
  <c r="AL743" i="9"/>
  <c r="AJ744" i="9"/>
  <c r="AK744" i="9"/>
  <c r="AL744" i="9"/>
  <c r="AJ745" i="9"/>
  <c r="AK745" i="9"/>
  <c r="AL745" i="9"/>
  <c r="AJ746" i="9"/>
  <c r="AK746" i="9"/>
  <c r="AL746" i="9"/>
  <c r="AJ747" i="9"/>
  <c r="AK747" i="9"/>
  <c r="AL747" i="9"/>
  <c r="AJ748" i="9"/>
  <c r="AK748" i="9"/>
  <c r="AL748" i="9"/>
  <c r="AJ749" i="9"/>
  <c r="AK749" i="9"/>
  <c r="AL749" i="9"/>
  <c r="AJ750" i="9"/>
  <c r="AK750" i="9"/>
  <c r="AL750" i="9"/>
  <c r="AJ751" i="9"/>
  <c r="AK751" i="9"/>
  <c r="AL751" i="9"/>
  <c r="AJ752" i="9"/>
  <c r="AK752" i="9"/>
  <c r="AL752" i="9"/>
  <c r="AJ753" i="9"/>
  <c r="AK753" i="9"/>
  <c r="AL753" i="9"/>
  <c r="AJ754" i="9"/>
  <c r="AK754" i="9"/>
  <c r="AL754" i="9"/>
  <c r="AJ755" i="9"/>
  <c r="AK755" i="9"/>
  <c r="AL755" i="9"/>
  <c r="AJ756" i="9"/>
  <c r="AK756" i="9"/>
  <c r="AL756" i="9"/>
  <c r="AJ757" i="9"/>
  <c r="AK757" i="9"/>
  <c r="AL757" i="9"/>
  <c r="AJ758" i="9"/>
  <c r="AK758" i="9"/>
  <c r="AL758" i="9"/>
  <c r="AJ759" i="9"/>
  <c r="AK759" i="9"/>
  <c r="AL759" i="9"/>
  <c r="AJ760" i="9"/>
  <c r="AK760" i="9"/>
  <c r="AL760" i="9"/>
  <c r="AJ761" i="9"/>
  <c r="AK761" i="9"/>
  <c r="AL761" i="9"/>
  <c r="AJ762" i="9"/>
  <c r="AK762" i="9"/>
  <c r="AL762" i="9"/>
  <c r="AJ763" i="9"/>
  <c r="AK763" i="9"/>
  <c r="AL763" i="9"/>
  <c r="AJ764" i="9"/>
  <c r="AK764" i="9"/>
  <c r="AL764" i="9"/>
  <c r="AJ765" i="9"/>
  <c r="AK765" i="9"/>
  <c r="AL765" i="9"/>
  <c r="AJ766" i="9"/>
  <c r="AK766" i="9"/>
  <c r="AL766" i="9"/>
  <c r="AJ767" i="9"/>
  <c r="AK767" i="9"/>
  <c r="AL767" i="9"/>
  <c r="AJ768" i="9"/>
  <c r="AK768" i="9"/>
  <c r="AL768" i="9"/>
  <c r="AJ769" i="9"/>
  <c r="AK769" i="9"/>
  <c r="AL769" i="9"/>
  <c r="AJ770" i="9"/>
  <c r="AK770" i="9"/>
  <c r="AL770" i="9"/>
  <c r="AJ771" i="9"/>
  <c r="AK771" i="9"/>
  <c r="AL771" i="9"/>
  <c r="AJ772" i="9"/>
  <c r="AK772" i="9"/>
  <c r="AL772" i="9"/>
  <c r="AJ773" i="9"/>
  <c r="AK773" i="9"/>
  <c r="AL773" i="9"/>
  <c r="AJ774" i="9"/>
  <c r="AK774" i="9"/>
  <c r="AL774" i="9"/>
  <c r="AJ775" i="9"/>
  <c r="AK775" i="9"/>
  <c r="AL775" i="9"/>
  <c r="AJ776" i="9"/>
  <c r="AK776" i="9"/>
  <c r="AL776" i="9"/>
  <c r="AJ777" i="9"/>
  <c r="AK777" i="9"/>
  <c r="AL777" i="9"/>
  <c r="AJ778" i="9"/>
  <c r="AK778" i="9"/>
  <c r="AL778" i="9"/>
  <c r="AJ779" i="9"/>
  <c r="AK779" i="9"/>
  <c r="AL779" i="9"/>
  <c r="AJ780" i="9"/>
  <c r="AK780" i="9"/>
  <c r="AL780" i="9"/>
  <c r="AJ781" i="9"/>
  <c r="AK781" i="9"/>
  <c r="AL781" i="9"/>
  <c r="AJ782" i="9"/>
  <c r="AK782" i="9"/>
  <c r="AL782" i="9"/>
  <c r="AJ783" i="9"/>
  <c r="AK783" i="9"/>
  <c r="AL783" i="9"/>
  <c r="AJ784" i="9"/>
  <c r="AK784" i="9"/>
  <c r="AL784" i="9"/>
  <c r="AJ785" i="9"/>
  <c r="AK785" i="9"/>
  <c r="AL785" i="9"/>
  <c r="AJ786" i="9"/>
  <c r="AK786" i="9"/>
  <c r="AL786" i="9"/>
  <c r="AJ787" i="9"/>
  <c r="AK787" i="9"/>
  <c r="AL787" i="9"/>
  <c r="AJ788" i="9"/>
  <c r="AK788" i="9"/>
  <c r="AL788" i="9"/>
  <c r="AJ789" i="9"/>
  <c r="AK789" i="9"/>
  <c r="AL789" i="9"/>
  <c r="AJ790" i="9"/>
  <c r="AK790" i="9"/>
  <c r="AL790" i="9"/>
  <c r="AJ791" i="9"/>
  <c r="AK791" i="9"/>
  <c r="AL791" i="9"/>
  <c r="AJ792" i="9"/>
  <c r="AK792" i="9"/>
  <c r="AL792" i="9"/>
  <c r="AJ793" i="9"/>
  <c r="AK793" i="9"/>
  <c r="AL793" i="9"/>
  <c r="AJ794" i="9"/>
  <c r="AK794" i="9"/>
  <c r="AL794" i="9"/>
  <c r="AJ795" i="9"/>
  <c r="AK795" i="9"/>
  <c r="AL795" i="9"/>
  <c r="AJ796" i="9"/>
  <c r="AK796" i="9"/>
  <c r="AL796" i="9"/>
  <c r="AJ797" i="9"/>
  <c r="AK797" i="9"/>
  <c r="AL797" i="9"/>
  <c r="AJ798" i="9"/>
  <c r="AK798" i="9"/>
  <c r="AL798" i="9"/>
  <c r="AJ799" i="9"/>
  <c r="AK799" i="9"/>
  <c r="AL799" i="9"/>
  <c r="AJ800" i="9"/>
  <c r="AK800" i="9"/>
  <c r="AL800" i="9"/>
  <c r="AJ801" i="9"/>
  <c r="AK801" i="9"/>
  <c r="AL801" i="9"/>
  <c r="AJ802" i="9"/>
  <c r="AK802" i="9"/>
  <c r="AL802" i="9"/>
  <c r="AJ803" i="9"/>
  <c r="AK803" i="9"/>
  <c r="AL803" i="9"/>
  <c r="AJ804" i="9"/>
  <c r="AK804" i="9"/>
  <c r="AL804" i="9"/>
  <c r="AJ805" i="9"/>
  <c r="AK805" i="9"/>
  <c r="AL805" i="9"/>
  <c r="AJ806" i="9"/>
  <c r="AK806" i="9"/>
  <c r="AL806" i="9"/>
  <c r="AJ807" i="9"/>
  <c r="AK807" i="9"/>
  <c r="AL807" i="9"/>
  <c r="AJ808" i="9"/>
  <c r="AK808" i="9"/>
  <c r="AL808" i="9"/>
  <c r="AJ809" i="9"/>
  <c r="AK809" i="9"/>
  <c r="AL809" i="9"/>
  <c r="AJ810" i="9"/>
  <c r="AK810" i="9"/>
  <c r="AL810" i="9"/>
  <c r="AJ811" i="9"/>
  <c r="AK811" i="9"/>
  <c r="AL811" i="9"/>
  <c r="AJ812" i="9"/>
  <c r="AK812" i="9"/>
  <c r="AL812" i="9"/>
  <c r="AJ813" i="9"/>
  <c r="AK813" i="9"/>
  <c r="AL813" i="9"/>
  <c r="AJ814" i="9"/>
  <c r="AK814" i="9"/>
  <c r="AL814" i="9"/>
  <c r="AJ815" i="9"/>
  <c r="AK815" i="9"/>
  <c r="AL815" i="9"/>
  <c r="AJ816" i="9"/>
  <c r="AK816" i="9"/>
  <c r="AL816" i="9"/>
  <c r="AJ817" i="9"/>
  <c r="AK817" i="9"/>
  <c r="AL817" i="9"/>
  <c r="AJ818" i="9"/>
  <c r="AK818" i="9"/>
  <c r="AL818" i="9"/>
  <c r="AJ819" i="9"/>
  <c r="AK819" i="9"/>
  <c r="AL819" i="9"/>
  <c r="AJ820" i="9"/>
  <c r="AK820" i="9"/>
  <c r="AL820" i="9"/>
  <c r="AJ821" i="9"/>
  <c r="AK821" i="9"/>
  <c r="AL821" i="9"/>
  <c r="AJ822" i="9"/>
  <c r="AK822" i="9"/>
  <c r="AL822" i="9"/>
  <c r="AJ823" i="9"/>
  <c r="AK823" i="9"/>
  <c r="AL823" i="9"/>
  <c r="AJ824" i="9"/>
  <c r="AK824" i="9"/>
  <c r="AL824" i="9"/>
  <c r="AJ825" i="9"/>
  <c r="AK825" i="9"/>
  <c r="AL825" i="9"/>
  <c r="AJ826" i="9"/>
  <c r="AK826" i="9"/>
  <c r="AL826" i="9"/>
  <c r="AJ827" i="9"/>
  <c r="AK827" i="9"/>
  <c r="AL827" i="9"/>
  <c r="AJ828" i="9"/>
  <c r="AK828" i="9"/>
  <c r="AL828" i="9"/>
  <c r="AJ829" i="9"/>
  <c r="AK829" i="9"/>
  <c r="AL829" i="9"/>
  <c r="AJ830" i="9"/>
  <c r="AK830" i="9"/>
  <c r="AL830" i="9"/>
  <c r="AJ831" i="9"/>
  <c r="AK831" i="9"/>
  <c r="AL831" i="9"/>
  <c r="AJ832" i="9"/>
  <c r="AK832" i="9"/>
  <c r="AL832" i="9"/>
  <c r="AJ833" i="9"/>
  <c r="AK833" i="9"/>
  <c r="AL833" i="9"/>
  <c r="AJ834" i="9"/>
  <c r="AK834" i="9"/>
  <c r="AL834" i="9"/>
  <c r="AJ835" i="9"/>
  <c r="AK835" i="9"/>
  <c r="AL835" i="9"/>
  <c r="AJ836" i="9"/>
  <c r="AK836" i="9"/>
  <c r="AL836" i="9"/>
  <c r="AJ837" i="9"/>
  <c r="AK837" i="9"/>
  <c r="AL837" i="9"/>
  <c r="AJ838" i="9"/>
  <c r="AK838" i="9"/>
  <c r="AL838" i="9"/>
  <c r="AJ839" i="9"/>
  <c r="AK839" i="9"/>
  <c r="AL839" i="9"/>
  <c r="AJ840" i="9"/>
  <c r="AK840" i="9"/>
  <c r="AL840" i="9"/>
  <c r="AJ841" i="9"/>
  <c r="AK841" i="9"/>
  <c r="AL841" i="9"/>
  <c r="AJ842" i="9"/>
  <c r="AK842" i="9"/>
  <c r="AL842" i="9"/>
  <c r="AJ843" i="9"/>
  <c r="AK843" i="9"/>
  <c r="AL843" i="9"/>
  <c r="AJ844" i="9"/>
  <c r="AK844" i="9"/>
  <c r="AL844" i="9"/>
  <c r="AJ845" i="9"/>
  <c r="AK845" i="9"/>
  <c r="AL845" i="9"/>
  <c r="AJ846" i="9"/>
  <c r="AK846" i="9"/>
  <c r="AL846" i="9"/>
  <c r="AJ847" i="9"/>
  <c r="AK847" i="9"/>
  <c r="AL847" i="9"/>
  <c r="AJ848" i="9"/>
  <c r="AK848" i="9"/>
  <c r="AL848" i="9"/>
  <c r="AJ849" i="9"/>
  <c r="AK849" i="9"/>
  <c r="AL849" i="9"/>
  <c r="AJ850" i="9"/>
  <c r="AK850" i="9"/>
  <c r="AL850" i="9"/>
  <c r="AJ851" i="9"/>
  <c r="AK851" i="9"/>
  <c r="AL851" i="9"/>
  <c r="AJ852" i="9"/>
  <c r="AK852" i="9"/>
  <c r="AL852" i="9"/>
  <c r="AJ853" i="9"/>
  <c r="AK853" i="9"/>
  <c r="AL853" i="9"/>
  <c r="AJ854" i="9"/>
  <c r="AK854" i="9"/>
  <c r="AL854" i="9"/>
  <c r="AJ855" i="9"/>
  <c r="AK855" i="9"/>
  <c r="AL855" i="9"/>
  <c r="AJ856" i="9"/>
  <c r="AK856" i="9"/>
  <c r="AL856" i="9"/>
  <c r="AJ857" i="9"/>
  <c r="AK857" i="9"/>
  <c r="AL857" i="9"/>
  <c r="AJ858" i="9"/>
  <c r="AK858" i="9"/>
  <c r="AL858" i="9"/>
  <c r="AJ859" i="9"/>
  <c r="AK859" i="9"/>
  <c r="AL859" i="9"/>
  <c r="AJ860" i="9"/>
  <c r="AK860" i="9"/>
  <c r="AL860" i="9"/>
  <c r="AJ861" i="9"/>
  <c r="AK861" i="9"/>
  <c r="AL861" i="9"/>
  <c r="AJ862" i="9"/>
  <c r="AK862" i="9"/>
  <c r="AL862" i="9"/>
  <c r="AJ863" i="9"/>
  <c r="AK863" i="9"/>
  <c r="AL863" i="9"/>
  <c r="AJ864" i="9"/>
  <c r="AK864" i="9"/>
  <c r="AL864" i="9"/>
  <c r="AJ865" i="9"/>
  <c r="AK865" i="9"/>
  <c r="AL865" i="9"/>
  <c r="AJ866" i="9"/>
  <c r="AK866" i="9"/>
  <c r="AL866" i="9"/>
  <c r="AJ867" i="9"/>
  <c r="AK867" i="9"/>
  <c r="AL867" i="9"/>
  <c r="AJ868" i="9"/>
  <c r="AK868" i="9"/>
  <c r="AL868" i="9"/>
  <c r="AJ869" i="9"/>
  <c r="AK869" i="9"/>
  <c r="AL869" i="9"/>
  <c r="AJ870" i="9"/>
  <c r="AK870" i="9"/>
  <c r="AL870" i="9"/>
  <c r="AJ871" i="9"/>
  <c r="AK871" i="9"/>
  <c r="AL871" i="9"/>
  <c r="AJ872" i="9"/>
  <c r="AK872" i="9"/>
  <c r="AL872" i="9"/>
  <c r="AJ873" i="9"/>
  <c r="AK873" i="9"/>
  <c r="AL873" i="9"/>
  <c r="AJ874" i="9"/>
  <c r="AK874" i="9"/>
  <c r="AL874" i="9"/>
  <c r="AJ875" i="9"/>
  <c r="AK875" i="9"/>
  <c r="AL875" i="9"/>
  <c r="AJ876" i="9"/>
  <c r="AK876" i="9"/>
  <c r="AL876" i="9"/>
  <c r="AJ877" i="9"/>
  <c r="AK877" i="9"/>
  <c r="AL877" i="9"/>
  <c r="AJ878" i="9"/>
  <c r="AK878" i="9"/>
  <c r="AL878" i="9"/>
  <c r="AJ879" i="9"/>
  <c r="AK879" i="9"/>
  <c r="AL879" i="9"/>
  <c r="AJ880" i="9"/>
  <c r="AK880" i="9"/>
  <c r="AL880" i="9"/>
  <c r="AJ881" i="9"/>
  <c r="AK881" i="9"/>
  <c r="AL881" i="9"/>
  <c r="AJ882" i="9"/>
  <c r="AK882" i="9"/>
  <c r="AL882" i="9"/>
  <c r="AJ883" i="9"/>
  <c r="AK883" i="9"/>
  <c r="AL883" i="9"/>
  <c r="AJ884" i="9"/>
  <c r="AK884" i="9"/>
  <c r="AL884" i="9"/>
  <c r="AJ885" i="9"/>
  <c r="AK885" i="9"/>
  <c r="AL885" i="9"/>
  <c r="AJ886" i="9"/>
  <c r="AK886" i="9"/>
  <c r="AL886" i="9"/>
  <c r="AJ887" i="9"/>
  <c r="AK887" i="9"/>
  <c r="AL887" i="9"/>
  <c r="AJ888" i="9"/>
  <c r="AK888" i="9"/>
  <c r="AL888" i="9"/>
  <c r="AJ889" i="9"/>
  <c r="AK889" i="9"/>
  <c r="AL889" i="9"/>
  <c r="AJ890" i="9"/>
  <c r="AK890" i="9"/>
  <c r="AL890" i="9"/>
  <c r="AJ891" i="9"/>
  <c r="AK891" i="9"/>
  <c r="AL891" i="9"/>
  <c r="AJ892" i="9"/>
  <c r="AK892" i="9"/>
  <c r="AL892" i="9"/>
  <c r="AJ893" i="9"/>
  <c r="AK893" i="9"/>
  <c r="AL893" i="9"/>
  <c r="AJ894" i="9"/>
  <c r="AK894" i="9"/>
  <c r="AL894" i="9"/>
  <c r="AJ895" i="9"/>
  <c r="AK895" i="9"/>
  <c r="AL895" i="9"/>
  <c r="AJ896" i="9"/>
  <c r="AK896" i="9"/>
  <c r="AL896" i="9"/>
  <c r="AJ897" i="9"/>
  <c r="AK897" i="9"/>
  <c r="AL897" i="9"/>
  <c r="AJ898" i="9"/>
  <c r="AK898" i="9"/>
  <c r="AL898" i="9"/>
  <c r="AJ899" i="9"/>
  <c r="AK899" i="9"/>
  <c r="AL899" i="9"/>
  <c r="AJ900" i="9"/>
  <c r="AK900" i="9"/>
  <c r="AL900" i="9"/>
  <c r="AJ901" i="9"/>
  <c r="AK901" i="9"/>
  <c r="AL901" i="9"/>
  <c r="AJ902" i="9"/>
  <c r="AK902" i="9"/>
  <c r="AL902" i="9"/>
  <c r="AJ903" i="9"/>
  <c r="AK903" i="9"/>
  <c r="AL903" i="9"/>
  <c r="AJ904" i="9"/>
  <c r="AK904" i="9"/>
  <c r="AL904" i="9"/>
  <c r="AJ905" i="9"/>
  <c r="AK905" i="9"/>
  <c r="AL905" i="9"/>
  <c r="AJ906" i="9"/>
  <c r="AK906" i="9"/>
  <c r="AL906" i="9"/>
  <c r="AJ907" i="9"/>
  <c r="AK907" i="9"/>
  <c r="AL907" i="9"/>
  <c r="AJ908" i="9"/>
  <c r="AK908" i="9"/>
  <c r="AL908" i="9"/>
  <c r="AJ909" i="9"/>
  <c r="AK909" i="9"/>
  <c r="AL909" i="9"/>
  <c r="AJ910" i="9"/>
  <c r="AK910" i="9"/>
  <c r="AL910" i="9"/>
  <c r="AJ911" i="9"/>
  <c r="AK911" i="9"/>
  <c r="AL911" i="9"/>
  <c r="AJ912" i="9"/>
  <c r="AK912" i="9"/>
  <c r="AL912" i="9"/>
  <c r="AJ913" i="9"/>
  <c r="AK913" i="9"/>
  <c r="AL913" i="9"/>
  <c r="AJ914" i="9"/>
  <c r="AK914" i="9"/>
  <c r="AL914" i="9"/>
  <c r="AJ915" i="9"/>
  <c r="AK915" i="9"/>
  <c r="AL915" i="9"/>
  <c r="AJ916" i="9"/>
  <c r="AK916" i="9"/>
  <c r="AL916" i="9"/>
  <c r="AJ917" i="9"/>
  <c r="AK917" i="9"/>
  <c r="AL917" i="9"/>
  <c r="AJ918" i="9"/>
  <c r="AK918" i="9"/>
  <c r="AL918" i="9"/>
  <c r="AJ919" i="9"/>
  <c r="AK919" i="9"/>
  <c r="AL919" i="9"/>
  <c r="AJ920" i="9"/>
  <c r="AK920" i="9"/>
  <c r="AL920" i="9"/>
  <c r="AJ921" i="9"/>
  <c r="AK921" i="9"/>
  <c r="AL921" i="9"/>
  <c r="AJ922" i="9"/>
  <c r="AK922" i="9"/>
  <c r="AL922" i="9"/>
  <c r="AJ923" i="9"/>
  <c r="AK923" i="9"/>
  <c r="AL923" i="9"/>
  <c r="AJ924" i="9"/>
  <c r="AK924" i="9"/>
  <c r="AL924" i="9"/>
  <c r="AJ925" i="9"/>
  <c r="AK925" i="9"/>
  <c r="AL925" i="9"/>
  <c r="AJ926" i="9"/>
  <c r="AK926" i="9"/>
  <c r="AL926" i="9"/>
  <c r="AJ927" i="9"/>
  <c r="AK927" i="9"/>
  <c r="AL927" i="9"/>
  <c r="AJ928" i="9"/>
  <c r="AK928" i="9"/>
  <c r="AL928" i="9"/>
  <c r="AJ929" i="9"/>
  <c r="AK929" i="9"/>
  <c r="AL929" i="9"/>
  <c r="AJ930" i="9"/>
  <c r="AK930" i="9"/>
  <c r="AL930" i="9"/>
  <c r="AJ931" i="9"/>
  <c r="AK931" i="9"/>
  <c r="AL931" i="9"/>
  <c r="AJ932" i="9"/>
  <c r="AK932" i="9"/>
  <c r="AL932" i="9"/>
  <c r="AJ933" i="9"/>
  <c r="AK933" i="9"/>
  <c r="AL933" i="9"/>
  <c r="AJ934" i="9"/>
  <c r="AK934" i="9"/>
  <c r="AL934" i="9"/>
  <c r="AJ935" i="9"/>
  <c r="AK935" i="9"/>
  <c r="AL935" i="9"/>
  <c r="AJ936" i="9"/>
  <c r="AK936" i="9"/>
  <c r="AL936" i="9"/>
  <c r="AJ937" i="9"/>
  <c r="AK937" i="9"/>
  <c r="AL937" i="9"/>
  <c r="AJ938" i="9"/>
  <c r="AK938" i="9"/>
  <c r="AL938" i="9"/>
  <c r="AJ939" i="9"/>
  <c r="AK939" i="9"/>
  <c r="AL939" i="9"/>
  <c r="AJ940" i="9"/>
  <c r="AK940" i="9"/>
  <c r="AL940" i="9"/>
  <c r="AJ941" i="9"/>
  <c r="AK941" i="9"/>
  <c r="AL941" i="9"/>
  <c r="AJ942" i="9"/>
  <c r="AK942" i="9"/>
  <c r="AL942" i="9"/>
  <c r="AJ943" i="9"/>
  <c r="AK943" i="9"/>
  <c r="AL943" i="9"/>
  <c r="AJ944" i="9"/>
  <c r="AK944" i="9"/>
  <c r="AL944" i="9"/>
  <c r="AJ945" i="9"/>
  <c r="AK945" i="9"/>
  <c r="AL945" i="9"/>
  <c r="AJ946" i="9"/>
  <c r="AK946" i="9"/>
  <c r="AL946" i="9"/>
  <c r="AJ947" i="9"/>
  <c r="AK947" i="9"/>
  <c r="AL947" i="9"/>
  <c r="AJ948" i="9"/>
  <c r="AK948" i="9"/>
  <c r="AL948" i="9"/>
  <c r="AJ949" i="9"/>
  <c r="AK949" i="9"/>
  <c r="AL949" i="9"/>
  <c r="AJ950" i="9"/>
  <c r="AK950" i="9"/>
  <c r="AL950" i="9"/>
  <c r="AJ951" i="9"/>
  <c r="AK951" i="9"/>
  <c r="AL951" i="9"/>
  <c r="AJ952" i="9"/>
  <c r="AK952" i="9"/>
  <c r="AL952" i="9"/>
  <c r="AJ953" i="9"/>
  <c r="AK953" i="9"/>
  <c r="AL953" i="9"/>
  <c r="AJ954" i="9"/>
  <c r="AK954" i="9"/>
  <c r="AL954" i="9"/>
  <c r="AJ955" i="9"/>
  <c r="AK955" i="9"/>
  <c r="AL955" i="9"/>
  <c r="AJ956" i="9"/>
  <c r="AK956" i="9"/>
  <c r="AL956" i="9"/>
  <c r="AJ957" i="9"/>
  <c r="AK957" i="9"/>
  <c r="AL957" i="9"/>
  <c r="AJ958" i="9"/>
  <c r="AK958" i="9"/>
  <c r="AL958" i="9"/>
  <c r="AJ959" i="9"/>
  <c r="AK959" i="9"/>
  <c r="AL959" i="9"/>
  <c r="AJ960" i="9"/>
  <c r="AK960" i="9"/>
  <c r="AL960" i="9"/>
  <c r="AJ961" i="9"/>
  <c r="AK961" i="9"/>
  <c r="AL961" i="9"/>
  <c r="AJ962" i="9"/>
  <c r="AK962" i="9"/>
  <c r="AL962" i="9"/>
  <c r="AJ963" i="9"/>
  <c r="AK963" i="9"/>
  <c r="AL963" i="9"/>
  <c r="AJ964" i="9"/>
  <c r="AK964" i="9"/>
  <c r="AL964" i="9"/>
  <c r="AJ965" i="9"/>
  <c r="AK965" i="9"/>
  <c r="AL965" i="9"/>
  <c r="AJ966" i="9"/>
  <c r="AK966" i="9"/>
  <c r="AL966" i="9"/>
  <c r="AJ967" i="9"/>
  <c r="AK967" i="9"/>
  <c r="AL967" i="9"/>
  <c r="AJ968" i="9"/>
  <c r="AK968" i="9"/>
  <c r="AL968" i="9"/>
  <c r="AJ969" i="9"/>
  <c r="AK969" i="9"/>
  <c r="AL969" i="9"/>
  <c r="AJ970" i="9"/>
  <c r="AK970" i="9"/>
  <c r="AL970" i="9"/>
  <c r="AJ971" i="9"/>
  <c r="AK971" i="9"/>
  <c r="AL971" i="9"/>
  <c r="AJ972" i="9"/>
  <c r="AK972" i="9"/>
  <c r="AL972" i="9"/>
  <c r="AJ973" i="9"/>
  <c r="AK973" i="9"/>
  <c r="AL973" i="9"/>
  <c r="AJ974" i="9"/>
  <c r="AK974" i="9"/>
  <c r="AL974" i="9"/>
  <c r="AJ975" i="9"/>
  <c r="AK975" i="9"/>
  <c r="AL975" i="9"/>
  <c r="AJ976" i="9"/>
  <c r="AK976" i="9"/>
  <c r="AL976" i="9"/>
  <c r="AJ977" i="9"/>
  <c r="AK977" i="9"/>
  <c r="AL977" i="9"/>
  <c r="AJ978" i="9"/>
  <c r="AK978" i="9"/>
  <c r="AL978" i="9"/>
  <c r="AJ979" i="9"/>
  <c r="AK979" i="9"/>
  <c r="AL979" i="9"/>
  <c r="AJ980" i="9"/>
  <c r="AK980" i="9"/>
  <c r="AL980" i="9"/>
  <c r="AJ981" i="9"/>
  <c r="AK981" i="9"/>
  <c r="AL981" i="9"/>
  <c r="AJ982" i="9"/>
  <c r="AK982" i="9"/>
  <c r="AL982" i="9"/>
  <c r="AJ983" i="9"/>
  <c r="AK983" i="9"/>
  <c r="AL983" i="9"/>
  <c r="AJ984" i="9"/>
  <c r="AK984" i="9"/>
  <c r="AL984" i="9"/>
  <c r="AJ985" i="9"/>
  <c r="AK985" i="9"/>
  <c r="AL985" i="9"/>
  <c r="AJ986" i="9"/>
  <c r="AK986" i="9"/>
  <c r="AL986" i="9"/>
  <c r="AJ987" i="9"/>
  <c r="AK987" i="9"/>
  <c r="AL987" i="9"/>
  <c r="AJ988" i="9"/>
  <c r="AK988" i="9"/>
  <c r="AL988" i="9"/>
  <c r="AJ989" i="9"/>
  <c r="AK989" i="9"/>
  <c r="AL989" i="9"/>
  <c r="AJ990" i="9"/>
  <c r="AK990" i="9"/>
  <c r="AL990" i="9"/>
  <c r="AJ991" i="9"/>
  <c r="AK991" i="9"/>
  <c r="AL991" i="9"/>
  <c r="AJ992" i="9"/>
  <c r="AK992" i="9"/>
  <c r="AL992" i="9"/>
  <c r="AJ993" i="9"/>
  <c r="AK993" i="9"/>
  <c r="AL993" i="9"/>
  <c r="AJ994" i="9"/>
  <c r="AK994" i="9"/>
  <c r="AL994" i="9"/>
  <c r="AJ995" i="9"/>
  <c r="AK995" i="9"/>
  <c r="AL995" i="9"/>
  <c r="AJ996" i="9"/>
  <c r="AK996" i="9"/>
  <c r="AL996" i="9"/>
  <c r="AJ997" i="9"/>
  <c r="AK997" i="9"/>
  <c r="AL997" i="9"/>
  <c r="AJ998" i="9"/>
  <c r="AK998" i="9"/>
  <c r="AL998" i="9"/>
  <c r="AJ999" i="9"/>
  <c r="AK999" i="9"/>
  <c r="AL999" i="9"/>
  <c r="AJ1000" i="9"/>
  <c r="AK1000" i="9"/>
  <c r="AL1000" i="9"/>
  <c r="AJ1001" i="9"/>
  <c r="AK1001" i="9"/>
  <c r="AL1001" i="9"/>
  <c r="AJ1002" i="9"/>
  <c r="AK1002" i="9"/>
  <c r="AL1002" i="9"/>
  <c r="AJ1003" i="9"/>
  <c r="AK1003" i="9"/>
  <c r="AL1003" i="9"/>
  <c r="AJ1004" i="9"/>
  <c r="AK1004" i="9"/>
  <c r="AL1004" i="9"/>
  <c r="AJ1005" i="9"/>
  <c r="AK1005" i="9"/>
  <c r="AL1005" i="9"/>
  <c r="AJ1006" i="9"/>
  <c r="AK1006" i="9"/>
  <c r="AL1006" i="9"/>
  <c r="AJ1007" i="9"/>
  <c r="AK1007" i="9"/>
  <c r="AL1007" i="9"/>
  <c r="AJ1008" i="9"/>
  <c r="AK1008" i="9"/>
  <c r="AL1008" i="9"/>
  <c r="AJ1009" i="9"/>
  <c r="AK1009" i="9"/>
  <c r="AL1009" i="9"/>
  <c r="AJ1010" i="9"/>
  <c r="AK1010" i="9"/>
  <c r="AL1010" i="9"/>
  <c r="AJ1011" i="9"/>
  <c r="AK1011" i="9"/>
  <c r="AL1011" i="9"/>
  <c r="AJ1012" i="9"/>
  <c r="AK1012" i="9"/>
  <c r="AL1012" i="9"/>
  <c r="AJ1013" i="9"/>
  <c r="AK1013" i="9"/>
  <c r="AL1013" i="9"/>
  <c r="AJ1014" i="9"/>
  <c r="AK1014" i="9"/>
  <c r="AL1014" i="9"/>
  <c r="AJ1015" i="9"/>
  <c r="AK1015" i="9"/>
  <c r="AL1015" i="9"/>
  <c r="AJ1016" i="9"/>
  <c r="AK1016" i="9"/>
  <c r="AL1016" i="9"/>
  <c r="AJ1017" i="9"/>
  <c r="AK1017" i="9"/>
  <c r="AL1017" i="9"/>
  <c r="AJ1018" i="9"/>
  <c r="AK1018" i="9"/>
  <c r="AL1018" i="9"/>
  <c r="AJ1019" i="9"/>
  <c r="AK1019" i="9"/>
  <c r="AL1019" i="9"/>
  <c r="AJ1020" i="9"/>
  <c r="AK1020" i="9"/>
  <c r="AL1020" i="9"/>
  <c r="AJ1021" i="9"/>
  <c r="AK1021" i="9"/>
  <c r="AL1021" i="9"/>
  <c r="AJ1022" i="9"/>
  <c r="AK1022" i="9"/>
  <c r="AL1022" i="9"/>
  <c r="AJ1023" i="9"/>
  <c r="AK1023" i="9"/>
  <c r="AL1023" i="9"/>
  <c r="AJ1024" i="9"/>
  <c r="AK1024" i="9"/>
  <c r="AL1024" i="9"/>
  <c r="AJ1025" i="9"/>
  <c r="AK1025" i="9"/>
  <c r="AL1025" i="9"/>
  <c r="AJ1026" i="9"/>
  <c r="AK1026" i="9"/>
  <c r="AL1026" i="9"/>
  <c r="AJ1027" i="9"/>
  <c r="AK1027" i="9"/>
  <c r="AL1027" i="9"/>
  <c r="AJ1028" i="9"/>
  <c r="AK1028" i="9"/>
  <c r="AL1028" i="9"/>
  <c r="AJ1029" i="9"/>
  <c r="AK1029" i="9"/>
  <c r="AL1029" i="9"/>
  <c r="AJ1030" i="9"/>
  <c r="AK1030" i="9"/>
  <c r="AL1030" i="9"/>
  <c r="AJ1031" i="9"/>
  <c r="AK1031" i="9"/>
  <c r="AL1031" i="9"/>
  <c r="AJ1032" i="9"/>
  <c r="AK1032" i="9"/>
  <c r="AL1032" i="9"/>
  <c r="AJ1033" i="9"/>
  <c r="AK1033" i="9"/>
  <c r="AL1033" i="9"/>
  <c r="AJ1034" i="9"/>
  <c r="AK1034" i="9"/>
  <c r="AL1034" i="9"/>
  <c r="AJ1035" i="9"/>
  <c r="AK1035" i="9"/>
  <c r="AL1035" i="9"/>
  <c r="AJ1036" i="9"/>
  <c r="AK1036" i="9"/>
  <c r="AL1036" i="9"/>
  <c r="AJ1037" i="9"/>
  <c r="AK1037" i="9"/>
  <c r="AL1037" i="9"/>
  <c r="AJ1038" i="9"/>
  <c r="AK1038" i="9"/>
  <c r="AL1038" i="9"/>
  <c r="AJ1039" i="9"/>
  <c r="AK1039" i="9"/>
  <c r="AL1039" i="9"/>
  <c r="AJ1040" i="9"/>
  <c r="AK1040" i="9"/>
  <c r="AL1040" i="9"/>
  <c r="AJ1041" i="9"/>
  <c r="AK1041" i="9"/>
  <c r="AL1041" i="9"/>
  <c r="AJ1042" i="9"/>
  <c r="AK1042" i="9"/>
  <c r="AL1042" i="9"/>
  <c r="AJ1043" i="9"/>
  <c r="AK1043" i="9"/>
  <c r="AL1043" i="9"/>
  <c r="AJ1044" i="9"/>
  <c r="AK1044" i="9"/>
  <c r="AL1044" i="9"/>
  <c r="AJ1045" i="9"/>
  <c r="AK1045" i="9"/>
  <c r="AL1045" i="9"/>
  <c r="AJ1046" i="9"/>
  <c r="AK1046" i="9"/>
  <c r="AL1046" i="9"/>
  <c r="AJ1047" i="9"/>
  <c r="AK1047" i="9"/>
  <c r="AL1047" i="9"/>
  <c r="AJ1048" i="9"/>
  <c r="AK1048" i="9"/>
  <c r="AL1048" i="9"/>
  <c r="AJ1049" i="9"/>
  <c r="AK1049" i="9"/>
  <c r="AL1049" i="9"/>
  <c r="AJ1050" i="9"/>
  <c r="AK1050" i="9"/>
  <c r="AL1050" i="9"/>
  <c r="AJ1051" i="9"/>
  <c r="AK1051" i="9"/>
  <c r="AL1051" i="9"/>
  <c r="AJ1052" i="9"/>
  <c r="AK1052" i="9"/>
  <c r="AL1052" i="9"/>
  <c r="AJ1053" i="9"/>
  <c r="AK1053" i="9"/>
  <c r="AL1053" i="9"/>
  <c r="AJ1054" i="9"/>
  <c r="AK1054" i="9"/>
  <c r="AL1054" i="9"/>
  <c r="AJ1055" i="9"/>
  <c r="AK1055" i="9"/>
  <c r="AL1055" i="9"/>
  <c r="AJ1056" i="9"/>
  <c r="AK1056" i="9"/>
  <c r="AL1056" i="9"/>
  <c r="AJ1057" i="9"/>
  <c r="AK1057" i="9"/>
  <c r="AL1057" i="9"/>
  <c r="AJ1058" i="9"/>
  <c r="AK1058" i="9"/>
  <c r="AL1058" i="9"/>
  <c r="AJ1059" i="9"/>
  <c r="AK1059" i="9"/>
  <c r="AL1059" i="9"/>
  <c r="AJ1060" i="9"/>
  <c r="AK1060" i="9"/>
  <c r="AL1060" i="9"/>
  <c r="AJ1061" i="9"/>
  <c r="AK1061" i="9"/>
  <c r="AL1061" i="9"/>
  <c r="AJ1062" i="9"/>
  <c r="AK1062" i="9"/>
  <c r="AL1062" i="9"/>
  <c r="AJ1063" i="9"/>
  <c r="AK1063" i="9"/>
  <c r="AL1063" i="9"/>
  <c r="AJ1064" i="9"/>
  <c r="AK1064" i="9"/>
  <c r="AL1064" i="9"/>
  <c r="AJ1065" i="9"/>
  <c r="AK1065" i="9"/>
  <c r="AL1065" i="9"/>
  <c r="AJ1066" i="9"/>
  <c r="AK1066" i="9"/>
  <c r="AL1066" i="9"/>
  <c r="AJ1067" i="9"/>
  <c r="AK1067" i="9"/>
  <c r="AL1067" i="9"/>
  <c r="AJ1068" i="9"/>
  <c r="AK1068" i="9"/>
  <c r="AL1068" i="9"/>
  <c r="AJ1069" i="9"/>
  <c r="AK1069" i="9"/>
  <c r="AL1069" i="9"/>
  <c r="AJ1070" i="9"/>
  <c r="AK1070" i="9"/>
  <c r="AL1070" i="9"/>
  <c r="AJ1071" i="9"/>
  <c r="AK1071" i="9"/>
  <c r="AL1071" i="9"/>
  <c r="AJ1072" i="9"/>
  <c r="AK1072" i="9"/>
  <c r="AL1072" i="9"/>
  <c r="AJ1073" i="9"/>
  <c r="AK1073" i="9"/>
  <c r="AL1073" i="9"/>
  <c r="AJ1074" i="9"/>
  <c r="AK1074" i="9"/>
  <c r="AL1074" i="9"/>
  <c r="AJ1075" i="9"/>
  <c r="AK1075" i="9"/>
  <c r="AL1075" i="9"/>
  <c r="AJ1076" i="9"/>
  <c r="AK1076" i="9"/>
  <c r="AL1076" i="9"/>
  <c r="AJ1077" i="9"/>
  <c r="AK1077" i="9"/>
  <c r="AL1077" i="9"/>
  <c r="AJ1078" i="9"/>
  <c r="AK1078" i="9"/>
  <c r="AL1078" i="9"/>
  <c r="AJ1079" i="9"/>
  <c r="AK1079" i="9"/>
  <c r="AL1079" i="9"/>
  <c r="AJ1080" i="9"/>
  <c r="AK1080" i="9"/>
  <c r="AL1080" i="9"/>
  <c r="AJ1081" i="9"/>
  <c r="AK1081" i="9"/>
  <c r="AL1081" i="9"/>
  <c r="AJ1082" i="9"/>
  <c r="AK1082" i="9"/>
  <c r="AL1082" i="9"/>
  <c r="AJ1083" i="9"/>
  <c r="AK1083" i="9"/>
  <c r="AL1083" i="9"/>
  <c r="AJ1084" i="9"/>
  <c r="AK1084" i="9"/>
  <c r="AL1084" i="9"/>
  <c r="AJ1085" i="9"/>
  <c r="AK1085" i="9"/>
  <c r="AL1085" i="9"/>
  <c r="AJ1086" i="9"/>
  <c r="AK1086" i="9"/>
  <c r="AL1086" i="9"/>
  <c r="AJ1087" i="9"/>
  <c r="AK1087" i="9"/>
  <c r="AL1087" i="9"/>
  <c r="AJ1088" i="9"/>
  <c r="AK1088" i="9"/>
  <c r="AL1088" i="9"/>
  <c r="AJ1089" i="9"/>
  <c r="AK1089" i="9"/>
  <c r="AL1089" i="9"/>
  <c r="AJ1090" i="9"/>
  <c r="AK1090" i="9"/>
  <c r="AL1090" i="9"/>
  <c r="AJ1091" i="9"/>
  <c r="AK1091" i="9"/>
  <c r="AL1091" i="9"/>
  <c r="AJ1092" i="9"/>
  <c r="AK1092" i="9"/>
  <c r="AL1092" i="9"/>
  <c r="AJ1093" i="9"/>
  <c r="AK1093" i="9"/>
  <c r="AL1093" i="9"/>
  <c r="AJ1094" i="9"/>
  <c r="AK1094" i="9"/>
  <c r="AL1094" i="9"/>
  <c r="AJ1095" i="9"/>
  <c r="AK1095" i="9"/>
  <c r="AL1095" i="9"/>
  <c r="AJ1096" i="9"/>
  <c r="AK1096" i="9"/>
  <c r="AL1096" i="9"/>
  <c r="AJ1097" i="9"/>
  <c r="AK1097" i="9"/>
  <c r="AL1097" i="9"/>
  <c r="AJ1098" i="9"/>
  <c r="AK1098" i="9"/>
  <c r="AL1098" i="9"/>
  <c r="AJ1099" i="9"/>
  <c r="AK1099" i="9"/>
  <c r="AL1099" i="9"/>
  <c r="AJ1100" i="9"/>
  <c r="AK1100" i="9"/>
  <c r="AL1100" i="9"/>
  <c r="AJ1101" i="9"/>
  <c r="AK1101" i="9"/>
  <c r="AL1101" i="9"/>
  <c r="AJ1102" i="9"/>
  <c r="AK1102" i="9"/>
  <c r="AL1102" i="9"/>
  <c r="AJ1103" i="9"/>
  <c r="AK1103" i="9"/>
  <c r="AL1103" i="9"/>
  <c r="AJ1104" i="9"/>
  <c r="AK1104" i="9"/>
  <c r="AL1104" i="9"/>
  <c r="AJ1105" i="9"/>
  <c r="AK1105" i="9"/>
  <c r="AL1105" i="9"/>
  <c r="AJ1106" i="9"/>
  <c r="AK1106" i="9"/>
  <c r="AL1106" i="9"/>
  <c r="AJ1107" i="9"/>
  <c r="AK1107" i="9"/>
  <c r="AL1107" i="9"/>
  <c r="AJ1108" i="9"/>
  <c r="AK1108" i="9"/>
  <c r="AL1108" i="9"/>
  <c r="AJ1109" i="9"/>
  <c r="AK1109" i="9"/>
  <c r="AL1109" i="9"/>
  <c r="AJ1110" i="9"/>
  <c r="AK1110" i="9"/>
  <c r="AL1110" i="9"/>
  <c r="AJ1111" i="9"/>
  <c r="AK1111" i="9"/>
  <c r="AL1111" i="9"/>
  <c r="AJ1112" i="9"/>
  <c r="AK1112" i="9"/>
  <c r="AL1112" i="9"/>
  <c r="AJ1113" i="9"/>
  <c r="AK1113" i="9"/>
  <c r="AL1113" i="9"/>
  <c r="AJ1114" i="9"/>
  <c r="AK1114" i="9"/>
  <c r="AL1114" i="9"/>
  <c r="AJ1115" i="9"/>
  <c r="AK1115" i="9"/>
  <c r="AL1115" i="9"/>
  <c r="AJ1116" i="9"/>
  <c r="AK1116" i="9"/>
  <c r="AL1116" i="9"/>
  <c r="AJ1117" i="9"/>
  <c r="AK1117" i="9"/>
  <c r="AL1117" i="9"/>
  <c r="AJ1118" i="9"/>
  <c r="AK1118" i="9"/>
  <c r="AL1118" i="9"/>
  <c r="AJ1119" i="9"/>
  <c r="AK1119" i="9"/>
  <c r="AL1119" i="9"/>
  <c r="AJ1120" i="9"/>
  <c r="AK1120" i="9"/>
  <c r="AL1120" i="9"/>
  <c r="AJ1121" i="9"/>
  <c r="AK1121" i="9"/>
  <c r="AL1121" i="9"/>
  <c r="AJ1122" i="9"/>
  <c r="AK1122" i="9"/>
  <c r="AL1122" i="9"/>
  <c r="AJ1123" i="9"/>
  <c r="AK1123" i="9"/>
  <c r="AL1123" i="9"/>
  <c r="AJ1124" i="9"/>
  <c r="AK1124" i="9"/>
  <c r="AL1124" i="9"/>
  <c r="AJ1125" i="9"/>
  <c r="AK1125" i="9"/>
  <c r="AL1125" i="9"/>
  <c r="AJ1126" i="9"/>
  <c r="AK1126" i="9"/>
  <c r="AL1126" i="9"/>
  <c r="AJ1127" i="9"/>
  <c r="AK1127" i="9"/>
  <c r="AL1127" i="9"/>
  <c r="AJ1128" i="9"/>
  <c r="AK1128" i="9"/>
  <c r="AL1128" i="9"/>
  <c r="AJ1129" i="9"/>
  <c r="AK1129" i="9"/>
  <c r="AL1129" i="9"/>
  <c r="AJ1130" i="9"/>
  <c r="AK1130" i="9"/>
  <c r="AL1130" i="9"/>
  <c r="AJ1131" i="9"/>
  <c r="AK1131" i="9"/>
  <c r="AL1131" i="9"/>
  <c r="AJ1132" i="9"/>
  <c r="AK1132" i="9"/>
  <c r="AL1132" i="9"/>
  <c r="AJ1133" i="9"/>
  <c r="AK1133" i="9"/>
  <c r="AL1133" i="9"/>
  <c r="AJ1134" i="9"/>
  <c r="AK1134" i="9"/>
  <c r="AL1134" i="9"/>
  <c r="AJ1135" i="9"/>
  <c r="AK1135" i="9"/>
  <c r="AL1135" i="9"/>
  <c r="AJ1136" i="9"/>
  <c r="AK1136" i="9"/>
  <c r="AL1136" i="9"/>
  <c r="AJ1137" i="9"/>
  <c r="AK1137" i="9"/>
  <c r="AL1137" i="9"/>
  <c r="AJ1138" i="9"/>
  <c r="AK1138" i="9"/>
  <c r="AL1138" i="9"/>
  <c r="AJ1139" i="9"/>
  <c r="AK1139" i="9"/>
  <c r="AL1139" i="9"/>
  <c r="AJ1140" i="9"/>
  <c r="AK1140" i="9"/>
  <c r="AL1140" i="9"/>
  <c r="AJ1141" i="9"/>
  <c r="AK1141" i="9"/>
  <c r="AL1141" i="9"/>
  <c r="AJ1142" i="9"/>
  <c r="AK1142" i="9"/>
  <c r="AL1142" i="9"/>
  <c r="AJ1143" i="9"/>
  <c r="AK1143" i="9"/>
  <c r="AL1143" i="9"/>
  <c r="AJ1144" i="9"/>
  <c r="AK1144" i="9"/>
  <c r="AL1144" i="9"/>
  <c r="AJ1145" i="9"/>
  <c r="AK1145" i="9"/>
  <c r="AL1145" i="9"/>
  <c r="AJ1146" i="9"/>
  <c r="AK1146" i="9"/>
  <c r="AL1146" i="9"/>
  <c r="AJ1147" i="9"/>
  <c r="AK1147" i="9"/>
  <c r="AL1147" i="9"/>
  <c r="AJ1148" i="9"/>
  <c r="AK1148" i="9"/>
  <c r="AL1148" i="9"/>
  <c r="AJ1149" i="9"/>
  <c r="AK1149" i="9"/>
  <c r="AL1149" i="9"/>
  <c r="AJ1150" i="9"/>
  <c r="AK1150" i="9"/>
  <c r="AL1150" i="9"/>
  <c r="AJ1151" i="9"/>
  <c r="AK1151" i="9"/>
  <c r="AL1151" i="9"/>
  <c r="AJ1152" i="9"/>
  <c r="AK1152" i="9"/>
  <c r="AL1152" i="9"/>
  <c r="AJ1153" i="9"/>
  <c r="AK1153" i="9"/>
  <c r="AL1153" i="9"/>
  <c r="AJ1154" i="9"/>
  <c r="AK1154" i="9"/>
  <c r="AL1154" i="9"/>
  <c r="AJ1155" i="9"/>
  <c r="AK1155" i="9"/>
  <c r="AL1155" i="9"/>
  <c r="AJ1156" i="9"/>
  <c r="AK1156" i="9"/>
  <c r="AL1156" i="9"/>
  <c r="AJ1157" i="9"/>
  <c r="AK1157" i="9"/>
  <c r="AL1157" i="9"/>
  <c r="AJ1158" i="9"/>
  <c r="AK1158" i="9"/>
  <c r="AL1158" i="9"/>
  <c r="AJ1159" i="9"/>
  <c r="AK1159" i="9"/>
  <c r="AL1159" i="9"/>
  <c r="AJ1160" i="9"/>
  <c r="AK1160" i="9"/>
  <c r="AL1160" i="9"/>
  <c r="AJ1161" i="9"/>
  <c r="AK1161" i="9"/>
  <c r="AL1161" i="9"/>
  <c r="AJ1162" i="9"/>
  <c r="AK1162" i="9"/>
  <c r="AL1162" i="9"/>
  <c r="AJ1163" i="9"/>
  <c r="AK1163" i="9"/>
  <c r="AL1163" i="9"/>
  <c r="AJ1164" i="9"/>
  <c r="AK1164" i="9"/>
  <c r="AL1164" i="9"/>
  <c r="AJ1165" i="9"/>
  <c r="AK1165" i="9"/>
  <c r="AL1165" i="9"/>
  <c r="AJ1166" i="9"/>
  <c r="AK1166" i="9"/>
  <c r="AL1166" i="9"/>
  <c r="AJ1167" i="9"/>
  <c r="AK1167" i="9"/>
  <c r="AL1167" i="9"/>
  <c r="AJ1168" i="9"/>
  <c r="AK1168" i="9"/>
  <c r="AL1168" i="9"/>
  <c r="AJ1169" i="9"/>
  <c r="AK1169" i="9"/>
  <c r="AL1169" i="9"/>
  <c r="AJ1170" i="9"/>
  <c r="AK1170" i="9"/>
  <c r="AL1170" i="9"/>
  <c r="AJ1171" i="9"/>
  <c r="AK1171" i="9"/>
  <c r="AL1171" i="9"/>
  <c r="AJ1172" i="9"/>
  <c r="AK1172" i="9"/>
  <c r="AL1172" i="9"/>
  <c r="AJ1173" i="9"/>
  <c r="AK1173" i="9"/>
  <c r="AL1173" i="9"/>
  <c r="AJ1174" i="9"/>
  <c r="AK1174" i="9"/>
  <c r="AL1174" i="9"/>
  <c r="AJ1175" i="9"/>
  <c r="AK1175" i="9"/>
  <c r="AL1175" i="9"/>
  <c r="AJ1176" i="9"/>
  <c r="AK1176" i="9"/>
  <c r="AL1176" i="9"/>
  <c r="AJ1177" i="9"/>
  <c r="AK1177" i="9"/>
  <c r="AL1177" i="9"/>
  <c r="AJ1178" i="9"/>
  <c r="AK1178" i="9"/>
  <c r="AL1178" i="9"/>
  <c r="AJ1179" i="9"/>
  <c r="AK1179" i="9"/>
  <c r="AL1179" i="9"/>
  <c r="AJ1180" i="9"/>
  <c r="AK1180" i="9"/>
  <c r="AL1180" i="9"/>
  <c r="AJ1181" i="9"/>
  <c r="AK1181" i="9"/>
  <c r="AL1181" i="9"/>
  <c r="AJ1182" i="9"/>
  <c r="AK1182" i="9"/>
  <c r="AL1182" i="9"/>
  <c r="AJ1183" i="9"/>
  <c r="AK1183" i="9"/>
  <c r="AL1183" i="9"/>
  <c r="AJ1184" i="9"/>
  <c r="AK1184" i="9"/>
  <c r="AL1184" i="9"/>
  <c r="AJ1185" i="9"/>
  <c r="AK1185" i="9"/>
  <c r="AL1185" i="9"/>
  <c r="AJ1186" i="9"/>
  <c r="AK1186" i="9"/>
  <c r="AL1186" i="9"/>
  <c r="AJ1187" i="9"/>
  <c r="AK1187" i="9"/>
  <c r="AL1187" i="9"/>
  <c r="AJ1188" i="9"/>
  <c r="AK1188" i="9"/>
  <c r="AL1188" i="9"/>
  <c r="AJ1189" i="9"/>
  <c r="AK1189" i="9"/>
  <c r="AL1189" i="9"/>
  <c r="AJ1190" i="9"/>
  <c r="AK1190" i="9"/>
  <c r="AL1190" i="9"/>
  <c r="AJ1191" i="9"/>
  <c r="AK1191" i="9"/>
  <c r="AL1191" i="9"/>
  <c r="AJ1192" i="9"/>
  <c r="AK1192" i="9"/>
  <c r="AL1192" i="9"/>
  <c r="AJ1193" i="9"/>
  <c r="AK1193" i="9"/>
  <c r="AL1193" i="9"/>
  <c r="AJ1194" i="9"/>
  <c r="AK1194" i="9"/>
  <c r="AL1194" i="9"/>
  <c r="AJ1195" i="9"/>
  <c r="AK1195" i="9"/>
  <c r="AL1195" i="9"/>
  <c r="AJ1196" i="9"/>
  <c r="AK1196" i="9"/>
  <c r="AL1196" i="9"/>
  <c r="AJ1197" i="9"/>
  <c r="AK1197" i="9"/>
  <c r="AL1197" i="9"/>
  <c r="AJ1198" i="9"/>
  <c r="AK1198" i="9"/>
  <c r="AL1198" i="9"/>
  <c r="AJ1199" i="9"/>
  <c r="AK1199" i="9"/>
  <c r="AL1199" i="9"/>
  <c r="AJ1200" i="9"/>
  <c r="AK1200" i="9"/>
  <c r="AL1200" i="9"/>
  <c r="AJ1201" i="9"/>
  <c r="AK1201" i="9"/>
  <c r="AL1201" i="9"/>
  <c r="AJ1202" i="9"/>
  <c r="AK1202" i="9"/>
  <c r="AL1202" i="9"/>
  <c r="AJ1203" i="9"/>
  <c r="AK1203" i="9"/>
  <c r="AL1203" i="9"/>
  <c r="AJ1204" i="9"/>
  <c r="AK1204" i="9"/>
  <c r="AL1204" i="9"/>
  <c r="AJ1205" i="9"/>
  <c r="AK1205" i="9"/>
  <c r="AL1205" i="9"/>
  <c r="AJ1206" i="9"/>
  <c r="AK1206" i="9"/>
  <c r="AL1206" i="9"/>
  <c r="AJ1207" i="9"/>
  <c r="AK1207" i="9"/>
  <c r="AL1207" i="9"/>
  <c r="AJ1208" i="9"/>
  <c r="AK1208" i="9"/>
  <c r="AL1208" i="9"/>
  <c r="AJ1209" i="9"/>
  <c r="AK1209" i="9"/>
  <c r="AL1209" i="9"/>
  <c r="AJ1210" i="9"/>
  <c r="AK1210" i="9"/>
  <c r="AL1210" i="9"/>
  <c r="AJ1211" i="9"/>
  <c r="AK1211" i="9"/>
  <c r="AL1211" i="9"/>
  <c r="AJ1212" i="9"/>
  <c r="AK1212" i="9"/>
  <c r="AL1212" i="9"/>
  <c r="AJ1213" i="9"/>
  <c r="AK1213" i="9"/>
  <c r="AL1213" i="9"/>
  <c r="AJ1214" i="9"/>
  <c r="AK1214" i="9"/>
  <c r="AL1214" i="9"/>
  <c r="AJ1215" i="9"/>
  <c r="AK1215" i="9"/>
  <c r="AL1215" i="9"/>
  <c r="AJ1216" i="9"/>
  <c r="AK1216" i="9"/>
  <c r="AL1216" i="9"/>
  <c r="AJ1217" i="9"/>
  <c r="AK1217" i="9"/>
  <c r="AL1217" i="9"/>
  <c r="AJ1218" i="9"/>
  <c r="AK1218" i="9"/>
  <c r="AL1218" i="9"/>
  <c r="AJ1219" i="9"/>
  <c r="AK1219" i="9"/>
  <c r="AL1219" i="9"/>
  <c r="AJ1220" i="9"/>
  <c r="AK1220" i="9"/>
  <c r="AL1220" i="9"/>
  <c r="AJ1221" i="9"/>
  <c r="AK1221" i="9"/>
  <c r="AL1221" i="9"/>
  <c r="AJ1222" i="9"/>
  <c r="AK1222" i="9"/>
  <c r="AL1222" i="9"/>
  <c r="AJ1223" i="9"/>
  <c r="AK1223" i="9"/>
  <c r="AL1223" i="9"/>
  <c r="AJ1224" i="9"/>
  <c r="AK1224" i="9"/>
  <c r="AL1224" i="9"/>
  <c r="AJ1225" i="9"/>
  <c r="AK1225" i="9"/>
  <c r="AL1225" i="9"/>
  <c r="AJ1226" i="9"/>
  <c r="AK1226" i="9"/>
  <c r="AL1226" i="9"/>
  <c r="AJ1227" i="9"/>
  <c r="AK1227" i="9"/>
  <c r="AL1227" i="9"/>
  <c r="AJ1228" i="9"/>
  <c r="AK1228" i="9"/>
  <c r="AL1228" i="9"/>
  <c r="AJ1229" i="9"/>
  <c r="AK1229" i="9"/>
  <c r="AL1229" i="9"/>
  <c r="AJ1230" i="9"/>
  <c r="AK1230" i="9"/>
  <c r="AL1230" i="9"/>
  <c r="AJ1231" i="9"/>
  <c r="AK1231" i="9"/>
  <c r="AL1231" i="9"/>
  <c r="AJ1232" i="9"/>
  <c r="AK1232" i="9"/>
  <c r="AL1232" i="9"/>
  <c r="AJ1233" i="9"/>
  <c r="AK1233" i="9"/>
  <c r="AL1233" i="9"/>
  <c r="AJ1234" i="9"/>
  <c r="AK1234" i="9"/>
  <c r="AL1234" i="9"/>
  <c r="AJ1235" i="9"/>
  <c r="AK1235" i="9"/>
  <c r="AL1235" i="9"/>
  <c r="AJ1236" i="9"/>
  <c r="AK1236" i="9"/>
  <c r="AL1236" i="9"/>
  <c r="AJ1237" i="9"/>
  <c r="AK1237" i="9"/>
  <c r="AL1237" i="9"/>
  <c r="AJ1238" i="9"/>
  <c r="AK1238" i="9"/>
  <c r="AL1238" i="9"/>
  <c r="AJ1239" i="9"/>
  <c r="AK1239" i="9"/>
  <c r="AL1239" i="9"/>
  <c r="AJ1240" i="9"/>
  <c r="AK1240" i="9"/>
  <c r="AL1240" i="9"/>
  <c r="AJ1241" i="9"/>
  <c r="AK1241" i="9"/>
  <c r="AL1241" i="9"/>
  <c r="AJ1242" i="9"/>
  <c r="AK1242" i="9"/>
  <c r="AL1242" i="9"/>
  <c r="AJ1243" i="9"/>
  <c r="AK1243" i="9"/>
  <c r="AL1243" i="9"/>
  <c r="AJ1244" i="9"/>
  <c r="AK1244" i="9"/>
  <c r="AL1244" i="9"/>
  <c r="AJ1245" i="9"/>
  <c r="AK1245" i="9"/>
  <c r="AL1245" i="9"/>
  <c r="AJ1246" i="9"/>
  <c r="AK1246" i="9"/>
  <c r="AL1246" i="9"/>
  <c r="AJ1247" i="9"/>
  <c r="AK1247" i="9"/>
  <c r="AL1247" i="9"/>
  <c r="AJ1248" i="9"/>
  <c r="AK1248" i="9"/>
  <c r="AL1248" i="9"/>
  <c r="AJ1249" i="9"/>
  <c r="AK1249" i="9"/>
  <c r="AL1249" i="9"/>
  <c r="AJ1250" i="9"/>
  <c r="AK1250" i="9"/>
  <c r="AL1250" i="9"/>
  <c r="AJ1251" i="9"/>
  <c r="AK1251" i="9"/>
  <c r="AL1251" i="9"/>
  <c r="AJ1252" i="9"/>
  <c r="AK1252" i="9"/>
  <c r="AL1252" i="9"/>
  <c r="AJ1253" i="9"/>
  <c r="AK1253" i="9"/>
  <c r="AL1253" i="9"/>
  <c r="AJ1254" i="9"/>
  <c r="AK1254" i="9"/>
  <c r="AL1254" i="9"/>
  <c r="AJ1255" i="9"/>
  <c r="AK1255" i="9"/>
  <c r="AL1255" i="9"/>
  <c r="AJ1256" i="9"/>
  <c r="AK1256" i="9"/>
  <c r="AL1256" i="9"/>
  <c r="AJ1257" i="9"/>
  <c r="AK1257" i="9"/>
  <c r="AL1257" i="9"/>
  <c r="AJ1258" i="9"/>
  <c r="AK1258" i="9"/>
  <c r="AL1258" i="9"/>
  <c r="AJ1259" i="9"/>
  <c r="AK1259" i="9"/>
  <c r="AL1259" i="9"/>
  <c r="AJ1260" i="9"/>
  <c r="AK1260" i="9"/>
  <c r="AL1260" i="9"/>
  <c r="AJ1261" i="9"/>
  <c r="AK1261" i="9"/>
  <c r="AL1261" i="9"/>
  <c r="AJ1262" i="9"/>
  <c r="AK1262" i="9"/>
  <c r="AL1262" i="9"/>
  <c r="AJ1263" i="9"/>
  <c r="AK1263" i="9"/>
  <c r="AL1263" i="9"/>
  <c r="AJ1264" i="9"/>
  <c r="AK1264" i="9"/>
  <c r="AL1264" i="9"/>
  <c r="AJ1265" i="9"/>
  <c r="AK1265" i="9"/>
  <c r="AL1265" i="9"/>
  <c r="AJ1266" i="9"/>
  <c r="AK1266" i="9"/>
  <c r="AL1266" i="9"/>
  <c r="AJ1267" i="9"/>
  <c r="AK1267" i="9"/>
  <c r="AL1267" i="9"/>
  <c r="AJ1268" i="9"/>
  <c r="AK1268" i="9"/>
  <c r="AL1268" i="9"/>
  <c r="AJ1269" i="9"/>
  <c r="AK1269" i="9"/>
  <c r="AL1269" i="9"/>
  <c r="AJ1270" i="9"/>
  <c r="AK1270" i="9"/>
  <c r="AL1270" i="9"/>
  <c r="AJ1271" i="9"/>
  <c r="AK1271" i="9"/>
  <c r="AL1271" i="9"/>
  <c r="AJ1272" i="9"/>
  <c r="AK1272" i="9"/>
  <c r="AL1272" i="9"/>
  <c r="AJ1273" i="9"/>
  <c r="AK1273" i="9"/>
  <c r="AL1273" i="9"/>
  <c r="AJ1274" i="9"/>
  <c r="AK1274" i="9"/>
  <c r="AL1274" i="9"/>
  <c r="AJ1275" i="9"/>
  <c r="AK1275" i="9"/>
  <c r="AL1275" i="9"/>
  <c r="AJ1276" i="9"/>
  <c r="AK1276" i="9"/>
  <c r="AL1276" i="9"/>
  <c r="AJ1277" i="9"/>
  <c r="AK1277" i="9"/>
  <c r="AL1277" i="9"/>
  <c r="AJ1278" i="9"/>
  <c r="AK1278" i="9"/>
  <c r="AL1278" i="9"/>
  <c r="AJ1279" i="9"/>
  <c r="AK1279" i="9"/>
  <c r="AL1279" i="9"/>
  <c r="AJ1280" i="9"/>
  <c r="AK1280" i="9"/>
  <c r="AL1280" i="9"/>
  <c r="AJ1281" i="9"/>
  <c r="AK1281" i="9"/>
  <c r="AL1281" i="9"/>
  <c r="AJ1282" i="9"/>
  <c r="AK1282" i="9"/>
  <c r="AL1282" i="9"/>
  <c r="AJ1283" i="9"/>
  <c r="AK1283" i="9"/>
  <c r="AL1283" i="9"/>
  <c r="AJ1284" i="9"/>
  <c r="AK1284" i="9"/>
  <c r="AL1284" i="9"/>
  <c r="AJ1285" i="9"/>
  <c r="AK1285" i="9"/>
  <c r="AL1285" i="9"/>
  <c r="AJ1286" i="9"/>
  <c r="AK1286" i="9"/>
  <c r="AL1286" i="9"/>
  <c r="AJ1287" i="9"/>
  <c r="AK1287" i="9"/>
  <c r="AL1287" i="9"/>
  <c r="AJ1288" i="9"/>
  <c r="AK1288" i="9"/>
  <c r="AL1288" i="9"/>
  <c r="AJ1289" i="9"/>
  <c r="AK1289" i="9"/>
  <c r="AL1289" i="9"/>
  <c r="AJ1290" i="9"/>
  <c r="AK1290" i="9"/>
  <c r="AL1290" i="9"/>
  <c r="AJ1291" i="9"/>
  <c r="AK1291" i="9"/>
  <c r="AL1291" i="9"/>
  <c r="AJ1292" i="9"/>
  <c r="AK1292" i="9"/>
  <c r="AL1292" i="9"/>
  <c r="AJ1293" i="9"/>
  <c r="AK1293" i="9"/>
  <c r="AL1293" i="9"/>
  <c r="AJ1294" i="9"/>
  <c r="AK1294" i="9"/>
  <c r="AL1294" i="9"/>
  <c r="AJ1295" i="9"/>
  <c r="AK1295" i="9"/>
  <c r="AL1295" i="9"/>
  <c r="AJ1296" i="9"/>
  <c r="AK1296" i="9"/>
  <c r="AL1296" i="9"/>
  <c r="AJ1297" i="9"/>
  <c r="AK1297" i="9"/>
  <c r="AL1297" i="9"/>
  <c r="AJ1298" i="9"/>
  <c r="AK1298" i="9"/>
  <c r="AL1298" i="9"/>
  <c r="AJ1299" i="9"/>
  <c r="AK1299" i="9"/>
  <c r="AL1299" i="9"/>
  <c r="AJ1300" i="9"/>
  <c r="AK1300" i="9"/>
  <c r="AL1300" i="9"/>
  <c r="AJ1301" i="9"/>
  <c r="AK1301" i="9"/>
  <c r="AL1301" i="9"/>
  <c r="AJ1302" i="9"/>
  <c r="AK1302" i="9"/>
  <c r="AL1302" i="9"/>
  <c r="AJ1303" i="9"/>
  <c r="AK1303" i="9"/>
  <c r="AL1303" i="9"/>
  <c r="AJ1304" i="9"/>
  <c r="AK1304" i="9"/>
  <c r="AL1304" i="9"/>
  <c r="AJ1305" i="9"/>
  <c r="AK1305" i="9"/>
  <c r="AL1305" i="9"/>
  <c r="AJ1306" i="9"/>
  <c r="AK1306" i="9"/>
  <c r="AL1306" i="9"/>
  <c r="AJ1307" i="9"/>
  <c r="AK1307" i="9"/>
  <c r="AL1307" i="9"/>
  <c r="AJ1308" i="9"/>
  <c r="AK1308" i="9"/>
  <c r="AL1308" i="9"/>
  <c r="AJ1309" i="9"/>
  <c r="AK1309" i="9"/>
  <c r="AL1309" i="9"/>
  <c r="AJ1310" i="9"/>
  <c r="AK1310" i="9"/>
  <c r="AL1310" i="9"/>
  <c r="AJ1311" i="9"/>
  <c r="AK1311" i="9"/>
  <c r="AL1311" i="9"/>
  <c r="AJ1312" i="9"/>
  <c r="AK1312" i="9"/>
  <c r="AL1312" i="9"/>
  <c r="AJ1313" i="9"/>
  <c r="AK1313" i="9"/>
  <c r="AL1313" i="9"/>
  <c r="AJ1314" i="9"/>
  <c r="AK1314" i="9"/>
  <c r="AL1314" i="9"/>
  <c r="AJ1315" i="9"/>
  <c r="AK1315" i="9"/>
  <c r="AL1315" i="9"/>
  <c r="AJ1316" i="9"/>
  <c r="AK1316" i="9"/>
  <c r="AL1316" i="9"/>
  <c r="AJ1317" i="9"/>
  <c r="AK1317" i="9"/>
  <c r="AL1317" i="9"/>
  <c r="AJ1318" i="9"/>
  <c r="AK1318" i="9"/>
  <c r="AL1318" i="9"/>
  <c r="AJ1319" i="9"/>
  <c r="AK1319" i="9"/>
  <c r="AL1319" i="9"/>
  <c r="AJ1320" i="9"/>
  <c r="AK1320" i="9"/>
  <c r="AL1320" i="9"/>
  <c r="AJ1321" i="9"/>
  <c r="AK1321" i="9"/>
  <c r="AL1321" i="9"/>
  <c r="AJ1322" i="9"/>
  <c r="AK1322" i="9"/>
  <c r="AL1322" i="9"/>
  <c r="AJ1323" i="9"/>
  <c r="AK1323" i="9"/>
  <c r="AL1323" i="9"/>
  <c r="AJ1324" i="9"/>
  <c r="AK1324" i="9"/>
  <c r="AL1324" i="9"/>
  <c r="AJ1325" i="9"/>
  <c r="AK1325" i="9"/>
  <c r="AL1325" i="9"/>
  <c r="AJ1326" i="9"/>
  <c r="AK1326" i="9"/>
  <c r="AL1326" i="9"/>
  <c r="AJ1327" i="9"/>
  <c r="AK1327" i="9"/>
  <c r="AL1327" i="9"/>
  <c r="AJ1328" i="9"/>
  <c r="AK1328" i="9"/>
  <c r="AL1328" i="9"/>
  <c r="AJ1329" i="9"/>
  <c r="AK1329" i="9"/>
  <c r="AL1329" i="9"/>
  <c r="AJ1330" i="9"/>
  <c r="AK1330" i="9"/>
  <c r="AL1330" i="9"/>
  <c r="AJ1331" i="9"/>
  <c r="AK1331" i="9"/>
  <c r="AL1331" i="9"/>
  <c r="AJ1332" i="9"/>
  <c r="AK1332" i="9"/>
  <c r="AL1332" i="9"/>
  <c r="AJ1333" i="9"/>
  <c r="AK1333" i="9"/>
  <c r="AL1333" i="9"/>
  <c r="AJ1334" i="9"/>
  <c r="AK1334" i="9"/>
  <c r="AL1334" i="9"/>
  <c r="AJ1335" i="9"/>
  <c r="AK1335" i="9"/>
  <c r="AL1335" i="9"/>
  <c r="AJ1336" i="9"/>
  <c r="AK1336" i="9"/>
  <c r="AL1336" i="9"/>
  <c r="AJ1337" i="9"/>
  <c r="AK1337" i="9"/>
  <c r="AL1337" i="9"/>
  <c r="AJ1338" i="9"/>
  <c r="AK1338" i="9"/>
  <c r="AL1338" i="9"/>
  <c r="AJ1339" i="9"/>
  <c r="AK1339" i="9"/>
  <c r="AL1339" i="9"/>
  <c r="AJ1340" i="9"/>
  <c r="AK1340" i="9"/>
  <c r="AL1340" i="9"/>
  <c r="AJ1341" i="9"/>
  <c r="AK1341" i="9"/>
  <c r="AL1341" i="9"/>
  <c r="AJ1342" i="9"/>
  <c r="AK1342" i="9"/>
  <c r="AL1342" i="9"/>
  <c r="AJ1343" i="9"/>
  <c r="AK1343" i="9"/>
  <c r="AL1343" i="9"/>
  <c r="AJ1344" i="9"/>
  <c r="AK1344" i="9"/>
  <c r="AL1344" i="9"/>
  <c r="AJ1345" i="9"/>
  <c r="AK1345" i="9"/>
  <c r="AL1345" i="9"/>
  <c r="AJ1346" i="9"/>
  <c r="AK1346" i="9"/>
  <c r="AL1346" i="9"/>
  <c r="AJ1347" i="9"/>
  <c r="AK1347" i="9"/>
  <c r="AL1347" i="9"/>
  <c r="AJ1348" i="9"/>
  <c r="AK1348" i="9"/>
  <c r="AL1348" i="9"/>
  <c r="AJ1349" i="9"/>
  <c r="AK1349" i="9"/>
  <c r="AL1349" i="9"/>
  <c r="AJ1350" i="9"/>
  <c r="AK1350" i="9"/>
  <c r="AL1350" i="9"/>
  <c r="AJ1351" i="9"/>
  <c r="AK1351" i="9"/>
  <c r="AL1351" i="9"/>
  <c r="AJ1352" i="9"/>
  <c r="AK1352" i="9"/>
  <c r="AL1352" i="9"/>
  <c r="AJ1353" i="9"/>
  <c r="AK1353" i="9"/>
  <c r="AL1353" i="9"/>
  <c r="AJ1354" i="9"/>
  <c r="AK1354" i="9"/>
  <c r="AL1354" i="9"/>
  <c r="AJ1355" i="9"/>
  <c r="AK1355" i="9"/>
  <c r="AL1355" i="9"/>
  <c r="AJ1356" i="9"/>
  <c r="AK1356" i="9"/>
  <c r="AL1356" i="9"/>
  <c r="AJ1357" i="9"/>
  <c r="AK1357" i="9"/>
  <c r="AL1357" i="9"/>
  <c r="AJ1358" i="9"/>
  <c r="AK1358" i="9"/>
  <c r="AL1358" i="9"/>
  <c r="AJ1359" i="9"/>
  <c r="AK1359" i="9"/>
  <c r="AL1359" i="9"/>
  <c r="AJ1360" i="9"/>
  <c r="AK1360" i="9"/>
  <c r="AL1360" i="9"/>
  <c r="AJ1361" i="9"/>
  <c r="AK1361" i="9"/>
  <c r="AL1361" i="9"/>
  <c r="AJ1362" i="9"/>
  <c r="AK1362" i="9"/>
  <c r="AL1362" i="9"/>
  <c r="AJ1363" i="9"/>
  <c r="AK1363" i="9"/>
  <c r="AL1363" i="9"/>
  <c r="AJ1364" i="9"/>
  <c r="AK1364" i="9"/>
  <c r="AL1364" i="9"/>
  <c r="AJ1365" i="9"/>
  <c r="AK1365" i="9"/>
  <c r="AL1365" i="9"/>
  <c r="AJ1366" i="9"/>
  <c r="AK1366" i="9"/>
  <c r="AL1366" i="9"/>
  <c r="AJ1367" i="9"/>
  <c r="AK1367" i="9"/>
  <c r="AL1367" i="9"/>
  <c r="AJ1368" i="9"/>
  <c r="AK1368" i="9"/>
  <c r="AL1368" i="9"/>
  <c r="AJ1369" i="9"/>
  <c r="AK1369" i="9"/>
  <c r="AL1369" i="9"/>
  <c r="AJ1370" i="9"/>
  <c r="AK1370" i="9"/>
  <c r="AL1370" i="9"/>
  <c r="AJ1371" i="9"/>
  <c r="AK1371" i="9"/>
  <c r="AL1371" i="9"/>
  <c r="AJ1372" i="9"/>
  <c r="AK1372" i="9"/>
  <c r="AL1372" i="9"/>
  <c r="AJ1373" i="9"/>
  <c r="AK1373" i="9"/>
  <c r="AL1373" i="9"/>
  <c r="AJ1374" i="9"/>
  <c r="AK1374" i="9"/>
  <c r="AL1374" i="9"/>
  <c r="AJ1375" i="9"/>
  <c r="AK1375" i="9"/>
  <c r="AL1375" i="9"/>
  <c r="AJ1376" i="9"/>
  <c r="AK1376" i="9"/>
  <c r="AL1376" i="9"/>
  <c r="AJ1377" i="9"/>
  <c r="AK1377" i="9"/>
  <c r="AL1377" i="9"/>
  <c r="AJ1378" i="9"/>
  <c r="AK1378" i="9"/>
  <c r="AL1378" i="9"/>
  <c r="AJ1379" i="9"/>
  <c r="AK1379" i="9"/>
  <c r="AL1379" i="9"/>
  <c r="AJ1380" i="9"/>
  <c r="AK1380" i="9"/>
  <c r="AL1380" i="9"/>
  <c r="AJ1381" i="9"/>
  <c r="AK1381" i="9"/>
  <c r="AL1381" i="9"/>
  <c r="AJ1382" i="9"/>
  <c r="AK1382" i="9"/>
  <c r="AL1382" i="9"/>
  <c r="AJ1383" i="9"/>
  <c r="AK1383" i="9"/>
  <c r="AL1383" i="9"/>
  <c r="AJ1384" i="9"/>
  <c r="AK1384" i="9"/>
  <c r="AL1384" i="9"/>
  <c r="AJ1385" i="9"/>
  <c r="AK1385" i="9"/>
  <c r="AL1385" i="9"/>
  <c r="AJ1386" i="9"/>
  <c r="AK1386" i="9"/>
  <c r="AL1386" i="9"/>
  <c r="AJ1387" i="9"/>
  <c r="AK1387" i="9"/>
  <c r="AL1387" i="9"/>
  <c r="AJ1388" i="9"/>
  <c r="AK1388" i="9"/>
  <c r="AL1388" i="9"/>
  <c r="AJ1389" i="9"/>
  <c r="AK1389" i="9"/>
  <c r="AL1389" i="9"/>
  <c r="AJ1390" i="9"/>
  <c r="AK1390" i="9"/>
  <c r="AL1390" i="9"/>
  <c r="AJ1391" i="9"/>
  <c r="AK1391" i="9"/>
  <c r="AL1391" i="9"/>
  <c r="AJ1392" i="9"/>
  <c r="AK1392" i="9"/>
  <c r="AL1392" i="9"/>
  <c r="AJ1393" i="9"/>
  <c r="AK1393" i="9"/>
  <c r="AL1393" i="9"/>
  <c r="AJ1394" i="9"/>
  <c r="AK1394" i="9"/>
  <c r="AL1394" i="9"/>
  <c r="AJ1395" i="9"/>
  <c r="AK1395" i="9"/>
  <c r="AL1395" i="9"/>
  <c r="AJ1396" i="9"/>
  <c r="AK1396" i="9"/>
  <c r="AL1396" i="9"/>
  <c r="AJ1397" i="9"/>
  <c r="AK1397" i="9"/>
  <c r="AL1397" i="9"/>
  <c r="AJ1398" i="9"/>
  <c r="AK1398" i="9"/>
  <c r="AL1398" i="9"/>
  <c r="AJ1399" i="9"/>
  <c r="AK1399" i="9"/>
  <c r="AL1399" i="9"/>
  <c r="AJ1400" i="9"/>
  <c r="AK1400" i="9"/>
  <c r="AL1400" i="9"/>
  <c r="AJ1401" i="9"/>
  <c r="AK1401" i="9"/>
  <c r="AL1401" i="9"/>
  <c r="AJ1402" i="9"/>
  <c r="AK1402" i="9"/>
  <c r="AL1402" i="9"/>
  <c r="AJ1403" i="9"/>
  <c r="AK1403" i="9"/>
  <c r="AL1403" i="9"/>
  <c r="AJ1404" i="9"/>
  <c r="AK1404" i="9"/>
  <c r="AL1404" i="9"/>
  <c r="AJ1405" i="9"/>
  <c r="AK1405" i="9"/>
  <c r="AL1405" i="9"/>
  <c r="AJ1406" i="9"/>
  <c r="AK1406" i="9"/>
  <c r="AL1406" i="9"/>
  <c r="AJ1407" i="9"/>
  <c r="AK1407" i="9"/>
  <c r="AL1407" i="9"/>
  <c r="AJ1408" i="9"/>
  <c r="AK1408" i="9"/>
  <c r="AL1408" i="9"/>
  <c r="AJ1409" i="9"/>
  <c r="AK1409" i="9"/>
  <c r="AL1409" i="9"/>
  <c r="AJ1410" i="9"/>
  <c r="AK1410" i="9"/>
  <c r="AL1410" i="9"/>
  <c r="AJ1411" i="9"/>
  <c r="AK1411" i="9"/>
  <c r="AL1411" i="9"/>
  <c r="AJ1412" i="9"/>
  <c r="AK1412" i="9"/>
  <c r="AL1412" i="9"/>
  <c r="AJ1413" i="9"/>
  <c r="AK1413" i="9"/>
  <c r="AL1413" i="9"/>
  <c r="AJ1414" i="9"/>
  <c r="AK1414" i="9"/>
  <c r="AL1414" i="9"/>
  <c r="AJ1415" i="9"/>
  <c r="AK1415" i="9"/>
  <c r="AL1415" i="9"/>
  <c r="AJ1416" i="9"/>
  <c r="AK1416" i="9"/>
  <c r="AL1416" i="9"/>
  <c r="AJ1417" i="9"/>
  <c r="AK1417" i="9"/>
  <c r="AL1417" i="9"/>
  <c r="AJ1418" i="9"/>
  <c r="AK1418" i="9"/>
  <c r="AL1418" i="9"/>
  <c r="AJ1419" i="9"/>
  <c r="AK1419" i="9"/>
  <c r="AL1419" i="9"/>
  <c r="AJ1420" i="9"/>
  <c r="AK1420" i="9"/>
  <c r="AL1420" i="9"/>
  <c r="AJ1421" i="9"/>
  <c r="AK1421" i="9"/>
  <c r="AL1421" i="9"/>
  <c r="AJ1422" i="9"/>
  <c r="AK1422" i="9"/>
  <c r="AL1422" i="9"/>
  <c r="AJ1423" i="9"/>
  <c r="AK1423" i="9"/>
  <c r="AL1423" i="9"/>
  <c r="AJ1424" i="9"/>
  <c r="AK1424" i="9"/>
  <c r="AL1424" i="9"/>
  <c r="AJ1425" i="9"/>
  <c r="AK1425" i="9"/>
  <c r="AL1425" i="9"/>
  <c r="AJ1426" i="9"/>
  <c r="AK1426" i="9"/>
  <c r="AL1426" i="9"/>
  <c r="AJ1427" i="9"/>
  <c r="AK1427" i="9"/>
  <c r="AL1427" i="9"/>
  <c r="AJ1428" i="9"/>
  <c r="AK1428" i="9"/>
  <c r="AL1428" i="9"/>
  <c r="AJ1429" i="9"/>
  <c r="AK1429" i="9"/>
  <c r="AL1429" i="9"/>
  <c r="AJ1430" i="9"/>
  <c r="AK1430" i="9"/>
  <c r="AL1430" i="9"/>
  <c r="AJ1431" i="9"/>
  <c r="AK1431" i="9"/>
  <c r="AL1431" i="9"/>
  <c r="AJ1432" i="9"/>
  <c r="AK1432" i="9"/>
  <c r="AL1432" i="9"/>
  <c r="AJ1433" i="9"/>
  <c r="AK1433" i="9"/>
  <c r="AL1433" i="9"/>
  <c r="AJ1434" i="9"/>
  <c r="AK1434" i="9"/>
  <c r="AL1434" i="9"/>
  <c r="AJ1435" i="9"/>
  <c r="AK1435" i="9"/>
  <c r="AL1435" i="9"/>
  <c r="AJ1436" i="9"/>
  <c r="AK1436" i="9"/>
  <c r="AL1436" i="9"/>
  <c r="AJ1437" i="9"/>
  <c r="AK1437" i="9"/>
  <c r="AL1437" i="9"/>
  <c r="AJ1438" i="9"/>
  <c r="AK1438" i="9"/>
  <c r="AL1438" i="9"/>
  <c r="AJ1439" i="9"/>
  <c r="AK1439" i="9"/>
  <c r="AL1439" i="9"/>
  <c r="AJ1440" i="9"/>
  <c r="AK1440" i="9"/>
  <c r="AL1440" i="9"/>
  <c r="AJ1441" i="9"/>
  <c r="AK1441" i="9"/>
  <c r="AL1441" i="9"/>
  <c r="AJ1442" i="9"/>
  <c r="AK1442" i="9"/>
  <c r="AL1442" i="9"/>
  <c r="AJ1443" i="9"/>
  <c r="AK1443" i="9"/>
  <c r="AL1443" i="9"/>
  <c r="AJ1444" i="9"/>
  <c r="AK1444" i="9"/>
  <c r="AL1444" i="9"/>
  <c r="AJ1445" i="9"/>
  <c r="AK1445" i="9"/>
  <c r="AL1445" i="9"/>
  <c r="AJ1446" i="9"/>
  <c r="AK1446" i="9"/>
  <c r="AL1446" i="9"/>
  <c r="AJ1447" i="9"/>
  <c r="AK1447" i="9"/>
  <c r="AL1447" i="9"/>
  <c r="AJ1448" i="9"/>
  <c r="AK1448" i="9"/>
  <c r="AL1448" i="9"/>
  <c r="AJ1449" i="9"/>
  <c r="AK1449" i="9"/>
  <c r="AL1449" i="9"/>
  <c r="AJ1450" i="9"/>
  <c r="AK1450" i="9"/>
  <c r="AL1450" i="9"/>
  <c r="AJ1451" i="9"/>
  <c r="AK1451" i="9"/>
  <c r="AL1451" i="9"/>
  <c r="AJ1452" i="9"/>
  <c r="AK1452" i="9"/>
  <c r="AL1452" i="9"/>
  <c r="AJ1453" i="9"/>
  <c r="AK1453" i="9"/>
  <c r="AL1453" i="9"/>
  <c r="AJ1454" i="9"/>
  <c r="AK1454" i="9"/>
  <c r="AL1454" i="9"/>
  <c r="AJ1455" i="9"/>
  <c r="AK1455" i="9"/>
  <c r="AL1455" i="9"/>
  <c r="AJ1456" i="9"/>
  <c r="AK1456" i="9"/>
  <c r="AL1456" i="9"/>
  <c r="AJ1457" i="9"/>
  <c r="AK1457" i="9"/>
  <c r="AL1457" i="9"/>
  <c r="AJ1458" i="9"/>
  <c r="AK1458" i="9"/>
  <c r="AL1458" i="9"/>
  <c r="AJ1459" i="9"/>
  <c r="AK1459" i="9"/>
  <c r="AL1459" i="9"/>
  <c r="AJ1460" i="9"/>
  <c r="AK1460" i="9"/>
  <c r="AL1460" i="9"/>
  <c r="AJ1461" i="9"/>
  <c r="AK1461" i="9"/>
  <c r="AL1461" i="9"/>
  <c r="AJ1462" i="9"/>
  <c r="AK1462" i="9"/>
  <c r="AL1462" i="9"/>
  <c r="AJ1463" i="9"/>
  <c r="AK1463" i="9"/>
  <c r="AL1463" i="9"/>
  <c r="AJ1464" i="9"/>
  <c r="AK1464" i="9"/>
  <c r="AL1464" i="9"/>
  <c r="AJ1465" i="9"/>
  <c r="AK1465" i="9"/>
  <c r="AL1465" i="9"/>
  <c r="AJ1466" i="9"/>
  <c r="AK1466" i="9"/>
  <c r="AL1466" i="9"/>
  <c r="AJ1467" i="9"/>
  <c r="AK1467" i="9"/>
  <c r="AL1467" i="9"/>
  <c r="AJ1468" i="9"/>
  <c r="AK1468" i="9"/>
  <c r="AL1468" i="9"/>
  <c r="AJ1469" i="9"/>
  <c r="AK1469" i="9"/>
  <c r="AL1469" i="9"/>
  <c r="AJ1470" i="9"/>
  <c r="AK1470" i="9"/>
  <c r="AL1470" i="9"/>
  <c r="AJ1471" i="9"/>
  <c r="AK1471" i="9"/>
  <c r="AL1471" i="9"/>
  <c r="AJ1472" i="9"/>
  <c r="AK1472" i="9"/>
  <c r="AL1472" i="9"/>
  <c r="AJ1473" i="9"/>
  <c r="AK1473" i="9"/>
  <c r="AL1473" i="9"/>
  <c r="AJ1474" i="9"/>
  <c r="AK1474" i="9"/>
  <c r="AL1474" i="9"/>
  <c r="AJ1475" i="9"/>
  <c r="AK1475" i="9"/>
  <c r="AL1475" i="9"/>
  <c r="AJ1476" i="9"/>
  <c r="AK1476" i="9"/>
  <c r="AL1476" i="9"/>
  <c r="AJ1477" i="9"/>
  <c r="AK1477" i="9"/>
  <c r="AL1477" i="9"/>
  <c r="AJ1478" i="9"/>
  <c r="AK1478" i="9"/>
  <c r="AL1478" i="9"/>
  <c r="AJ1479" i="9"/>
  <c r="AK1479" i="9"/>
  <c r="AL1479" i="9"/>
  <c r="AJ1480" i="9"/>
  <c r="AK1480" i="9"/>
  <c r="AL1480" i="9"/>
  <c r="AJ1481" i="9"/>
  <c r="AK1481" i="9"/>
  <c r="AL1481" i="9"/>
  <c r="AJ1482" i="9"/>
  <c r="AK1482" i="9"/>
  <c r="AL1482" i="9"/>
  <c r="AJ1483" i="9"/>
  <c r="AK1483" i="9"/>
  <c r="AL1483" i="9"/>
  <c r="AJ1484" i="9"/>
  <c r="AK1484" i="9"/>
  <c r="AL1484" i="9"/>
  <c r="AJ1485" i="9"/>
  <c r="AK1485" i="9"/>
  <c r="AL1485" i="9"/>
  <c r="AJ1486" i="9"/>
  <c r="AK1486" i="9"/>
  <c r="AL1486" i="9"/>
  <c r="AJ1487" i="9"/>
  <c r="AK1487" i="9"/>
  <c r="AL1487" i="9"/>
  <c r="AJ1488" i="9"/>
  <c r="AK1488" i="9"/>
  <c r="AL1488" i="9"/>
  <c r="AJ1489" i="9"/>
  <c r="AK1489" i="9"/>
  <c r="AL1489" i="9"/>
  <c r="AJ1490" i="9"/>
  <c r="AK1490" i="9"/>
  <c r="AL1490" i="9"/>
  <c r="AJ1491" i="9"/>
  <c r="AK1491" i="9"/>
  <c r="AL1491" i="9"/>
  <c r="AJ1492" i="9"/>
  <c r="AK1492" i="9"/>
  <c r="AL1492" i="9"/>
  <c r="AJ1493" i="9"/>
  <c r="AK1493" i="9"/>
  <c r="AL1493" i="9"/>
  <c r="AJ1494" i="9"/>
  <c r="AK1494" i="9"/>
  <c r="AL1494" i="9"/>
  <c r="AJ1495" i="9"/>
  <c r="AK1495" i="9"/>
  <c r="AL1495" i="9"/>
  <c r="AJ1496" i="9"/>
  <c r="AK1496" i="9"/>
  <c r="AL1496" i="9"/>
  <c r="AJ1497" i="9"/>
  <c r="AK1497" i="9"/>
  <c r="AL1497" i="9"/>
  <c r="AJ1498" i="9"/>
  <c r="AK1498" i="9"/>
  <c r="AL1498" i="9"/>
  <c r="AJ1499" i="9"/>
  <c r="AK1499" i="9"/>
  <c r="AL1499" i="9"/>
  <c r="AJ1500" i="9"/>
  <c r="AK1500" i="9"/>
  <c r="AL1500" i="9"/>
  <c r="AL4" i="9"/>
  <c r="AK4" i="9"/>
  <c r="AJ4" i="9"/>
  <c r="AI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D40" i="9" s="1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I59" i="9"/>
  <c r="AI60" i="9"/>
  <c r="AI61" i="9"/>
  <c r="AI62" i="9"/>
  <c r="AI63" i="9"/>
  <c r="AI64" i="9"/>
  <c r="AI65" i="9"/>
  <c r="AI66" i="9"/>
  <c r="AI67" i="9"/>
  <c r="AI68" i="9"/>
  <c r="AI69" i="9"/>
  <c r="AI70" i="9"/>
  <c r="AI71" i="9"/>
  <c r="AI72" i="9"/>
  <c r="AI73" i="9"/>
  <c r="AI74" i="9"/>
  <c r="AI75" i="9"/>
  <c r="AI76" i="9"/>
  <c r="AI77" i="9"/>
  <c r="AI78" i="9"/>
  <c r="AI79" i="9"/>
  <c r="AI80" i="9"/>
  <c r="AI81" i="9"/>
  <c r="AI82" i="9"/>
  <c r="AI83" i="9"/>
  <c r="AI84" i="9"/>
  <c r="AI85" i="9"/>
  <c r="AI86" i="9"/>
  <c r="AI87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I101" i="9"/>
  <c r="AI102" i="9"/>
  <c r="AI103" i="9"/>
  <c r="AI104" i="9"/>
  <c r="AI105" i="9"/>
  <c r="AI106" i="9"/>
  <c r="AI107" i="9"/>
  <c r="AI108" i="9"/>
  <c r="AI109" i="9"/>
  <c r="AI110" i="9"/>
  <c r="AI111" i="9"/>
  <c r="AI112" i="9"/>
  <c r="AI113" i="9"/>
  <c r="AI114" i="9"/>
  <c r="AI115" i="9"/>
  <c r="AI116" i="9"/>
  <c r="AI117" i="9"/>
  <c r="AI118" i="9"/>
  <c r="AI119" i="9"/>
  <c r="AI120" i="9"/>
  <c r="AI121" i="9"/>
  <c r="AI122" i="9"/>
  <c r="AI123" i="9"/>
  <c r="AI124" i="9"/>
  <c r="AI125" i="9"/>
  <c r="AI126" i="9"/>
  <c r="AI127" i="9"/>
  <c r="AI128" i="9"/>
  <c r="AD128" i="9" s="1"/>
  <c r="AI129" i="9"/>
  <c r="AI130" i="9"/>
  <c r="AI131" i="9"/>
  <c r="AI132" i="9"/>
  <c r="AI133" i="9"/>
  <c r="AI134" i="9"/>
  <c r="AI135" i="9"/>
  <c r="AI136" i="9"/>
  <c r="AD136" i="9" s="1"/>
  <c r="AI137" i="9"/>
  <c r="AI138" i="9"/>
  <c r="AI139" i="9"/>
  <c r="AI140" i="9"/>
  <c r="AI141" i="9"/>
  <c r="AI142" i="9"/>
  <c r="AI143" i="9"/>
  <c r="AI144" i="9"/>
  <c r="AD144" i="9" s="1"/>
  <c r="AI145" i="9"/>
  <c r="AI146" i="9"/>
  <c r="AI147" i="9"/>
  <c r="AI148" i="9"/>
  <c r="AI149" i="9"/>
  <c r="AI150" i="9"/>
  <c r="AI151" i="9"/>
  <c r="AI152" i="9"/>
  <c r="AD152" i="9" s="1"/>
  <c r="AI153" i="9"/>
  <c r="AI154" i="9"/>
  <c r="AI155" i="9"/>
  <c r="AI156" i="9"/>
  <c r="AI157" i="9"/>
  <c r="AI158" i="9"/>
  <c r="AI159" i="9"/>
  <c r="AI160" i="9"/>
  <c r="AD160" i="9" s="1"/>
  <c r="AI161" i="9"/>
  <c r="AI162" i="9"/>
  <c r="AI163" i="9"/>
  <c r="AI164" i="9"/>
  <c r="AI165" i="9"/>
  <c r="AI166" i="9"/>
  <c r="AI167" i="9"/>
  <c r="AI168" i="9"/>
  <c r="AD168" i="9" s="1"/>
  <c r="AI169" i="9"/>
  <c r="AI170" i="9"/>
  <c r="AI171" i="9"/>
  <c r="AI172" i="9"/>
  <c r="AI173" i="9"/>
  <c r="AI174" i="9"/>
  <c r="AI175" i="9"/>
  <c r="AI176" i="9"/>
  <c r="AD176" i="9" s="1"/>
  <c r="AI177" i="9"/>
  <c r="AI178" i="9"/>
  <c r="AI179" i="9"/>
  <c r="AI180" i="9"/>
  <c r="AI181" i="9"/>
  <c r="AI182" i="9"/>
  <c r="AI183" i="9"/>
  <c r="AI184" i="9"/>
  <c r="AD184" i="9" s="1"/>
  <c r="AI185" i="9"/>
  <c r="AI186" i="9"/>
  <c r="AI187" i="9"/>
  <c r="AI188" i="9"/>
  <c r="AI189" i="9"/>
  <c r="AI190" i="9"/>
  <c r="AI191" i="9"/>
  <c r="AI192" i="9"/>
  <c r="AD192" i="9" s="1"/>
  <c r="AI193" i="9"/>
  <c r="AI194" i="9"/>
  <c r="AI195" i="9"/>
  <c r="AI196" i="9"/>
  <c r="AI197" i="9"/>
  <c r="AI198" i="9"/>
  <c r="AI199" i="9"/>
  <c r="AI200" i="9"/>
  <c r="AD200" i="9" s="1"/>
  <c r="AI201" i="9"/>
  <c r="AI202" i="9"/>
  <c r="AI203" i="9"/>
  <c r="AI204" i="9"/>
  <c r="AI205" i="9"/>
  <c r="AI206" i="9"/>
  <c r="AI207" i="9"/>
  <c r="AI208" i="9"/>
  <c r="AD208" i="9" s="1"/>
  <c r="AI209" i="9"/>
  <c r="AI210" i="9"/>
  <c r="AI211" i="9"/>
  <c r="AI212" i="9"/>
  <c r="AI213" i="9"/>
  <c r="AI214" i="9"/>
  <c r="AI215" i="9"/>
  <c r="AI216" i="9"/>
  <c r="AI217" i="9"/>
  <c r="AI218" i="9"/>
  <c r="AI219" i="9"/>
  <c r="AI220" i="9"/>
  <c r="AI221" i="9"/>
  <c r="AI222" i="9"/>
  <c r="AI223" i="9"/>
  <c r="AI224" i="9"/>
  <c r="AI225" i="9"/>
  <c r="AI226" i="9"/>
  <c r="AI227" i="9"/>
  <c r="AI228" i="9"/>
  <c r="AI229" i="9"/>
  <c r="AI230" i="9"/>
  <c r="AI231" i="9"/>
  <c r="AI232" i="9"/>
  <c r="AI233" i="9"/>
  <c r="AI234" i="9"/>
  <c r="AI235" i="9"/>
  <c r="AI236" i="9"/>
  <c r="AI237" i="9"/>
  <c r="AI238" i="9"/>
  <c r="AI239" i="9"/>
  <c r="AI240" i="9"/>
  <c r="AI241" i="9"/>
  <c r="AI242" i="9"/>
  <c r="AI243" i="9"/>
  <c r="AI244" i="9"/>
  <c r="AI245" i="9"/>
  <c r="AI246" i="9"/>
  <c r="AI247" i="9"/>
  <c r="AI248" i="9"/>
  <c r="AI249" i="9"/>
  <c r="AI250" i="9"/>
  <c r="AI251" i="9"/>
  <c r="AI252" i="9"/>
  <c r="AI253" i="9"/>
  <c r="AI254" i="9"/>
  <c r="AI255" i="9"/>
  <c r="AI256" i="9"/>
  <c r="AI257" i="9"/>
  <c r="AI258" i="9"/>
  <c r="AI259" i="9"/>
  <c r="AI260" i="9"/>
  <c r="AI261" i="9"/>
  <c r="AI262" i="9"/>
  <c r="AI263" i="9"/>
  <c r="AI264" i="9"/>
  <c r="AI265" i="9"/>
  <c r="AI266" i="9"/>
  <c r="AI267" i="9"/>
  <c r="AI268" i="9"/>
  <c r="AI269" i="9"/>
  <c r="AI270" i="9"/>
  <c r="AI271" i="9"/>
  <c r="AI272" i="9"/>
  <c r="AI273" i="9"/>
  <c r="AI274" i="9"/>
  <c r="AI275" i="9"/>
  <c r="AI276" i="9"/>
  <c r="AI277" i="9"/>
  <c r="AI278" i="9"/>
  <c r="AI279" i="9"/>
  <c r="AI280" i="9"/>
  <c r="AI281" i="9"/>
  <c r="AI282" i="9"/>
  <c r="AI283" i="9"/>
  <c r="AI284" i="9"/>
  <c r="AI285" i="9"/>
  <c r="AI286" i="9"/>
  <c r="AI287" i="9"/>
  <c r="AI288" i="9"/>
  <c r="AI289" i="9"/>
  <c r="AI290" i="9"/>
  <c r="AI291" i="9"/>
  <c r="AI292" i="9"/>
  <c r="AI293" i="9"/>
  <c r="AI294" i="9"/>
  <c r="AI295" i="9"/>
  <c r="AI296" i="9"/>
  <c r="AI297" i="9"/>
  <c r="AI298" i="9"/>
  <c r="AI299" i="9"/>
  <c r="AI300" i="9"/>
  <c r="AI301" i="9"/>
  <c r="AI302" i="9"/>
  <c r="AI303" i="9"/>
  <c r="AI304" i="9"/>
  <c r="AI305" i="9"/>
  <c r="AI306" i="9"/>
  <c r="AI307" i="9"/>
  <c r="AI308" i="9"/>
  <c r="AI309" i="9"/>
  <c r="AI310" i="9"/>
  <c r="AI311" i="9"/>
  <c r="AI312" i="9"/>
  <c r="AI313" i="9"/>
  <c r="AI314" i="9"/>
  <c r="AI315" i="9"/>
  <c r="AI316" i="9"/>
  <c r="AI317" i="9"/>
  <c r="AI318" i="9"/>
  <c r="AI319" i="9"/>
  <c r="AI320" i="9"/>
  <c r="AI321" i="9"/>
  <c r="AI322" i="9"/>
  <c r="AI323" i="9"/>
  <c r="AI324" i="9"/>
  <c r="AI325" i="9"/>
  <c r="AI326" i="9"/>
  <c r="AI327" i="9"/>
  <c r="AI328" i="9"/>
  <c r="AI329" i="9"/>
  <c r="AI330" i="9"/>
  <c r="AI331" i="9"/>
  <c r="AI332" i="9"/>
  <c r="AI333" i="9"/>
  <c r="AI334" i="9"/>
  <c r="AI335" i="9"/>
  <c r="AI336" i="9"/>
  <c r="AI337" i="9"/>
  <c r="AI338" i="9"/>
  <c r="AI339" i="9"/>
  <c r="AI340" i="9"/>
  <c r="AI341" i="9"/>
  <c r="AI342" i="9"/>
  <c r="AI343" i="9"/>
  <c r="AI344" i="9"/>
  <c r="AI345" i="9"/>
  <c r="AI346" i="9"/>
  <c r="AI347" i="9"/>
  <c r="AI348" i="9"/>
  <c r="AI349" i="9"/>
  <c r="AI350" i="9"/>
  <c r="AI351" i="9"/>
  <c r="AI352" i="9"/>
  <c r="AI353" i="9"/>
  <c r="AI354" i="9"/>
  <c r="AI355" i="9"/>
  <c r="AI356" i="9"/>
  <c r="AI357" i="9"/>
  <c r="AI358" i="9"/>
  <c r="AI359" i="9"/>
  <c r="AI360" i="9"/>
  <c r="AI361" i="9"/>
  <c r="AI362" i="9"/>
  <c r="AI363" i="9"/>
  <c r="AI364" i="9"/>
  <c r="AI365" i="9"/>
  <c r="AI366" i="9"/>
  <c r="AI367" i="9"/>
  <c r="AI368" i="9"/>
  <c r="AI369" i="9"/>
  <c r="AI370" i="9"/>
  <c r="AI371" i="9"/>
  <c r="AI372" i="9"/>
  <c r="AI373" i="9"/>
  <c r="AI374" i="9"/>
  <c r="AI375" i="9"/>
  <c r="AI376" i="9"/>
  <c r="AI377" i="9"/>
  <c r="AI378" i="9"/>
  <c r="AI379" i="9"/>
  <c r="AI380" i="9"/>
  <c r="AI381" i="9"/>
  <c r="AI382" i="9"/>
  <c r="AI383" i="9"/>
  <c r="AI384" i="9"/>
  <c r="AI385" i="9"/>
  <c r="AI386" i="9"/>
  <c r="AI387" i="9"/>
  <c r="AI388" i="9"/>
  <c r="AI389" i="9"/>
  <c r="AI390" i="9"/>
  <c r="AI391" i="9"/>
  <c r="AI392" i="9"/>
  <c r="AI393" i="9"/>
  <c r="AI394" i="9"/>
  <c r="AI395" i="9"/>
  <c r="AI396" i="9"/>
  <c r="AI397" i="9"/>
  <c r="AI398" i="9"/>
  <c r="AI399" i="9"/>
  <c r="AI400" i="9"/>
  <c r="AI401" i="9"/>
  <c r="AI402" i="9"/>
  <c r="AI403" i="9"/>
  <c r="AI404" i="9"/>
  <c r="AI405" i="9"/>
  <c r="AI406" i="9"/>
  <c r="AI407" i="9"/>
  <c r="AI408" i="9"/>
  <c r="AI409" i="9"/>
  <c r="AI410" i="9"/>
  <c r="AI411" i="9"/>
  <c r="AI412" i="9"/>
  <c r="AI413" i="9"/>
  <c r="AI414" i="9"/>
  <c r="AI415" i="9"/>
  <c r="AI416" i="9"/>
  <c r="AI417" i="9"/>
  <c r="AI418" i="9"/>
  <c r="AI419" i="9"/>
  <c r="AI420" i="9"/>
  <c r="AI421" i="9"/>
  <c r="AI422" i="9"/>
  <c r="AI423" i="9"/>
  <c r="AI424" i="9"/>
  <c r="AI425" i="9"/>
  <c r="AI426" i="9"/>
  <c r="AI427" i="9"/>
  <c r="AI428" i="9"/>
  <c r="AI429" i="9"/>
  <c r="AI430" i="9"/>
  <c r="AI431" i="9"/>
  <c r="AI432" i="9"/>
  <c r="AI433" i="9"/>
  <c r="AI434" i="9"/>
  <c r="AI435" i="9"/>
  <c r="AI436" i="9"/>
  <c r="AI437" i="9"/>
  <c r="AI438" i="9"/>
  <c r="AI439" i="9"/>
  <c r="AI440" i="9"/>
  <c r="AI441" i="9"/>
  <c r="AI442" i="9"/>
  <c r="AI443" i="9"/>
  <c r="AI444" i="9"/>
  <c r="AI445" i="9"/>
  <c r="AI446" i="9"/>
  <c r="AI447" i="9"/>
  <c r="AI448" i="9"/>
  <c r="AI449" i="9"/>
  <c r="AI450" i="9"/>
  <c r="AI451" i="9"/>
  <c r="AI452" i="9"/>
  <c r="AI453" i="9"/>
  <c r="AI454" i="9"/>
  <c r="AI455" i="9"/>
  <c r="AI456" i="9"/>
  <c r="AI457" i="9"/>
  <c r="AI458" i="9"/>
  <c r="AI459" i="9"/>
  <c r="AI460" i="9"/>
  <c r="AI461" i="9"/>
  <c r="AI462" i="9"/>
  <c r="AI463" i="9"/>
  <c r="AI464" i="9"/>
  <c r="AI465" i="9"/>
  <c r="AI466" i="9"/>
  <c r="AI467" i="9"/>
  <c r="AI468" i="9"/>
  <c r="AI469" i="9"/>
  <c r="AI470" i="9"/>
  <c r="AI471" i="9"/>
  <c r="AI472" i="9"/>
  <c r="AI473" i="9"/>
  <c r="AI474" i="9"/>
  <c r="AI475" i="9"/>
  <c r="AI476" i="9"/>
  <c r="AI477" i="9"/>
  <c r="AI478" i="9"/>
  <c r="AI479" i="9"/>
  <c r="AI480" i="9"/>
  <c r="AI481" i="9"/>
  <c r="AI482" i="9"/>
  <c r="AI483" i="9"/>
  <c r="AI484" i="9"/>
  <c r="AI485" i="9"/>
  <c r="AI486" i="9"/>
  <c r="AI487" i="9"/>
  <c r="AI488" i="9"/>
  <c r="AI489" i="9"/>
  <c r="AI490" i="9"/>
  <c r="AI491" i="9"/>
  <c r="AI492" i="9"/>
  <c r="AI493" i="9"/>
  <c r="AI494" i="9"/>
  <c r="AI495" i="9"/>
  <c r="AI496" i="9"/>
  <c r="AI497" i="9"/>
  <c r="AI498" i="9"/>
  <c r="AI499" i="9"/>
  <c r="AI500" i="9"/>
  <c r="AI501" i="9"/>
  <c r="AI502" i="9"/>
  <c r="AI503" i="9"/>
  <c r="AI504" i="9"/>
  <c r="AI505" i="9"/>
  <c r="AI506" i="9"/>
  <c r="AI507" i="9"/>
  <c r="AI508" i="9"/>
  <c r="AI509" i="9"/>
  <c r="AI510" i="9"/>
  <c r="AI511" i="9"/>
  <c r="AI512" i="9"/>
  <c r="AI513" i="9"/>
  <c r="AI514" i="9"/>
  <c r="AI515" i="9"/>
  <c r="AI516" i="9"/>
  <c r="AI517" i="9"/>
  <c r="AI518" i="9"/>
  <c r="AI519" i="9"/>
  <c r="AI520" i="9"/>
  <c r="AI521" i="9"/>
  <c r="AI522" i="9"/>
  <c r="AI523" i="9"/>
  <c r="AI524" i="9"/>
  <c r="AI525" i="9"/>
  <c r="AI526" i="9"/>
  <c r="AI527" i="9"/>
  <c r="AI528" i="9"/>
  <c r="AI529" i="9"/>
  <c r="AI530" i="9"/>
  <c r="AI531" i="9"/>
  <c r="AI532" i="9"/>
  <c r="AI533" i="9"/>
  <c r="AI534" i="9"/>
  <c r="AI535" i="9"/>
  <c r="AI536" i="9"/>
  <c r="AI537" i="9"/>
  <c r="AI538" i="9"/>
  <c r="AI539" i="9"/>
  <c r="AI540" i="9"/>
  <c r="AI541" i="9"/>
  <c r="AI542" i="9"/>
  <c r="AI543" i="9"/>
  <c r="AI544" i="9"/>
  <c r="AI545" i="9"/>
  <c r="AI546" i="9"/>
  <c r="AI547" i="9"/>
  <c r="AI548" i="9"/>
  <c r="AI549" i="9"/>
  <c r="AI550" i="9"/>
  <c r="AI551" i="9"/>
  <c r="AI552" i="9"/>
  <c r="AI553" i="9"/>
  <c r="AI554" i="9"/>
  <c r="AI555" i="9"/>
  <c r="AI556" i="9"/>
  <c r="AI557" i="9"/>
  <c r="AI558" i="9"/>
  <c r="AI559" i="9"/>
  <c r="AI560" i="9"/>
  <c r="AI561" i="9"/>
  <c r="AI562" i="9"/>
  <c r="AI563" i="9"/>
  <c r="AI564" i="9"/>
  <c r="AI565" i="9"/>
  <c r="AI566" i="9"/>
  <c r="AI567" i="9"/>
  <c r="AI568" i="9"/>
  <c r="AI569" i="9"/>
  <c r="AI570" i="9"/>
  <c r="AI571" i="9"/>
  <c r="AI572" i="9"/>
  <c r="AI573" i="9"/>
  <c r="AI574" i="9"/>
  <c r="AI575" i="9"/>
  <c r="AI576" i="9"/>
  <c r="AI577" i="9"/>
  <c r="AI578" i="9"/>
  <c r="AI579" i="9"/>
  <c r="AI580" i="9"/>
  <c r="AI581" i="9"/>
  <c r="AI582" i="9"/>
  <c r="AI583" i="9"/>
  <c r="AI584" i="9"/>
  <c r="AI585" i="9"/>
  <c r="AI586" i="9"/>
  <c r="AI587" i="9"/>
  <c r="AI588" i="9"/>
  <c r="AI589" i="9"/>
  <c r="AI590" i="9"/>
  <c r="AI591" i="9"/>
  <c r="AI592" i="9"/>
  <c r="AI593" i="9"/>
  <c r="AI594" i="9"/>
  <c r="AI595" i="9"/>
  <c r="AI596" i="9"/>
  <c r="AI597" i="9"/>
  <c r="AI598" i="9"/>
  <c r="AI599" i="9"/>
  <c r="AI600" i="9"/>
  <c r="AI601" i="9"/>
  <c r="AI602" i="9"/>
  <c r="AI603" i="9"/>
  <c r="AI604" i="9"/>
  <c r="AI605" i="9"/>
  <c r="AI606" i="9"/>
  <c r="AI607" i="9"/>
  <c r="AI608" i="9"/>
  <c r="AI609" i="9"/>
  <c r="AI610" i="9"/>
  <c r="AI611" i="9"/>
  <c r="AI612" i="9"/>
  <c r="AI613" i="9"/>
  <c r="AI614" i="9"/>
  <c r="AI615" i="9"/>
  <c r="AI616" i="9"/>
  <c r="AI617" i="9"/>
  <c r="AI618" i="9"/>
  <c r="AI619" i="9"/>
  <c r="AI620" i="9"/>
  <c r="AI621" i="9"/>
  <c r="AI622" i="9"/>
  <c r="AI623" i="9"/>
  <c r="AI624" i="9"/>
  <c r="AI625" i="9"/>
  <c r="AI626" i="9"/>
  <c r="AI627" i="9"/>
  <c r="AI628" i="9"/>
  <c r="AI629" i="9"/>
  <c r="AI630" i="9"/>
  <c r="AI631" i="9"/>
  <c r="AI632" i="9"/>
  <c r="AI633" i="9"/>
  <c r="AI634" i="9"/>
  <c r="AI635" i="9"/>
  <c r="AI636" i="9"/>
  <c r="AI637" i="9"/>
  <c r="AI638" i="9"/>
  <c r="AI639" i="9"/>
  <c r="AI640" i="9"/>
  <c r="AI641" i="9"/>
  <c r="AI642" i="9"/>
  <c r="AI643" i="9"/>
  <c r="AI644" i="9"/>
  <c r="AI645" i="9"/>
  <c r="AI646" i="9"/>
  <c r="AI647" i="9"/>
  <c r="AI648" i="9"/>
  <c r="AI649" i="9"/>
  <c r="AI650" i="9"/>
  <c r="AI651" i="9"/>
  <c r="AI652" i="9"/>
  <c r="AI653" i="9"/>
  <c r="AI654" i="9"/>
  <c r="AI655" i="9"/>
  <c r="AI656" i="9"/>
  <c r="AI657" i="9"/>
  <c r="AI658" i="9"/>
  <c r="AI659" i="9"/>
  <c r="AI660" i="9"/>
  <c r="AI661" i="9"/>
  <c r="AI662" i="9"/>
  <c r="AI663" i="9"/>
  <c r="AI664" i="9"/>
  <c r="AI665" i="9"/>
  <c r="AI666" i="9"/>
  <c r="AI667" i="9"/>
  <c r="AI668" i="9"/>
  <c r="AI669" i="9"/>
  <c r="AI670" i="9"/>
  <c r="AI671" i="9"/>
  <c r="AI672" i="9"/>
  <c r="AI673" i="9"/>
  <c r="AI674" i="9"/>
  <c r="AI675" i="9"/>
  <c r="AI676" i="9"/>
  <c r="AI677" i="9"/>
  <c r="AI678" i="9"/>
  <c r="AI679" i="9"/>
  <c r="AI680" i="9"/>
  <c r="AI681" i="9"/>
  <c r="AI682" i="9"/>
  <c r="AI683" i="9"/>
  <c r="AI684" i="9"/>
  <c r="AI685" i="9"/>
  <c r="AI686" i="9"/>
  <c r="AI687" i="9"/>
  <c r="AI688" i="9"/>
  <c r="AI689" i="9"/>
  <c r="AI690" i="9"/>
  <c r="AI691" i="9"/>
  <c r="AI692" i="9"/>
  <c r="AI693" i="9"/>
  <c r="AI694" i="9"/>
  <c r="AI695" i="9"/>
  <c r="AI696" i="9"/>
  <c r="AI697" i="9"/>
  <c r="AI698" i="9"/>
  <c r="AI699" i="9"/>
  <c r="AI700" i="9"/>
  <c r="AI701" i="9"/>
  <c r="AI702" i="9"/>
  <c r="AI703" i="9"/>
  <c r="AI704" i="9"/>
  <c r="AI705" i="9"/>
  <c r="AI706" i="9"/>
  <c r="AI707" i="9"/>
  <c r="AI708" i="9"/>
  <c r="AI709" i="9"/>
  <c r="AI710" i="9"/>
  <c r="AI711" i="9"/>
  <c r="AI712" i="9"/>
  <c r="AI713" i="9"/>
  <c r="AI714" i="9"/>
  <c r="AI715" i="9"/>
  <c r="AI716" i="9"/>
  <c r="AI717" i="9"/>
  <c r="AI718" i="9"/>
  <c r="AI719" i="9"/>
  <c r="AI720" i="9"/>
  <c r="AI721" i="9"/>
  <c r="AI722" i="9"/>
  <c r="AI723" i="9"/>
  <c r="AI724" i="9"/>
  <c r="AI725" i="9"/>
  <c r="AI726" i="9"/>
  <c r="AI727" i="9"/>
  <c r="AI728" i="9"/>
  <c r="AI729" i="9"/>
  <c r="AI730" i="9"/>
  <c r="AI731" i="9"/>
  <c r="AI732" i="9"/>
  <c r="AI733" i="9"/>
  <c r="AI734" i="9"/>
  <c r="AI735" i="9"/>
  <c r="AI736" i="9"/>
  <c r="AI737" i="9"/>
  <c r="AI738" i="9"/>
  <c r="AI739" i="9"/>
  <c r="AI740" i="9"/>
  <c r="AI741" i="9"/>
  <c r="AI742" i="9"/>
  <c r="AI743" i="9"/>
  <c r="AI744" i="9"/>
  <c r="AI745" i="9"/>
  <c r="AI746" i="9"/>
  <c r="AI747" i="9"/>
  <c r="AI748" i="9"/>
  <c r="AI749" i="9"/>
  <c r="AI750" i="9"/>
  <c r="AI751" i="9"/>
  <c r="AI752" i="9"/>
  <c r="AI753" i="9"/>
  <c r="AI754" i="9"/>
  <c r="AI755" i="9"/>
  <c r="AI756" i="9"/>
  <c r="AI757" i="9"/>
  <c r="AI758" i="9"/>
  <c r="AI759" i="9"/>
  <c r="AI760" i="9"/>
  <c r="AI761" i="9"/>
  <c r="AI762" i="9"/>
  <c r="AI763" i="9"/>
  <c r="AI764" i="9"/>
  <c r="AI765" i="9"/>
  <c r="AI766" i="9"/>
  <c r="AI767" i="9"/>
  <c r="AI768" i="9"/>
  <c r="AI769" i="9"/>
  <c r="AI770" i="9"/>
  <c r="AI771" i="9"/>
  <c r="AI772" i="9"/>
  <c r="AI773" i="9"/>
  <c r="AI774" i="9"/>
  <c r="AI775" i="9"/>
  <c r="AI776" i="9"/>
  <c r="AI777" i="9"/>
  <c r="AI778" i="9"/>
  <c r="AI779" i="9"/>
  <c r="AI780" i="9"/>
  <c r="AI781" i="9"/>
  <c r="AI782" i="9"/>
  <c r="AI783" i="9"/>
  <c r="AI784" i="9"/>
  <c r="AI785" i="9"/>
  <c r="AI786" i="9"/>
  <c r="AI787" i="9"/>
  <c r="AI788" i="9"/>
  <c r="AI789" i="9"/>
  <c r="AI790" i="9"/>
  <c r="AI791" i="9"/>
  <c r="AI792" i="9"/>
  <c r="AI793" i="9"/>
  <c r="AI794" i="9"/>
  <c r="AI795" i="9"/>
  <c r="AI796" i="9"/>
  <c r="AI797" i="9"/>
  <c r="AI798" i="9"/>
  <c r="AI799" i="9"/>
  <c r="AI800" i="9"/>
  <c r="AI801" i="9"/>
  <c r="AI802" i="9"/>
  <c r="AI803" i="9"/>
  <c r="AI804" i="9"/>
  <c r="AI805" i="9"/>
  <c r="AI806" i="9"/>
  <c r="AI807" i="9"/>
  <c r="AI808" i="9"/>
  <c r="AI809" i="9"/>
  <c r="AI810" i="9"/>
  <c r="AI811" i="9"/>
  <c r="AI812" i="9"/>
  <c r="AI813" i="9"/>
  <c r="AI814" i="9"/>
  <c r="AI815" i="9"/>
  <c r="AI816" i="9"/>
  <c r="AI817" i="9"/>
  <c r="AI818" i="9"/>
  <c r="AI819" i="9"/>
  <c r="AI820" i="9"/>
  <c r="AI821" i="9"/>
  <c r="AI822" i="9"/>
  <c r="AI823" i="9"/>
  <c r="AI824" i="9"/>
  <c r="AI825" i="9"/>
  <c r="AI826" i="9"/>
  <c r="AI827" i="9"/>
  <c r="AI828" i="9"/>
  <c r="AI829" i="9"/>
  <c r="AI830" i="9"/>
  <c r="AI831" i="9"/>
  <c r="AI832" i="9"/>
  <c r="AI833" i="9"/>
  <c r="AI834" i="9"/>
  <c r="AI835" i="9"/>
  <c r="AI836" i="9"/>
  <c r="AI837" i="9"/>
  <c r="AI838" i="9"/>
  <c r="AI839" i="9"/>
  <c r="AI840" i="9"/>
  <c r="AI841" i="9"/>
  <c r="AI842" i="9"/>
  <c r="AI843" i="9"/>
  <c r="AI844" i="9"/>
  <c r="AI845" i="9"/>
  <c r="AI846" i="9"/>
  <c r="AI847" i="9"/>
  <c r="AI848" i="9"/>
  <c r="AI849" i="9"/>
  <c r="AI850" i="9"/>
  <c r="AI851" i="9"/>
  <c r="AI852" i="9"/>
  <c r="AI853" i="9"/>
  <c r="AI854" i="9"/>
  <c r="AI855" i="9"/>
  <c r="AI856" i="9"/>
  <c r="AI857" i="9"/>
  <c r="AI858" i="9"/>
  <c r="AI859" i="9"/>
  <c r="AI860" i="9"/>
  <c r="AI861" i="9"/>
  <c r="AI862" i="9"/>
  <c r="AI863" i="9"/>
  <c r="AI864" i="9"/>
  <c r="AI865" i="9"/>
  <c r="AI866" i="9"/>
  <c r="AI867" i="9"/>
  <c r="AI868" i="9"/>
  <c r="AI869" i="9"/>
  <c r="AI870" i="9"/>
  <c r="AI871" i="9"/>
  <c r="AI872" i="9"/>
  <c r="AI873" i="9"/>
  <c r="AI874" i="9"/>
  <c r="AI875" i="9"/>
  <c r="AI876" i="9"/>
  <c r="AI877" i="9"/>
  <c r="AI878" i="9"/>
  <c r="AI879" i="9"/>
  <c r="AI880" i="9"/>
  <c r="AI881" i="9"/>
  <c r="AI882" i="9"/>
  <c r="AI883" i="9"/>
  <c r="AI884" i="9"/>
  <c r="AI885" i="9"/>
  <c r="AI886" i="9"/>
  <c r="AI887" i="9"/>
  <c r="AI888" i="9"/>
  <c r="AI889" i="9"/>
  <c r="AI890" i="9"/>
  <c r="AI891" i="9"/>
  <c r="AI892" i="9"/>
  <c r="AI893" i="9"/>
  <c r="AI894" i="9"/>
  <c r="AI895" i="9"/>
  <c r="AI896" i="9"/>
  <c r="AI897" i="9"/>
  <c r="AI898" i="9"/>
  <c r="AI899" i="9"/>
  <c r="AI900" i="9"/>
  <c r="AI901" i="9"/>
  <c r="AI902" i="9"/>
  <c r="AI903" i="9"/>
  <c r="AI904" i="9"/>
  <c r="AI905" i="9"/>
  <c r="AI906" i="9"/>
  <c r="AI907" i="9"/>
  <c r="AI908" i="9"/>
  <c r="AI909" i="9"/>
  <c r="AI910" i="9"/>
  <c r="AI911" i="9"/>
  <c r="AI912" i="9"/>
  <c r="AI913" i="9"/>
  <c r="AI914" i="9"/>
  <c r="AI915" i="9"/>
  <c r="AI916" i="9"/>
  <c r="AI917" i="9"/>
  <c r="AI918" i="9"/>
  <c r="AI919" i="9"/>
  <c r="AI920" i="9"/>
  <c r="AI921" i="9"/>
  <c r="AI922" i="9"/>
  <c r="AI923" i="9"/>
  <c r="AI924" i="9"/>
  <c r="AI925" i="9"/>
  <c r="AI926" i="9"/>
  <c r="AI927" i="9"/>
  <c r="AI928" i="9"/>
  <c r="AI929" i="9"/>
  <c r="AI930" i="9"/>
  <c r="AI931" i="9"/>
  <c r="AI932" i="9"/>
  <c r="AI933" i="9"/>
  <c r="AI934" i="9"/>
  <c r="AI935" i="9"/>
  <c r="AI936" i="9"/>
  <c r="AI937" i="9"/>
  <c r="AI938" i="9"/>
  <c r="AI939" i="9"/>
  <c r="AI940" i="9"/>
  <c r="AI941" i="9"/>
  <c r="AI942" i="9"/>
  <c r="AI943" i="9"/>
  <c r="AI944" i="9"/>
  <c r="AI945" i="9"/>
  <c r="AI946" i="9"/>
  <c r="AI947" i="9"/>
  <c r="AI948" i="9"/>
  <c r="AI949" i="9"/>
  <c r="AI950" i="9"/>
  <c r="AI951" i="9"/>
  <c r="AI952" i="9"/>
  <c r="AI953" i="9"/>
  <c r="AI954" i="9"/>
  <c r="AI955" i="9"/>
  <c r="AI956" i="9"/>
  <c r="AI957" i="9"/>
  <c r="AI958" i="9"/>
  <c r="AI959" i="9"/>
  <c r="AI960" i="9"/>
  <c r="AI961" i="9"/>
  <c r="AI962" i="9"/>
  <c r="AI963" i="9"/>
  <c r="AI964" i="9"/>
  <c r="AI965" i="9"/>
  <c r="AI966" i="9"/>
  <c r="AI967" i="9"/>
  <c r="AI968" i="9"/>
  <c r="AI969" i="9"/>
  <c r="AI970" i="9"/>
  <c r="AI971" i="9"/>
  <c r="AI972" i="9"/>
  <c r="AI973" i="9"/>
  <c r="AI974" i="9"/>
  <c r="AI975" i="9"/>
  <c r="AI976" i="9"/>
  <c r="AI977" i="9"/>
  <c r="AI978" i="9"/>
  <c r="AI979" i="9"/>
  <c r="AI980" i="9"/>
  <c r="AI981" i="9"/>
  <c r="AI982" i="9"/>
  <c r="AI983" i="9"/>
  <c r="AI984" i="9"/>
  <c r="AI985" i="9"/>
  <c r="AI986" i="9"/>
  <c r="AI987" i="9"/>
  <c r="AI988" i="9"/>
  <c r="AI989" i="9"/>
  <c r="AI990" i="9"/>
  <c r="AI991" i="9"/>
  <c r="AI992" i="9"/>
  <c r="AI993" i="9"/>
  <c r="AI994" i="9"/>
  <c r="AI995" i="9"/>
  <c r="AI996" i="9"/>
  <c r="AI997" i="9"/>
  <c r="AI998" i="9"/>
  <c r="AI999" i="9"/>
  <c r="AI1000" i="9"/>
  <c r="AI1001" i="9"/>
  <c r="AI1002" i="9"/>
  <c r="AI1003" i="9"/>
  <c r="AI1004" i="9"/>
  <c r="AI1005" i="9"/>
  <c r="AI1006" i="9"/>
  <c r="AI1007" i="9"/>
  <c r="AI1008" i="9"/>
  <c r="AI1009" i="9"/>
  <c r="AI1010" i="9"/>
  <c r="AI1011" i="9"/>
  <c r="AI1012" i="9"/>
  <c r="AI1013" i="9"/>
  <c r="AI1014" i="9"/>
  <c r="AI1015" i="9"/>
  <c r="AI1016" i="9"/>
  <c r="AI1017" i="9"/>
  <c r="AI1018" i="9"/>
  <c r="AI1019" i="9"/>
  <c r="AI1020" i="9"/>
  <c r="AI1021" i="9"/>
  <c r="AI1022" i="9"/>
  <c r="AI1023" i="9"/>
  <c r="AI1024" i="9"/>
  <c r="AI1025" i="9"/>
  <c r="AI1026" i="9"/>
  <c r="AI1027" i="9"/>
  <c r="AI1028" i="9"/>
  <c r="AI1029" i="9"/>
  <c r="AI1030" i="9"/>
  <c r="AI1031" i="9"/>
  <c r="AI1032" i="9"/>
  <c r="AI1033" i="9"/>
  <c r="AI1034" i="9"/>
  <c r="AI1035" i="9"/>
  <c r="AI1036" i="9"/>
  <c r="AI1037" i="9"/>
  <c r="AI1038" i="9"/>
  <c r="AI1039" i="9"/>
  <c r="AI1040" i="9"/>
  <c r="AI1041" i="9"/>
  <c r="AI1042" i="9"/>
  <c r="AI1043" i="9"/>
  <c r="AI1044" i="9"/>
  <c r="AI1045" i="9"/>
  <c r="AI1046" i="9"/>
  <c r="AI1047" i="9"/>
  <c r="AI1048" i="9"/>
  <c r="AI1049" i="9"/>
  <c r="AI1050" i="9"/>
  <c r="AI1051" i="9"/>
  <c r="AI1052" i="9"/>
  <c r="AI1053" i="9"/>
  <c r="AI1054" i="9"/>
  <c r="AI1055" i="9"/>
  <c r="AI1056" i="9"/>
  <c r="AI1057" i="9"/>
  <c r="AI1058" i="9"/>
  <c r="AI1059" i="9"/>
  <c r="AI1060" i="9"/>
  <c r="AI1061" i="9"/>
  <c r="AI1062" i="9"/>
  <c r="AI1063" i="9"/>
  <c r="AI1064" i="9"/>
  <c r="AI1065" i="9"/>
  <c r="AI1066" i="9"/>
  <c r="AI1067" i="9"/>
  <c r="AI1068" i="9"/>
  <c r="AI1069" i="9"/>
  <c r="AI1070" i="9"/>
  <c r="AI1071" i="9"/>
  <c r="AI1072" i="9"/>
  <c r="AI1073" i="9"/>
  <c r="AI1074" i="9"/>
  <c r="AI1075" i="9"/>
  <c r="AI1076" i="9"/>
  <c r="AI1077" i="9"/>
  <c r="AI1078" i="9"/>
  <c r="AI1079" i="9"/>
  <c r="AI1080" i="9"/>
  <c r="AI1081" i="9"/>
  <c r="AI1082" i="9"/>
  <c r="AI1083" i="9"/>
  <c r="AI1084" i="9"/>
  <c r="AI1085" i="9"/>
  <c r="AI1086" i="9"/>
  <c r="AI1087" i="9"/>
  <c r="AI1088" i="9"/>
  <c r="AI1089" i="9"/>
  <c r="AI1090" i="9"/>
  <c r="AI1091" i="9"/>
  <c r="AI1092" i="9"/>
  <c r="AI1093" i="9"/>
  <c r="AI1094" i="9"/>
  <c r="AI1095" i="9"/>
  <c r="AI1096" i="9"/>
  <c r="AI1097" i="9"/>
  <c r="AI1098" i="9"/>
  <c r="AI1099" i="9"/>
  <c r="AI1100" i="9"/>
  <c r="AI1101" i="9"/>
  <c r="AI1102" i="9"/>
  <c r="AI1103" i="9"/>
  <c r="AI1104" i="9"/>
  <c r="AI1105" i="9"/>
  <c r="AI1106" i="9"/>
  <c r="AI1107" i="9"/>
  <c r="AI1108" i="9"/>
  <c r="AI1109" i="9"/>
  <c r="AI1110" i="9"/>
  <c r="AI1111" i="9"/>
  <c r="AI1112" i="9"/>
  <c r="AI1113" i="9"/>
  <c r="AI1114" i="9"/>
  <c r="AI1115" i="9"/>
  <c r="AI1116" i="9"/>
  <c r="AI1117" i="9"/>
  <c r="AI1118" i="9"/>
  <c r="AI1119" i="9"/>
  <c r="AI1120" i="9"/>
  <c r="AI1121" i="9"/>
  <c r="AI1122" i="9"/>
  <c r="AI1123" i="9"/>
  <c r="AI1124" i="9"/>
  <c r="AI1125" i="9"/>
  <c r="AI1126" i="9"/>
  <c r="AI1127" i="9"/>
  <c r="AI1128" i="9"/>
  <c r="AI1129" i="9"/>
  <c r="AI1130" i="9"/>
  <c r="AI1131" i="9"/>
  <c r="AI1132" i="9"/>
  <c r="AI1133" i="9"/>
  <c r="AI1134" i="9"/>
  <c r="AI1135" i="9"/>
  <c r="AI1136" i="9"/>
  <c r="AI1137" i="9"/>
  <c r="AI1138" i="9"/>
  <c r="AI1139" i="9"/>
  <c r="AI1140" i="9"/>
  <c r="AI1141" i="9"/>
  <c r="AI1142" i="9"/>
  <c r="AI1143" i="9"/>
  <c r="AI1144" i="9"/>
  <c r="AI1145" i="9"/>
  <c r="AI1146" i="9"/>
  <c r="AI1147" i="9"/>
  <c r="AI1148" i="9"/>
  <c r="AI1149" i="9"/>
  <c r="AI1150" i="9"/>
  <c r="AI1151" i="9"/>
  <c r="AI1152" i="9"/>
  <c r="AI1153" i="9"/>
  <c r="AI1154" i="9"/>
  <c r="AI1155" i="9"/>
  <c r="AI1156" i="9"/>
  <c r="AI1157" i="9"/>
  <c r="AI1158" i="9"/>
  <c r="AI1159" i="9"/>
  <c r="AI1160" i="9"/>
  <c r="AI1161" i="9"/>
  <c r="AI1162" i="9"/>
  <c r="AI1163" i="9"/>
  <c r="AI1164" i="9"/>
  <c r="AI1165" i="9"/>
  <c r="AI1166" i="9"/>
  <c r="AI1167" i="9"/>
  <c r="AI1168" i="9"/>
  <c r="AI1169" i="9"/>
  <c r="AI1170" i="9"/>
  <c r="AI1171" i="9"/>
  <c r="AI1172" i="9"/>
  <c r="AI1173" i="9"/>
  <c r="AI1174" i="9"/>
  <c r="AI1175" i="9"/>
  <c r="AI1176" i="9"/>
  <c r="AI1177" i="9"/>
  <c r="AI1178" i="9"/>
  <c r="AI1179" i="9"/>
  <c r="AI1180" i="9"/>
  <c r="AI1181" i="9"/>
  <c r="AI1182" i="9"/>
  <c r="AI1183" i="9"/>
  <c r="AI1184" i="9"/>
  <c r="AI1185" i="9"/>
  <c r="AI1186" i="9"/>
  <c r="AI1187" i="9"/>
  <c r="AI1188" i="9"/>
  <c r="AI1189" i="9"/>
  <c r="AI1190" i="9"/>
  <c r="AI1191" i="9"/>
  <c r="AI1192" i="9"/>
  <c r="AI1193" i="9"/>
  <c r="AI1194" i="9"/>
  <c r="AI1195" i="9"/>
  <c r="AI1196" i="9"/>
  <c r="AI1197" i="9"/>
  <c r="AI1198" i="9"/>
  <c r="AI1199" i="9"/>
  <c r="AI1200" i="9"/>
  <c r="AI1201" i="9"/>
  <c r="AI1202" i="9"/>
  <c r="AI1203" i="9"/>
  <c r="AI1204" i="9"/>
  <c r="AI1205" i="9"/>
  <c r="AI1206" i="9"/>
  <c r="AI1207" i="9"/>
  <c r="AI1208" i="9"/>
  <c r="AI1209" i="9"/>
  <c r="AI1210" i="9"/>
  <c r="AI1211" i="9"/>
  <c r="AI1212" i="9"/>
  <c r="AI1213" i="9"/>
  <c r="AI1214" i="9"/>
  <c r="AI1215" i="9"/>
  <c r="AI1216" i="9"/>
  <c r="AI1217" i="9"/>
  <c r="AI1218" i="9"/>
  <c r="AI1219" i="9"/>
  <c r="AI1220" i="9"/>
  <c r="AI1221" i="9"/>
  <c r="AI1222" i="9"/>
  <c r="AI1223" i="9"/>
  <c r="AI1224" i="9"/>
  <c r="AI1225" i="9"/>
  <c r="AI1226" i="9"/>
  <c r="AI1227" i="9"/>
  <c r="AI1228" i="9"/>
  <c r="AI1229" i="9"/>
  <c r="AI1230" i="9"/>
  <c r="AI1231" i="9"/>
  <c r="AI1232" i="9"/>
  <c r="AI1233" i="9"/>
  <c r="AI1234" i="9"/>
  <c r="AI1235" i="9"/>
  <c r="AI1236" i="9"/>
  <c r="AI1237" i="9"/>
  <c r="AI1238" i="9"/>
  <c r="AI1239" i="9"/>
  <c r="AI1240" i="9"/>
  <c r="AI1241" i="9"/>
  <c r="AI1242" i="9"/>
  <c r="AI1243" i="9"/>
  <c r="AI1244" i="9"/>
  <c r="AI1245" i="9"/>
  <c r="AI1246" i="9"/>
  <c r="AI1247" i="9"/>
  <c r="AI1248" i="9"/>
  <c r="AI1249" i="9"/>
  <c r="AI1250" i="9"/>
  <c r="AI1251" i="9"/>
  <c r="AI1252" i="9"/>
  <c r="AI1253" i="9"/>
  <c r="AI1254" i="9"/>
  <c r="AI1255" i="9"/>
  <c r="AI1256" i="9"/>
  <c r="AI1257" i="9"/>
  <c r="AI1258" i="9"/>
  <c r="AI1259" i="9"/>
  <c r="AI1260" i="9"/>
  <c r="AI1261" i="9"/>
  <c r="AI1262" i="9"/>
  <c r="AI1263" i="9"/>
  <c r="AI1264" i="9"/>
  <c r="AI1265" i="9"/>
  <c r="AI1266" i="9"/>
  <c r="AI1267" i="9"/>
  <c r="AI1268" i="9"/>
  <c r="AI1269" i="9"/>
  <c r="AI1270" i="9"/>
  <c r="AI1271" i="9"/>
  <c r="AI1272" i="9"/>
  <c r="AI1273" i="9"/>
  <c r="AI1274" i="9"/>
  <c r="AI1275" i="9"/>
  <c r="AI1276" i="9"/>
  <c r="AI1277" i="9"/>
  <c r="AI1278" i="9"/>
  <c r="AI1279" i="9"/>
  <c r="AI1280" i="9"/>
  <c r="AI1281" i="9"/>
  <c r="AI1282" i="9"/>
  <c r="AI1283" i="9"/>
  <c r="AI1284" i="9"/>
  <c r="AI1285" i="9"/>
  <c r="AI1286" i="9"/>
  <c r="AI1287" i="9"/>
  <c r="AI1288" i="9"/>
  <c r="AI1289" i="9"/>
  <c r="AI1290" i="9"/>
  <c r="AI1291" i="9"/>
  <c r="AI1292" i="9"/>
  <c r="AI1293" i="9"/>
  <c r="AI1294" i="9"/>
  <c r="AI1295" i="9"/>
  <c r="AI1296" i="9"/>
  <c r="AI1297" i="9"/>
  <c r="AI1298" i="9"/>
  <c r="AI1299" i="9"/>
  <c r="AI1300" i="9"/>
  <c r="AI1301" i="9"/>
  <c r="AI1302" i="9"/>
  <c r="AI1303" i="9"/>
  <c r="AI1304" i="9"/>
  <c r="AI1305" i="9"/>
  <c r="AI1306" i="9"/>
  <c r="AI1307" i="9"/>
  <c r="AI1308" i="9"/>
  <c r="AI1309" i="9"/>
  <c r="AI1310" i="9"/>
  <c r="AI1311" i="9"/>
  <c r="AI1312" i="9"/>
  <c r="AI1313" i="9"/>
  <c r="AI1314" i="9"/>
  <c r="AI1315" i="9"/>
  <c r="AI1316" i="9"/>
  <c r="AI1317" i="9"/>
  <c r="AI1318" i="9"/>
  <c r="AI1319" i="9"/>
  <c r="AI1320" i="9"/>
  <c r="AI1321" i="9"/>
  <c r="AI1322" i="9"/>
  <c r="AI1323" i="9"/>
  <c r="AI1324" i="9"/>
  <c r="AI1325" i="9"/>
  <c r="AI1326" i="9"/>
  <c r="AI1327" i="9"/>
  <c r="AI1328" i="9"/>
  <c r="AI1329" i="9"/>
  <c r="AI1330" i="9"/>
  <c r="AI1331" i="9"/>
  <c r="AI1332" i="9"/>
  <c r="AI1333" i="9"/>
  <c r="AI1334" i="9"/>
  <c r="AI1335" i="9"/>
  <c r="AI1336" i="9"/>
  <c r="AI1337" i="9"/>
  <c r="AI1338" i="9"/>
  <c r="AI1339" i="9"/>
  <c r="AI1340" i="9"/>
  <c r="AI1341" i="9"/>
  <c r="AI1342" i="9"/>
  <c r="AI1343" i="9"/>
  <c r="AI1344" i="9"/>
  <c r="AI1345" i="9"/>
  <c r="AI1346" i="9"/>
  <c r="AI1347" i="9"/>
  <c r="AI1348" i="9"/>
  <c r="AI1349" i="9"/>
  <c r="AI1350" i="9"/>
  <c r="AI1351" i="9"/>
  <c r="AI1352" i="9"/>
  <c r="AI1353" i="9"/>
  <c r="AI1354" i="9"/>
  <c r="AI1355" i="9"/>
  <c r="AI1356" i="9"/>
  <c r="AI1357" i="9"/>
  <c r="AI1358" i="9"/>
  <c r="AI1359" i="9"/>
  <c r="AI1360" i="9"/>
  <c r="AI1361" i="9"/>
  <c r="AI1362" i="9"/>
  <c r="AI1363" i="9"/>
  <c r="AI1364" i="9"/>
  <c r="AI1365" i="9"/>
  <c r="AI1366" i="9"/>
  <c r="AI1367" i="9"/>
  <c r="AI1368" i="9"/>
  <c r="AI1369" i="9"/>
  <c r="AI1370" i="9"/>
  <c r="AI1371" i="9"/>
  <c r="AI1372" i="9"/>
  <c r="AI1373" i="9"/>
  <c r="AI1374" i="9"/>
  <c r="AI1375" i="9"/>
  <c r="AI1376" i="9"/>
  <c r="AI1377" i="9"/>
  <c r="AI1378" i="9"/>
  <c r="AI1379" i="9"/>
  <c r="AI1380" i="9"/>
  <c r="AI1381" i="9"/>
  <c r="AI1382" i="9"/>
  <c r="AI1383" i="9"/>
  <c r="AI1384" i="9"/>
  <c r="AI1385" i="9"/>
  <c r="AI1386" i="9"/>
  <c r="AI1387" i="9"/>
  <c r="AI1388" i="9"/>
  <c r="AI1389" i="9"/>
  <c r="AI1390" i="9"/>
  <c r="AI1391" i="9"/>
  <c r="AI1392" i="9"/>
  <c r="AI1393" i="9"/>
  <c r="AI1394" i="9"/>
  <c r="AI1395" i="9"/>
  <c r="AI1396" i="9"/>
  <c r="AI1397" i="9"/>
  <c r="AI1398" i="9"/>
  <c r="AI1399" i="9"/>
  <c r="AI1400" i="9"/>
  <c r="AI1401" i="9"/>
  <c r="AI1402" i="9"/>
  <c r="AI1403" i="9"/>
  <c r="AI1404" i="9"/>
  <c r="AI1405" i="9"/>
  <c r="AI1406" i="9"/>
  <c r="AI1407" i="9"/>
  <c r="AI1408" i="9"/>
  <c r="AI1409" i="9"/>
  <c r="AI1410" i="9"/>
  <c r="AI1411" i="9"/>
  <c r="AI1412" i="9"/>
  <c r="AI1413" i="9"/>
  <c r="AI1414" i="9"/>
  <c r="AI1415" i="9"/>
  <c r="AI1416" i="9"/>
  <c r="AI1417" i="9"/>
  <c r="AI1418" i="9"/>
  <c r="AI1419" i="9"/>
  <c r="AI1420" i="9"/>
  <c r="AI1421" i="9"/>
  <c r="AI1422" i="9"/>
  <c r="AI1423" i="9"/>
  <c r="AI1424" i="9"/>
  <c r="AI1425" i="9"/>
  <c r="AI1426" i="9"/>
  <c r="AI1427" i="9"/>
  <c r="AI1428" i="9"/>
  <c r="AI1429" i="9"/>
  <c r="AI1430" i="9"/>
  <c r="AI1431" i="9"/>
  <c r="AI1432" i="9"/>
  <c r="AI1433" i="9"/>
  <c r="AI1434" i="9"/>
  <c r="AI1435" i="9"/>
  <c r="AI1436" i="9"/>
  <c r="AI1437" i="9"/>
  <c r="AI1438" i="9"/>
  <c r="AI1439" i="9"/>
  <c r="AI1440" i="9"/>
  <c r="AI1441" i="9"/>
  <c r="AI1442" i="9"/>
  <c r="AI1443" i="9"/>
  <c r="AI1444" i="9"/>
  <c r="AI1445" i="9"/>
  <c r="AI1446" i="9"/>
  <c r="AI1447" i="9"/>
  <c r="AI1448" i="9"/>
  <c r="AI1449" i="9"/>
  <c r="AI1450" i="9"/>
  <c r="AI1451" i="9"/>
  <c r="AI1452" i="9"/>
  <c r="AI1453" i="9"/>
  <c r="AI1454" i="9"/>
  <c r="AI1455" i="9"/>
  <c r="AI1456" i="9"/>
  <c r="AI1457" i="9"/>
  <c r="AI1458" i="9"/>
  <c r="AI1459" i="9"/>
  <c r="AI1460" i="9"/>
  <c r="AI1461" i="9"/>
  <c r="AI1462" i="9"/>
  <c r="AI1463" i="9"/>
  <c r="AI1464" i="9"/>
  <c r="AI1465" i="9"/>
  <c r="AI1466" i="9"/>
  <c r="AI1467" i="9"/>
  <c r="AI1468" i="9"/>
  <c r="AI1469" i="9"/>
  <c r="AI1470" i="9"/>
  <c r="AI1471" i="9"/>
  <c r="AI1472" i="9"/>
  <c r="AI1473" i="9"/>
  <c r="AI1474" i="9"/>
  <c r="AI1475" i="9"/>
  <c r="AI1476" i="9"/>
  <c r="AI1477" i="9"/>
  <c r="AI1478" i="9"/>
  <c r="AI1479" i="9"/>
  <c r="AI1480" i="9"/>
  <c r="AI1481" i="9"/>
  <c r="AI1482" i="9"/>
  <c r="AI1483" i="9"/>
  <c r="AI1484" i="9"/>
  <c r="AI1485" i="9"/>
  <c r="AI1486" i="9"/>
  <c r="AI1487" i="9"/>
  <c r="AI1488" i="9"/>
  <c r="AI1489" i="9"/>
  <c r="AI1490" i="9"/>
  <c r="AI1491" i="9"/>
  <c r="AI1492" i="9"/>
  <c r="AI1493" i="9"/>
  <c r="AI1494" i="9"/>
  <c r="AI1495" i="9"/>
  <c r="AI1496" i="9"/>
  <c r="AI1497" i="9"/>
  <c r="AI1498" i="9"/>
  <c r="AI1499" i="9"/>
  <c r="AI1500" i="9"/>
  <c r="AI4" i="9"/>
  <c r="AD48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AE3" i="9"/>
  <c r="AD987" i="9" l="1"/>
  <c r="AD843" i="9"/>
  <c r="AD779" i="9"/>
  <c r="AD707" i="9"/>
  <c r="AD205" i="9"/>
  <c r="AD133" i="9"/>
  <c r="AD918" i="9"/>
  <c r="AD670" i="9"/>
  <c r="AD390" i="9"/>
  <c r="AD222" i="9"/>
  <c r="AD1195" i="9"/>
  <c r="AD66" i="9"/>
  <c r="AD1320" i="9"/>
  <c r="AD1184" i="9"/>
  <c r="AD1168" i="9"/>
  <c r="AD1040" i="9"/>
  <c r="AD1024" i="9"/>
  <c r="AD1016" i="9"/>
  <c r="AD1008" i="9"/>
  <c r="AD1000" i="9"/>
  <c r="AD992" i="9"/>
  <c r="AD984" i="9"/>
  <c r="AD960" i="9"/>
  <c r="AD944" i="9"/>
  <c r="AD936" i="9"/>
  <c r="AD928" i="9"/>
  <c r="AD920" i="9"/>
  <c r="AD912" i="9"/>
  <c r="AD896" i="9"/>
  <c r="AD880" i="9"/>
  <c r="AD872" i="9"/>
  <c r="AD864" i="9"/>
  <c r="AD856" i="9"/>
  <c r="AD848" i="9"/>
  <c r="AD840" i="9"/>
  <c r="AD832" i="9"/>
  <c r="AD824" i="9"/>
  <c r="AD816" i="9"/>
  <c r="AD808" i="9"/>
  <c r="AD792" i="9"/>
  <c r="AD760" i="9"/>
  <c r="AD736" i="9"/>
  <c r="AD728" i="9"/>
  <c r="AD720" i="9"/>
  <c r="AD712" i="9"/>
  <c r="AD696" i="9"/>
  <c r="AD688" i="9"/>
  <c r="AD680" i="9"/>
  <c r="AD672" i="9"/>
  <c r="AD656" i="9"/>
  <c r="AD632" i="9"/>
  <c r="AD616" i="9"/>
  <c r="AD608" i="9"/>
  <c r="AD592" i="9"/>
  <c r="AD584" i="9"/>
  <c r="AD560" i="9"/>
  <c r="AD552" i="9"/>
  <c r="AD536" i="9"/>
  <c r="AD528" i="9"/>
  <c r="AD520" i="9"/>
  <c r="AD512" i="9"/>
  <c r="AD504" i="9"/>
  <c r="AD496" i="9"/>
  <c r="AD488" i="9"/>
  <c r="AD480" i="9"/>
  <c r="AD464" i="9"/>
  <c r="AD456" i="9"/>
  <c r="AD448" i="9"/>
  <c r="AD440" i="9"/>
  <c r="AD432" i="9"/>
  <c r="AD424" i="9"/>
  <c r="AD416" i="9"/>
  <c r="AD408" i="9"/>
  <c r="AD400" i="9"/>
  <c r="AD392" i="9"/>
  <c r="AD384" i="9"/>
  <c r="AD360" i="9"/>
  <c r="AD352" i="9"/>
  <c r="AD336" i="9"/>
  <c r="AD328" i="9"/>
  <c r="AD320" i="9"/>
  <c r="AD312" i="9"/>
  <c r="AD304" i="9"/>
  <c r="AD296" i="9"/>
  <c r="AD288" i="9"/>
  <c r="AD280" i="9"/>
  <c r="AD272" i="9"/>
  <c r="AD264" i="9"/>
  <c r="AD256" i="9"/>
  <c r="AD248" i="9"/>
  <c r="AD240" i="9"/>
  <c r="AD224" i="9"/>
  <c r="AD216" i="9"/>
  <c r="AD1368" i="9"/>
  <c r="AD1304" i="9"/>
  <c r="AD1256" i="9"/>
  <c r="AD1160" i="9"/>
  <c r="AD997" i="9"/>
  <c r="AD965" i="9"/>
  <c r="AD749" i="9"/>
  <c r="AD685" i="9"/>
  <c r="AD581" i="9"/>
  <c r="AD501" i="9"/>
  <c r="AD413" i="9"/>
  <c r="AD357" i="9"/>
  <c r="AD349" i="9"/>
  <c r="AD245" i="9"/>
  <c r="AD213" i="9"/>
  <c r="AD837" i="9"/>
  <c r="AD565" i="9"/>
  <c r="AD461" i="9"/>
  <c r="AD253" i="9"/>
  <c r="AD93" i="9"/>
  <c r="AD77" i="9"/>
  <c r="AD1493" i="9"/>
  <c r="AD1293" i="9"/>
  <c r="AD1205" i="9"/>
  <c r="AD1125" i="9"/>
  <c r="AD1069" i="9"/>
  <c r="AD1013" i="9"/>
  <c r="AD1005" i="9"/>
  <c r="AD989" i="9"/>
  <c r="AD981" i="9"/>
  <c r="AD973" i="9"/>
  <c r="AD957" i="9"/>
  <c r="AD949" i="9"/>
  <c r="AD917" i="9"/>
  <c r="AD909" i="9"/>
  <c r="AD885" i="9"/>
  <c r="AD877" i="9"/>
  <c r="AD853" i="9"/>
  <c r="AD845" i="9"/>
  <c r="AD821" i="9"/>
  <c r="AD813" i="9"/>
  <c r="AD805" i="9"/>
  <c r="AD773" i="9"/>
  <c r="AD757" i="9"/>
  <c r="AD741" i="9"/>
  <c r="AD733" i="9"/>
  <c r="AD725" i="9"/>
  <c r="AD717" i="9"/>
  <c r="AD701" i="9"/>
  <c r="AD693" i="9"/>
  <c r="AD677" i="9"/>
  <c r="AD669" i="9"/>
  <c r="AD661" i="9"/>
  <c r="AD637" i="9"/>
  <c r="AD629" i="9"/>
  <c r="AD613" i="9"/>
  <c r="AD597" i="9"/>
  <c r="AD589" i="9"/>
  <c r="AD573" i="9"/>
  <c r="AD557" i="9"/>
  <c r="AD541" i="9"/>
  <c r="AD533" i="9"/>
  <c r="AD477" i="9"/>
  <c r="AD469" i="9"/>
  <c r="AD437" i="9"/>
  <c r="AD429" i="9"/>
  <c r="AD405" i="9"/>
  <c r="AD397" i="9"/>
  <c r="AD389" i="9"/>
  <c r="AD373" i="9"/>
  <c r="AD365" i="9"/>
  <c r="AD333" i="9"/>
  <c r="AD325" i="9"/>
  <c r="AD317" i="9"/>
  <c r="AD285" i="9"/>
  <c r="AD277" i="9"/>
  <c r="AD261" i="9"/>
  <c r="AD237" i="9"/>
  <c r="AD221" i="9"/>
  <c r="AD189" i="9"/>
  <c r="AD181" i="9"/>
  <c r="AD173" i="9"/>
  <c r="AD157" i="9"/>
  <c r="AD149" i="9"/>
  <c r="AD125" i="9"/>
  <c r="AD117" i="9"/>
  <c r="AD109" i="9"/>
  <c r="AD101" i="9"/>
  <c r="AD686" i="9"/>
  <c r="AD94" i="9"/>
  <c r="AD1411" i="9"/>
  <c r="AD739" i="9"/>
  <c r="AD1458" i="9"/>
  <c r="AD778" i="9"/>
  <c r="AD976" i="9"/>
  <c r="AD664" i="9"/>
  <c r="AD381" i="9"/>
  <c r="AD341" i="9"/>
  <c r="AD306" i="9"/>
  <c r="AD85" i="9"/>
  <c r="AD21" i="9"/>
  <c r="AD1001" i="9"/>
  <c r="AD897" i="9"/>
  <c r="AD721" i="9"/>
  <c r="AD633" i="9"/>
  <c r="AD553" i="9"/>
  <c r="AD513" i="9"/>
  <c r="AD489" i="9"/>
  <c r="AD377" i="9"/>
  <c r="AD265" i="9"/>
  <c r="AD145" i="9"/>
  <c r="AD925" i="9"/>
  <c r="AD869" i="9"/>
  <c r="AD861" i="9"/>
  <c r="AD1469" i="9"/>
  <c r="AD1221" i="9"/>
  <c r="AD1050" i="9"/>
  <c r="AD1021" i="9"/>
  <c r="AD933" i="9"/>
  <c r="AD901" i="9"/>
  <c r="AD893" i="9"/>
  <c r="AD858" i="9"/>
  <c r="AD709" i="9"/>
  <c r="AD653" i="9"/>
  <c r="AD605" i="9"/>
  <c r="AD525" i="9"/>
  <c r="AD517" i="9"/>
  <c r="AD445" i="9"/>
  <c r="AD269" i="9"/>
  <c r="AD5" i="9"/>
  <c r="AD1491" i="9"/>
  <c r="AD1475" i="9"/>
  <c r="AD1467" i="9"/>
  <c r="AD1457" i="9"/>
  <c r="AD1443" i="9"/>
  <c r="AD1419" i="9"/>
  <c r="AD1406" i="9"/>
  <c r="AD1395" i="9"/>
  <c r="AD1387" i="9"/>
  <c r="AD1379" i="9"/>
  <c r="AD1363" i="9"/>
  <c r="AD1347" i="9"/>
  <c r="AD1339" i="9"/>
  <c r="AD1315" i="9"/>
  <c r="AD1299" i="9"/>
  <c r="AD1291" i="9"/>
  <c r="AD1283" i="9"/>
  <c r="AD1259" i="9"/>
  <c r="AD1243" i="9"/>
  <c r="AD1219" i="9"/>
  <c r="AD1203" i="9"/>
  <c r="AD1171" i="9"/>
  <c r="AD1163" i="9"/>
  <c r="AD1155" i="9"/>
  <c r="AD1123" i="9"/>
  <c r="AD1115" i="9"/>
  <c r="AD1067" i="9"/>
  <c r="AD1051" i="9"/>
  <c r="AD1049" i="9"/>
  <c r="AD1035" i="9"/>
  <c r="AD1019" i="9"/>
  <c r="AD995" i="9"/>
  <c r="AD947" i="9"/>
  <c r="AD939" i="9"/>
  <c r="AD931" i="9"/>
  <c r="AD923" i="9"/>
  <c r="AD907" i="9"/>
  <c r="AD883" i="9"/>
  <c r="AD873" i="9"/>
  <c r="AD867" i="9"/>
  <c r="AD817" i="9"/>
  <c r="AD811" i="9"/>
  <c r="AD803" i="9"/>
  <c r="AD795" i="9"/>
  <c r="AD771" i="9"/>
  <c r="AD763" i="9"/>
  <c r="AD758" i="9"/>
  <c r="AD747" i="9"/>
  <c r="AD737" i="9"/>
  <c r="AD715" i="9"/>
  <c r="AD703" i="9"/>
  <c r="AD691" i="9"/>
  <c r="AD683" i="9"/>
  <c r="AD667" i="9"/>
  <c r="AD659" i="9"/>
  <c r="AD654" i="9"/>
  <c r="AD651" i="9"/>
  <c r="AD619" i="9"/>
  <c r="AD609" i="9"/>
  <c r="AD603" i="9"/>
  <c r="AD595" i="9"/>
  <c r="AD587" i="9"/>
  <c r="AD579" i="9"/>
  <c r="AD569" i="9"/>
  <c r="AD555" i="9"/>
  <c r="AD547" i="9"/>
  <c r="AD539" i="9"/>
  <c r="AD531" i="9"/>
  <c r="AD523" i="9"/>
  <c r="AD515" i="9"/>
  <c r="AD507" i="9"/>
  <c r="AD459" i="9"/>
  <c r="AD443" i="9"/>
  <c r="AD438" i="9"/>
  <c r="AD435" i="9"/>
  <c r="AD427" i="9"/>
  <c r="AD423" i="9"/>
  <c r="AD419" i="9"/>
  <c r="AD406" i="9"/>
  <c r="AD387" i="9"/>
  <c r="AD379" i="9"/>
  <c r="AD371" i="9"/>
  <c r="AD347" i="9"/>
  <c r="AD329" i="9"/>
  <c r="AD299" i="9"/>
  <c r="AD297" i="9"/>
  <c r="AD267" i="9"/>
  <c r="AD259" i="9"/>
  <c r="AD246" i="9"/>
  <c r="AD235" i="9"/>
  <c r="AD227" i="9"/>
  <c r="AD219" i="9"/>
  <c r="AD203" i="9"/>
  <c r="AD187" i="9"/>
  <c r="AD182" i="9"/>
  <c r="AD179" i="9"/>
  <c r="AD166" i="9"/>
  <c r="AD150" i="9"/>
  <c r="AD113" i="9"/>
  <c r="AD75" i="9"/>
  <c r="AD59" i="9"/>
  <c r="AD41" i="9"/>
  <c r="AD11" i="9"/>
  <c r="AD1478" i="9"/>
  <c r="AD1433" i="9"/>
  <c r="AD1422" i="9"/>
  <c r="AD1393" i="9"/>
  <c r="AD1377" i="9"/>
  <c r="AD1337" i="9"/>
  <c r="AD1321" i="9"/>
  <c r="AD1278" i="9"/>
  <c r="AD1257" i="9"/>
  <c r="AD1241" i="9"/>
  <c r="AD1201" i="9"/>
  <c r="AD1161" i="9"/>
  <c r="AD1086" i="9"/>
  <c r="AD1070" i="9"/>
  <c r="AD1046" i="9"/>
  <c r="AD1041" i="9"/>
  <c r="AD1030" i="9"/>
  <c r="AD1025" i="9"/>
  <c r="AD1009" i="9"/>
  <c r="AD993" i="9"/>
  <c r="AD990" i="9"/>
  <c r="AD974" i="9"/>
  <c r="AD945" i="9"/>
  <c r="AD942" i="9"/>
  <c r="AD935" i="9"/>
  <c r="AD926" i="9"/>
  <c r="AD921" i="9"/>
  <c r="AD905" i="9"/>
  <c r="AD902" i="9"/>
  <c r="AD889" i="9"/>
  <c r="AD886" i="9"/>
  <c r="AD870" i="9"/>
  <c r="AD1461" i="9"/>
  <c r="AD1448" i="9"/>
  <c r="AD1413" i="9"/>
  <c r="AD1397" i="9"/>
  <c r="AD866" i="9"/>
  <c r="AD854" i="9"/>
  <c r="AD849" i="9"/>
  <c r="AD838" i="9"/>
  <c r="AD833" i="9"/>
  <c r="AD830" i="9"/>
  <c r="AD810" i="9"/>
  <c r="AD806" i="9"/>
  <c r="AD801" i="9"/>
  <c r="AD798" i="9"/>
  <c r="AD793" i="9"/>
  <c r="AD790" i="9"/>
  <c r="AD777" i="9"/>
  <c r="AD775" i="9"/>
  <c r="AD766" i="9"/>
  <c r="AD753" i="9"/>
  <c r="AD742" i="9"/>
  <c r="AD729" i="9"/>
  <c r="AD726" i="9"/>
  <c r="AD718" i="9"/>
  <c r="AD710" i="9"/>
  <c r="AD697" i="9"/>
  <c r="AD681" i="9"/>
  <c r="AD678" i="9"/>
  <c r="AD662" i="9"/>
  <c r="AD657" i="9"/>
  <c r="AD649" i="9"/>
  <c r="AD646" i="9"/>
  <c r="AD642" i="9"/>
  <c r="AD630" i="9"/>
  <c r="AD625" i="9"/>
  <c r="AD614" i="9"/>
  <c r="AD606" i="9"/>
  <c r="AD590" i="9"/>
  <c r="AD585" i="9"/>
  <c r="AD577" i="9"/>
  <c r="AD566" i="9"/>
  <c r="AD558" i="9"/>
  <c r="AD545" i="9"/>
  <c r="AD534" i="9"/>
  <c r="AD518" i="9"/>
  <c r="AD510" i="9"/>
  <c r="AD497" i="9"/>
  <c r="AD478" i="9"/>
  <c r="AD470" i="9"/>
  <c r="AD454" i="9"/>
  <c r="AD449" i="9"/>
  <c r="AD441" i="9"/>
  <c r="AD430" i="9"/>
  <c r="AD422" i="9"/>
  <c r="AD417" i="9"/>
  <c r="AD414" i="9"/>
  <c r="AD398" i="9"/>
  <c r="AD393" i="9"/>
  <c r="AD385" i="9"/>
  <c r="AD382" i="9"/>
  <c r="AD369" i="9"/>
  <c r="AD366" i="9"/>
  <c r="AD361" i="9"/>
  <c r="AD350" i="9"/>
  <c r="AD334" i="9"/>
  <c r="AD318" i="9"/>
  <c r="AD313" i="9"/>
  <c r="AD305" i="9"/>
  <c r="AD303" i="9"/>
  <c r="AD289" i="9"/>
  <c r="AD273" i="9"/>
  <c r="AD257" i="9"/>
  <c r="AD249" i="9"/>
  <c r="AD225" i="9"/>
  <c r="AD209" i="9"/>
  <c r="AD206" i="9"/>
  <c r="AD198" i="9"/>
  <c r="AD193" i="9"/>
  <c r="AD174" i="9"/>
  <c r="AD170" i="9"/>
  <c r="AD158" i="9"/>
  <c r="AD137" i="9"/>
  <c r="AD121" i="9"/>
  <c r="AD105" i="9"/>
  <c r="AD98" i="9"/>
  <c r="AD78" i="9"/>
  <c r="AD57" i="9"/>
  <c r="AD30" i="9"/>
  <c r="AD22" i="9"/>
  <c r="AD663" i="9"/>
  <c r="AD370" i="9"/>
  <c r="AD151" i="9"/>
  <c r="AD58" i="9"/>
  <c r="AD39" i="9"/>
  <c r="AD23" i="9"/>
  <c r="AD1450" i="9"/>
  <c r="AD1239" i="9"/>
  <c r="AD1223" i="9"/>
  <c r="AD850" i="9"/>
  <c r="AD847" i="9"/>
  <c r="AD738" i="9"/>
  <c r="AD706" i="9"/>
  <c r="AD698" i="9"/>
  <c r="AD362" i="9"/>
  <c r="AD295" i="9"/>
  <c r="AD162" i="9"/>
  <c r="AD1434" i="9"/>
  <c r="AD1295" i="9"/>
  <c r="AD1039" i="9"/>
  <c r="AD994" i="9"/>
  <c r="AD991" i="9"/>
  <c r="AD930" i="9"/>
  <c r="AD890" i="9"/>
  <c r="AD770" i="9"/>
  <c r="AD730" i="9"/>
  <c r="AD727" i="9"/>
  <c r="AD626" i="9"/>
  <c r="AD586" i="9"/>
  <c r="AD514" i="9"/>
  <c r="AD458" i="9"/>
  <c r="AD386" i="9"/>
  <c r="AD354" i="9"/>
  <c r="AD290" i="9"/>
  <c r="AD242" i="9"/>
  <c r="AD231" i="9"/>
  <c r="AD202" i="9"/>
  <c r="AD154" i="9"/>
  <c r="AD1378" i="9"/>
  <c r="AD1031" i="9"/>
  <c r="AD842" i="9"/>
  <c r="AD690" i="9"/>
  <c r="AD655" i="9"/>
  <c r="AD450" i="9"/>
  <c r="AD447" i="9"/>
  <c r="AD415" i="9"/>
  <c r="AD343" i="9"/>
  <c r="AD282" i="9"/>
  <c r="AD234" i="9"/>
  <c r="AD194" i="9"/>
  <c r="AD146" i="9"/>
  <c r="AD1498" i="9"/>
  <c r="AD1479" i="9"/>
  <c r="AD1202" i="9"/>
  <c r="AD1106" i="9"/>
  <c r="AD1090" i="9"/>
  <c r="AD1079" i="9"/>
  <c r="AD1034" i="9"/>
  <c r="AD922" i="9"/>
  <c r="AD834" i="9"/>
  <c r="AD831" i="9"/>
  <c r="AD578" i="9"/>
  <c r="AD442" i="9"/>
  <c r="AD439" i="9"/>
  <c r="AD407" i="9"/>
  <c r="AD346" i="9"/>
  <c r="AD338" i="9"/>
  <c r="AD223" i="9"/>
  <c r="AD135" i="9"/>
  <c r="AD127" i="9"/>
  <c r="AD1183" i="9"/>
  <c r="AD1026" i="9"/>
  <c r="AD986" i="9"/>
  <c r="AD978" i="9"/>
  <c r="AD951" i="9"/>
  <c r="AD911" i="9"/>
  <c r="AD874" i="9"/>
  <c r="AD871" i="9"/>
  <c r="AD754" i="9"/>
  <c r="AD682" i="9"/>
  <c r="AD679" i="9"/>
  <c r="AD538" i="9"/>
  <c r="AD506" i="9"/>
  <c r="AD498" i="9"/>
  <c r="AD495" i="9"/>
  <c r="AD410" i="9"/>
  <c r="AD399" i="9"/>
  <c r="AD266" i="9"/>
  <c r="AD186" i="9"/>
  <c r="AD130" i="9"/>
  <c r="AD1471" i="9"/>
  <c r="AD1274" i="9"/>
  <c r="AD1186" i="9"/>
  <c r="AD1055" i="9"/>
  <c r="AD914" i="9"/>
  <c r="AD826" i="9"/>
  <c r="AD818" i="9"/>
  <c r="AD559" i="9"/>
  <c r="AD487" i="9"/>
  <c r="AD479" i="9"/>
  <c r="AD431" i="9"/>
  <c r="AD402" i="9"/>
  <c r="AD322" i="9"/>
  <c r="AD175" i="9"/>
  <c r="AD114" i="9"/>
  <c r="AD1018" i="9"/>
  <c r="AD1010" i="9"/>
  <c r="AD1007" i="9"/>
  <c r="AD946" i="9"/>
  <c r="AD943" i="9"/>
  <c r="AD906" i="9"/>
  <c r="AD903" i="9"/>
  <c r="AD855" i="9"/>
  <c r="AD786" i="9"/>
  <c r="AD746" i="9"/>
  <c r="AD714" i="9"/>
  <c r="AD639" i="9"/>
  <c r="AD599" i="9"/>
  <c r="AD530" i="9"/>
  <c r="AD434" i="9"/>
  <c r="AD391" i="9"/>
  <c r="AD367" i="9"/>
  <c r="AD311" i="9"/>
  <c r="AD258" i="9"/>
  <c r="AD218" i="9"/>
  <c r="AD178" i="9"/>
  <c r="AD167" i="9"/>
  <c r="AD106" i="9"/>
  <c r="AD1371" i="9"/>
  <c r="AD1087" i="9"/>
  <c r="AD1075" i="9"/>
  <c r="AD1038" i="9"/>
  <c r="AD1027" i="9"/>
  <c r="AD1015" i="9"/>
  <c r="AD1451" i="9"/>
  <c r="AD1439" i="9"/>
  <c r="AD1403" i="9"/>
  <c r="AD1355" i="9"/>
  <c r="AD1350" i="9"/>
  <c r="AD1331" i="9"/>
  <c r="AD1307" i="9"/>
  <c r="AD1227" i="9"/>
  <c r="AD1179" i="9"/>
  <c r="AD1095" i="9"/>
  <c r="AD1083" i="9"/>
  <c r="AD1059" i="9"/>
  <c r="AD1054" i="9"/>
  <c r="AD1047" i="9"/>
  <c r="AD1022" i="9"/>
  <c r="AD998" i="9"/>
  <c r="AD1427" i="9"/>
  <c r="AD1423" i="9"/>
  <c r="AD1147" i="9"/>
  <c r="AD1139" i="9"/>
  <c r="AD1105" i="9"/>
  <c r="AD1483" i="9"/>
  <c r="AD1435" i="9"/>
  <c r="AD1425" i="9"/>
  <c r="AD1394" i="9"/>
  <c r="AD1384" i="9"/>
  <c r="AD1275" i="9"/>
  <c r="AD1267" i="9"/>
  <c r="AD1235" i="9"/>
  <c r="AD1187" i="9"/>
  <c r="AD1107" i="9"/>
  <c r="AD1088" i="9"/>
  <c r="AD1063" i="9"/>
  <c r="AD1057" i="9"/>
  <c r="AD1043" i="9"/>
  <c r="AD1032" i="9"/>
  <c r="AD1023" i="9"/>
  <c r="AD1014" i="9"/>
  <c r="AD1003" i="9"/>
  <c r="AD985" i="9"/>
  <c r="AD983" i="9"/>
  <c r="AD979" i="9"/>
  <c r="AD977" i="9"/>
  <c r="AD968" i="9"/>
  <c r="AD963" i="9"/>
  <c r="AD959" i="9"/>
  <c r="AD955" i="9"/>
  <c r="AD1099" i="9"/>
  <c r="AD1091" i="9"/>
  <c r="AD1006" i="9"/>
  <c r="AD971" i="9"/>
  <c r="AD969" i="9"/>
  <c r="AD961" i="9"/>
  <c r="AD952" i="9"/>
  <c r="AD1499" i="9"/>
  <c r="AD1489" i="9"/>
  <c r="AD1482" i="9"/>
  <c r="AD1459" i="9"/>
  <c r="AD1447" i="9"/>
  <c r="AD1410" i="9"/>
  <c r="AD1366" i="9"/>
  <c r="AD1323" i="9"/>
  <c r="AD1311" i="9"/>
  <c r="AD1305" i="9"/>
  <c r="AD1251" i="9"/>
  <c r="AD1238" i="9"/>
  <c r="AD1211" i="9"/>
  <c r="AD1131" i="9"/>
  <c r="AD1081" i="9"/>
  <c r="AD1078" i="9"/>
  <c r="AD1058" i="9"/>
  <c r="AD1042" i="9"/>
  <c r="AD1033" i="9"/>
  <c r="AD1017" i="9"/>
  <c r="AD1011" i="9"/>
  <c r="AD1002" i="9"/>
  <c r="AD999" i="9"/>
  <c r="AD982" i="9"/>
  <c r="AD975" i="9"/>
  <c r="AD970" i="9"/>
  <c r="AD967" i="9"/>
  <c r="AD966" i="9"/>
  <c r="AD962" i="9"/>
  <c r="AD958" i="9"/>
  <c r="AD954" i="9"/>
  <c r="AD953" i="9"/>
  <c r="AD938" i="9"/>
  <c r="AD899" i="9"/>
  <c r="AD891" i="9"/>
  <c r="AD887" i="9"/>
  <c r="AD882" i="9"/>
  <c r="AD875" i="9"/>
  <c r="AD865" i="9"/>
  <c r="AD846" i="9"/>
  <c r="AD825" i="9"/>
  <c r="AD822" i="9"/>
  <c r="AD815" i="9"/>
  <c r="AD802" i="9"/>
  <c r="AD794" i="9"/>
  <c r="AD768" i="9"/>
  <c r="AD752" i="9"/>
  <c r="AD744" i="9"/>
  <c r="AD731" i="9"/>
  <c r="AD719" i="9"/>
  <c r="AD695" i="9"/>
  <c r="AD787" i="9"/>
  <c r="AD784" i="9"/>
  <c r="AD774" i="9"/>
  <c r="AD755" i="9"/>
  <c r="AD743" i="9"/>
  <c r="AD1486" i="9"/>
  <c r="AD1455" i="9"/>
  <c r="AD1438" i="9"/>
  <c r="AD1386" i="9"/>
  <c r="AD1367" i="9"/>
  <c r="AD1319" i="9"/>
  <c r="AD1302" i="9"/>
  <c r="AD1250" i="9"/>
  <c r="AD1222" i="9"/>
  <c r="AD1193" i="9"/>
  <c r="AD1150" i="9"/>
  <c r="AD1113" i="9"/>
  <c r="AD941" i="9"/>
  <c r="AD937" i="9"/>
  <c r="AD934" i="9"/>
  <c r="AD929" i="9"/>
  <c r="AD915" i="9"/>
  <c r="AD910" i="9"/>
  <c r="AD904" i="9"/>
  <c r="AD894" i="9"/>
  <c r="AD881" i="9"/>
  <c r="AD862" i="9"/>
  <c r="AD851" i="9"/>
  <c r="AD839" i="9"/>
  <c r="AD800" i="9"/>
  <c r="AD785" i="9"/>
  <c r="AD782" i="9"/>
  <c r="AD767" i="9"/>
  <c r="AD761" i="9"/>
  <c r="AD759" i="9"/>
  <c r="AD750" i="9"/>
  <c r="AD745" i="9"/>
  <c r="AD734" i="9"/>
  <c r="AD723" i="9"/>
  <c r="AD713" i="9"/>
  <c r="AD711" i="9"/>
  <c r="AD704" i="9"/>
  <c r="AD702" i="9"/>
  <c r="AD694" i="9"/>
  <c r="AD1487" i="9"/>
  <c r="AD1465" i="9"/>
  <c r="AD1430" i="9"/>
  <c r="AD1385" i="9"/>
  <c r="AD1369" i="9"/>
  <c r="AD1358" i="9"/>
  <c r="AD1313" i="9"/>
  <c r="AD1294" i="9"/>
  <c r="AD1266" i="9"/>
  <c r="AD1230" i="9"/>
  <c r="AD1177" i="9"/>
  <c r="AD1127" i="9"/>
  <c r="AD913" i="9"/>
  <c r="AD895" i="9"/>
  <c r="AD888" i="9"/>
  <c r="AD878" i="9"/>
  <c r="AD857" i="9"/>
  <c r="AD823" i="9"/>
  <c r="AD819" i="9"/>
  <c r="AD809" i="9"/>
  <c r="AD797" i="9"/>
  <c r="AD791" i="9"/>
  <c r="AD781" i="9"/>
  <c r="AD776" i="9"/>
  <c r="AD765" i="9"/>
  <c r="AD751" i="9"/>
  <c r="AD735" i="9"/>
  <c r="AD722" i="9"/>
  <c r="AD705" i="9"/>
  <c r="AD1497" i="9"/>
  <c r="AD1495" i="9"/>
  <c r="AD1473" i="9"/>
  <c r="AD1466" i="9"/>
  <c r="AD1442" i="9"/>
  <c r="AD1402" i="9"/>
  <c r="AD1383" i="9"/>
  <c r="AD1375" i="9"/>
  <c r="AD1351" i="9"/>
  <c r="AD1338" i="9"/>
  <c r="AD1330" i="9"/>
  <c r="AD1314" i="9"/>
  <c r="AD1303" i="9"/>
  <c r="AD1286" i="9"/>
  <c r="AD1258" i="9"/>
  <c r="AD1247" i="9"/>
  <c r="AD1210" i="9"/>
  <c r="AD1175" i="9"/>
  <c r="AD1145" i="9"/>
  <c r="AD1143" i="9"/>
  <c r="AD835" i="9"/>
  <c r="AD1415" i="9"/>
  <c r="AD1185" i="9"/>
  <c r="AD950" i="9"/>
  <c r="AD927" i="9"/>
  <c r="AD919" i="9"/>
  <c r="AD898" i="9"/>
  <c r="AD879" i="9"/>
  <c r="AD863" i="9"/>
  <c r="AD859" i="9"/>
  <c r="AD841" i="9"/>
  <c r="AD829" i="9"/>
  <c r="AD827" i="9"/>
  <c r="AD814" i="9"/>
  <c r="AD807" i="9"/>
  <c r="AD799" i="9"/>
  <c r="AD789" i="9"/>
  <c r="AD783" i="9"/>
  <c r="AD769" i="9"/>
  <c r="AD762" i="9"/>
  <c r="AD699" i="9"/>
  <c r="AD1494" i="9"/>
  <c r="AD1474" i="9"/>
  <c r="AD1470" i="9"/>
  <c r="AD1462" i="9"/>
  <c r="AD1449" i="9"/>
  <c r="AD1441" i="9"/>
  <c r="AD1431" i="9"/>
  <c r="AD1414" i="9"/>
  <c r="AD1401" i="9"/>
  <c r="AD1374" i="9"/>
  <c r="AD1359" i="9"/>
  <c r="AD1346" i="9"/>
  <c r="AD1342" i="9"/>
  <c r="AD1329" i="9"/>
  <c r="AD1322" i="9"/>
  <c r="AD1310" i="9"/>
  <c r="AD1287" i="9"/>
  <c r="AD1265" i="9"/>
  <c r="AD1249" i="9"/>
  <c r="AD1231" i="9"/>
  <c r="AD1214" i="9"/>
  <c r="AD1194" i="9"/>
  <c r="AD1174" i="9"/>
  <c r="AD1142" i="9"/>
  <c r="AD1496" i="9"/>
  <c r="AD1488" i="9"/>
  <c r="AD1485" i="9"/>
  <c r="AD1480" i="9"/>
  <c r="AD1477" i="9"/>
  <c r="AD1464" i="9"/>
  <c r="AD1456" i="9"/>
  <c r="AD1453" i="9"/>
  <c r="AD1440" i="9"/>
  <c r="AD1432" i="9"/>
  <c r="AD1429" i="9"/>
  <c r="AD1424" i="9"/>
  <c r="AD1421" i="9"/>
  <c r="AD1405" i="9"/>
  <c r="AD1392" i="9"/>
  <c r="AD1376" i="9"/>
  <c r="AD1365" i="9"/>
  <c r="AD1360" i="9"/>
  <c r="AD1357" i="9"/>
  <c r="AD1349" i="9"/>
  <c r="AD1341" i="9"/>
  <c r="AD1333" i="9"/>
  <c r="AD1328" i="9"/>
  <c r="AD1312" i="9"/>
  <c r="AD1301" i="9"/>
  <c r="AD1296" i="9"/>
  <c r="AD1285" i="9"/>
  <c r="AD1277" i="9"/>
  <c r="AD1269" i="9"/>
  <c r="AD1248" i="9"/>
  <c r="AD1240" i="9"/>
  <c r="AD1232" i="9"/>
  <c r="AD1229" i="9"/>
  <c r="AD1213" i="9"/>
  <c r="AD1192" i="9"/>
  <c r="AD1176" i="9"/>
  <c r="AD1109" i="9"/>
  <c r="AD1077" i="9"/>
  <c r="AD1072" i="9"/>
  <c r="AD671" i="9"/>
  <c r="AD640" i="9"/>
  <c r="AD624" i="9"/>
  <c r="AD618" i="9"/>
  <c r="AD610" i="9"/>
  <c r="AD570" i="9"/>
  <c r="AD567" i="9"/>
  <c r="AD551" i="9"/>
  <c r="AD529" i="9"/>
  <c r="AD522" i="9"/>
  <c r="AD509" i="9"/>
  <c r="AD503" i="9"/>
  <c r="AD491" i="9"/>
  <c r="AD483" i="9"/>
  <c r="AD472" i="9"/>
  <c r="AD467" i="9"/>
  <c r="AD465" i="9"/>
  <c r="AD453" i="9"/>
  <c r="AD426" i="9"/>
  <c r="AD409" i="9"/>
  <c r="AD403" i="9"/>
  <c r="AD394" i="9"/>
  <c r="AD363" i="9"/>
  <c r="AD1437" i="9"/>
  <c r="AD1408" i="9"/>
  <c r="AD1389" i="9"/>
  <c r="AD1325" i="9"/>
  <c r="AD1317" i="9"/>
  <c r="AD1309" i="9"/>
  <c r="AD1280" i="9"/>
  <c r="AD1272" i="9"/>
  <c r="AD1264" i="9"/>
  <c r="AD1253" i="9"/>
  <c r="AD1245" i="9"/>
  <c r="AD1237" i="9"/>
  <c r="AD1200" i="9"/>
  <c r="AD1197" i="9"/>
  <c r="AD1181" i="9"/>
  <c r="AD1165" i="9"/>
  <c r="AD1157" i="9"/>
  <c r="AD1152" i="9"/>
  <c r="AD1149" i="9"/>
  <c r="AD1141" i="9"/>
  <c r="AD1133" i="9"/>
  <c r="AD1128" i="9"/>
  <c r="AD1117" i="9"/>
  <c r="AD1112" i="9"/>
  <c r="AD1104" i="9"/>
  <c r="AD1101" i="9"/>
  <c r="AD1093" i="9"/>
  <c r="AD358" i="9"/>
  <c r="AD353" i="9"/>
  <c r="AD351" i="9"/>
  <c r="AD310" i="9"/>
  <c r="AD279" i="9"/>
  <c r="AD1490" i="9"/>
  <c r="AD1481" i="9"/>
  <c r="AD1463" i="9"/>
  <c r="AD1417" i="9"/>
  <c r="AD1391" i="9"/>
  <c r="AD1334" i="9"/>
  <c r="AD1326" i="9"/>
  <c r="AD1297" i="9"/>
  <c r="AD1289" i="9"/>
  <c r="AD1279" i="9"/>
  <c r="AD1255" i="9"/>
  <c r="AD1207" i="9"/>
  <c r="AD1199" i="9"/>
  <c r="AD1190" i="9"/>
  <c r="AD1178" i="9"/>
  <c r="AD1167" i="9"/>
  <c r="AD1159" i="9"/>
  <c r="AD1151" i="9"/>
  <c r="AD1137" i="9"/>
  <c r="AD1122" i="9"/>
  <c r="AD1121" i="9"/>
  <c r="AD1119" i="9"/>
  <c r="AD1118" i="9"/>
  <c r="AD1114" i="9"/>
  <c r="AD1111" i="9"/>
  <c r="AD1110" i="9"/>
  <c r="AD1102" i="9"/>
  <c r="AD1098" i="9"/>
  <c r="AD1097" i="9"/>
  <c r="AD1094" i="9"/>
  <c r="AD687" i="9"/>
  <c r="AD641" i="9"/>
  <c r="AD638" i="9"/>
  <c r="AD631" i="9"/>
  <c r="AD622" i="9"/>
  <c r="AD594" i="9"/>
  <c r="AD561" i="9"/>
  <c r="AD544" i="9"/>
  <c r="AD411" i="9"/>
  <c r="AD375" i="9"/>
  <c r="AD368" i="9"/>
  <c r="AD344" i="9"/>
  <c r="AD335" i="9"/>
  <c r="AD323" i="9"/>
  <c r="AD321" i="9"/>
  <c r="AD319" i="9"/>
  <c r="AD315" i="9"/>
  <c r="AD283" i="9"/>
  <c r="AD281" i="9"/>
  <c r="AD271" i="9"/>
  <c r="AD251" i="9"/>
  <c r="AD247" i="9"/>
  <c r="AD229" i="9"/>
  <c r="AD210" i="9"/>
  <c r="AD161" i="9"/>
  <c r="AD155" i="9"/>
  <c r="AD147" i="9"/>
  <c r="AD142" i="9"/>
  <c r="AD138" i="9"/>
  <c r="AD118" i="9"/>
  <c r="AD99" i="9"/>
  <c r="AD97" i="9"/>
  <c r="AD1454" i="9"/>
  <c r="AD1418" i="9"/>
  <c r="AD1407" i="9"/>
  <c r="AD1318" i="9"/>
  <c r="AD1290" i="9"/>
  <c r="AD1282" i="9"/>
  <c r="AD1262" i="9"/>
  <c r="AD1246" i="9"/>
  <c r="AD1242" i="9"/>
  <c r="AD1226" i="9"/>
  <c r="AD1215" i="9"/>
  <c r="AD1170" i="9"/>
  <c r="AD1162" i="9"/>
  <c r="AD1154" i="9"/>
  <c r="AD1153" i="9"/>
  <c r="AD1146" i="9"/>
  <c r="AD1135" i="9"/>
  <c r="AD1134" i="9"/>
  <c r="AD1103" i="9"/>
  <c r="AD675" i="9"/>
  <c r="AD650" i="9"/>
  <c r="AD645" i="9"/>
  <c r="AD643" i="9"/>
  <c r="AD635" i="9"/>
  <c r="AD621" i="9"/>
  <c r="AD617" i="9"/>
  <c r="AD601" i="9"/>
  <c r="AD582" i="9"/>
  <c r="AD576" i="9"/>
  <c r="AD568" i="9"/>
  <c r="AD562" i="9"/>
  <c r="AD554" i="9"/>
  <c r="AD542" i="9"/>
  <c r="AD505" i="9"/>
  <c r="AD486" i="9"/>
  <c r="AD481" i="9"/>
  <c r="AD474" i="9"/>
  <c r="AD462" i="9"/>
  <c r="AD457" i="9"/>
  <c r="AD451" i="9"/>
  <c r="AD446" i="9"/>
  <c r="AD401" i="9"/>
  <c r="AD376" i="9"/>
  <c r="AD359" i="9"/>
  <c r="AD355" i="9"/>
  <c r="AD342" i="9"/>
  <c r="AD337" i="9"/>
  <c r="AD331" i="9"/>
  <c r="AD314" i="9"/>
  <c r="AD301" i="9"/>
  <c r="AD294" i="9"/>
  <c r="AD275" i="9"/>
  <c r="AD270" i="9"/>
  <c r="AD262" i="9"/>
  <c r="AD255" i="9"/>
  <c r="AD250" i="9"/>
  <c r="AD243" i="9"/>
  <c r="AD239" i="9"/>
  <c r="AD233" i="9"/>
  <c r="AD211" i="9"/>
  <c r="AD191" i="9"/>
  <c r="AD177" i="9"/>
  <c r="AD165" i="9"/>
  <c r="AD163" i="9"/>
  <c r="AD143" i="9"/>
  <c r="AD134" i="9"/>
  <c r="AD129" i="9"/>
  <c r="AD122" i="9"/>
  <c r="AD119" i="9"/>
  <c r="AD115" i="9"/>
  <c r="AD112" i="9"/>
  <c r="AD107" i="9"/>
  <c r="AD103" i="9"/>
  <c r="AD102" i="9"/>
  <c r="AD96" i="9"/>
  <c r="AD1426" i="9"/>
  <c r="AD1409" i="9"/>
  <c r="AD1398" i="9"/>
  <c r="AD1362" i="9"/>
  <c r="AD1345" i="9"/>
  <c r="AD1306" i="9"/>
  <c r="AD1273" i="9"/>
  <c r="AD1270" i="9"/>
  <c r="AD1263" i="9"/>
  <c r="AD1233" i="9"/>
  <c r="AD1225" i="9"/>
  <c r="AD1217" i="9"/>
  <c r="AD1209" i="9"/>
  <c r="AD1206" i="9"/>
  <c r="AD1198" i="9"/>
  <c r="AD1166" i="9"/>
  <c r="AD1158" i="9"/>
  <c r="AD1138" i="9"/>
  <c r="AD1130" i="9"/>
  <c r="AD1129" i="9"/>
  <c r="AD1126" i="9"/>
  <c r="AD689" i="9"/>
  <c r="AD673" i="9"/>
  <c r="AD666" i="9"/>
  <c r="AD658" i="9"/>
  <c r="AD648" i="9"/>
  <c r="AD611" i="9"/>
  <c r="AD602" i="9"/>
  <c r="AD593" i="9"/>
  <c r="AD583" i="9"/>
  <c r="AD575" i="9"/>
  <c r="AD563" i="9"/>
  <c r="AD550" i="9"/>
  <c r="AD546" i="9"/>
  <c r="AD535" i="9"/>
  <c r="AD526" i="9"/>
  <c r="AD519" i="9"/>
  <c r="AD511" i="9"/>
  <c r="AD502" i="9"/>
  <c r="AD499" i="9"/>
  <c r="AD494" i="9"/>
  <c r="AD490" i="9"/>
  <c r="AD485" i="9"/>
  <c r="AD475" i="9"/>
  <c r="AD473" i="9"/>
  <c r="AD463" i="9"/>
  <c r="AD455" i="9"/>
  <c r="AD433" i="9"/>
  <c r="AD421" i="9"/>
  <c r="AD374" i="9"/>
  <c r="AD345" i="9"/>
  <c r="AD339" i="9"/>
  <c r="AD330" i="9"/>
  <c r="AD327" i="9"/>
  <c r="AD326" i="9"/>
  <c r="AD309" i="9"/>
  <c r="AD307" i="9"/>
  <c r="AD302" i="9"/>
  <c r="AD298" i="9"/>
  <c r="AD293" i="9"/>
  <c r="AD291" i="9"/>
  <c r="AD287" i="9"/>
  <c r="AD278" i="9"/>
  <c r="AD263" i="9"/>
  <c r="AD254" i="9"/>
  <c r="AD241" i="9"/>
  <c r="AD232" i="9"/>
  <c r="AD230" i="9"/>
  <c r="AD226" i="9"/>
  <c r="AD217" i="9"/>
  <c r="AD215" i="9"/>
  <c r="AD207" i="9"/>
  <c r="AD201" i="9"/>
  <c r="AD199" i="9"/>
  <c r="AD197" i="9"/>
  <c r="AD195" i="9"/>
  <c r="AD190" i="9"/>
  <c r="AD185" i="9"/>
  <c r="AD183" i="9"/>
  <c r="AD171" i="9"/>
  <c r="AD169" i="9"/>
  <c r="AD159" i="9"/>
  <c r="AD153" i="9"/>
  <c r="AD141" i="9"/>
  <c r="AD131" i="9"/>
  <c r="AD126" i="9"/>
  <c r="AD123" i="9"/>
  <c r="AD120" i="9"/>
  <c r="AD111" i="9"/>
  <c r="AD110" i="9"/>
  <c r="AD104" i="9"/>
  <c r="AD95" i="9"/>
  <c r="AD1446" i="9"/>
  <c r="AD1399" i="9"/>
  <c r="AD1390" i="9"/>
  <c r="AD1382" i="9"/>
  <c r="AD1353" i="9"/>
  <c r="AD1335" i="9"/>
  <c r="AD1298" i="9"/>
  <c r="AD1281" i="9"/>
  <c r="AD1271" i="9"/>
  <c r="AD1254" i="9"/>
  <c r="AD1234" i="9"/>
  <c r="AD1218" i="9"/>
  <c r="AD1191" i="9"/>
  <c r="AD1182" i="9"/>
  <c r="AD1169" i="9"/>
  <c r="AD286" i="9"/>
  <c r="AD274" i="9"/>
  <c r="AD238" i="9"/>
  <c r="AD214" i="9"/>
  <c r="AD139" i="9"/>
  <c r="AD1370" i="9"/>
  <c r="AD1361" i="9"/>
  <c r="AD1354" i="9"/>
  <c r="AD1343" i="9"/>
  <c r="AD1327" i="9"/>
  <c r="AD674" i="9"/>
  <c r="AD665" i="9"/>
  <c r="AD647" i="9"/>
  <c r="AD634" i="9"/>
  <c r="AD627" i="9"/>
  <c r="AD623" i="9"/>
  <c r="AD615" i="9"/>
  <c r="AD607" i="9"/>
  <c r="AD600" i="9"/>
  <c r="AD598" i="9"/>
  <c r="AD591" i="9"/>
  <c r="AD574" i="9"/>
  <c r="AD571" i="9"/>
  <c r="AD549" i="9"/>
  <c r="AD543" i="9"/>
  <c r="AD537" i="9"/>
  <c r="AD527" i="9"/>
  <c r="AD521" i="9"/>
  <c r="AD493" i="9"/>
  <c r="AD482" i="9"/>
  <c r="AD471" i="9"/>
  <c r="AD466" i="9"/>
  <c r="AD425" i="9"/>
  <c r="AD418" i="9"/>
  <c r="AD395" i="9"/>
  <c r="AD383" i="9"/>
  <c r="AD378" i="9"/>
  <c r="AD1472" i="9"/>
  <c r="AD1445" i="9"/>
  <c r="AD1416" i="9"/>
  <c r="AD1400" i="9"/>
  <c r="AD1381" i="9"/>
  <c r="AD1373" i="9"/>
  <c r="AD1352" i="9"/>
  <c r="AD1344" i="9"/>
  <c r="AD1336" i="9"/>
  <c r="AD1288" i="9"/>
  <c r="AD1261" i="9"/>
  <c r="AD1224" i="9"/>
  <c r="AD1216" i="9"/>
  <c r="AD1208" i="9"/>
  <c r="AD1189" i="9"/>
  <c r="AD1173" i="9"/>
  <c r="AD1144" i="9"/>
  <c r="AD1136" i="9"/>
  <c r="AD1120" i="9"/>
  <c r="AD1096" i="9"/>
  <c r="AD1085" i="9"/>
  <c r="AD1080" i="9"/>
  <c r="AD1064" i="9"/>
  <c r="AD1061" i="9"/>
  <c r="AD1056" i="9"/>
  <c r="AD1053" i="9"/>
  <c r="AD1048" i="9"/>
  <c r="AD1045" i="9"/>
  <c r="AD91" i="9"/>
  <c r="AD90" i="9"/>
  <c r="AD89" i="9"/>
  <c r="AD88" i="9"/>
  <c r="AD87" i="9"/>
  <c r="AD86" i="9"/>
  <c r="AD83" i="9"/>
  <c r="AD82" i="9"/>
  <c r="AD81" i="9"/>
  <c r="AD80" i="9"/>
  <c r="AD79" i="9"/>
  <c r="AD74" i="9"/>
  <c r="AD73" i="9"/>
  <c r="AD72" i="9"/>
  <c r="AD71" i="9"/>
  <c r="AD70" i="9"/>
  <c r="AD69" i="9"/>
  <c r="AD67" i="9"/>
  <c r="AD65" i="9"/>
  <c r="AD64" i="9"/>
  <c r="AD63" i="9"/>
  <c r="AD62" i="9"/>
  <c r="AD61" i="9"/>
  <c r="AD56" i="9"/>
  <c r="AD55" i="9"/>
  <c r="AD54" i="9"/>
  <c r="AD53" i="9"/>
  <c r="AD51" i="9"/>
  <c r="AD50" i="9"/>
  <c r="AD49" i="9"/>
  <c r="AD47" i="9"/>
  <c r="AD46" i="9"/>
  <c r="AD45" i="9"/>
  <c r="AD43" i="9"/>
  <c r="AD42" i="9"/>
  <c r="AD38" i="9"/>
  <c r="AD37" i="9"/>
  <c r="AD35" i="9"/>
  <c r="AD34" i="9"/>
  <c r="AD33" i="9"/>
  <c r="AD32" i="9"/>
  <c r="AD31" i="9"/>
  <c r="AD29" i="9"/>
  <c r="AD27" i="9"/>
  <c r="AD26" i="9"/>
  <c r="AD25" i="9"/>
  <c r="AD24" i="9"/>
  <c r="AD19" i="9"/>
  <c r="AD18" i="9"/>
  <c r="AD17" i="9"/>
  <c r="AD16" i="9"/>
  <c r="AD15" i="9"/>
  <c r="AD14" i="9"/>
  <c r="AD13" i="9"/>
  <c r="AD10" i="9"/>
  <c r="AD9" i="9"/>
  <c r="AD8" i="9"/>
  <c r="AD7" i="9"/>
  <c r="AD6" i="9"/>
  <c r="AD1089" i="9"/>
  <c r="AD1082" i="9"/>
  <c r="AD1074" i="9"/>
  <c r="AD1073" i="9"/>
  <c r="AD1071" i="9"/>
  <c r="AD1066" i="9"/>
  <c r="AD1065" i="9"/>
  <c r="AD1062" i="9"/>
  <c r="AD1500" i="9"/>
  <c r="AD1492" i="9"/>
  <c r="AD1484" i="9"/>
  <c r="AD1476" i="9"/>
  <c r="AD1468" i="9"/>
  <c r="AD1460" i="9"/>
  <c r="AD1452" i="9"/>
  <c r="AD1444" i="9"/>
  <c r="AD1436" i="9"/>
  <c r="AD1428" i="9"/>
  <c r="AD1420" i="9"/>
  <c r="AD1412" i="9"/>
  <c r="AD1404" i="9"/>
  <c r="AD1396" i="9"/>
  <c r="AD1388" i="9"/>
  <c r="AD1380" i="9"/>
  <c r="AD1372" i="9"/>
  <c r="AD1364" i="9"/>
  <c r="AD1356" i="9"/>
  <c r="AD1348" i="9"/>
  <c r="AD1340" i="9"/>
  <c r="AD1332" i="9"/>
  <c r="AD1324" i="9"/>
  <c r="AD1316" i="9"/>
  <c r="AD1308" i="9"/>
  <c r="AD1300" i="9"/>
  <c r="AD1292" i="9"/>
  <c r="AD1037" i="9"/>
  <c r="AD1029" i="9"/>
  <c r="AD1284" i="9"/>
  <c r="AD1276" i="9"/>
  <c r="AD1268" i="9"/>
  <c r="AD1260" i="9"/>
  <c r="AD1252" i="9"/>
  <c r="AD1244" i="9"/>
  <c r="AD1236" i="9"/>
  <c r="AD1228" i="9"/>
  <c r="AD1220" i="9"/>
  <c r="AD1212" i="9"/>
  <c r="AD1204" i="9"/>
  <c r="AD1196" i="9"/>
  <c r="AD1188" i="9"/>
  <c r="AD1180" i="9"/>
  <c r="AD1172" i="9"/>
  <c r="AD1164" i="9"/>
  <c r="AD1156" i="9"/>
  <c r="AD1148" i="9"/>
  <c r="AD1140" i="9"/>
  <c r="AD1132" i="9"/>
  <c r="AD1124" i="9"/>
  <c r="AD1116" i="9"/>
  <c r="AD1108" i="9"/>
  <c r="AD1100" i="9"/>
  <c r="AD1092" i="9"/>
  <c r="AD1084" i="9"/>
  <c r="AD1076" i="9"/>
  <c r="AD1068" i="9"/>
  <c r="AD1060" i="9"/>
  <c r="AD1052" i="9"/>
  <c r="AD1044" i="9"/>
  <c r="AD1036" i="9"/>
  <c r="AD1028" i="9"/>
  <c r="AD1020" i="9"/>
  <c r="AD1012" i="9"/>
  <c r="AD1004" i="9"/>
  <c r="AD996" i="9"/>
  <c r="AD988" i="9"/>
  <c r="AD980" i="9"/>
  <c r="AD972" i="9"/>
  <c r="AD964" i="9"/>
  <c r="AD956" i="9"/>
  <c r="AD948" i="9"/>
  <c r="AD940" i="9"/>
  <c r="AD932" i="9"/>
  <c r="AD924" i="9"/>
  <c r="AD916" i="9"/>
  <c r="AD908" i="9"/>
  <c r="AD900" i="9"/>
  <c r="AD892" i="9"/>
  <c r="AD884" i="9"/>
  <c r="AD876" i="9"/>
  <c r="AD868" i="9"/>
  <c r="AD860" i="9"/>
  <c r="AD852" i="9"/>
  <c r="AD844" i="9"/>
  <c r="AD836" i="9"/>
  <c r="AD828" i="9"/>
  <c r="AD820" i="9"/>
  <c r="AD812" i="9"/>
  <c r="AD804" i="9"/>
  <c r="AD796" i="9"/>
  <c r="AD788" i="9"/>
  <c r="AD780" i="9"/>
  <c r="AD772" i="9"/>
  <c r="AD764" i="9"/>
  <c r="AD756" i="9"/>
  <c r="AD748" i="9"/>
  <c r="AD740" i="9"/>
  <c r="AD732" i="9"/>
  <c r="AD724" i="9"/>
  <c r="AD716" i="9"/>
  <c r="AD708" i="9"/>
  <c r="AD700" i="9"/>
  <c r="AD692" i="9"/>
  <c r="AD684" i="9"/>
  <c r="AD676" i="9"/>
  <c r="AD668" i="9"/>
  <c r="AD660" i="9"/>
  <c r="AD652" i="9"/>
  <c r="AD644" i="9"/>
  <c r="AD636" i="9"/>
  <c r="AD628" i="9"/>
  <c r="AD620" i="9"/>
  <c r="AD612" i="9"/>
  <c r="AD604" i="9"/>
  <c r="AD596" i="9"/>
  <c r="AD588" i="9"/>
  <c r="AD580" i="9"/>
  <c r="AD572" i="9"/>
  <c r="AD564" i="9"/>
  <c r="AD556" i="9"/>
  <c r="AD548" i="9"/>
  <c r="AD540" i="9"/>
  <c r="AD532" i="9"/>
  <c r="AD524" i="9"/>
  <c r="AD516" i="9"/>
  <c r="AD508" i="9"/>
  <c r="AD500" i="9"/>
  <c r="AD492" i="9"/>
  <c r="AD484" i="9"/>
  <c r="AD476" i="9"/>
  <c r="AD468" i="9"/>
  <c r="AD460" i="9"/>
  <c r="AD452" i="9"/>
  <c r="AD444" i="9"/>
  <c r="AD436" i="9"/>
  <c r="AD428" i="9"/>
  <c r="AD420" i="9"/>
  <c r="AD412" i="9"/>
  <c r="AD404" i="9"/>
  <c r="AD396" i="9"/>
  <c r="AD388" i="9"/>
  <c r="AD380" i="9"/>
  <c r="AD372" i="9"/>
  <c r="AD364" i="9"/>
  <c r="AD356" i="9"/>
  <c r="AD348" i="9"/>
  <c r="AD340" i="9"/>
  <c r="AD332" i="9"/>
  <c r="AD324" i="9"/>
  <c r="AD316" i="9"/>
  <c r="AD308" i="9"/>
  <c r="AD300" i="9"/>
  <c r="AD292" i="9"/>
  <c r="AD284" i="9"/>
  <c r="AD276" i="9"/>
  <c r="AD268" i="9"/>
  <c r="AD260" i="9"/>
  <c r="AD252" i="9"/>
  <c r="AD244" i="9"/>
  <c r="AD236" i="9"/>
  <c r="AD228" i="9"/>
  <c r="AD220" i="9"/>
  <c r="AD212" i="9"/>
  <c r="AD204" i="9"/>
  <c r="AD196" i="9"/>
  <c r="AD188" i="9"/>
  <c r="AD180" i="9"/>
  <c r="AD172" i="9"/>
  <c r="AD164" i="9"/>
  <c r="AD156" i="9"/>
  <c r="AD148" i="9"/>
  <c r="AD140" i="9"/>
  <c r="AD132" i="9"/>
  <c r="AD124" i="9"/>
  <c r="AD116" i="9"/>
  <c r="AD108" i="9"/>
  <c r="AD100" i="9"/>
  <c r="AD92" i="9"/>
  <c r="AD84" i="9"/>
  <c r="AD76" i="9"/>
  <c r="AD68" i="9"/>
  <c r="AD60" i="9"/>
  <c r="AD52" i="9"/>
  <c r="AD44" i="9"/>
  <c r="AD36" i="9"/>
  <c r="AD28" i="9"/>
  <c r="AD20" i="9"/>
  <c r="AD12" i="9"/>
  <c r="AD4" i="9"/>
  <c r="BO63" i="6"/>
  <c r="BO67" i="6" s="1"/>
  <c r="BO71" i="6" s="1"/>
  <c r="BO75" i="6" s="1"/>
  <c r="BO64" i="6"/>
  <c r="BO68" i="6" s="1"/>
  <c r="BO72" i="6" s="1"/>
  <c r="BO76" i="6" s="1"/>
  <c r="BO65" i="6"/>
  <c r="BO66" i="6"/>
  <c r="BO69" i="6"/>
  <c r="BO73" i="6" s="1"/>
  <c r="BO77" i="6" s="1"/>
  <c r="BO70" i="6"/>
  <c r="BO74" i="6" s="1"/>
  <c r="BO62" i="6"/>
  <c r="BO60" i="6"/>
  <c r="BO61" i="6"/>
  <c r="BO59" i="6"/>
  <c r="BN63" i="6"/>
  <c r="BN67" i="6" s="1"/>
  <c r="BN71" i="6" s="1"/>
  <c r="BN75" i="6" s="1"/>
  <c r="BN64" i="6"/>
  <c r="BN68" i="6" s="1"/>
  <c r="BN72" i="6" s="1"/>
  <c r="BN76" i="6" s="1"/>
  <c r="BN65" i="6"/>
  <c r="BN69" i="6" s="1"/>
  <c r="BN73" i="6" s="1"/>
  <c r="BN77" i="6" s="1"/>
  <c r="BN66" i="6"/>
  <c r="BN70" i="6" s="1"/>
  <c r="BN74" i="6" s="1"/>
  <c r="BN62" i="6"/>
  <c r="BN60" i="6"/>
  <c r="BN61" i="6"/>
  <c r="BN59" i="6"/>
  <c r="BH62" i="6"/>
  <c r="BH61" i="6"/>
  <c r="BH60" i="6"/>
  <c r="BG61" i="6"/>
  <c r="BG62" i="6" s="1"/>
  <c r="BG63" i="6" s="1"/>
  <c r="BG60" i="6"/>
  <c r="BM59" i="6"/>
  <c r="BM60" i="6" s="1"/>
  <c r="BM61" i="6" s="1"/>
  <c r="BM62" i="6" s="1"/>
  <c r="BM63" i="6" s="1"/>
  <c r="BM64" i="6" s="1"/>
  <c r="BM65" i="6" s="1"/>
  <c r="BM66" i="6" s="1"/>
  <c r="BM67" i="6" s="1"/>
  <c r="BM68" i="6" s="1"/>
  <c r="BM69" i="6" s="1"/>
  <c r="BM70" i="6" s="1"/>
  <c r="BM71" i="6" s="1"/>
  <c r="BM72" i="6" s="1"/>
  <c r="BM73" i="6" s="1"/>
  <c r="BM74" i="6" s="1"/>
  <c r="BM75" i="6" s="1"/>
  <c r="BM76" i="6" s="1"/>
  <c r="BM77" i="6" s="1"/>
  <c r="AB5" i="9" l="1"/>
  <c r="AC4" i="9"/>
  <c r="AC5" i="9" s="1"/>
  <c r="AC6" i="9" s="1"/>
  <c r="AB4" i="9"/>
  <c r="AB6" i="9" l="1"/>
  <c r="AC7" i="9"/>
  <c r="AB7" i="9" l="1"/>
  <c r="AC8" i="9"/>
  <c r="AC9" i="9" l="1"/>
  <c r="AB8" i="9"/>
  <c r="AC10" i="9" l="1"/>
  <c r="AB9" i="9"/>
  <c r="AC11" i="9" l="1"/>
  <c r="AB10" i="9"/>
  <c r="AB11" i="9" l="1"/>
  <c r="AC12" i="9"/>
  <c r="AB12" i="9" l="1"/>
  <c r="AC13" i="9"/>
  <c r="AB13" i="9" l="1"/>
  <c r="AC14" i="9"/>
  <c r="AC15" i="9" l="1"/>
  <c r="AB14" i="9"/>
  <c r="AB15" i="9" l="1"/>
  <c r="AC16" i="9"/>
  <c r="AB16" i="9" l="1"/>
  <c r="AC17" i="9"/>
  <c r="AB17" i="9" l="1"/>
  <c r="AC18" i="9"/>
  <c r="AC19" i="9" l="1"/>
  <c r="AB18" i="9"/>
  <c r="AB19" i="9" l="1"/>
  <c r="AC20" i="9"/>
  <c r="AB20" i="9" l="1"/>
  <c r="AC21" i="9"/>
  <c r="AB21" i="9" l="1"/>
  <c r="AC22" i="9"/>
  <c r="AC23" i="9" l="1"/>
  <c r="AB22" i="9"/>
  <c r="AB23" i="9" l="1"/>
  <c r="AC24" i="9"/>
  <c r="AB24" i="9" l="1"/>
  <c r="AC25" i="9"/>
  <c r="AB25" i="9" l="1"/>
  <c r="AC26" i="9"/>
  <c r="AC27" i="9" l="1"/>
  <c r="AB26" i="9"/>
  <c r="AB27" i="9" l="1"/>
  <c r="AC28" i="9"/>
  <c r="AB28" i="9" l="1"/>
  <c r="AC29" i="9"/>
  <c r="AB29" i="9" l="1"/>
  <c r="AC30" i="9"/>
  <c r="AC31" i="9" l="1"/>
  <c r="AB30" i="9"/>
  <c r="AB31" i="9" l="1"/>
  <c r="AC32" i="9"/>
  <c r="AB32" i="9" l="1"/>
  <c r="AC33" i="9"/>
  <c r="AB33" i="9" l="1"/>
  <c r="AC34" i="9"/>
  <c r="AC35" i="9" l="1"/>
  <c r="AB34" i="9"/>
  <c r="AB35" i="9" l="1"/>
  <c r="AC36" i="9"/>
  <c r="AB36" i="9" l="1"/>
  <c r="AC37" i="9"/>
  <c r="AB37" i="9" l="1"/>
  <c r="AC38" i="9"/>
  <c r="AC39" i="9" l="1"/>
  <c r="AB38" i="9"/>
  <c r="AB39" i="9" l="1"/>
  <c r="AC40" i="9"/>
  <c r="AB40" i="9" l="1"/>
  <c r="AC41" i="9"/>
  <c r="AB41" i="9" l="1"/>
  <c r="AC42" i="9"/>
  <c r="AC43" i="9" l="1"/>
  <c r="AB42" i="9"/>
  <c r="AB43" i="9" l="1"/>
  <c r="AC44" i="9"/>
  <c r="AB44" i="9" l="1"/>
  <c r="AC45" i="9"/>
  <c r="AB45" i="9" l="1"/>
  <c r="AC46" i="9"/>
  <c r="AC47" i="9" l="1"/>
  <c r="AB46" i="9"/>
  <c r="AB47" i="9" l="1"/>
  <c r="AC48" i="9"/>
  <c r="AB48" i="9" l="1"/>
  <c r="AC49" i="9"/>
  <c r="AB49" i="9" l="1"/>
  <c r="AC50" i="9"/>
  <c r="AC51" i="9" l="1"/>
  <c r="AB50" i="9"/>
  <c r="AB51" i="9" l="1"/>
  <c r="AC52" i="9"/>
  <c r="AB52" i="9" l="1"/>
  <c r="AC53" i="9"/>
  <c r="AB53" i="9" l="1"/>
  <c r="AC54" i="9"/>
  <c r="AC55" i="9" l="1"/>
  <c r="AB54" i="9"/>
  <c r="AB55" i="9" l="1"/>
  <c r="AC56" i="9"/>
  <c r="AB56" i="9" l="1"/>
  <c r="AC57" i="9"/>
  <c r="AB57" i="9" l="1"/>
  <c r="AC58" i="9"/>
  <c r="AC59" i="9" l="1"/>
  <c r="AB58" i="9"/>
  <c r="AB59" i="9" l="1"/>
  <c r="AC60" i="9"/>
  <c r="AB60" i="9" l="1"/>
  <c r="AC61" i="9"/>
  <c r="AB61" i="9" l="1"/>
  <c r="AC62" i="9"/>
  <c r="AC63" i="9" l="1"/>
  <c r="AB62" i="9"/>
  <c r="AB63" i="9" l="1"/>
  <c r="AC64" i="9"/>
  <c r="AB64" i="9" l="1"/>
  <c r="AC65" i="9"/>
  <c r="AB65" i="9" l="1"/>
  <c r="AC66" i="9"/>
  <c r="AC67" i="9" l="1"/>
  <c r="AB66" i="9"/>
  <c r="AB67" i="9" l="1"/>
  <c r="AC68" i="9"/>
  <c r="AB68" i="9" l="1"/>
  <c r="AC69" i="9"/>
  <c r="AB69" i="9" l="1"/>
  <c r="AC70" i="9"/>
  <c r="AC71" i="9" l="1"/>
  <c r="AB70" i="9"/>
  <c r="AB71" i="9" l="1"/>
  <c r="AC72" i="9"/>
  <c r="AB72" i="9" l="1"/>
  <c r="AC73" i="9"/>
  <c r="AB73" i="9" l="1"/>
  <c r="AC74" i="9"/>
  <c r="AB74" i="9" l="1"/>
  <c r="AC75" i="9"/>
  <c r="AB75" i="9" l="1"/>
  <c r="AC76" i="9"/>
  <c r="AC77" i="9" l="1"/>
  <c r="AB76" i="9"/>
  <c r="AB77" i="9" l="1"/>
  <c r="AC78" i="9"/>
  <c r="AB78" i="9" l="1"/>
  <c r="AC79" i="9"/>
  <c r="AB79" i="9" l="1"/>
  <c r="AC80" i="9"/>
  <c r="AC81" i="9" l="1"/>
  <c r="AB80" i="9"/>
  <c r="AB81" i="9" l="1"/>
  <c r="AC82" i="9"/>
  <c r="AB82" i="9" l="1"/>
  <c r="AC83" i="9"/>
  <c r="AB83" i="9" l="1"/>
  <c r="AC84" i="9"/>
  <c r="AB84" i="9" l="1"/>
  <c r="AC85" i="9"/>
  <c r="AB85" i="9" l="1"/>
  <c r="AC86" i="9"/>
  <c r="AC87" i="9" l="1"/>
  <c r="AB86" i="9"/>
  <c r="AB87" i="9" l="1"/>
  <c r="AC88" i="9"/>
  <c r="AC89" i="9" l="1"/>
  <c r="AB88" i="9"/>
  <c r="AB89" i="9" l="1"/>
  <c r="AC90" i="9"/>
  <c r="AB90" i="9" l="1"/>
  <c r="AC91" i="9"/>
  <c r="AB91" i="9" l="1"/>
  <c r="AC92" i="9"/>
  <c r="AB92" i="9" l="1"/>
  <c r="AC93" i="9"/>
  <c r="AB93" i="9" l="1"/>
  <c r="AC94" i="9"/>
  <c r="AB94" i="9" l="1"/>
  <c r="AC95" i="9"/>
  <c r="AB95" i="9" l="1"/>
  <c r="AC96" i="9"/>
  <c r="AC97" i="9" l="1"/>
  <c r="AB96" i="9"/>
  <c r="AB97" i="9" l="1"/>
  <c r="AC98" i="9"/>
  <c r="AB98" i="9" l="1"/>
  <c r="AC99" i="9"/>
  <c r="AB99" i="9" l="1"/>
  <c r="AC100" i="9"/>
  <c r="AB100" i="9" l="1"/>
  <c r="AC101" i="9"/>
  <c r="AB101" i="9" l="1"/>
  <c r="AC102" i="9"/>
  <c r="AC103" i="9" l="1"/>
  <c r="AB102" i="9"/>
  <c r="AB103" i="9" l="1"/>
  <c r="AC104" i="9"/>
  <c r="AC105" i="9" l="1"/>
  <c r="AB104" i="9"/>
  <c r="AB105" i="9" l="1"/>
  <c r="AC106" i="9"/>
  <c r="AB106" i="9" l="1"/>
  <c r="AC107" i="9"/>
  <c r="AB107" i="9" l="1"/>
  <c r="AC108" i="9"/>
  <c r="AC109" i="9" l="1"/>
  <c r="AB108" i="9"/>
  <c r="AB109" i="9" l="1"/>
  <c r="AC110" i="9"/>
  <c r="AB110" i="9" l="1"/>
  <c r="AC111" i="9"/>
  <c r="AB111" i="9" l="1"/>
  <c r="AC112" i="9"/>
  <c r="AC113" i="9" l="1"/>
  <c r="AB112" i="9"/>
  <c r="AB113" i="9" l="1"/>
  <c r="AC114" i="9"/>
  <c r="AB114" i="9" l="1"/>
  <c r="AC115" i="9"/>
  <c r="AB115" i="9" l="1"/>
  <c r="AC116" i="9"/>
  <c r="AC117" i="9" l="1"/>
  <c r="AB116" i="9"/>
  <c r="AB117" i="9" l="1"/>
  <c r="AC118" i="9"/>
  <c r="AC119" i="9" l="1"/>
  <c r="AB118" i="9"/>
  <c r="AB119" i="9" l="1"/>
  <c r="AC120" i="9"/>
  <c r="AC121" i="9" l="1"/>
  <c r="AB120" i="9"/>
  <c r="AB121" i="9" l="1"/>
  <c r="AC122" i="9"/>
  <c r="AB122" i="9" l="1"/>
  <c r="AC123" i="9"/>
  <c r="AB123" i="9" l="1"/>
  <c r="AC124" i="9"/>
  <c r="AB124" i="9" l="1"/>
  <c r="AC125" i="9"/>
  <c r="AB125" i="9" l="1"/>
  <c r="AC126" i="9"/>
  <c r="AB126" i="9" l="1"/>
  <c r="AC127" i="9"/>
  <c r="AB127" i="9" l="1"/>
  <c r="AC128" i="9"/>
  <c r="AC129" i="9" l="1"/>
  <c r="AB128" i="9"/>
  <c r="AB129" i="9" l="1"/>
  <c r="AC130" i="9"/>
  <c r="AB130" i="9" l="1"/>
  <c r="AC131" i="9"/>
  <c r="AB131" i="9" l="1"/>
  <c r="AC132" i="9"/>
  <c r="AB132" i="9" l="1"/>
  <c r="AC133" i="9"/>
  <c r="AB133" i="9" l="1"/>
  <c r="AC134" i="9"/>
  <c r="AB134" i="9" l="1"/>
  <c r="AC135" i="9"/>
  <c r="AB135" i="9" l="1"/>
  <c r="AC136" i="9"/>
  <c r="AC137" i="9" l="1"/>
  <c r="AB136" i="9"/>
  <c r="AB137" i="9" l="1"/>
  <c r="AC138" i="9"/>
  <c r="AB138" i="9" l="1"/>
  <c r="AC139" i="9"/>
  <c r="AB139" i="9" l="1"/>
  <c r="AC140" i="9"/>
  <c r="AC141" i="9" l="1"/>
  <c r="AB140" i="9"/>
  <c r="AB141" i="9" l="1"/>
  <c r="AC142" i="9"/>
  <c r="AB142" i="9" l="1"/>
  <c r="AC143" i="9"/>
  <c r="AB143" i="9" l="1"/>
  <c r="AC144" i="9"/>
  <c r="AC145" i="9" l="1"/>
  <c r="AB144" i="9"/>
  <c r="AB145" i="9" l="1"/>
  <c r="AC146" i="9"/>
  <c r="AB146" i="9" l="1"/>
  <c r="AC147" i="9"/>
  <c r="AB147" i="9" l="1"/>
  <c r="AC148" i="9"/>
  <c r="AB148" i="9" l="1"/>
  <c r="AC149" i="9"/>
  <c r="AB149" i="9" l="1"/>
  <c r="AC150" i="9"/>
  <c r="AC151" i="9" l="1"/>
  <c r="AB150" i="9"/>
  <c r="AB151" i="9" l="1"/>
  <c r="AC152" i="9"/>
  <c r="AC153" i="9" l="1"/>
  <c r="AB152" i="9"/>
  <c r="AB153" i="9" l="1"/>
  <c r="AC154" i="9"/>
  <c r="AB154" i="9" l="1"/>
  <c r="AC155" i="9"/>
  <c r="AB155" i="9" l="1"/>
  <c r="AC156" i="9"/>
  <c r="AB156" i="9" l="1"/>
  <c r="AC157" i="9"/>
  <c r="AB157" i="9" l="1"/>
  <c r="AC158" i="9"/>
  <c r="AC159" i="9" l="1"/>
  <c r="AB158" i="9"/>
  <c r="AB159" i="9" l="1"/>
  <c r="AC160" i="9"/>
  <c r="AC161" i="9" l="1"/>
  <c r="AB160" i="9"/>
  <c r="AB161" i="9" l="1"/>
  <c r="AC162" i="9"/>
  <c r="AB162" i="9" l="1"/>
  <c r="AC163" i="9"/>
  <c r="AB163" i="9" l="1"/>
  <c r="AC164" i="9"/>
  <c r="AB164" i="9" l="1"/>
  <c r="AC165" i="9"/>
  <c r="AB165" i="9" l="1"/>
  <c r="AC166" i="9"/>
  <c r="AB166" i="9" l="1"/>
  <c r="AC167" i="9"/>
  <c r="AB167" i="9" l="1"/>
  <c r="AC168" i="9"/>
  <c r="AC169" i="9" l="1"/>
  <c r="AB168" i="9"/>
  <c r="AB169" i="9" l="1"/>
  <c r="AC170" i="9"/>
  <c r="AB170" i="9" l="1"/>
  <c r="AC171" i="9"/>
  <c r="AB171" i="9" l="1"/>
  <c r="AC172" i="9"/>
  <c r="AC173" i="9" l="1"/>
  <c r="AB172" i="9"/>
  <c r="AB173" i="9" l="1"/>
  <c r="AC174" i="9"/>
  <c r="AB174" i="9" l="1"/>
  <c r="AC175" i="9"/>
  <c r="AB175" i="9" l="1"/>
  <c r="AC176" i="9"/>
  <c r="AC177" i="9" l="1"/>
  <c r="AB176" i="9"/>
  <c r="AB177" i="9" l="1"/>
  <c r="AC178" i="9"/>
  <c r="AB178" i="9" l="1"/>
  <c r="AC179" i="9"/>
  <c r="AB179" i="9" l="1"/>
  <c r="AC180" i="9"/>
  <c r="AB180" i="9" l="1"/>
  <c r="AC181" i="9"/>
  <c r="AB181" i="9" l="1"/>
  <c r="AC182" i="9"/>
  <c r="AC183" i="9" l="1"/>
  <c r="AB182" i="9"/>
  <c r="AB183" i="9" l="1"/>
  <c r="AC184" i="9"/>
  <c r="AC185" i="9" l="1"/>
  <c r="AB184" i="9"/>
  <c r="AB185" i="9" l="1"/>
  <c r="AC186" i="9"/>
  <c r="AB186" i="9" l="1"/>
  <c r="AC187" i="9"/>
  <c r="AB187" i="9" l="1"/>
  <c r="AC188" i="9"/>
  <c r="AC189" i="9" l="1"/>
  <c r="AB188" i="9"/>
  <c r="AB189" i="9" l="1"/>
  <c r="AC190" i="9"/>
  <c r="AB190" i="9" l="1"/>
  <c r="AC191" i="9"/>
  <c r="AB191" i="9" l="1"/>
  <c r="AC192" i="9"/>
  <c r="AC193" i="9" l="1"/>
  <c r="AB192" i="9"/>
  <c r="AB193" i="9" l="1"/>
  <c r="AC194" i="9"/>
  <c r="AB194" i="9" l="1"/>
  <c r="AC195" i="9"/>
  <c r="AB195" i="9" l="1"/>
  <c r="AC196" i="9"/>
  <c r="AB196" i="9" l="1"/>
  <c r="AC197" i="9"/>
  <c r="AB197" i="9" l="1"/>
  <c r="AC198" i="9"/>
  <c r="AB198" i="9" l="1"/>
  <c r="AC199" i="9"/>
  <c r="AB199" i="9" l="1"/>
  <c r="AC200" i="9"/>
  <c r="AC201" i="9" l="1"/>
  <c r="AB200" i="9"/>
  <c r="AB201" i="9" l="1"/>
  <c r="AC202" i="9"/>
  <c r="AB202" i="9" l="1"/>
  <c r="AC203" i="9"/>
  <c r="AB203" i="9" l="1"/>
  <c r="AC204" i="9"/>
  <c r="AC205" i="9" l="1"/>
  <c r="AB204" i="9"/>
  <c r="AB205" i="9" l="1"/>
  <c r="AC206" i="9"/>
  <c r="AB206" i="9" l="1"/>
  <c r="AC207" i="9"/>
  <c r="AB207" i="9" l="1"/>
  <c r="AC208" i="9"/>
  <c r="AC209" i="9" l="1"/>
  <c r="AB208" i="9"/>
  <c r="AB209" i="9" l="1"/>
  <c r="AC210" i="9"/>
  <c r="AB210" i="9" l="1"/>
  <c r="AC211" i="9"/>
  <c r="AB211" i="9" l="1"/>
  <c r="AC212" i="9"/>
  <c r="AB212" i="9" l="1"/>
  <c r="AC213" i="9"/>
  <c r="AB213" i="9" l="1"/>
  <c r="AC214" i="9"/>
  <c r="AC215" i="9" l="1"/>
  <c r="AB214" i="9"/>
  <c r="AB215" i="9" l="1"/>
  <c r="AC216" i="9"/>
  <c r="AC217" i="9" l="1"/>
  <c r="AB216" i="9"/>
  <c r="AB217" i="9" l="1"/>
  <c r="AC218" i="9"/>
  <c r="AB218" i="9" l="1"/>
  <c r="AC219" i="9"/>
  <c r="AB219" i="9" l="1"/>
  <c r="AC220" i="9"/>
  <c r="AB220" i="9" l="1"/>
  <c r="AC221" i="9"/>
  <c r="AB221" i="9" l="1"/>
  <c r="AC222" i="9"/>
  <c r="AB222" i="9" l="1"/>
  <c r="AC223" i="9"/>
  <c r="AB223" i="9" l="1"/>
  <c r="AC224" i="9"/>
  <c r="AC225" i="9" l="1"/>
  <c r="AB224" i="9"/>
  <c r="AB225" i="9" l="1"/>
  <c r="AC226" i="9"/>
  <c r="AB226" i="9" l="1"/>
  <c r="AC227" i="9"/>
  <c r="AB227" i="9" l="1"/>
  <c r="AC228" i="9"/>
  <c r="AB228" i="9" l="1"/>
  <c r="AC229" i="9"/>
  <c r="AB229" i="9" l="1"/>
  <c r="AC230" i="9"/>
  <c r="AC231" i="9" l="1"/>
  <c r="AB230" i="9"/>
  <c r="AB231" i="9" l="1"/>
  <c r="AC232" i="9"/>
  <c r="AC233" i="9" l="1"/>
  <c r="AB232" i="9"/>
  <c r="AB233" i="9" l="1"/>
  <c r="AC234" i="9"/>
  <c r="AB234" i="9" l="1"/>
  <c r="AC235" i="9"/>
  <c r="AB235" i="9" l="1"/>
  <c r="AC236" i="9"/>
  <c r="AC237" i="9" l="1"/>
  <c r="AB236" i="9"/>
  <c r="AB237" i="9" l="1"/>
  <c r="AC238" i="9"/>
  <c r="AB238" i="9" l="1"/>
  <c r="AC239" i="9"/>
  <c r="AB239" i="9" l="1"/>
  <c r="AC240" i="9"/>
  <c r="AC241" i="9" l="1"/>
  <c r="AB240" i="9"/>
  <c r="AB241" i="9" l="1"/>
  <c r="AC242" i="9"/>
  <c r="AB242" i="9" l="1"/>
  <c r="AC243" i="9"/>
  <c r="AB243" i="9" l="1"/>
  <c r="AC244" i="9"/>
  <c r="AC245" i="9" l="1"/>
  <c r="AB244" i="9"/>
  <c r="AB245" i="9" l="1"/>
  <c r="AC246" i="9"/>
  <c r="AC247" i="9" l="1"/>
  <c r="AB246" i="9"/>
  <c r="AB247" i="9" l="1"/>
  <c r="AC248" i="9"/>
  <c r="AC249" i="9" l="1"/>
  <c r="AB248" i="9"/>
  <c r="AB249" i="9" l="1"/>
  <c r="AC250" i="9"/>
  <c r="AB250" i="9" l="1"/>
  <c r="AC251" i="9"/>
  <c r="AB251" i="9" l="1"/>
  <c r="AC252" i="9"/>
  <c r="AB252" i="9" l="1"/>
  <c r="AC253" i="9"/>
  <c r="AB253" i="9" l="1"/>
  <c r="AC254" i="9"/>
  <c r="AB254" i="9" l="1"/>
  <c r="AC255" i="9"/>
  <c r="AB255" i="9" l="1"/>
  <c r="AC256" i="9"/>
  <c r="AC257" i="9" l="1"/>
  <c r="AB256" i="9"/>
  <c r="AB257" i="9" l="1"/>
  <c r="AC258" i="9"/>
  <c r="AB258" i="9" l="1"/>
  <c r="AC259" i="9"/>
  <c r="AB259" i="9" l="1"/>
  <c r="AC260" i="9"/>
  <c r="AB260" i="9" l="1"/>
  <c r="AC261" i="9"/>
  <c r="AB261" i="9" l="1"/>
  <c r="AC262" i="9"/>
  <c r="AB262" i="9" l="1"/>
  <c r="AC263" i="9"/>
  <c r="AB263" i="9" l="1"/>
  <c r="AC264" i="9"/>
  <c r="AC265" i="9" l="1"/>
  <c r="AB264" i="9"/>
  <c r="AB265" i="9" l="1"/>
  <c r="AC266" i="9"/>
  <c r="AB266" i="9" l="1"/>
  <c r="AC267" i="9"/>
  <c r="AB267" i="9" l="1"/>
  <c r="AC268" i="9"/>
  <c r="AC269" i="9" l="1"/>
  <c r="AB268" i="9"/>
  <c r="AB269" i="9" l="1"/>
  <c r="AC270" i="9"/>
  <c r="AB270" i="9" l="1"/>
  <c r="AC271" i="9"/>
  <c r="AB271" i="9" l="1"/>
  <c r="AC272" i="9"/>
  <c r="AC273" i="9" l="1"/>
  <c r="AB272" i="9"/>
  <c r="AB273" i="9" l="1"/>
  <c r="AC274" i="9"/>
  <c r="AB274" i="9" l="1"/>
  <c r="AC275" i="9"/>
  <c r="AC276" i="9" l="1"/>
  <c r="AB275" i="9"/>
  <c r="AB276" i="9" l="1"/>
  <c r="AC277" i="9"/>
  <c r="AB277" i="9" l="1"/>
  <c r="AC278" i="9"/>
  <c r="AB278" i="9" l="1"/>
  <c r="AC279" i="9"/>
  <c r="AC280" i="9" l="1"/>
  <c r="AB279" i="9"/>
  <c r="AB280" i="9" l="1"/>
  <c r="AC281" i="9"/>
  <c r="AB281" i="9" l="1"/>
  <c r="AC282" i="9"/>
  <c r="AB282" i="9" l="1"/>
  <c r="AC283" i="9"/>
  <c r="AC284" i="9" l="1"/>
  <c r="AB283" i="9"/>
  <c r="AB284" i="9" l="1"/>
  <c r="AC285" i="9"/>
  <c r="AB285" i="9" l="1"/>
  <c r="AC286" i="9"/>
  <c r="AB286" i="9" l="1"/>
  <c r="AC287" i="9"/>
  <c r="AC288" i="9" l="1"/>
  <c r="AB287" i="9"/>
  <c r="AB288" i="9" l="1"/>
  <c r="AC289" i="9"/>
  <c r="AB289" i="9" l="1"/>
  <c r="AC290" i="9"/>
  <c r="AB290" i="9" l="1"/>
  <c r="AC291" i="9"/>
  <c r="AC292" i="9" l="1"/>
  <c r="AB291" i="9"/>
  <c r="AB292" i="9" l="1"/>
  <c r="AC293" i="9"/>
  <c r="AB293" i="9" l="1"/>
  <c r="AC294" i="9"/>
  <c r="AB294" i="9" l="1"/>
  <c r="AC295" i="9"/>
  <c r="AC296" i="9" l="1"/>
  <c r="AB295" i="9"/>
  <c r="AB296" i="9" l="1"/>
  <c r="AC297" i="9"/>
  <c r="AB297" i="9" l="1"/>
  <c r="AC298" i="9"/>
  <c r="AC299" i="9" l="1"/>
  <c r="AB298" i="9"/>
  <c r="AC300" i="9" l="1"/>
  <c r="AB299" i="9"/>
  <c r="AB300" i="9" l="1"/>
  <c r="AC301" i="9"/>
  <c r="AB301" i="9" l="1"/>
  <c r="AC302" i="9"/>
  <c r="AB302" i="9" l="1"/>
  <c r="AC303" i="9"/>
  <c r="AC304" i="9" l="1"/>
  <c r="AB303" i="9"/>
  <c r="AC305" i="9" l="1"/>
  <c r="AB304" i="9"/>
  <c r="AB305" i="9" l="1"/>
  <c r="AC306" i="9"/>
  <c r="AB306" i="9" l="1"/>
  <c r="AC307" i="9"/>
  <c r="AC308" i="9" l="1"/>
  <c r="AB307" i="9"/>
  <c r="AB308" i="9" l="1"/>
  <c r="AC309" i="9"/>
  <c r="AB309" i="9" l="1"/>
  <c r="AC310" i="9"/>
  <c r="AB310" i="9" l="1"/>
  <c r="AC311" i="9"/>
  <c r="AC312" i="9" l="1"/>
  <c r="AB311" i="9"/>
  <c r="AB312" i="9" l="1"/>
  <c r="AC313" i="9"/>
  <c r="AB313" i="9" l="1"/>
  <c r="AC314" i="9"/>
  <c r="AB314" i="9" l="1"/>
  <c r="AC315" i="9"/>
  <c r="AC316" i="9" l="1"/>
  <c r="AB315" i="9"/>
  <c r="AB316" i="9" l="1"/>
  <c r="AC317" i="9"/>
  <c r="AB317" i="9" l="1"/>
  <c r="AC318" i="9"/>
  <c r="AB318" i="9" l="1"/>
  <c r="AC319" i="9"/>
  <c r="AC320" i="9" l="1"/>
  <c r="AB319" i="9"/>
  <c r="AC321" i="9" l="1"/>
  <c r="AB320" i="9"/>
  <c r="AB321" i="9" l="1"/>
  <c r="AC322" i="9"/>
  <c r="AB322" i="9" l="1"/>
  <c r="AC323" i="9"/>
  <c r="AC324" i="9" l="1"/>
  <c r="AB323" i="9"/>
  <c r="AB324" i="9" l="1"/>
  <c r="AC325" i="9"/>
  <c r="AB325" i="9" l="1"/>
  <c r="AC326" i="9"/>
  <c r="AB326" i="9" l="1"/>
  <c r="AC327" i="9"/>
  <c r="AC328" i="9" l="1"/>
  <c r="AB327" i="9"/>
  <c r="AC329" i="9" l="1"/>
  <c r="AB328" i="9"/>
  <c r="AB329" i="9" l="1"/>
  <c r="AC330" i="9"/>
  <c r="AC331" i="9" l="1"/>
  <c r="AB330" i="9"/>
  <c r="AC332" i="9" l="1"/>
  <c r="AB331" i="9"/>
  <c r="AB332" i="9" l="1"/>
  <c r="AC333" i="9"/>
  <c r="AB333" i="9" l="1"/>
  <c r="AC334" i="9"/>
  <c r="AB334" i="9" l="1"/>
  <c r="AC335" i="9"/>
  <c r="AC336" i="9" l="1"/>
  <c r="AB335" i="9"/>
  <c r="AB336" i="9" l="1"/>
  <c r="AC337" i="9"/>
  <c r="AB337" i="9" l="1"/>
  <c r="AC338" i="9"/>
  <c r="AB338" i="9" l="1"/>
  <c r="AC339" i="9"/>
  <c r="AB339" i="9" l="1"/>
  <c r="AC340" i="9"/>
  <c r="AB340" i="9" l="1"/>
  <c r="AC341" i="9"/>
  <c r="AB341" i="9" l="1"/>
  <c r="AC342" i="9"/>
  <c r="AC343" i="9" l="1"/>
  <c r="AB342" i="9"/>
  <c r="AB343" i="9" l="1"/>
  <c r="AC344" i="9"/>
  <c r="AC345" i="9" l="1"/>
  <c r="AB344" i="9"/>
  <c r="AB345" i="9" l="1"/>
  <c r="AC346" i="9"/>
  <c r="AC347" i="9" l="1"/>
  <c r="AB346" i="9"/>
  <c r="AC348" i="9" l="1"/>
  <c r="AB347" i="9"/>
  <c r="AC349" i="9" l="1"/>
  <c r="AB348" i="9"/>
  <c r="AB349" i="9" l="1"/>
  <c r="AC350" i="9"/>
  <c r="AB350" i="9" l="1"/>
  <c r="AC351" i="9"/>
  <c r="AB351" i="9" l="1"/>
  <c r="AC352" i="9"/>
  <c r="AC353" i="9" l="1"/>
  <c r="AB352" i="9"/>
  <c r="AB353" i="9" l="1"/>
  <c r="AC354" i="9"/>
  <c r="AB354" i="9" l="1"/>
  <c r="AC355" i="9"/>
  <c r="AB355" i="9" l="1"/>
  <c r="AC356" i="9"/>
  <c r="AC357" i="9" l="1"/>
  <c r="AB356" i="9"/>
  <c r="AB357" i="9" l="1"/>
  <c r="AC358" i="9"/>
  <c r="AC359" i="9" l="1"/>
  <c r="AB358" i="9"/>
  <c r="AB359" i="9" l="1"/>
  <c r="AC360" i="9"/>
  <c r="AC361" i="9" l="1"/>
  <c r="AB360" i="9"/>
  <c r="AB361" i="9" l="1"/>
  <c r="AC362" i="9"/>
  <c r="AB362" i="9" l="1"/>
  <c r="AC363" i="9"/>
  <c r="AC364" i="9" l="1"/>
  <c r="AB363" i="9"/>
  <c r="AC365" i="9" l="1"/>
  <c r="AB364" i="9"/>
  <c r="AB365" i="9" l="1"/>
  <c r="AC366" i="9"/>
  <c r="AB366" i="9" l="1"/>
  <c r="AC367" i="9"/>
  <c r="AC368" i="9" l="1"/>
  <c r="AB367" i="9"/>
  <c r="AC369" i="9" l="1"/>
  <c r="AB368" i="9"/>
  <c r="AB369" i="9" l="1"/>
  <c r="AC370" i="9"/>
  <c r="AB370" i="9" l="1"/>
  <c r="AC371" i="9"/>
  <c r="AB371" i="9" l="1"/>
  <c r="AC372" i="9"/>
  <c r="AC373" i="9" l="1"/>
  <c r="AB372" i="9"/>
  <c r="AB373" i="9" l="1"/>
  <c r="AC374" i="9"/>
  <c r="AC375" i="9" l="1"/>
  <c r="AB374" i="9"/>
  <c r="AB375" i="9" l="1"/>
  <c r="AC376" i="9"/>
  <c r="AC377" i="9" l="1"/>
  <c r="AB376" i="9"/>
  <c r="AB377" i="9" l="1"/>
  <c r="AC378" i="9"/>
  <c r="AB378" i="9" l="1"/>
  <c r="AC379" i="9"/>
  <c r="AC380" i="9" l="1"/>
  <c r="AB379" i="9"/>
  <c r="AC381" i="9" l="1"/>
  <c r="AB380" i="9"/>
  <c r="AB381" i="9" l="1"/>
  <c r="AC382" i="9"/>
  <c r="AC383" i="9" l="1"/>
  <c r="AB382" i="9"/>
  <c r="AB383" i="9" l="1"/>
  <c r="AC384" i="9"/>
  <c r="AC385" i="9" l="1"/>
  <c r="AB384" i="9"/>
  <c r="AB385" i="9" l="1"/>
  <c r="AC386" i="9"/>
  <c r="AB386" i="9" l="1"/>
  <c r="AC387" i="9"/>
  <c r="AB387" i="9" l="1"/>
  <c r="AC388" i="9"/>
  <c r="AC389" i="9" l="1"/>
  <c r="AB388" i="9"/>
  <c r="AB389" i="9" l="1"/>
  <c r="AC390" i="9"/>
  <c r="AC391" i="9" l="1"/>
  <c r="AB390" i="9"/>
  <c r="AB391" i="9" l="1"/>
  <c r="AC392" i="9"/>
  <c r="AC393" i="9" l="1"/>
  <c r="AB392" i="9"/>
  <c r="AB393" i="9" l="1"/>
  <c r="AC394" i="9"/>
  <c r="AB394" i="9" l="1"/>
  <c r="AC395" i="9"/>
  <c r="AC396" i="9" l="1"/>
  <c r="AB395" i="9"/>
  <c r="AC397" i="9" l="1"/>
  <c r="AB396" i="9"/>
  <c r="AB397" i="9" l="1"/>
  <c r="AC398" i="9"/>
  <c r="AB398" i="9" l="1"/>
  <c r="AC399" i="9"/>
  <c r="AB399" i="9" l="1"/>
  <c r="AC400" i="9"/>
  <c r="AC401" i="9" l="1"/>
  <c r="AB400" i="9"/>
  <c r="AB401" i="9" l="1"/>
  <c r="AC402" i="9"/>
  <c r="AB402" i="9" l="1"/>
  <c r="AC403" i="9"/>
  <c r="AC404" i="9" l="1"/>
  <c r="AB403" i="9"/>
  <c r="AC405" i="9" l="1"/>
  <c r="AB404" i="9"/>
  <c r="AB405" i="9" l="1"/>
  <c r="AC406" i="9"/>
  <c r="AC407" i="9" l="1"/>
  <c r="AB406" i="9"/>
  <c r="AB407" i="9" l="1"/>
  <c r="AC408" i="9"/>
  <c r="AC409" i="9" l="1"/>
  <c r="AB408" i="9"/>
  <c r="AB409" i="9" l="1"/>
  <c r="AC410" i="9"/>
  <c r="AC411" i="9" l="1"/>
  <c r="AB410" i="9"/>
  <c r="AC412" i="9" l="1"/>
  <c r="AB411" i="9"/>
  <c r="AC413" i="9" l="1"/>
  <c r="AB412" i="9"/>
  <c r="AB413" i="9" l="1"/>
  <c r="AC414" i="9"/>
  <c r="AB414" i="9" l="1"/>
  <c r="AC415" i="9"/>
  <c r="AB415" i="9" l="1"/>
  <c r="AC416" i="9"/>
  <c r="AC417" i="9" l="1"/>
  <c r="AB416" i="9"/>
  <c r="AB417" i="9" l="1"/>
  <c r="AC418" i="9"/>
  <c r="AB418" i="9" l="1"/>
  <c r="AC419" i="9"/>
  <c r="AB419" i="9" l="1"/>
  <c r="AC420" i="9"/>
  <c r="AC421" i="9" l="1"/>
  <c r="AB420" i="9"/>
  <c r="AB421" i="9" l="1"/>
  <c r="AC422" i="9"/>
  <c r="AC423" i="9" l="1"/>
  <c r="AB422" i="9"/>
  <c r="AB423" i="9" l="1"/>
  <c r="AC424" i="9"/>
  <c r="AC425" i="9" l="1"/>
  <c r="AB424" i="9"/>
  <c r="AB425" i="9" l="1"/>
  <c r="AC426" i="9"/>
  <c r="AB426" i="9" l="1"/>
  <c r="AC427" i="9"/>
  <c r="AC428" i="9" l="1"/>
  <c r="AB427" i="9"/>
  <c r="AC429" i="9" l="1"/>
  <c r="AB428" i="9"/>
  <c r="AB429" i="9" l="1"/>
  <c r="AC430" i="9"/>
  <c r="AB430" i="9" l="1"/>
  <c r="AC431" i="9"/>
  <c r="AC432" i="9" l="1"/>
  <c r="AB431" i="9"/>
  <c r="AC433" i="9" l="1"/>
  <c r="AB432" i="9"/>
  <c r="AB433" i="9" l="1"/>
  <c r="AC434" i="9"/>
  <c r="AB434" i="9" l="1"/>
  <c r="AC435" i="9"/>
  <c r="AB435" i="9" l="1"/>
  <c r="AC436" i="9"/>
  <c r="AC437" i="9" l="1"/>
  <c r="AB436" i="9"/>
  <c r="AB437" i="9" l="1"/>
  <c r="AC438" i="9"/>
  <c r="AC439" i="9" l="1"/>
  <c r="AB438" i="9"/>
  <c r="AB439" i="9" l="1"/>
  <c r="AC440" i="9"/>
  <c r="AC441" i="9" l="1"/>
  <c r="AB440" i="9"/>
  <c r="AB441" i="9" l="1"/>
  <c r="AC442" i="9"/>
  <c r="AB442" i="9" l="1"/>
  <c r="AC443" i="9"/>
  <c r="AC444" i="9" l="1"/>
  <c r="AB443" i="9"/>
  <c r="AC445" i="9" l="1"/>
  <c r="AB444" i="9"/>
  <c r="AB445" i="9" l="1"/>
  <c r="AC446" i="9"/>
  <c r="AC447" i="9" l="1"/>
  <c r="AB446" i="9"/>
  <c r="AB447" i="9" l="1"/>
  <c r="AC448" i="9"/>
  <c r="AC449" i="9" l="1"/>
  <c r="AB448" i="9"/>
  <c r="AB449" i="9" l="1"/>
  <c r="AC450" i="9"/>
  <c r="AB450" i="9" l="1"/>
  <c r="AC451" i="9"/>
  <c r="AB451" i="9" l="1"/>
  <c r="AC452" i="9"/>
  <c r="AC453" i="9" l="1"/>
  <c r="AB452" i="9"/>
  <c r="AB453" i="9" l="1"/>
  <c r="AC454" i="9"/>
  <c r="AC455" i="9" l="1"/>
  <c r="AB454" i="9"/>
  <c r="AB455" i="9" l="1"/>
  <c r="AC456" i="9"/>
  <c r="AC457" i="9" l="1"/>
  <c r="AB456" i="9"/>
  <c r="AB457" i="9" l="1"/>
  <c r="AC458" i="9"/>
  <c r="AB458" i="9" l="1"/>
  <c r="AC459" i="9"/>
  <c r="AC460" i="9" l="1"/>
  <c r="AB459" i="9"/>
  <c r="AC461" i="9" l="1"/>
  <c r="AB460" i="9"/>
  <c r="AB461" i="9" l="1"/>
  <c r="AC462" i="9"/>
  <c r="AC463" i="9" l="1"/>
  <c r="AB462" i="9"/>
  <c r="AC464" i="9" l="1"/>
  <c r="AB463" i="9"/>
  <c r="AC465" i="9" l="1"/>
  <c r="AB464" i="9"/>
  <c r="AB465" i="9" l="1"/>
  <c r="AC466" i="9"/>
  <c r="AB466" i="9" l="1"/>
  <c r="AC467" i="9"/>
  <c r="AC468" i="9" l="1"/>
  <c r="AB467" i="9"/>
  <c r="AC469" i="9" l="1"/>
  <c r="AB468" i="9"/>
  <c r="AB469" i="9" l="1"/>
  <c r="AC470" i="9"/>
  <c r="AC471" i="9" l="1"/>
  <c r="AB470" i="9"/>
  <c r="AB471" i="9" l="1"/>
  <c r="AC472" i="9"/>
  <c r="AC473" i="9" l="1"/>
  <c r="AB472" i="9"/>
  <c r="AB473" i="9" l="1"/>
  <c r="AC474" i="9"/>
  <c r="AC475" i="9" l="1"/>
  <c r="AB474" i="9"/>
  <c r="AC476" i="9" l="1"/>
  <c r="AB475" i="9"/>
  <c r="AC477" i="9" l="1"/>
  <c r="AB476" i="9"/>
  <c r="AB477" i="9" l="1"/>
  <c r="AC478" i="9"/>
  <c r="AC479" i="9" l="1"/>
  <c r="AB478" i="9"/>
  <c r="AC480" i="9" l="1"/>
  <c r="AB479" i="9"/>
  <c r="AC481" i="9" l="1"/>
  <c r="AB480" i="9"/>
  <c r="AB481" i="9" l="1"/>
  <c r="AC482" i="9"/>
  <c r="AB482" i="9" l="1"/>
  <c r="AC483" i="9"/>
  <c r="AB483" i="9" l="1"/>
  <c r="AC484" i="9"/>
  <c r="AC485" i="9" l="1"/>
  <c r="AB484" i="9"/>
  <c r="AB485" i="9" l="1"/>
  <c r="AC486" i="9"/>
  <c r="AC487" i="9" l="1"/>
  <c r="AB486" i="9"/>
  <c r="AB487" i="9" l="1"/>
  <c r="AC488" i="9"/>
  <c r="AC489" i="9" l="1"/>
  <c r="AB488" i="9"/>
  <c r="AB489" i="9" l="1"/>
  <c r="AC490" i="9"/>
  <c r="AC491" i="9" l="1"/>
  <c r="AB490" i="9"/>
  <c r="AC492" i="9" l="1"/>
  <c r="AB491" i="9"/>
  <c r="AC493" i="9" l="1"/>
  <c r="AB492" i="9"/>
  <c r="AB493" i="9" l="1"/>
  <c r="AC494" i="9"/>
  <c r="AC495" i="9" l="1"/>
  <c r="AB494" i="9"/>
  <c r="AC496" i="9" l="1"/>
  <c r="AB495" i="9"/>
  <c r="AC497" i="9" l="1"/>
  <c r="AB496" i="9"/>
  <c r="AB497" i="9" l="1"/>
  <c r="AC498" i="9"/>
  <c r="AB498" i="9" l="1"/>
  <c r="AC499" i="9"/>
  <c r="AC500" i="9" l="1"/>
  <c r="AB499" i="9"/>
  <c r="AC501" i="9" l="1"/>
  <c r="AB500" i="9"/>
  <c r="AB501" i="9" l="1"/>
  <c r="AC502" i="9"/>
  <c r="AC503" i="9" l="1"/>
  <c r="AB502" i="9"/>
  <c r="AB503" i="9" l="1"/>
  <c r="AC504" i="9"/>
  <c r="AC505" i="9" l="1"/>
  <c r="AB504" i="9"/>
  <c r="AC506" i="9" l="1"/>
  <c r="AB505" i="9"/>
  <c r="AC507" i="9" l="1"/>
  <c r="AB506" i="9"/>
  <c r="AB507" i="9" l="1"/>
  <c r="AC508" i="9"/>
  <c r="AC509" i="9" l="1"/>
  <c r="AB508" i="9"/>
  <c r="AB509" i="9" l="1"/>
  <c r="AC510" i="9"/>
  <c r="AC511" i="9" l="1"/>
  <c r="AB510" i="9"/>
  <c r="AB511" i="9" l="1"/>
  <c r="AC512" i="9"/>
  <c r="AC513" i="9" l="1"/>
  <c r="AB512" i="9"/>
  <c r="AC514" i="9" l="1"/>
  <c r="AB513" i="9"/>
  <c r="AC515" i="9" l="1"/>
  <c r="AB514" i="9"/>
  <c r="AB515" i="9" l="1"/>
  <c r="AC516" i="9"/>
  <c r="AC517" i="9" l="1"/>
  <c r="AB516" i="9"/>
  <c r="AC518" i="9" l="1"/>
  <c r="AB517" i="9"/>
  <c r="AC519" i="9" l="1"/>
  <c r="AB518" i="9"/>
  <c r="AB519" i="9" l="1"/>
  <c r="AC520" i="9"/>
  <c r="AB520" i="9" l="1"/>
  <c r="AC521" i="9"/>
  <c r="AC522" i="9" l="1"/>
  <c r="AB521" i="9"/>
  <c r="AC523" i="9" l="1"/>
  <c r="AB522" i="9"/>
  <c r="AB523" i="9" l="1"/>
  <c r="AC524" i="9"/>
  <c r="AC525" i="9" l="1"/>
  <c r="AB524" i="9"/>
  <c r="AC526" i="9" l="1"/>
  <c r="AB525" i="9"/>
  <c r="AC527" i="9" l="1"/>
  <c r="AB526" i="9"/>
  <c r="AB527" i="9" l="1"/>
  <c r="AC528" i="9"/>
  <c r="AC529" i="9" l="1"/>
  <c r="AB528" i="9"/>
  <c r="AC530" i="9" l="1"/>
  <c r="AB529" i="9"/>
  <c r="AC531" i="9" l="1"/>
  <c r="AB530" i="9"/>
  <c r="AB531" i="9" l="1"/>
  <c r="AC532" i="9"/>
  <c r="AC533" i="9" l="1"/>
  <c r="AB532" i="9"/>
  <c r="AC534" i="9" l="1"/>
  <c r="AB533" i="9"/>
  <c r="AC535" i="9" l="1"/>
  <c r="AB534" i="9"/>
  <c r="AB535" i="9" l="1"/>
  <c r="AC536" i="9"/>
  <c r="AC537" i="9" l="1"/>
  <c r="AB536" i="9"/>
  <c r="AC538" i="9" l="1"/>
  <c r="AB537" i="9"/>
  <c r="AC539" i="9" l="1"/>
  <c r="AB538" i="9"/>
  <c r="AB539" i="9" l="1"/>
  <c r="AC540" i="9"/>
  <c r="AC541" i="9" l="1"/>
  <c r="AB540" i="9"/>
  <c r="AB541" i="9" l="1"/>
  <c r="AC542" i="9"/>
  <c r="AC543" i="9" l="1"/>
  <c r="AB542" i="9"/>
  <c r="AB543" i="9" l="1"/>
  <c r="AC544" i="9"/>
  <c r="AC545" i="9" l="1"/>
  <c r="AB544" i="9"/>
  <c r="AC546" i="9" l="1"/>
  <c r="AB545" i="9"/>
  <c r="AC547" i="9" l="1"/>
  <c r="AB546" i="9"/>
  <c r="AB547" i="9" l="1"/>
  <c r="AC548" i="9"/>
  <c r="AC549" i="9" l="1"/>
  <c r="AB548" i="9"/>
  <c r="AC550" i="9" l="1"/>
  <c r="AB549" i="9"/>
  <c r="AC551" i="9" l="1"/>
  <c r="AB550" i="9"/>
  <c r="AB551" i="9" l="1"/>
  <c r="AC552" i="9"/>
  <c r="AB552" i="9" l="1"/>
  <c r="AC553" i="9"/>
  <c r="AC554" i="9" l="1"/>
  <c r="AB553" i="9"/>
  <c r="AC555" i="9" l="1"/>
  <c r="AB554" i="9"/>
  <c r="AB555" i="9" l="1"/>
  <c r="AC556" i="9"/>
  <c r="AC557" i="9" l="1"/>
  <c r="AB556" i="9"/>
  <c r="AC558" i="9" l="1"/>
  <c r="AB557" i="9"/>
  <c r="AC559" i="9" l="1"/>
  <c r="AB558" i="9"/>
  <c r="AB559" i="9" l="1"/>
  <c r="AC560" i="9"/>
  <c r="AC561" i="9" l="1"/>
  <c r="AB560" i="9"/>
  <c r="AC562" i="9" l="1"/>
  <c r="AB561" i="9"/>
  <c r="AC563" i="9" l="1"/>
  <c r="AB562" i="9"/>
  <c r="AB563" i="9" l="1"/>
  <c r="AC564" i="9"/>
  <c r="AC565" i="9" l="1"/>
  <c r="AB564" i="9"/>
  <c r="AC566" i="9" l="1"/>
  <c r="AB565" i="9"/>
  <c r="AC567" i="9" l="1"/>
  <c r="AB566" i="9"/>
  <c r="AB567" i="9" l="1"/>
  <c r="AC568" i="9"/>
  <c r="AC569" i="9" l="1"/>
  <c r="AB568" i="9"/>
  <c r="AC570" i="9" l="1"/>
  <c r="AB569" i="9"/>
  <c r="AC571" i="9" l="1"/>
  <c r="AB570" i="9"/>
  <c r="AB571" i="9" l="1"/>
  <c r="AC572" i="9"/>
  <c r="AC573" i="9" l="1"/>
  <c r="AB572" i="9"/>
  <c r="AB573" i="9" l="1"/>
  <c r="AC574" i="9"/>
  <c r="AC575" i="9" l="1"/>
  <c r="AB574" i="9"/>
  <c r="AB575" i="9" l="1"/>
  <c r="AC576" i="9"/>
  <c r="AC577" i="9" l="1"/>
  <c r="AB576" i="9"/>
  <c r="AC578" i="9" l="1"/>
  <c r="AB577" i="9"/>
  <c r="AC579" i="9" l="1"/>
  <c r="AB578" i="9"/>
  <c r="AB579" i="9" l="1"/>
  <c r="AC580" i="9"/>
  <c r="AC581" i="9" l="1"/>
  <c r="AB580" i="9"/>
  <c r="AC582" i="9" l="1"/>
  <c r="AB581" i="9"/>
  <c r="AC583" i="9" l="1"/>
  <c r="AB582" i="9"/>
  <c r="AB583" i="9" l="1"/>
  <c r="AC584" i="9"/>
  <c r="AB584" i="9" l="1"/>
  <c r="AC585" i="9"/>
  <c r="AC586" i="9" l="1"/>
  <c r="AB585" i="9"/>
  <c r="AC587" i="9" l="1"/>
  <c r="AB586" i="9"/>
  <c r="AB587" i="9" l="1"/>
  <c r="AC588" i="9"/>
  <c r="AC589" i="9" l="1"/>
  <c r="AB588" i="9"/>
  <c r="AC590" i="9" l="1"/>
  <c r="AB589" i="9"/>
  <c r="AC591" i="9" l="1"/>
  <c r="AB590" i="9"/>
  <c r="AB591" i="9" l="1"/>
  <c r="AC592" i="9"/>
  <c r="AC593" i="9" l="1"/>
  <c r="AB592" i="9"/>
  <c r="AC594" i="9" l="1"/>
  <c r="AB593" i="9"/>
  <c r="AC595" i="9" l="1"/>
  <c r="AB594" i="9"/>
  <c r="AB595" i="9" l="1"/>
  <c r="AC596" i="9"/>
  <c r="AC597" i="9" l="1"/>
  <c r="AB596" i="9"/>
  <c r="AC598" i="9" l="1"/>
  <c r="AB597" i="9"/>
  <c r="AC599" i="9" l="1"/>
  <c r="AB598" i="9"/>
  <c r="AB599" i="9" l="1"/>
  <c r="AC600" i="9"/>
  <c r="AC601" i="9" l="1"/>
  <c r="AB600" i="9"/>
  <c r="AC602" i="9" l="1"/>
  <c r="AB601" i="9"/>
  <c r="AC603" i="9" l="1"/>
  <c r="AB602" i="9"/>
  <c r="AB603" i="9" l="1"/>
  <c r="AC604" i="9"/>
  <c r="AC605" i="9" l="1"/>
  <c r="AB604" i="9"/>
  <c r="AB605" i="9" l="1"/>
  <c r="AC606" i="9"/>
  <c r="AC607" i="9" l="1"/>
  <c r="AB606" i="9"/>
  <c r="AB607" i="9" l="1"/>
  <c r="AC608" i="9"/>
  <c r="AB608" i="9" l="1"/>
  <c r="AC609" i="9"/>
  <c r="AB609" i="9" l="1"/>
  <c r="AC610" i="9"/>
  <c r="AB610" i="9" l="1"/>
  <c r="AC611" i="9"/>
  <c r="AB611" i="9" l="1"/>
  <c r="AC612" i="9"/>
  <c r="AB612" i="9" l="1"/>
  <c r="AC613" i="9"/>
  <c r="AB613" i="9" l="1"/>
  <c r="AC614" i="9"/>
  <c r="AB614" i="9" l="1"/>
  <c r="AC615" i="9"/>
  <c r="AB615" i="9" l="1"/>
  <c r="AC616" i="9"/>
  <c r="AB616" i="9" l="1"/>
  <c r="AC617" i="9"/>
  <c r="AB617" i="9" l="1"/>
  <c r="AC618" i="9"/>
  <c r="AB618" i="9" l="1"/>
  <c r="AC619" i="9"/>
  <c r="AB619" i="9" l="1"/>
  <c r="AC620" i="9"/>
  <c r="AB620" i="9" l="1"/>
  <c r="AC621" i="9"/>
  <c r="AB621" i="9" l="1"/>
  <c r="AC622" i="9"/>
  <c r="AB622" i="9" l="1"/>
  <c r="AC623" i="9"/>
  <c r="AB623" i="9" l="1"/>
  <c r="AC624" i="9"/>
  <c r="AB624" i="9" l="1"/>
  <c r="AC625" i="9"/>
  <c r="AB625" i="9" l="1"/>
  <c r="AC626" i="9"/>
  <c r="AB626" i="9" l="1"/>
  <c r="AC627" i="9"/>
  <c r="AB627" i="9" l="1"/>
  <c r="AC628" i="9"/>
  <c r="AB628" i="9" l="1"/>
  <c r="AC629" i="9"/>
  <c r="AB629" i="9" l="1"/>
  <c r="AC630" i="9"/>
  <c r="AB630" i="9" l="1"/>
  <c r="AC631" i="9"/>
  <c r="AC632" i="9" l="1"/>
  <c r="AB631" i="9"/>
  <c r="AB632" i="9" l="1"/>
  <c r="AC633" i="9"/>
  <c r="AB633" i="9" l="1"/>
  <c r="AC634" i="9"/>
  <c r="AB634" i="9" l="1"/>
  <c r="AC635" i="9"/>
  <c r="AB635" i="9" l="1"/>
  <c r="AC636" i="9"/>
  <c r="AB636" i="9" l="1"/>
  <c r="AC637" i="9"/>
  <c r="AC638" i="9" l="1"/>
  <c r="AB637" i="9"/>
  <c r="AB638" i="9" l="1"/>
  <c r="AC639" i="9"/>
  <c r="AB639" i="9" l="1"/>
  <c r="AC640" i="9"/>
  <c r="AB640" i="9" l="1"/>
  <c r="AC641" i="9"/>
  <c r="AB641" i="9" l="1"/>
  <c r="AC642" i="9"/>
  <c r="AC643" i="9" l="1"/>
  <c r="AB642" i="9"/>
  <c r="AB643" i="9" l="1"/>
  <c r="AC644" i="9"/>
  <c r="AB644" i="9" l="1"/>
  <c r="AC645" i="9"/>
  <c r="AB645" i="9" l="1"/>
  <c r="AC646" i="9"/>
  <c r="AB646" i="9" l="1"/>
  <c r="AC647" i="9"/>
  <c r="AC648" i="9" l="1"/>
  <c r="AB647" i="9"/>
  <c r="AB648" i="9" l="1"/>
  <c r="AC649" i="9"/>
  <c r="AB649" i="9" l="1"/>
  <c r="AC650" i="9"/>
  <c r="AB650" i="9" l="1"/>
  <c r="AC651" i="9"/>
  <c r="AB651" i="9" l="1"/>
  <c r="AC652" i="9"/>
  <c r="AB652" i="9" l="1"/>
  <c r="AC653" i="9"/>
  <c r="AC654" i="9" l="1"/>
  <c r="AB653" i="9"/>
  <c r="AB654" i="9" l="1"/>
  <c r="AC655" i="9"/>
  <c r="AB655" i="9" l="1"/>
  <c r="AC656" i="9"/>
  <c r="AB656" i="9" l="1"/>
  <c r="AC657" i="9"/>
  <c r="AB657" i="9" l="1"/>
  <c r="AC658" i="9"/>
  <c r="AC659" i="9" l="1"/>
  <c r="AB658" i="9"/>
  <c r="AB659" i="9" l="1"/>
  <c r="AC660" i="9"/>
  <c r="AB660" i="9" l="1"/>
  <c r="AC661" i="9"/>
  <c r="AB661" i="9" l="1"/>
  <c r="AC662" i="9"/>
  <c r="AB662" i="9" l="1"/>
  <c r="AC663" i="9"/>
  <c r="AC664" i="9" l="1"/>
  <c r="AB663" i="9"/>
  <c r="AB664" i="9" l="1"/>
  <c r="AC665" i="9"/>
  <c r="AB665" i="9" l="1"/>
  <c r="AC666" i="9"/>
  <c r="AB666" i="9" l="1"/>
  <c r="AC667" i="9"/>
  <c r="AB667" i="9" l="1"/>
  <c r="AC668" i="9"/>
  <c r="AB668" i="9" l="1"/>
  <c r="AC669" i="9"/>
  <c r="AC670" i="9" l="1"/>
  <c r="AB669" i="9"/>
  <c r="AB670" i="9" l="1"/>
  <c r="AC671" i="9"/>
  <c r="AB671" i="9" l="1"/>
  <c r="AC672" i="9"/>
  <c r="AB672" i="9" l="1"/>
  <c r="AC673" i="9"/>
  <c r="AB673" i="9" l="1"/>
  <c r="AC674" i="9"/>
  <c r="AC675" i="9" l="1"/>
  <c r="AB674" i="9"/>
  <c r="AB675" i="9" l="1"/>
  <c r="AC676" i="9"/>
  <c r="AB676" i="9" l="1"/>
  <c r="AC677" i="9"/>
  <c r="AB677" i="9" l="1"/>
  <c r="AC678" i="9"/>
  <c r="AB678" i="9" l="1"/>
  <c r="AC679" i="9"/>
  <c r="AC680" i="9" l="1"/>
  <c r="AB679" i="9"/>
  <c r="AB680" i="9" l="1"/>
  <c r="AC681" i="9"/>
  <c r="AB681" i="9" l="1"/>
  <c r="AC682" i="9"/>
  <c r="AB682" i="9" l="1"/>
  <c r="AC683" i="9"/>
  <c r="AB683" i="9" l="1"/>
  <c r="AC684" i="9"/>
  <c r="AB684" i="9" l="1"/>
  <c r="AC685" i="9"/>
  <c r="AC686" i="9" l="1"/>
  <c r="AB685" i="9"/>
  <c r="AB686" i="9" l="1"/>
  <c r="AC687" i="9"/>
  <c r="AB687" i="9" l="1"/>
  <c r="AC688" i="9"/>
  <c r="AB688" i="9" l="1"/>
  <c r="AC689" i="9"/>
  <c r="AB689" i="9" l="1"/>
  <c r="AC690" i="9"/>
  <c r="AC691" i="9" l="1"/>
  <c r="AB690" i="9"/>
  <c r="AB691" i="9" l="1"/>
  <c r="AC692" i="9"/>
  <c r="AB692" i="9" l="1"/>
  <c r="AC693" i="9"/>
  <c r="AB693" i="9" l="1"/>
  <c r="AC694" i="9"/>
  <c r="AB694" i="9" l="1"/>
  <c r="AC695" i="9"/>
  <c r="AC696" i="9" l="1"/>
  <c r="AB695" i="9"/>
  <c r="AB696" i="9" l="1"/>
  <c r="AC697" i="9"/>
  <c r="AB697" i="9" l="1"/>
  <c r="AC698" i="9"/>
  <c r="AB698" i="9" l="1"/>
  <c r="AC699" i="9"/>
  <c r="AB699" i="9" l="1"/>
  <c r="AC700" i="9"/>
  <c r="AB700" i="9" l="1"/>
  <c r="AC701" i="9"/>
  <c r="AC702" i="9" l="1"/>
  <c r="AB701" i="9"/>
  <c r="AB702" i="9" l="1"/>
  <c r="AC703" i="9"/>
  <c r="AB703" i="9" l="1"/>
  <c r="AC704" i="9"/>
  <c r="AB704" i="9" l="1"/>
  <c r="AC705" i="9"/>
  <c r="AB705" i="9" l="1"/>
  <c r="AC706" i="9"/>
  <c r="AC707" i="9" l="1"/>
  <c r="AB706" i="9"/>
  <c r="AB707" i="9" l="1"/>
  <c r="AC708" i="9"/>
  <c r="AB708" i="9" l="1"/>
  <c r="AC709" i="9"/>
  <c r="AB709" i="9" l="1"/>
  <c r="AC710" i="9"/>
  <c r="AB710" i="9" l="1"/>
  <c r="AC711" i="9"/>
  <c r="AC712" i="9" l="1"/>
  <c r="AB711" i="9"/>
  <c r="AB712" i="9" l="1"/>
  <c r="AC713" i="9"/>
  <c r="AB713" i="9" l="1"/>
  <c r="AC714" i="9"/>
  <c r="AB714" i="9" l="1"/>
  <c r="AC715" i="9"/>
  <c r="AB715" i="9" l="1"/>
  <c r="AC716" i="9"/>
  <c r="AB716" i="9" l="1"/>
  <c r="AC717" i="9"/>
  <c r="AC718" i="9" l="1"/>
  <c r="AB717" i="9"/>
  <c r="AB718" i="9" l="1"/>
  <c r="AC719" i="9"/>
  <c r="AB719" i="9" l="1"/>
  <c r="AC720" i="9"/>
  <c r="AB720" i="9" l="1"/>
  <c r="AC721" i="9"/>
  <c r="AB721" i="9" l="1"/>
  <c r="AC722" i="9"/>
  <c r="AC723" i="9" l="1"/>
  <c r="AB722" i="9"/>
  <c r="AB723" i="9" l="1"/>
  <c r="AC724" i="9"/>
  <c r="AB724" i="9" l="1"/>
  <c r="AC725" i="9"/>
  <c r="AB725" i="9" l="1"/>
  <c r="AC726" i="9"/>
  <c r="AB726" i="9" l="1"/>
  <c r="AC727" i="9"/>
  <c r="AC728" i="9" l="1"/>
  <c r="AB727" i="9"/>
  <c r="AB728" i="9" l="1"/>
  <c r="AC729" i="9"/>
  <c r="AB729" i="9" l="1"/>
  <c r="AC730" i="9"/>
  <c r="AB730" i="9" l="1"/>
  <c r="AC731" i="9"/>
  <c r="AB731" i="9" l="1"/>
  <c r="AC732" i="9"/>
  <c r="AB732" i="9" l="1"/>
  <c r="AC733" i="9"/>
  <c r="AC734" i="9" l="1"/>
  <c r="AB733" i="9"/>
  <c r="AB734" i="9" l="1"/>
  <c r="AC735" i="9"/>
  <c r="AB735" i="9" l="1"/>
  <c r="AC736" i="9"/>
  <c r="AB736" i="9" l="1"/>
  <c r="AC737" i="9"/>
  <c r="AB737" i="9" l="1"/>
  <c r="AC738" i="9"/>
  <c r="AC739" i="9" l="1"/>
  <c r="AB738" i="9"/>
  <c r="AB739" i="9" l="1"/>
  <c r="AC740" i="9"/>
  <c r="AB740" i="9" l="1"/>
  <c r="AC741" i="9"/>
  <c r="AB741" i="9" l="1"/>
  <c r="AC742" i="9"/>
  <c r="AB742" i="9" l="1"/>
  <c r="AC743" i="9"/>
  <c r="AC744" i="9" l="1"/>
  <c r="AB743" i="9"/>
  <c r="AB744" i="9" l="1"/>
  <c r="AC745" i="9"/>
  <c r="AB745" i="9" l="1"/>
  <c r="AC746" i="9"/>
  <c r="AB746" i="9" l="1"/>
  <c r="AC747" i="9"/>
  <c r="AB747" i="9" l="1"/>
  <c r="AC748" i="9"/>
  <c r="AB748" i="9" l="1"/>
  <c r="AC749" i="9"/>
  <c r="AC750" i="9" l="1"/>
  <c r="AB749" i="9"/>
  <c r="AB750" i="9" l="1"/>
  <c r="AC751" i="9"/>
  <c r="AB751" i="9" l="1"/>
  <c r="AC752" i="9"/>
  <c r="AB752" i="9" l="1"/>
  <c r="AC753" i="9"/>
  <c r="AB753" i="9" l="1"/>
  <c r="AC754" i="9"/>
  <c r="AC755" i="9" l="1"/>
  <c r="AB754" i="9"/>
  <c r="AB755" i="9" l="1"/>
  <c r="AC756" i="9"/>
  <c r="AB756" i="9" l="1"/>
  <c r="AC757" i="9"/>
  <c r="AB757" i="9" l="1"/>
  <c r="AC758" i="9"/>
  <c r="AB758" i="9" l="1"/>
  <c r="AC759" i="9"/>
  <c r="AC760" i="9" l="1"/>
  <c r="AB759" i="9"/>
  <c r="AB760" i="9" l="1"/>
  <c r="AC761" i="9"/>
  <c r="AB761" i="9" l="1"/>
  <c r="AC762" i="9"/>
  <c r="AB762" i="9" l="1"/>
  <c r="AC763" i="9"/>
  <c r="AB763" i="9" l="1"/>
  <c r="AC764" i="9"/>
  <c r="AB764" i="9" l="1"/>
  <c r="AC765" i="9"/>
  <c r="AC766" i="9" l="1"/>
  <c r="AB765" i="9"/>
  <c r="AB766" i="9" l="1"/>
  <c r="AC767" i="9"/>
  <c r="AB767" i="9" l="1"/>
  <c r="AC768" i="9"/>
  <c r="AB768" i="9" l="1"/>
  <c r="AC769" i="9"/>
  <c r="AB769" i="9" l="1"/>
  <c r="AC770" i="9"/>
  <c r="AC771" i="9" l="1"/>
  <c r="AB770" i="9"/>
  <c r="AB771" i="9" l="1"/>
  <c r="AC772" i="9"/>
  <c r="AB772" i="9" l="1"/>
  <c r="AC773" i="9"/>
  <c r="AB773" i="9" l="1"/>
  <c r="AC774" i="9"/>
  <c r="AB774" i="9" l="1"/>
  <c r="AC775" i="9"/>
  <c r="AC776" i="9" l="1"/>
  <c r="AB775" i="9"/>
  <c r="AB776" i="9" l="1"/>
  <c r="AC777" i="9"/>
  <c r="AB777" i="9" l="1"/>
  <c r="AC778" i="9"/>
  <c r="AB778" i="9" l="1"/>
  <c r="AC779" i="9"/>
  <c r="AB779" i="9" l="1"/>
  <c r="AC780" i="9"/>
  <c r="AB780" i="9" l="1"/>
  <c r="AC781" i="9"/>
  <c r="AC782" i="9" l="1"/>
  <c r="AB781" i="9"/>
  <c r="AB782" i="9" l="1"/>
  <c r="AC783" i="9"/>
  <c r="AB783" i="9" l="1"/>
  <c r="AC784" i="9"/>
  <c r="AB784" i="9" l="1"/>
  <c r="AC785" i="9"/>
  <c r="AB785" i="9" l="1"/>
  <c r="AC786" i="9"/>
  <c r="AC787" i="9" l="1"/>
  <c r="AB786" i="9"/>
  <c r="AB787" i="9" l="1"/>
  <c r="AC788" i="9"/>
  <c r="AB788" i="9" l="1"/>
  <c r="AC789" i="9"/>
  <c r="AB789" i="9" l="1"/>
  <c r="AC790" i="9"/>
  <c r="AB790" i="9" l="1"/>
  <c r="AC791" i="9"/>
  <c r="AC792" i="9" l="1"/>
  <c r="AB791" i="9"/>
  <c r="AB792" i="9" l="1"/>
  <c r="AC793" i="9"/>
  <c r="AB793" i="9" l="1"/>
  <c r="AC794" i="9"/>
  <c r="AB794" i="9" l="1"/>
  <c r="AC795" i="9"/>
  <c r="AB795" i="9" l="1"/>
  <c r="AC796" i="9"/>
  <c r="AB796" i="9" l="1"/>
  <c r="AC797" i="9"/>
  <c r="AC798" i="9" l="1"/>
  <c r="AB797" i="9"/>
  <c r="AB798" i="9" l="1"/>
  <c r="AC799" i="9"/>
  <c r="AB799" i="9" l="1"/>
  <c r="AC800" i="9"/>
  <c r="AB800" i="9" l="1"/>
  <c r="AC801" i="9"/>
  <c r="AB801" i="9" l="1"/>
  <c r="AC802" i="9"/>
  <c r="AC803" i="9" l="1"/>
  <c r="AB802" i="9"/>
  <c r="AB803" i="9" l="1"/>
  <c r="AC804" i="9"/>
  <c r="AB804" i="9" l="1"/>
  <c r="AC805" i="9"/>
  <c r="AB805" i="9" l="1"/>
  <c r="AC806" i="9"/>
  <c r="AB806" i="9" l="1"/>
  <c r="AC807" i="9"/>
  <c r="AC808" i="9" l="1"/>
  <c r="AB807" i="9"/>
  <c r="AB808" i="9" l="1"/>
  <c r="AC809" i="9"/>
  <c r="AB809" i="9" l="1"/>
  <c r="AC810" i="9"/>
  <c r="AB810" i="9" l="1"/>
  <c r="AC811" i="9"/>
  <c r="AB811" i="9" l="1"/>
  <c r="AC812" i="9"/>
  <c r="AB812" i="9" l="1"/>
  <c r="AC813" i="9"/>
  <c r="AC814" i="9" l="1"/>
  <c r="AB813" i="9"/>
  <c r="AB814" i="9" l="1"/>
  <c r="AC815" i="9"/>
  <c r="AB815" i="9" l="1"/>
  <c r="AC816" i="9"/>
  <c r="AB816" i="9" l="1"/>
  <c r="AC817" i="9"/>
  <c r="AB817" i="9" l="1"/>
  <c r="AC818" i="9"/>
  <c r="AC819" i="9" l="1"/>
  <c r="AB818" i="9"/>
  <c r="AB819" i="9" l="1"/>
  <c r="AC820" i="9"/>
  <c r="AB820" i="9" l="1"/>
  <c r="AC821" i="9"/>
  <c r="AB821" i="9" l="1"/>
  <c r="AC822" i="9"/>
  <c r="AB822" i="9" l="1"/>
  <c r="AC823" i="9"/>
  <c r="AC824" i="9" l="1"/>
  <c r="AB823" i="9"/>
  <c r="AB824" i="9" l="1"/>
  <c r="AC825" i="9"/>
  <c r="AB825" i="9" l="1"/>
  <c r="AC826" i="9"/>
  <c r="AB826" i="9" l="1"/>
  <c r="AC827" i="9"/>
  <c r="AB827" i="9" l="1"/>
  <c r="AC828" i="9"/>
  <c r="AB828" i="9" l="1"/>
  <c r="AC829" i="9"/>
  <c r="AC830" i="9" l="1"/>
  <c r="AB829" i="9"/>
  <c r="AB830" i="9" l="1"/>
  <c r="AC831" i="9"/>
  <c r="AB831" i="9" l="1"/>
  <c r="AC832" i="9"/>
  <c r="AB832" i="9" l="1"/>
  <c r="AC833" i="9"/>
  <c r="AB833" i="9" l="1"/>
  <c r="AC834" i="9"/>
  <c r="AC835" i="9" l="1"/>
  <c r="AB834" i="9"/>
  <c r="AB835" i="9" l="1"/>
  <c r="AC836" i="9"/>
  <c r="AB836" i="9" l="1"/>
  <c r="AC837" i="9"/>
  <c r="AB837" i="9" l="1"/>
  <c r="AC838" i="9"/>
  <c r="AB838" i="9" l="1"/>
  <c r="AC839" i="9"/>
  <c r="AC840" i="9" l="1"/>
  <c r="AB839" i="9"/>
  <c r="AB840" i="9" l="1"/>
  <c r="AC841" i="9"/>
  <c r="AB841" i="9" l="1"/>
  <c r="AC842" i="9"/>
  <c r="AB842" i="9" l="1"/>
  <c r="AC843" i="9"/>
  <c r="AB843" i="9" l="1"/>
  <c r="AC844" i="9"/>
  <c r="AB844" i="9" l="1"/>
  <c r="AC845" i="9"/>
  <c r="AC846" i="9" l="1"/>
  <c r="AB845" i="9"/>
  <c r="AB846" i="9" l="1"/>
  <c r="AC847" i="9"/>
  <c r="AB847" i="9" l="1"/>
  <c r="AC848" i="9"/>
  <c r="AB848" i="9" l="1"/>
  <c r="AC849" i="9"/>
  <c r="AB849" i="9" l="1"/>
  <c r="AC850" i="9"/>
  <c r="AC851" i="9" l="1"/>
  <c r="AB850" i="9"/>
  <c r="AB851" i="9" l="1"/>
  <c r="AC852" i="9"/>
  <c r="AB852" i="9" l="1"/>
  <c r="AC853" i="9"/>
  <c r="AB853" i="9" l="1"/>
  <c r="AC854" i="9"/>
  <c r="AB854" i="9" l="1"/>
  <c r="AC855" i="9"/>
  <c r="AC856" i="9" l="1"/>
  <c r="AB855" i="9"/>
  <c r="AB856" i="9" l="1"/>
  <c r="AC857" i="9"/>
  <c r="AB857" i="9" l="1"/>
  <c r="AC858" i="9"/>
  <c r="AB858" i="9" l="1"/>
  <c r="AC859" i="9"/>
  <c r="AB859" i="9" l="1"/>
  <c r="AC860" i="9"/>
  <c r="AB860" i="9" l="1"/>
  <c r="AC861" i="9"/>
  <c r="AC862" i="9" l="1"/>
  <c r="AB861" i="9"/>
  <c r="AB862" i="9" l="1"/>
  <c r="AC863" i="9"/>
  <c r="AB863" i="9" l="1"/>
  <c r="AC864" i="9"/>
  <c r="AB864" i="9" l="1"/>
  <c r="AC865" i="9"/>
  <c r="AB865" i="9" l="1"/>
  <c r="AC866" i="9"/>
  <c r="AC867" i="9" l="1"/>
  <c r="AB866" i="9"/>
  <c r="AB867" i="9" l="1"/>
  <c r="AC868" i="9"/>
  <c r="AB868" i="9" l="1"/>
  <c r="AC869" i="9"/>
  <c r="AB869" i="9" l="1"/>
  <c r="AC870" i="9"/>
  <c r="AB870" i="9" l="1"/>
  <c r="AC871" i="9"/>
  <c r="AC872" i="9" l="1"/>
  <c r="AB871" i="9"/>
  <c r="AB872" i="9" l="1"/>
  <c r="AC873" i="9"/>
  <c r="AB873" i="9" l="1"/>
  <c r="AC874" i="9"/>
  <c r="AB874" i="9" l="1"/>
  <c r="AC875" i="9"/>
  <c r="AB875" i="9" l="1"/>
  <c r="AC876" i="9"/>
  <c r="AB876" i="9" l="1"/>
  <c r="AC877" i="9"/>
  <c r="AC878" i="9" l="1"/>
  <c r="AB877" i="9"/>
  <c r="AB878" i="9" l="1"/>
  <c r="AC879" i="9"/>
  <c r="AB879" i="9" l="1"/>
  <c r="AC880" i="9"/>
  <c r="AB880" i="9" l="1"/>
  <c r="AC881" i="9"/>
  <c r="AB881" i="9" l="1"/>
  <c r="AC882" i="9"/>
  <c r="AC883" i="9" l="1"/>
  <c r="AB882" i="9"/>
  <c r="AB883" i="9" l="1"/>
  <c r="AC884" i="9"/>
  <c r="AB884" i="9" l="1"/>
  <c r="AC885" i="9"/>
  <c r="AB885" i="9" l="1"/>
  <c r="AC886" i="9"/>
  <c r="AB886" i="9" l="1"/>
  <c r="AC887" i="9"/>
  <c r="AC888" i="9" l="1"/>
  <c r="AB887" i="9"/>
  <c r="AB888" i="9" l="1"/>
  <c r="AC889" i="9"/>
  <c r="AB889" i="9" l="1"/>
  <c r="AC890" i="9"/>
  <c r="AB890" i="9" l="1"/>
  <c r="AC891" i="9"/>
  <c r="AB891" i="9" l="1"/>
  <c r="AC892" i="9"/>
  <c r="AB892" i="9" l="1"/>
  <c r="AC893" i="9"/>
  <c r="AC894" i="9" l="1"/>
  <c r="AB893" i="9"/>
  <c r="AB894" i="9" l="1"/>
  <c r="AC895" i="9"/>
  <c r="AB895" i="9" l="1"/>
  <c r="AC896" i="9"/>
  <c r="AB896" i="9" l="1"/>
  <c r="AC897" i="9"/>
  <c r="AB897" i="9" l="1"/>
  <c r="AC898" i="9"/>
  <c r="AC899" i="9" l="1"/>
  <c r="AB898" i="9"/>
  <c r="AB899" i="9" l="1"/>
  <c r="AC900" i="9"/>
  <c r="AB900" i="9" l="1"/>
  <c r="AC901" i="9"/>
  <c r="AB901" i="9" l="1"/>
  <c r="AC902" i="9"/>
  <c r="AB902" i="9" l="1"/>
  <c r="AC903" i="9"/>
  <c r="AC904" i="9" l="1"/>
  <c r="AB903" i="9"/>
  <c r="AB904" i="9" l="1"/>
  <c r="AC905" i="9"/>
  <c r="AB905" i="9" l="1"/>
  <c r="AC906" i="9"/>
  <c r="AB906" i="9" l="1"/>
  <c r="AC907" i="9"/>
  <c r="AB907" i="9" l="1"/>
  <c r="AC908" i="9"/>
  <c r="AB908" i="9" l="1"/>
  <c r="AC909" i="9"/>
  <c r="AC910" i="9" l="1"/>
  <c r="AB909" i="9"/>
  <c r="AB910" i="9" l="1"/>
  <c r="AC911" i="9"/>
  <c r="AB911" i="9" l="1"/>
  <c r="AC912" i="9"/>
  <c r="AB912" i="9" l="1"/>
  <c r="AC913" i="9"/>
  <c r="AB913" i="9" l="1"/>
  <c r="AC914" i="9"/>
  <c r="AC915" i="9" l="1"/>
  <c r="AB914" i="9"/>
  <c r="AB915" i="9" l="1"/>
  <c r="AC916" i="9"/>
  <c r="AB916" i="9" l="1"/>
  <c r="AC917" i="9"/>
  <c r="AB917" i="9" l="1"/>
  <c r="AC918" i="9"/>
  <c r="AB918" i="9" l="1"/>
  <c r="AC919" i="9"/>
  <c r="AC920" i="9" l="1"/>
  <c r="AB919" i="9"/>
  <c r="AB920" i="9" l="1"/>
  <c r="AC921" i="9"/>
  <c r="AB921" i="9" l="1"/>
  <c r="AC922" i="9"/>
  <c r="AB922" i="9" l="1"/>
  <c r="AC923" i="9"/>
  <c r="AB923" i="9" l="1"/>
  <c r="AC924" i="9"/>
  <c r="AB924" i="9" l="1"/>
  <c r="AC925" i="9"/>
  <c r="AC926" i="9" l="1"/>
  <c r="AB925" i="9"/>
  <c r="AB926" i="9" l="1"/>
  <c r="AC927" i="9"/>
  <c r="AB927" i="9" l="1"/>
  <c r="AC928" i="9"/>
  <c r="AB928" i="9" l="1"/>
  <c r="AC929" i="9"/>
  <c r="AB929" i="9" l="1"/>
  <c r="AC930" i="9"/>
  <c r="AC931" i="9" l="1"/>
  <c r="AB930" i="9"/>
  <c r="AB931" i="9" l="1"/>
  <c r="AC932" i="9"/>
  <c r="AB932" i="9" l="1"/>
  <c r="AC933" i="9"/>
  <c r="AB933" i="9" l="1"/>
  <c r="AC934" i="9"/>
  <c r="AB934" i="9" l="1"/>
  <c r="AC935" i="9"/>
  <c r="AC936" i="9" l="1"/>
  <c r="AB935" i="9"/>
  <c r="AB936" i="9" l="1"/>
  <c r="AC937" i="9"/>
  <c r="AB937" i="9" l="1"/>
  <c r="AC938" i="9"/>
  <c r="AB938" i="9" l="1"/>
  <c r="AC939" i="9"/>
  <c r="AB939" i="9" l="1"/>
  <c r="AC940" i="9"/>
  <c r="AB940" i="9" l="1"/>
  <c r="AC941" i="9"/>
  <c r="AC942" i="9" l="1"/>
  <c r="AB941" i="9"/>
  <c r="AB942" i="9" l="1"/>
  <c r="AC943" i="9"/>
  <c r="AB943" i="9" l="1"/>
  <c r="AC944" i="9"/>
  <c r="AB944" i="9" l="1"/>
  <c r="AC945" i="9"/>
  <c r="AB945" i="9" l="1"/>
  <c r="AC946" i="9"/>
  <c r="AC947" i="9" l="1"/>
  <c r="AB946" i="9"/>
  <c r="AB947" i="9" l="1"/>
  <c r="AC948" i="9"/>
  <c r="AB948" i="9" l="1"/>
  <c r="AC949" i="9"/>
  <c r="AB949" i="9" l="1"/>
  <c r="AC950" i="9"/>
  <c r="AB950" i="9" l="1"/>
  <c r="AC951" i="9"/>
  <c r="AC952" i="9" l="1"/>
  <c r="AB951" i="9"/>
  <c r="AB952" i="9" l="1"/>
  <c r="AC953" i="9"/>
  <c r="AB953" i="9" l="1"/>
  <c r="AC954" i="9"/>
  <c r="AB954" i="9" l="1"/>
  <c r="AC955" i="9"/>
  <c r="AB955" i="9" l="1"/>
  <c r="AC956" i="9"/>
  <c r="AB956" i="9" l="1"/>
  <c r="AC957" i="9"/>
  <c r="AC958" i="9" l="1"/>
  <c r="AB957" i="9"/>
  <c r="AB958" i="9" l="1"/>
  <c r="AC959" i="9"/>
  <c r="AB959" i="9" l="1"/>
  <c r="AC960" i="9"/>
  <c r="AB960" i="9" l="1"/>
  <c r="AC961" i="9"/>
  <c r="AB961" i="9" l="1"/>
  <c r="AC962" i="9"/>
  <c r="AC963" i="9" l="1"/>
  <c r="AB962" i="9"/>
  <c r="AB963" i="9" l="1"/>
  <c r="AC964" i="9"/>
  <c r="AB964" i="9" l="1"/>
  <c r="AC965" i="9"/>
  <c r="AB965" i="9" l="1"/>
  <c r="AC966" i="9"/>
  <c r="AB966" i="9" l="1"/>
  <c r="AC967" i="9"/>
  <c r="AC968" i="9" l="1"/>
  <c r="AB967" i="9"/>
  <c r="AB968" i="9" l="1"/>
  <c r="AC969" i="9"/>
  <c r="AB969" i="9" l="1"/>
  <c r="AC970" i="9"/>
  <c r="AB970" i="9" l="1"/>
  <c r="AC971" i="9"/>
  <c r="AB971" i="9" l="1"/>
  <c r="AC972" i="9"/>
  <c r="AB972" i="9" l="1"/>
  <c r="AC973" i="9"/>
  <c r="AC974" i="9" l="1"/>
  <c r="AB973" i="9"/>
  <c r="AB974" i="9" l="1"/>
  <c r="AC975" i="9"/>
  <c r="AB975" i="9" l="1"/>
  <c r="AC976" i="9"/>
  <c r="AB976" i="9" l="1"/>
  <c r="AC977" i="9"/>
  <c r="AB977" i="9" l="1"/>
  <c r="AC978" i="9"/>
  <c r="AC979" i="9" l="1"/>
  <c r="AB978" i="9"/>
  <c r="AB979" i="9" l="1"/>
  <c r="AC980" i="9"/>
  <c r="AB980" i="9" l="1"/>
  <c r="AC981" i="9"/>
  <c r="AB981" i="9" l="1"/>
  <c r="AC982" i="9"/>
  <c r="AB982" i="9" l="1"/>
  <c r="AC983" i="9"/>
  <c r="AC984" i="9" l="1"/>
  <c r="AB983" i="9"/>
  <c r="AB984" i="9" l="1"/>
  <c r="AC985" i="9"/>
  <c r="AB985" i="9" l="1"/>
  <c r="AC986" i="9"/>
  <c r="AB986" i="9" l="1"/>
  <c r="AC987" i="9"/>
  <c r="AB987" i="9" l="1"/>
  <c r="AC988" i="9"/>
  <c r="AB988" i="9" l="1"/>
  <c r="AC989" i="9"/>
  <c r="AC990" i="9" l="1"/>
  <c r="AB989" i="9"/>
  <c r="AB990" i="9" l="1"/>
  <c r="AC991" i="9"/>
  <c r="AB991" i="9" l="1"/>
  <c r="AC992" i="9"/>
  <c r="AB992" i="9" l="1"/>
  <c r="AC993" i="9"/>
  <c r="AB993" i="9" l="1"/>
  <c r="AC994" i="9"/>
  <c r="AC995" i="9" l="1"/>
  <c r="AB994" i="9"/>
  <c r="AB995" i="9" l="1"/>
  <c r="AC996" i="9"/>
  <c r="AB996" i="9" l="1"/>
  <c r="AC997" i="9"/>
  <c r="AB997" i="9" l="1"/>
  <c r="AC998" i="9"/>
  <c r="AC999" i="9" l="1"/>
  <c r="AB998" i="9"/>
  <c r="AB999" i="9" l="1"/>
  <c r="AC1000" i="9"/>
  <c r="AB1000" i="9" l="1"/>
  <c r="AC1001" i="9"/>
  <c r="AB1001" i="9" l="1"/>
  <c r="AC1002" i="9"/>
  <c r="AB1002" i="9" l="1"/>
  <c r="AC1003" i="9"/>
  <c r="AC1004" i="9" l="1"/>
  <c r="AB1003" i="9"/>
  <c r="AB1004" i="9" l="1"/>
  <c r="AC1005" i="9"/>
  <c r="AB1005" i="9" l="1"/>
  <c r="AC1006" i="9"/>
  <c r="AC1007" i="9" l="1"/>
  <c r="AB1006" i="9"/>
  <c r="AB1007" i="9" l="1"/>
  <c r="AC1008" i="9"/>
  <c r="AB1008" i="9" l="1"/>
  <c r="AC1009" i="9"/>
  <c r="AC1010" i="9" l="1"/>
  <c r="AB1009" i="9"/>
  <c r="AB1010" i="9" l="1"/>
  <c r="AC1011" i="9"/>
  <c r="AB1011" i="9" l="1"/>
  <c r="AC1012" i="9"/>
  <c r="AB1012" i="9" l="1"/>
  <c r="AC1013" i="9"/>
  <c r="AC1014" i="9" l="1"/>
  <c r="AB1013" i="9"/>
  <c r="AC1015" i="9" l="1"/>
  <c r="AB1014" i="9"/>
  <c r="AB1015" i="9" l="1"/>
  <c r="AC1016" i="9"/>
  <c r="AB1016" i="9" l="1"/>
  <c r="AC1017" i="9"/>
  <c r="AB1017" i="9" l="1"/>
  <c r="AC1018" i="9"/>
  <c r="AB1018" i="9" l="1"/>
  <c r="AC1019" i="9"/>
  <c r="AC1020" i="9" l="1"/>
  <c r="AB1019" i="9"/>
  <c r="AB1020" i="9" l="1"/>
  <c r="AC1021" i="9"/>
  <c r="AB1021" i="9" l="1"/>
  <c r="AC1022" i="9"/>
  <c r="AB1022" i="9" l="1"/>
  <c r="AC1023" i="9"/>
  <c r="AB1023" i="9" l="1"/>
  <c r="AC1024" i="9"/>
  <c r="AB1024" i="9" l="1"/>
  <c r="AC1025" i="9"/>
  <c r="AC1026" i="9" l="1"/>
  <c r="AB1025" i="9"/>
  <c r="AB1026" i="9" l="1"/>
  <c r="AC1027" i="9"/>
  <c r="AC1028" i="9" l="1"/>
  <c r="AB1027" i="9"/>
  <c r="AB1028" i="9" l="1"/>
  <c r="AC1029" i="9"/>
  <c r="AB1029" i="9" l="1"/>
  <c r="AC1030" i="9"/>
  <c r="AC1031" i="9" l="1"/>
  <c r="AB1030" i="9"/>
  <c r="AB1031" i="9" l="1"/>
  <c r="AC1032" i="9"/>
  <c r="AB1032" i="9" l="1"/>
  <c r="AC1033" i="9"/>
  <c r="AC1034" i="9" l="1"/>
  <c r="AB1033" i="9"/>
  <c r="AC1035" i="9" l="1"/>
  <c r="AB1034" i="9"/>
  <c r="AB1035" i="9" l="1"/>
  <c r="AC1036" i="9"/>
  <c r="AB1036" i="9" l="1"/>
  <c r="AC1037" i="9"/>
  <c r="AB1037" i="9" l="1"/>
  <c r="AC1038" i="9"/>
  <c r="AC1039" i="9" l="1"/>
  <c r="AB1038" i="9"/>
  <c r="AB1039" i="9" l="1"/>
  <c r="AC1040" i="9"/>
  <c r="AB1040" i="9" l="1"/>
  <c r="AC1041" i="9"/>
  <c r="AB1041" i="9" l="1"/>
  <c r="AC1042" i="9"/>
  <c r="AC1043" i="9" l="1"/>
  <c r="AB1042" i="9"/>
  <c r="AB1043" i="9" l="1"/>
  <c r="AC1044" i="9"/>
  <c r="AC1045" i="9" l="1"/>
  <c r="AB1044" i="9"/>
  <c r="AB1045" i="9" l="1"/>
  <c r="AC1046" i="9"/>
  <c r="AC1047" i="9" l="1"/>
  <c r="AB1046" i="9"/>
  <c r="AB1047" i="9" l="1"/>
  <c r="AC1048" i="9"/>
  <c r="AB1048" i="9" l="1"/>
  <c r="AC1049" i="9"/>
  <c r="AC1050" i="9" l="1"/>
  <c r="AB1049" i="9"/>
  <c r="AC1051" i="9" l="1"/>
  <c r="AB1050" i="9"/>
  <c r="AB1051" i="9" l="1"/>
  <c r="AC1052" i="9"/>
  <c r="AB1052" i="9" l="1"/>
  <c r="AC1053" i="9"/>
  <c r="AB1053" i="9" l="1"/>
  <c r="AC1054" i="9"/>
  <c r="AC1055" i="9" l="1"/>
  <c r="AB1054" i="9"/>
  <c r="AB1055" i="9" l="1"/>
  <c r="AC1056" i="9"/>
  <c r="AB1056" i="9" l="1"/>
  <c r="AC1057" i="9"/>
  <c r="AB1057" i="9" l="1"/>
  <c r="AC1058" i="9"/>
  <c r="AC1059" i="9" l="1"/>
  <c r="AB1058" i="9"/>
  <c r="AB1059" i="9" l="1"/>
  <c r="AC1060" i="9"/>
  <c r="AC1061" i="9" l="1"/>
  <c r="AB1060" i="9"/>
  <c r="AB1061" i="9" l="1"/>
  <c r="AC1062" i="9"/>
  <c r="AC1063" i="9" l="1"/>
  <c r="AB1062" i="9"/>
  <c r="AB1063" i="9" l="1"/>
  <c r="AC1064" i="9"/>
  <c r="AB1064" i="9" l="1"/>
  <c r="AC1065" i="9"/>
  <c r="AC1066" i="9" l="1"/>
  <c r="AB1065" i="9"/>
  <c r="AC1067" i="9" l="1"/>
  <c r="AB1066" i="9"/>
  <c r="AB1067" i="9" l="1"/>
  <c r="AC1068" i="9"/>
  <c r="AB1068" i="9" l="1"/>
  <c r="AC1069" i="9"/>
  <c r="AB1069" i="9" l="1"/>
  <c r="AC1070" i="9"/>
  <c r="AC1071" i="9" l="1"/>
  <c r="AB1070" i="9"/>
  <c r="AB1071" i="9" l="1"/>
  <c r="AC1072" i="9"/>
  <c r="AB1072" i="9" l="1"/>
  <c r="AC1073" i="9"/>
  <c r="AB1073" i="9" l="1"/>
  <c r="AC1074" i="9"/>
  <c r="AC1075" i="9" l="1"/>
  <c r="AB1074" i="9"/>
  <c r="AB1075" i="9" l="1"/>
  <c r="AC1076" i="9"/>
  <c r="AC1077" i="9" l="1"/>
  <c r="AB1076" i="9"/>
  <c r="AB1077" i="9" l="1"/>
  <c r="AC1078" i="9"/>
  <c r="AC1079" i="9" l="1"/>
  <c r="AB1078" i="9"/>
  <c r="AB1079" i="9" l="1"/>
  <c r="AC1080" i="9"/>
  <c r="AB1080" i="9" l="1"/>
  <c r="AC1081" i="9"/>
  <c r="AC1082" i="9" l="1"/>
  <c r="AB1081" i="9"/>
  <c r="AC1083" i="9" l="1"/>
  <c r="AB1082" i="9"/>
  <c r="AB1083" i="9" l="1"/>
  <c r="AC1084" i="9"/>
  <c r="AB1084" i="9" l="1"/>
  <c r="AC1085" i="9"/>
  <c r="AB1085" i="9" l="1"/>
  <c r="AC1086" i="9"/>
  <c r="AC1087" i="9" l="1"/>
  <c r="AB1086" i="9"/>
  <c r="AB1087" i="9" l="1"/>
  <c r="AC1088" i="9"/>
  <c r="AB1088" i="9" l="1"/>
  <c r="AC1089" i="9"/>
  <c r="AB1089" i="9" l="1"/>
  <c r="AC1090" i="9"/>
  <c r="AC1091" i="9" l="1"/>
  <c r="AB1090" i="9"/>
  <c r="AB1091" i="9" l="1"/>
  <c r="AC1092" i="9"/>
  <c r="AC1093" i="9" l="1"/>
  <c r="AB1092" i="9"/>
  <c r="AB1093" i="9" l="1"/>
  <c r="AC1094" i="9"/>
  <c r="AC1095" i="9" l="1"/>
  <c r="AB1094" i="9"/>
  <c r="AB1095" i="9" l="1"/>
  <c r="AC1096" i="9"/>
  <c r="AB1096" i="9" l="1"/>
  <c r="AC1097" i="9"/>
  <c r="AC1098" i="9" l="1"/>
  <c r="AB1097" i="9"/>
  <c r="AC1099" i="9" l="1"/>
  <c r="AB1098" i="9"/>
  <c r="AB1099" i="9" l="1"/>
  <c r="AC1100" i="9"/>
  <c r="AB1100" i="9" l="1"/>
  <c r="AC1101" i="9"/>
  <c r="AB1101" i="9" l="1"/>
  <c r="AC1102" i="9"/>
  <c r="AC1103" i="9" l="1"/>
  <c r="AB1102" i="9"/>
  <c r="AB1103" i="9" l="1"/>
  <c r="AC1104" i="9"/>
  <c r="AB1104" i="9" l="1"/>
  <c r="AC1105" i="9"/>
  <c r="AB1105" i="9" l="1"/>
  <c r="AC1106" i="9"/>
  <c r="AC1107" i="9" l="1"/>
  <c r="AB1106" i="9"/>
  <c r="AB1107" i="9" l="1"/>
  <c r="AC1108" i="9"/>
  <c r="AC1109" i="9" l="1"/>
  <c r="AB1108" i="9"/>
  <c r="AB1109" i="9" l="1"/>
  <c r="AC1110" i="9"/>
  <c r="AC1111" i="9" l="1"/>
  <c r="AB1110" i="9"/>
  <c r="AB1111" i="9" l="1"/>
  <c r="AC1112" i="9"/>
  <c r="AB1112" i="9" l="1"/>
  <c r="AC1113" i="9"/>
  <c r="AC1114" i="9" l="1"/>
  <c r="AB1113" i="9"/>
  <c r="AC1115" i="9" l="1"/>
  <c r="AB1114" i="9"/>
  <c r="AB1115" i="9" l="1"/>
  <c r="AC1116" i="9"/>
  <c r="AB1116" i="9" l="1"/>
  <c r="AC1117" i="9"/>
  <c r="AB1117" i="9" l="1"/>
  <c r="AC1118" i="9"/>
  <c r="AC1119" i="9" l="1"/>
  <c r="AB1118" i="9"/>
  <c r="AB1119" i="9" l="1"/>
  <c r="AC1120" i="9"/>
  <c r="AB1120" i="9" l="1"/>
  <c r="AC1121" i="9"/>
  <c r="AB1121" i="9" l="1"/>
  <c r="AC1122" i="9"/>
  <c r="AC1123" i="9" l="1"/>
  <c r="AB1122" i="9"/>
  <c r="AB1123" i="9" l="1"/>
  <c r="AC1124" i="9"/>
  <c r="AC1125" i="9" l="1"/>
  <c r="AB1124" i="9"/>
  <c r="AB1125" i="9" l="1"/>
  <c r="AC1126" i="9"/>
  <c r="AC1127" i="9" l="1"/>
  <c r="AB1126" i="9"/>
  <c r="AB1127" i="9" l="1"/>
  <c r="AC1128" i="9"/>
  <c r="AB1128" i="9" l="1"/>
  <c r="AC1129" i="9"/>
  <c r="AC1130" i="9" l="1"/>
  <c r="AB1129" i="9"/>
  <c r="AC1131" i="9" l="1"/>
  <c r="AB1130" i="9"/>
  <c r="AB1131" i="9" l="1"/>
  <c r="AC1132" i="9"/>
  <c r="AB1132" i="9" l="1"/>
  <c r="AC1133" i="9"/>
  <c r="AB1133" i="9" l="1"/>
  <c r="AC1134" i="9"/>
  <c r="AC1135" i="9" l="1"/>
  <c r="AB1134" i="9"/>
  <c r="AB1135" i="9" l="1"/>
  <c r="AC1136" i="9"/>
  <c r="AB1136" i="9" l="1"/>
  <c r="AC1137" i="9"/>
  <c r="AB1137" i="9" l="1"/>
  <c r="AC1138" i="9"/>
  <c r="AC1139" i="9" l="1"/>
  <c r="AB1138" i="9"/>
  <c r="AB1139" i="9" l="1"/>
  <c r="AC1140" i="9"/>
  <c r="AC1141" i="9" l="1"/>
  <c r="AB1140" i="9"/>
  <c r="AB1141" i="9" l="1"/>
  <c r="AC1142" i="9"/>
  <c r="AC1143" i="9" l="1"/>
  <c r="AB1142" i="9"/>
  <c r="AB1143" i="9" l="1"/>
  <c r="AC1144" i="9"/>
  <c r="AB1144" i="9" l="1"/>
  <c r="AC1145" i="9"/>
  <c r="AC1146" i="9" l="1"/>
  <c r="AB1145" i="9"/>
  <c r="AC1147" i="9" l="1"/>
  <c r="AB1146" i="9"/>
  <c r="AB1147" i="9" l="1"/>
  <c r="AC1148" i="9"/>
  <c r="AB1148" i="9" l="1"/>
  <c r="AC1149" i="9"/>
  <c r="AB1149" i="9" l="1"/>
  <c r="AC1150" i="9"/>
  <c r="AC1151" i="9" l="1"/>
  <c r="AB1150" i="9"/>
  <c r="AB1151" i="9" l="1"/>
  <c r="AC1152" i="9"/>
  <c r="AB1152" i="9" l="1"/>
  <c r="AC1153" i="9"/>
  <c r="AB1153" i="9" l="1"/>
  <c r="AC1154" i="9"/>
  <c r="AC1155" i="9" l="1"/>
  <c r="AB1154" i="9"/>
  <c r="AB1155" i="9" l="1"/>
  <c r="AC1156" i="9"/>
  <c r="AC1157" i="9" l="1"/>
  <c r="AB1156" i="9"/>
  <c r="AB1157" i="9" l="1"/>
  <c r="AC1158" i="9"/>
  <c r="AC1159" i="9" l="1"/>
  <c r="AB1158" i="9"/>
  <c r="AB1159" i="9" l="1"/>
  <c r="AC1160" i="9"/>
  <c r="AB1160" i="9" l="1"/>
  <c r="AC1161" i="9"/>
  <c r="AC1162" i="9" l="1"/>
  <c r="AB1161" i="9"/>
  <c r="AC1163" i="9" l="1"/>
  <c r="AB1162" i="9"/>
  <c r="AB1163" i="9" l="1"/>
  <c r="AC1164" i="9"/>
  <c r="AB1164" i="9" l="1"/>
  <c r="AC1165" i="9"/>
  <c r="AB1165" i="9" l="1"/>
  <c r="AC1166" i="9"/>
  <c r="AC1167" i="9" l="1"/>
  <c r="AB1166" i="9"/>
  <c r="AB1167" i="9" l="1"/>
  <c r="AC1168" i="9"/>
  <c r="AB1168" i="9" l="1"/>
  <c r="AC1169" i="9"/>
  <c r="AB1169" i="9" l="1"/>
  <c r="AC1170" i="9"/>
  <c r="AC1171" i="9" l="1"/>
  <c r="AB1170" i="9"/>
  <c r="AB1171" i="9" l="1"/>
  <c r="AC1172" i="9"/>
  <c r="AC1173" i="9" l="1"/>
  <c r="AB1172" i="9"/>
  <c r="AB1173" i="9" l="1"/>
  <c r="AC1174" i="9"/>
  <c r="AC1175" i="9" l="1"/>
  <c r="AB1174" i="9"/>
  <c r="AB1175" i="9" l="1"/>
  <c r="AC1176" i="9"/>
  <c r="AB1176" i="9" l="1"/>
  <c r="AC1177" i="9"/>
  <c r="AB1177" i="9" l="1"/>
  <c r="AC1178" i="9"/>
  <c r="AC1179" i="9" l="1"/>
  <c r="AB1178" i="9"/>
  <c r="AB1179" i="9" l="1"/>
  <c r="AC1180" i="9"/>
  <c r="AB1180" i="9" l="1"/>
  <c r="AC1181" i="9"/>
  <c r="AB1181" i="9" l="1"/>
  <c r="AC1182" i="9"/>
  <c r="AC1183" i="9" l="1"/>
  <c r="AB1182" i="9"/>
  <c r="AB1183" i="9" l="1"/>
  <c r="AC1184" i="9"/>
  <c r="AB1184" i="9" l="1"/>
  <c r="AC1185" i="9"/>
  <c r="AB1185" i="9" l="1"/>
  <c r="AC1186" i="9"/>
  <c r="AC1187" i="9" l="1"/>
  <c r="AB1186" i="9"/>
  <c r="AB1187" i="9" l="1"/>
  <c r="AC1188" i="9"/>
  <c r="AB1188" i="9" l="1"/>
  <c r="AC1189" i="9"/>
  <c r="AB1189" i="9" l="1"/>
  <c r="AC1190" i="9"/>
  <c r="AC1191" i="9" l="1"/>
  <c r="AB1190" i="9"/>
  <c r="AB1191" i="9" l="1"/>
  <c r="AC1192" i="9"/>
  <c r="AB1192" i="9" l="1"/>
  <c r="AC1193" i="9"/>
  <c r="AB1193" i="9" l="1"/>
  <c r="AC1194" i="9"/>
  <c r="AC1195" i="9" l="1"/>
  <c r="AB1194" i="9"/>
  <c r="AB1195" i="9" l="1"/>
  <c r="AC1196" i="9"/>
  <c r="AB1196" i="9" l="1"/>
  <c r="AC1197" i="9"/>
  <c r="AB1197" i="9" l="1"/>
  <c r="AC1198" i="9"/>
  <c r="AC1199" i="9" l="1"/>
  <c r="AB1198" i="9"/>
  <c r="AB1199" i="9" l="1"/>
  <c r="AC1200" i="9"/>
  <c r="AB1200" i="9" l="1"/>
  <c r="AC1201" i="9"/>
  <c r="AB1201" i="9" l="1"/>
  <c r="AC1202" i="9"/>
  <c r="AC1203" i="9" l="1"/>
  <c r="AB1202" i="9"/>
  <c r="AB1203" i="9" l="1"/>
  <c r="AC1204" i="9"/>
  <c r="AB1204" i="9" l="1"/>
  <c r="AC1205" i="9"/>
  <c r="AB1205" i="9" l="1"/>
  <c r="AC1206" i="9"/>
  <c r="AC1207" i="9" l="1"/>
  <c r="AB1206" i="9"/>
  <c r="AB1207" i="9" l="1"/>
  <c r="AC1208" i="9"/>
  <c r="AB1208" i="9" l="1"/>
  <c r="AC1209" i="9"/>
  <c r="AB1209" i="9" l="1"/>
  <c r="AC1210" i="9"/>
  <c r="AC1211" i="9" l="1"/>
  <c r="AB1210" i="9"/>
  <c r="AB1211" i="9" l="1"/>
  <c r="AC1212" i="9"/>
  <c r="AB1212" i="9" l="1"/>
  <c r="AC1213" i="9"/>
  <c r="AB1213" i="9" l="1"/>
  <c r="AC1214" i="9"/>
  <c r="AC1215" i="9" l="1"/>
  <c r="AB1214" i="9"/>
  <c r="AB1215" i="9" l="1"/>
  <c r="AC1216" i="9"/>
  <c r="AB1216" i="9" l="1"/>
  <c r="AC1217" i="9"/>
  <c r="AB1217" i="9" l="1"/>
  <c r="AC1218" i="9"/>
  <c r="AC1219" i="9" l="1"/>
  <c r="AB1218" i="9"/>
  <c r="AB1219" i="9" l="1"/>
  <c r="AC1220" i="9"/>
  <c r="AB1220" i="9" l="1"/>
  <c r="AC1221" i="9"/>
  <c r="AB1221" i="9" l="1"/>
  <c r="AC1222" i="9"/>
  <c r="AC1223" i="9" l="1"/>
  <c r="AB1222" i="9"/>
  <c r="AB1223" i="9" l="1"/>
  <c r="AC1224" i="9"/>
  <c r="AB1224" i="9" l="1"/>
  <c r="AC1225" i="9"/>
  <c r="AB1225" i="9" l="1"/>
  <c r="AC1226" i="9"/>
  <c r="AC1227" i="9" l="1"/>
  <c r="AB1226" i="9"/>
  <c r="AB1227" i="9" l="1"/>
  <c r="AC1228" i="9"/>
  <c r="AB1228" i="9" l="1"/>
  <c r="AC1229" i="9"/>
  <c r="AB1229" i="9" l="1"/>
  <c r="AC1230" i="9"/>
  <c r="AC1231" i="9" l="1"/>
  <c r="AB1230" i="9"/>
  <c r="AB1231" i="9" l="1"/>
  <c r="AC1232" i="9"/>
  <c r="AB1232" i="9" l="1"/>
  <c r="AC1233" i="9"/>
  <c r="AB1233" i="9" l="1"/>
  <c r="AC1234" i="9"/>
  <c r="AC1235" i="9" l="1"/>
  <c r="AB1234" i="9"/>
  <c r="AB1235" i="9" l="1"/>
  <c r="AC1236" i="9"/>
  <c r="AB1236" i="9" l="1"/>
  <c r="AC1237" i="9"/>
  <c r="AB1237" i="9" l="1"/>
  <c r="AC1238" i="9"/>
  <c r="AC1239" i="9" l="1"/>
  <c r="AB1238" i="9"/>
  <c r="AB1239" i="9" l="1"/>
  <c r="AC1240" i="9"/>
  <c r="AB1240" i="9" l="1"/>
  <c r="AC1241" i="9"/>
  <c r="AB1241" i="9" l="1"/>
  <c r="AC1242" i="9"/>
  <c r="AC1243" i="9" l="1"/>
  <c r="AB1242" i="9"/>
  <c r="AB1243" i="9" l="1"/>
  <c r="AC1244" i="9"/>
  <c r="AB1244" i="9" l="1"/>
  <c r="AC1245" i="9"/>
  <c r="AB1245" i="9" l="1"/>
  <c r="AC1246" i="9"/>
  <c r="AC1247" i="9" l="1"/>
  <c r="AB1246" i="9"/>
  <c r="AB1247" i="9" l="1"/>
  <c r="AC1248" i="9"/>
  <c r="AB1248" i="9" l="1"/>
  <c r="AC1249" i="9"/>
  <c r="AB1249" i="9" l="1"/>
  <c r="AC1250" i="9"/>
  <c r="AC1251" i="9" l="1"/>
  <c r="AB1250" i="9"/>
  <c r="AB1251" i="9" l="1"/>
  <c r="AC1252" i="9"/>
  <c r="AB1252" i="9" l="1"/>
  <c r="AC1253" i="9"/>
  <c r="AB1253" i="9" l="1"/>
  <c r="AC1254" i="9"/>
  <c r="AC1255" i="9" l="1"/>
  <c r="AB1254" i="9"/>
  <c r="AB1255" i="9" l="1"/>
  <c r="AC1256" i="9"/>
  <c r="AB1256" i="9" l="1"/>
  <c r="AC1257" i="9"/>
  <c r="AB1257" i="9" l="1"/>
  <c r="AC1258" i="9"/>
  <c r="AC1259" i="9" l="1"/>
  <c r="AB1258" i="9"/>
  <c r="AB1259" i="9" l="1"/>
  <c r="AC1260" i="9"/>
  <c r="AB1260" i="9" l="1"/>
  <c r="AC1261" i="9"/>
  <c r="AB1261" i="9" l="1"/>
  <c r="AC1262" i="9"/>
  <c r="AC1263" i="9" l="1"/>
  <c r="AB1262" i="9"/>
  <c r="AB1263" i="9" l="1"/>
  <c r="AC1264" i="9"/>
  <c r="AB1264" i="9" l="1"/>
  <c r="AC1265" i="9"/>
  <c r="AB1265" i="9" l="1"/>
  <c r="AC1266" i="9"/>
  <c r="AC1267" i="9" l="1"/>
  <c r="AB1266" i="9"/>
  <c r="AB1267" i="9" l="1"/>
  <c r="AC1268" i="9"/>
  <c r="AB1268" i="9" l="1"/>
  <c r="AC1269" i="9"/>
  <c r="AB1269" i="9" l="1"/>
  <c r="AC1270" i="9"/>
  <c r="AC1271" i="9" l="1"/>
  <c r="AB1270" i="9"/>
  <c r="AB1271" i="9" l="1"/>
  <c r="AC1272" i="9"/>
  <c r="AB1272" i="9" l="1"/>
  <c r="AC1273" i="9"/>
  <c r="AB1273" i="9" l="1"/>
  <c r="AC1274" i="9"/>
  <c r="AC1275" i="9" l="1"/>
  <c r="AB1274" i="9"/>
  <c r="AB1275" i="9" l="1"/>
  <c r="AC1276" i="9"/>
  <c r="AB1276" i="9" l="1"/>
  <c r="AC1277" i="9"/>
  <c r="AB1277" i="9" l="1"/>
  <c r="AC1278" i="9"/>
  <c r="AC1279" i="9" l="1"/>
  <c r="AB1278" i="9"/>
  <c r="AB1279" i="9" l="1"/>
  <c r="AC1280" i="9"/>
  <c r="AB1280" i="9" l="1"/>
  <c r="AC1281" i="9"/>
  <c r="AB1281" i="9" l="1"/>
  <c r="AC1282" i="9"/>
  <c r="AC1283" i="9" l="1"/>
  <c r="AB1282" i="9"/>
  <c r="AB1283" i="9" l="1"/>
  <c r="AC1284" i="9"/>
  <c r="AB1284" i="9" l="1"/>
  <c r="AC1285" i="9"/>
  <c r="AB1285" i="9" l="1"/>
  <c r="AC1286" i="9"/>
  <c r="AC1287" i="9" l="1"/>
  <c r="AB1286" i="9"/>
  <c r="AB1287" i="9" l="1"/>
  <c r="AC1288" i="9"/>
  <c r="AB1288" i="9" l="1"/>
  <c r="AC1289" i="9"/>
  <c r="AB1289" i="9" l="1"/>
  <c r="AC1290" i="9"/>
  <c r="AC1291" i="9" l="1"/>
  <c r="AB1290" i="9"/>
  <c r="AB1291" i="9" l="1"/>
  <c r="AC1292" i="9"/>
  <c r="AB1292" i="9" l="1"/>
  <c r="AC1293" i="9"/>
  <c r="AB1293" i="9" l="1"/>
  <c r="AC1294" i="9"/>
  <c r="AC1295" i="9" l="1"/>
  <c r="AB1294" i="9"/>
  <c r="AB1295" i="9" l="1"/>
  <c r="AC1296" i="9"/>
  <c r="AB1296" i="9" l="1"/>
  <c r="AC1297" i="9"/>
  <c r="AB1297" i="9" l="1"/>
  <c r="AC1298" i="9"/>
  <c r="AC1299" i="9" l="1"/>
  <c r="AB1298" i="9"/>
  <c r="AB1299" i="9" l="1"/>
  <c r="AC1300" i="9"/>
  <c r="AB1300" i="9" l="1"/>
  <c r="AC1301" i="9"/>
  <c r="AB1301" i="9" l="1"/>
  <c r="AC1302" i="9"/>
  <c r="AC1303" i="9" l="1"/>
  <c r="AB1302" i="9"/>
  <c r="AB1303" i="9" l="1"/>
  <c r="AC1304" i="9"/>
  <c r="AB1304" i="9" l="1"/>
  <c r="AC1305" i="9"/>
  <c r="AB1305" i="9" l="1"/>
  <c r="AC1306" i="9"/>
  <c r="AC1307" i="9" l="1"/>
  <c r="AB1306" i="9"/>
  <c r="AB1307" i="9" l="1"/>
  <c r="AC1308" i="9"/>
  <c r="AB1308" i="9" l="1"/>
  <c r="AC1309" i="9"/>
  <c r="AB1309" i="9" l="1"/>
  <c r="AC1310" i="9"/>
  <c r="AC1311" i="9" l="1"/>
  <c r="AB1310" i="9"/>
  <c r="AB1311" i="9" l="1"/>
  <c r="AC1312" i="9"/>
  <c r="AB1312" i="9" l="1"/>
  <c r="AC1313" i="9"/>
  <c r="AB1313" i="9" l="1"/>
  <c r="AC1314" i="9"/>
  <c r="AC1315" i="9" l="1"/>
  <c r="AB1314" i="9"/>
  <c r="AB1315" i="9" l="1"/>
  <c r="AC1316" i="9"/>
  <c r="AB1316" i="9" l="1"/>
  <c r="AC1317" i="9"/>
  <c r="AB1317" i="9" l="1"/>
  <c r="AC1318" i="9"/>
  <c r="AC1319" i="9" l="1"/>
  <c r="AB1318" i="9"/>
  <c r="AB1319" i="9" l="1"/>
  <c r="AC1320" i="9"/>
  <c r="AB1320" i="9" l="1"/>
  <c r="AC1321" i="9"/>
  <c r="AB1321" i="9" l="1"/>
  <c r="AC1322" i="9"/>
  <c r="AC1323" i="9" l="1"/>
  <c r="AB1322" i="9"/>
  <c r="AB1323" i="9" l="1"/>
  <c r="AC1324" i="9"/>
  <c r="AB1324" i="9" l="1"/>
  <c r="AC1325" i="9"/>
  <c r="AB1325" i="9" l="1"/>
  <c r="AC1326" i="9"/>
  <c r="AC1327" i="9" l="1"/>
  <c r="AB1326" i="9"/>
  <c r="AB1327" i="9" l="1"/>
  <c r="AC1328" i="9"/>
  <c r="AB1328" i="9" l="1"/>
  <c r="AC1329" i="9"/>
  <c r="AB1329" i="9" l="1"/>
  <c r="AC1330" i="9"/>
  <c r="AC1331" i="9" l="1"/>
  <c r="AB1330" i="9"/>
  <c r="AB1331" i="9" l="1"/>
  <c r="AC1332" i="9"/>
  <c r="AB1332" i="9" l="1"/>
  <c r="AC1333" i="9"/>
  <c r="AB1333" i="9" l="1"/>
  <c r="AC1334" i="9"/>
  <c r="AC1335" i="9" l="1"/>
  <c r="AB1334" i="9"/>
  <c r="AB1335" i="9" l="1"/>
  <c r="AC1336" i="9"/>
  <c r="AB1336" i="9" l="1"/>
  <c r="AC1337" i="9"/>
  <c r="AB1337" i="9" l="1"/>
  <c r="AC1338" i="9"/>
  <c r="AC1339" i="9" l="1"/>
  <c r="AB1338" i="9"/>
  <c r="AB1339" i="9" l="1"/>
  <c r="AC1340" i="9"/>
  <c r="AB1340" i="9" l="1"/>
  <c r="AC1341" i="9"/>
  <c r="AB1341" i="9" l="1"/>
  <c r="AC1342" i="9"/>
  <c r="AC1343" i="9" l="1"/>
  <c r="AB1342" i="9"/>
  <c r="AB1343" i="9" l="1"/>
  <c r="AC1344" i="9"/>
  <c r="AB1344" i="9" l="1"/>
  <c r="AC1345" i="9"/>
  <c r="AB1345" i="9" l="1"/>
  <c r="AC1346" i="9"/>
  <c r="AC1347" i="9" l="1"/>
  <c r="AB1346" i="9"/>
  <c r="AB1347" i="9" l="1"/>
  <c r="AC1348" i="9"/>
  <c r="AB1348" i="9" l="1"/>
  <c r="AC1349" i="9"/>
  <c r="AB1349" i="9" l="1"/>
  <c r="AC1350" i="9"/>
  <c r="AC1351" i="9" l="1"/>
  <c r="AB1350" i="9"/>
  <c r="AB1351" i="9" l="1"/>
  <c r="AC1352" i="9"/>
  <c r="AB1352" i="9" l="1"/>
  <c r="AC1353" i="9"/>
  <c r="AB1353" i="9" l="1"/>
  <c r="AC1354" i="9"/>
  <c r="AC1355" i="9" l="1"/>
  <c r="AB1354" i="9"/>
  <c r="AB1355" i="9" l="1"/>
  <c r="AC1356" i="9"/>
  <c r="AB1356" i="9" l="1"/>
  <c r="AC1357" i="9"/>
  <c r="AB1357" i="9" l="1"/>
  <c r="AC1358" i="9"/>
  <c r="AC1359" i="9" l="1"/>
  <c r="AB1358" i="9"/>
  <c r="AB1359" i="9" l="1"/>
  <c r="AC1360" i="9"/>
  <c r="AB1360" i="9" l="1"/>
  <c r="AC1361" i="9"/>
  <c r="AB1361" i="9" l="1"/>
  <c r="AC1362" i="9"/>
  <c r="AC1363" i="9" l="1"/>
  <c r="AB1362" i="9"/>
  <c r="AB1363" i="9" l="1"/>
  <c r="AC1364" i="9"/>
  <c r="AB1364" i="9" l="1"/>
  <c r="AC1365" i="9"/>
  <c r="AB1365" i="9" l="1"/>
  <c r="AC1366" i="9"/>
  <c r="AC1367" i="9" l="1"/>
  <c r="AB1366" i="9"/>
  <c r="AB1367" i="9" l="1"/>
  <c r="AC1368" i="9"/>
  <c r="AB1368" i="9" l="1"/>
  <c r="AC1369" i="9"/>
  <c r="AB1369" i="9" l="1"/>
  <c r="AC1370" i="9"/>
  <c r="AC1371" i="9" l="1"/>
  <c r="AB1370" i="9"/>
  <c r="AB1371" i="9" l="1"/>
  <c r="AC1372" i="9"/>
  <c r="AB1372" i="9" l="1"/>
  <c r="AC1373" i="9"/>
  <c r="AB1373" i="9" l="1"/>
  <c r="AC1374" i="9"/>
  <c r="AC1375" i="9" l="1"/>
  <c r="AB1374" i="9"/>
  <c r="AB1375" i="9" l="1"/>
  <c r="AC1376" i="9"/>
  <c r="AB1376" i="9" l="1"/>
  <c r="AC1377" i="9"/>
  <c r="AB1377" i="9" l="1"/>
  <c r="AC1378" i="9"/>
  <c r="AC1379" i="9" l="1"/>
  <c r="AB1378" i="9"/>
  <c r="AB1379" i="9" l="1"/>
  <c r="AC1380" i="9"/>
  <c r="AB1380" i="9" l="1"/>
  <c r="AC1381" i="9"/>
  <c r="AB1381" i="9" l="1"/>
  <c r="AC1382" i="9"/>
  <c r="AC1383" i="9" l="1"/>
  <c r="AB1382" i="9"/>
  <c r="AB1383" i="9" l="1"/>
  <c r="AC1384" i="9"/>
  <c r="AB1384" i="9" l="1"/>
  <c r="AC1385" i="9"/>
  <c r="AB1385" i="9" l="1"/>
  <c r="AC1386" i="9"/>
  <c r="AC1387" i="9" l="1"/>
  <c r="AB1386" i="9"/>
  <c r="AB1387" i="9" l="1"/>
  <c r="AC1388" i="9"/>
  <c r="AB1388" i="9" l="1"/>
  <c r="AC1389" i="9"/>
  <c r="AB1389" i="9" l="1"/>
  <c r="AC1390" i="9"/>
  <c r="AC1391" i="9" l="1"/>
  <c r="AB1390" i="9"/>
  <c r="AB1391" i="9" l="1"/>
  <c r="AC1392" i="9"/>
  <c r="AB1392" i="9" l="1"/>
  <c r="AC1393" i="9"/>
  <c r="AB1393" i="9" l="1"/>
  <c r="AC1394" i="9"/>
  <c r="AC1395" i="9" l="1"/>
  <c r="AB1394" i="9"/>
  <c r="AB1395" i="9" l="1"/>
  <c r="AC1396" i="9"/>
  <c r="AB1396" i="9" l="1"/>
  <c r="AC1397" i="9"/>
  <c r="AB1397" i="9" l="1"/>
  <c r="AC1398" i="9"/>
  <c r="AC1399" i="9" l="1"/>
  <c r="AB1398" i="9"/>
  <c r="AB1399" i="9" l="1"/>
  <c r="AC1400" i="9"/>
  <c r="AB1400" i="9" l="1"/>
  <c r="AC1401" i="9"/>
  <c r="AB1401" i="9" l="1"/>
  <c r="AC1402" i="9"/>
  <c r="AC1403" i="9" l="1"/>
  <c r="AB1402" i="9"/>
  <c r="AB1403" i="9" l="1"/>
  <c r="AC1404" i="9"/>
  <c r="AB1404" i="9" l="1"/>
  <c r="AC1405" i="9"/>
  <c r="AB1405" i="9" l="1"/>
  <c r="AC1406" i="9"/>
  <c r="AC1407" i="9" l="1"/>
  <c r="AB1406" i="9"/>
  <c r="AB1407" i="9" l="1"/>
  <c r="AC1408" i="9"/>
  <c r="AB1408" i="9" l="1"/>
  <c r="AC1409" i="9"/>
  <c r="AB1409" i="9" l="1"/>
  <c r="AC1410" i="9"/>
  <c r="AC1411" i="9" l="1"/>
  <c r="AB1410" i="9"/>
  <c r="AB1411" i="9" l="1"/>
  <c r="AC1412" i="9"/>
  <c r="AB1412" i="9" l="1"/>
  <c r="AC1413" i="9"/>
  <c r="AB1413" i="9" l="1"/>
  <c r="AC1414" i="9"/>
  <c r="AC1415" i="9" l="1"/>
  <c r="AB1414" i="9"/>
  <c r="AB1415" i="9" l="1"/>
  <c r="AC1416" i="9"/>
  <c r="AB1416" i="9" l="1"/>
  <c r="AC1417" i="9"/>
  <c r="AB1417" i="9" l="1"/>
  <c r="AC1418" i="9"/>
  <c r="AB1418" i="9" l="1"/>
  <c r="AC1419" i="9"/>
  <c r="AB1419" i="9" l="1"/>
  <c r="AC1420" i="9"/>
  <c r="AB1420" i="9" l="1"/>
  <c r="AC1421" i="9"/>
  <c r="AB1421" i="9" l="1"/>
  <c r="AC1422" i="9"/>
  <c r="AB1422" i="9" l="1"/>
  <c r="AC1423" i="9"/>
  <c r="AB1423" i="9" l="1"/>
  <c r="AC1424" i="9"/>
  <c r="AB1424" i="9" l="1"/>
  <c r="AC1425" i="9"/>
  <c r="AB1425" i="9" l="1"/>
  <c r="AC1426" i="9"/>
  <c r="AB1426" i="9" l="1"/>
  <c r="AC1427" i="9"/>
  <c r="AB1427" i="9" l="1"/>
  <c r="AC1428" i="9"/>
  <c r="AB1428" i="9" l="1"/>
  <c r="AC1429" i="9"/>
  <c r="AB1429" i="9" l="1"/>
  <c r="AC1430" i="9"/>
  <c r="AB1430" i="9" l="1"/>
  <c r="AC1431" i="9"/>
  <c r="AB1431" i="9" l="1"/>
  <c r="AC1432" i="9"/>
  <c r="AB1432" i="9" l="1"/>
  <c r="AC1433" i="9"/>
  <c r="AB1433" i="9" l="1"/>
  <c r="AC1434" i="9"/>
  <c r="AB1434" i="9" l="1"/>
  <c r="AC1435" i="9"/>
  <c r="AB1435" i="9" l="1"/>
  <c r="AC1436" i="9"/>
  <c r="AB1436" i="9" l="1"/>
  <c r="AC1437" i="9"/>
  <c r="AB1437" i="9" l="1"/>
  <c r="AC1438" i="9"/>
  <c r="AB1438" i="9" l="1"/>
  <c r="AC1439" i="9"/>
  <c r="AB1439" i="9" l="1"/>
  <c r="AC1440" i="9"/>
  <c r="AB1440" i="9" l="1"/>
  <c r="AC1441" i="9"/>
  <c r="AB1441" i="9" l="1"/>
  <c r="AC1442" i="9"/>
  <c r="AB1442" i="9" l="1"/>
  <c r="AC1443" i="9"/>
  <c r="AB1443" i="9" l="1"/>
  <c r="AC1444" i="9"/>
  <c r="AB1444" i="9" l="1"/>
  <c r="AC1445" i="9"/>
  <c r="AB1445" i="9" l="1"/>
  <c r="AC1446" i="9"/>
  <c r="AB1446" i="9" l="1"/>
  <c r="AC1447" i="9"/>
  <c r="AB1447" i="9" l="1"/>
  <c r="AC1448" i="9"/>
  <c r="AC1449" i="9" l="1"/>
  <c r="AB1448" i="9"/>
  <c r="AB1449" i="9" l="1"/>
  <c r="AC1450" i="9"/>
  <c r="AB1450" i="9" l="1"/>
  <c r="AC1451" i="9"/>
  <c r="AB1451" i="9" l="1"/>
  <c r="AC1452" i="9"/>
  <c r="AC1453" i="9" l="1"/>
  <c r="AB1452" i="9"/>
  <c r="AB1453" i="9" l="1"/>
  <c r="AC1454" i="9"/>
  <c r="AB1454" i="9" l="1"/>
  <c r="AC1455" i="9"/>
  <c r="AB1455" i="9" l="1"/>
  <c r="AC1456" i="9"/>
  <c r="AC1457" i="9" l="1"/>
  <c r="AB1456" i="9"/>
  <c r="AB1457" i="9" l="1"/>
  <c r="AC1458" i="9"/>
  <c r="AB1458" i="9" l="1"/>
  <c r="AC1459" i="9"/>
  <c r="AB1459" i="9" l="1"/>
  <c r="AC1460" i="9"/>
  <c r="AC1461" i="9" l="1"/>
  <c r="AB1460" i="9"/>
  <c r="AB1461" i="9" l="1"/>
  <c r="AC1462" i="9"/>
  <c r="AB1462" i="9" l="1"/>
  <c r="AC1463" i="9"/>
  <c r="AB1463" i="9" l="1"/>
  <c r="AC1464" i="9"/>
  <c r="AC1465" i="9" l="1"/>
  <c r="AB1464" i="9"/>
  <c r="AB1465" i="9" l="1"/>
  <c r="AC1466" i="9"/>
  <c r="AB1466" i="9" l="1"/>
  <c r="AC1467" i="9"/>
  <c r="AB1467" i="9" l="1"/>
  <c r="AC1468" i="9"/>
  <c r="AC1469" i="9" l="1"/>
  <c r="AB1468" i="9"/>
  <c r="AB1469" i="9" l="1"/>
  <c r="AC1470" i="9"/>
  <c r="AC1471" i="9" l="1"/>
  <c r="AB1470" i="9"/>
  <c r="AB1471" i="9" l="1"/>
  <c r="AC1472" i="9"/>
  <c r="AC1473" i="9" l="1"/>
  <c r="AB1472" i="9"/>
  <c r="AB1473" i="9" l="1"/>
  <c r="AC1474" i="9"/>
  <c r="AB1474" i="9" l="1"/>
  <c r="AC1475" i="9"/>
  <c r="AB1475" i="9" l="1"/>
  <c r="AC1476" i="9"/>
  <c r="AC1477" i="9" l="1"/>
  <c r="AB1476" i="9"/>
  <c r="AB1477" i="9" l="1"/>
  <c r="AC1478" i="9"/>
  <c r="AB1478" i="9" l="1"/>
  <c r="AC1479" i="9"/>
  <c r="AB1479" i="9" l="1"/>
  <c r="AC1480" i="9"/>
  <c r="AC1481" i="9" l="1"/>
  <c r="AB1480" i="9"/>
  <c r="AB1481" i="9" l="1"/>
  <c r="AC1482" i="9"/>
  <c r="AB1482" i="9" l="1"/>
  <c r="AC1483" i="9"/>
  <c r="AB1483" i="9" l="1"/>
  <c r="AC1484" i="9"/>
  <c r="AC1485" i="9" l="1"/>
  <c r="AB1484" i="9"/>
  <c r="AB1485" i="9" l="1"/>
  <c r="AC1486" i="9"/>
  <c r="AB1486" i="9" l="1"/>
  <c r="AC1487" i="9"/>
  <c r="AB1487" i="9" l="1"/>
  <c r="AC1488" i="9"/>
  <c r="AC1489" i="9" l="1"/>
  <c r="AB1488" i="9"/>
  <c r="AB1489" i="9" l="1"/>
  <c r="AC1490" i="9"/>
  <c r="AB1490" i="9" l="1"/>
  <c r="AC1491" i="9"/>
  <c r="AB1491" i="9" l="1"/>
  <c r="AC1492" i="9"/>
  <c r="AC1493" i="9" l="1"/>
  <c r="AB1492" i="9"/>
  <c r="AB1493" i="9" l="1"/>
  <c r="AC1494" i="9"/>
  <c r="AB1494" i="9" l="1"/>
  <c r="AC1495" i="9"/>
  <c r="AB1495" i="9" l="1"/>
  <c r="AC1496" i="9"/>
  <c r="AC1497" i="9" l="1"/>
  <c r="AB1496" i="9"/>
  <c r="AB1497" i="9" l="1"/>
  <c r="AC1498" i="9"/>
  <c r="AB1498" i="9" l="1"/>
  <c r="AC1499" i="9"/>
  <c r="AB1499" i="9" l="1"/>
  <c r="AC1500" i="9"/>
  <c r="AB1500" i="9" s="1"/>
  <c r="C41" i="7" l="1"/>
  <c r="J41" i="7"/>
  <c r="C66" i="7"/>
  <c r="J66" i="7"/>
  <c r="C16" i="7"/>
  <c r="J16" i="7"/>
  <c r="J91" i="7"/>
  <c r="J116" i="7"/>
  <c r="Q91" i="7"/>
  <c r="C116" i="7"/>
  <c r="X41" i="7"/>
  <c r="Q66" i="7"/>
  <c r="C91" i="7"/>
  <c r="X16" i="7"/>
  <c r="X66" i="7"/>
  <c r="X116" i="7"/>
  <c r="Q116" i="7"/>
  <c r="Q16" i="7"/>
  <c r="Q41" i="7"/>
  <c r="X91" i="7"/>
  <c r="Y123" i="7" l="1"/>
  <c r="AB111" i="7"/>
  <c r="AB113" i="7"/>
  <c r="AA131" i="7"/>
  <c r="AB119" i="7"/>
  <c r="Y129" i="7"/>
  <c r="Y130" i="7"/>
  <c r="Y131" i="7"/>
  <c r="Y126" i="7"/>
  <c r="AB114" i="7"/>
  <c r="AB115" i="7"/>
  <c r="AB110" i="7"/>
  <c r="AB112" i="7"/>
  <c r="Y128" i="7"/>
  <c r="AB121" i="7"/>
  <c r="Y125" i="7"/>
  <c r="Y124" i="7"/>
  <c r="AB120" i="7"/>
  <c r="X118" i="7"/>
  <c r="AC131" i="7"/>
  <c r="AB116" i="7"/>
  <c r="AB130" i="7"/>
  <c r="Y127" i="7"/>
  <c r="AB118" i="7"/>
  <c r="AB117" i="7"/>
  <c r="AB109" i="7"/>
  <c r="K129" i="7"/>
  <c r="N115" i="7"/>
  <c r="K131" i="7"/>
  <c r="N110" i="7"/>
  <c r="M131" i="7"/>
  <c r="K124" i="7"/>
  <c r="N121" i="7"/>
  <c r="N117" i="7"/>
  <c r="J118" i="7"/>
  <c r="N109" i="7"/>
  <c r="N120" i="7"/>
  <c r="N119" i="7"/>
  <c r="K125" i="7"/>
  <c r="N118" i="7"/>
  <c r="K128" i="7"/>
  <c r="K130" i="7"/>
  <c r="N111" i="7"/>
  <c r="K123" i="7"/>
  <c r="N114" i="7"/>
  <c r="N130" i="7"/>
  <c r="K127" i="7"/>
  <c r="K126" i="7"/>
  <c r="N113" i="7"/>
  <c r="N116" i="7"/>
  <c r="N112" i="7"/>
  <c r="O131" i="7"/>
  <c r="AB96" i="7"/>
  <c r="AB85" i="7"/>
  <c r="AA106" i="7"/>
  <c r="Y98" i="7"/>
  <c r="AB95" i="7"/>
  <c r="Y101" i="7"/>
  <c r="Y103" i="7"/>
  <c r="Y102" i="7"/>
  <c r="Y106" i="7"/>
  <c r="AB90" i="7"/>
  <c r="Y100" i="7"/>
  <c r="X93" i="7"/>
  <c r="AB88" i="7"/>
  <c r="Y104" i="7"/>
  <c r="AB105" i="7"/>
  <c r="AB92" i="7"/>
  <c r="AB91" i="7"/>
  <c r="AB89" i="7"/>
  <c r="AB87" i="7"/>
  <c r="Y99" i="7"/>
  <c r="AB84" i="7"/>
  <c r="AB94" i="7"/>
  <c r="AB86" i="7"/>
  <c r="Y105" i="7"/>
  <c r="AC106" i="7"/>
  <c r="AB93" i="7"/>
  <c r="AC81" i="7"/>
  <c r="AB68" i="7"/>
  <c r="AB60" i="7"/>
  <c r="Y75" i="7"/>
  <c r="Y74" i="7"/>
  <c r="Y77" i="7"/>
  <c r="AB70" i="7"/>
  <c r="AB61" i="7"/>
  <c r="Y80" i="7"/>
  <c r="AB71" i="7"/>
  <c r="AB59" i="7"/>
  <c r="AB63" i="7"/>
  <c r="AB64" i="7"/>
  <c r="AB62" i="7"/>
  <c r="X68" i="7"/>
  <c r="Y78" i="7"/>
  <c r="AA81" i="7"/>
  <c r="AB66" i="7"/>
  <c r="AB69" i="7"/>
  <c r="Y76" i="7"/>
  <c r="AB65" i="7"/>
  <c r="AB67" i="7"/>
  <c r="Y81" i="7"/>
  <c r="Y73" i="7"/>
  <c r="AB80" i="7"/>
  <c r="Y79" i="7"/>
  <c r="J93" i="7"/>
  <c r="K99" i="7"/>
  <c r="K100" i="7"/>
  <c r="N86" i="7"/>
  <c r="K98" i="7"/>
  <c r="N85" i="7"/>
  <c r="N105" i="7"/>
  <c r="N92" i="7"/>
  <c r="M106" i="7"/>
  <c r="N93" i="7"/>
  <c r="K105" i="7"/>
  <c r="N91" i="7"/>
  <c r="N89" i="7"/>
  <c r="N88" i="7"/>
  <c r="K104" i="7"/>
  <c r="N87" i="7"/>
  <c r="N96" i="7"/>
  <c r="K102" i="7"/>
  <c r="K101" i="7"/>
  <c r="N95" i="7"/>
  <c r="K106" i="7"/>
  <c r="N90" i="7"/>
  <c r="N84" i="7"/>
  <c r="K103" i="7"/>
  <c r="N94" i="7"/>
  <c r="O106" i="7"/>
  <c r="U17" i="7"/>
  <c r="U20" i="7"/>
  <c r="R28" i="7"/>
  <c r="U14" i="7"/>
  <c r="R30" i="7"/>
  <c r="R24" i="7"/>
  <c r="R25" i="7"/>
  <c r="U30" i="7"/>
  <c r="U13" i="7"/>
  <c r="U19" i="7"/>
  <c r="U12" i="7"/>
  <c r="T31" i="7"/>
  <c r="U18" i="7"/>
  <c r="R31" i="7"/>
  <c r="U10" i="7"/>
  <c r="R29" i="7"/>
  <c r="U16" i="7"/>
  <c r="R26" i="7"/>
  <c r="U15" i="7"/>
  <c r="V31" i="7"/>
  <c r="U9" i="7"/>
  <c r="R27" i="7"/>
  <c r="U11" i="7"/>
  <c r="R23" i="7"/>
  <c r="U21" i="7"/>
  <c r="Q18" i="7"/>
  <c r="AB18" i="7"/>
  <c r="AB15" i="7"/>
  <c r="AB30" i="7"/>
  <c r="AB9" i="7"/>
  <c r="Y26" i="7"/>
  <c r="Y25" i="7"/>
  <c r="AC31" i="7"/>
  <c r="AB21" i="7"/>
  <c r="Y23" i="7"/>
  <c r="AB17" i="7"/>
  <c r="Y31" i="7"/>
  <c r="AB19" i="7"/>
  <c r="AA31" i="7"/>
  <c r="AB20" i="7"/>
  <c r="Y28" i="7"/>
  <c r="AB12" i="7"/>
  <c r="Y27" i="7"/>
  <c r="AB14" i="7"/>
  <c r="AB11" i="7"/>
  <c r="Y29" i="7"/>
  <c r="Y30" i="7"/>
  <c r="AB16" i="7"/>
  <c r="Y24" i="7"/>
  <c r="AB13" i="7"/>
  <c r="AB10" i="7"/>
  <c r="X18" i="7"/>
  <c r="K27" i="7"/>
  <c r="N17" i="7"/>
  <c r="N30" i="7"/>
  <c r="K29" i="7"/>
  <c r="N19" i="7"/>
  <c r="N13" i="7"/>
  <c r="J18" i="7"/>
  <c r="N20" i="7"/>
  <c r="N12" i="7"/>
  <c r="N11" i="7"/>
  <c r="N15" i="7"/>
  <c r="K30" i="7"/>
  <c r="N9" i="7"/>
  <c r="N21" i="7"/>
  <c r="K31" i="7"/>
  <c r="K28" i="7"/>
  <c r="N18" i="7"/>
  <c r="K25" i="7"/>
  <c r="M31" i="7"/>
  <c r="O31" i="7"/>
  <c r="N10" i="7"/>
  <c r="N14" i="7"/>
  <c r="K24" i="7"/>
  <c r="N16" i="7"/>
  <c r="K26" i="7"/>
  <c r="K23" i="7"/>
  <c r="R126" i="7"/>
  <c r="U115" i="7"/>
  <c r="U112" i="7"/>
  <c r="U116" i="7"/>
  <c r="U117" i="7"/>
  <c r="R127" i="7"/>
  <c r="U130" i="7"/>
  <c r="R123" i="7"/>
  <c r="R125" i="7"/>
  <c r="U121" i="7"/>
  <c r="R129" i="7"/>
  <c r="R124" i="7"/>
  <c r="U120" i="7"/>
  <c r="R130" i="7"/>
  <c r="V131" i="7"/>
  <c r="U118" i="7"/>
  <c r="U109" i="7"/>
  <c r="U111" i="7"/>
  <c r="U114" i="7"/>
  <c r="R131" i="7"/>
  <c r="R128" i="7"/>
  <c r="U113" i="7"/>
  <c r="T131" i="7"/>
  <c r="Q118" i="7"/>
  <c r="U110" i="7"/>
  <c r="U119" i="7"/>
  <c r="G86" i="7"/>
  <c r="D104" i="7"/>
  <c r="G96" i="7"/>
  <c r="G91" i="7"/>
  <c r="G89" i="7"/>
  <c r="D101" i="7"/>
  <c r="G90" i="7"/>
  <c r="G88" i="7"/>
  <c r="G94" i="7"/>
  <c r="G93" i="7"/>
  <c r="F106" i="7"/>
  <c r="D103" i="7"/>
  <c r="G85" i="7"/>
  <c r="D99" i="7"/>
  <c r="D98" i="7"/>
  <c r="D106" i="7"/>
  <c r="G87" i="7"/>
  <c r="C93" i="7"/>
  <c r="D102" i="7"/>
  <c r="G105" i="7"/>
  <c r="D100" i="7"/>
  <c r="D105" i="7"/>
  <c r="G84" i="7"/>
  <c r="G92" i="7"/>
  <c r="H106" i="7"/>
  <c r="G95" i="7"/>
  <c r="D25" i="7"/>
  <c r="G15" i="7"/>
  <c r="G11" i="7"/>
  <c r="D31" i="7"/>
  <c r="G18" i="7"/>
  <c r="G20" i="7"/>
  <c r="C18" i="7"/>
  <c r="G21" i="7"/>
  <c r="D24" i="7"/>
  <c r="D30" i="7"/>
  <c r="F31" i="7"/>
  <c r="D26" i="7"/>
  <c r="G17" i="7"/>
  <c r="G9" i="7"/>
  <c r="G19" i="7"/>
  <c r="G30" i="7"/>
  <c r="G13" i="7"/>
  <c r="D28" i="7"/>
  <c r="G12" i="7"/>
  <c r="D23" i="7"/>
  <c r="H31" i="7"/>
  <c r="D27" i="7"/>
  <c r="G10" i="7"/>
  <c r="D29" i="7"/>
  <c r="G14" i="7"/>
  <c r="G16" i="7"/>
  <c r="U66" i="7"/>
  <c r="U64" i="7"/>
  <c r="U60" i="7"/>
  <c r="R80" i="7"/>
  <c r="U70" i="7"/>
  <c r="U71" i="7"/>
  <c r="U80" i="7"/>
  <c r="R73" i="7"/>
  <c r="V81" i="7"/>
  <c r="R76" i="7"/>
  <c r="U69" i="7"/>
  <c r="R75" i="7"/>
  <c r="U63" i="7"/>
  <c r="U67" i="7"/>
  <c r="U61" i="7"/>
  <c r="R78" i="7"/>
  <c r="R74" i="7"/>
  <c r="R81" i="7"/>
  <c r="T81" i="7"/>
  <c r="Q68" i="7"/>
  <c r="R79" i="7"/>
  <c r="U59" i="7"/>
  <c r="U68" i="7"/>
  <c r="U65" i="7"/>
  <c r="U62" i="7"/>
  <c r="R77" i="7"/>
  <c r="K81" i="7"/>
  <c r="K78" i="7"/>
  <c r="N61" i="7"/>
  <c r="N71" i="7"/>
  <c r="K75" i="7"/>
  <c r="N65" i="7"/>
  <c r="K73" i="7"/>
  <c r="N62" i="7"/>
  <c r="O81" i="7"/>
  <c r="K77" i="7"/>
  <c r="N70" i="7"/>
  <c r="N64" i="7"/>
  <c r="N80" i="7"/>
  <c r="J68" i="7"/>
  <c r="N69" i="7"/>
  <c r="N63" i="7"/>
  <c r="N60" i="7"/>
  <c r="K79" i="7"/>
  <c r="N66" i="7"/>
  <c r="K74" i="7"/>
  <c r="M81" i="7"/>
  <c r="N67" i="7"/>
  <c r="N68" i="7"/>
  <c r="N59" i="7"/>
  <c r="K80" i="7"/>
  <c r="K76" i="7"/>
  <c r="U43" i="7"/>
  <c r="R51" i="7"/>
  <c r="U35" i="7"/>
  <c r="U38" i="7"/>
  <c r="U41" i="7"/>
  <c r="U34" i="7"/>
  <c r="R55" i="7"/>
  <c r="U39" i="7"/>
  <c r="U46" i="7"/>
  <c r="R50" i="7"/>
  <c r="R53" i="7"/>
  <c r="U45" i="7"/>
  <c r="U40" i="7"/>
  <c r="R52" i="7"/>
  <c r="T56" i="7"/>
  <c r="V56" i="7"/>
  <c r="U36" i="7"/>
  <c r="U42" i="7"/>
  <c r="R56" i="7"/>
  <c r="U44" i="7"/>
  <c r="R54" i="7"/>
  <c r="U55" i="7"/>
  <c r="R48" i="7"/>
  <c r="R49" i="7"/>
  <c r="Q43" i="7"/>
  <c r="U37" i="7"/>
  <c r="AB55" i="7"/>
  <c r="AB46" i="7"/>
  <c r="X43" i="7"/>
  <c r="AB39" i="7"/>
  <c r="AB43" i="7"/>
  <c r="AB42" i="7"/>
  <c r="Y52" i="7"/>
  <c r="Y50" i="7"/>
  <c r="AB37" i="7"/>
  <c r="Y56" i="7"/>
  <c r="AB38" i="7"/>
  <c r="Y55" i="7"/>
  <c r="Y49" i="7"/>
  <c r="AB44" i="7"/>
  <c r="Y51" i="7"/>
  <c r="AC56" i="7"/>
  <c r="AB41" i="7"/>
  <c r="AB40" i="7"/>
  <c r="AB45" i="7"/>
  <c r="AB34" i="7"/>
  <c r="Y54" i="7"/>
  <c r="AB36" i="7"/>
  <c r="Y53" i="7"/>
  <c r="AA56" i="7"/>
  <c r="AB35" i="7"/>
  <c r="Y48" i="7"/>
  <c r="D76" i="7"/>
  <c r="D74" i="7"/>
  <c r="G63" i="7"/>
  <c r="G65" i="7"/>
  <c r="G71" i="7"/>
  <c r="G64" i="7"/>
  <c r="D77" i="7"/>
  <c r="F81" i="7"/>
  <c r="D79" i="7"/>
  <c r="D73" i="7"/>
  <c r="D75" i="7"/>
  <c r="D81" i="7"/>
  <c r="D80" i="7"/>
  <c r="G60" i="7"/>
  <c r="H81" i="7"/>
  <c r="C68" i="7"/>
  <c r="G59" i="7"/>
  <c r="G61" i="7"/>
  <c r="G69" i="7"/>
  <c r="G70" i="7"/>
  <c r="G80" i="7"/>
  <c r="G62" i="7"/>
  <c r="G68" i="7"/>
  <c r="G67" i="7"/>
  <c r="D78" i="7"/>
  <c r="G66" i="7"/>
  <c r="G114" i="7"/>
  <c r="G118" i="7"/>
  <c r="G130" i="7"/>
  <c r="G109" i="7"/>
  <c r="G120" i="7"/>
  <c r="G121" i="7"/>
  <c r="G112" i="7"/>
  <c r="D125" i="7"/>
  <c r="G116" i="7"/>
  <c r="G110" i="7"/>
  <c r="G117" i="7"/>
  <c r="C118" i="7"/>
  <c r="D130" i="7"/>
  <c r="G115" i="7"/>
  <c r="G113" i="7"/>
  <c r="H131" i="7"/>
  <c r="D123" i="7"/>
  <c r="D131" i="7"/>
  <c r="D127" i="7"/>
  <c r="D128" i="7"/>
  <c r="D124" i="7"/>
  <c r="G119" i="7"/>
  <c r="D126" i="7"/>
  <c r="G111" i="7"/>
  <c r="D129" i="7"/>
  <c r="F131" i="7"/>
  <c r="K48" i="7"/>
  <c r="K53" i="7"/>
  <c r="N39" i="7"/>
  <c r="N40" i="7"/>
  <c r="K56" i="7"/>
  <c r="N41" i="7"/>
  <c r="N37" i="7"/>
  <c r="N36" i="7"/>
  <c r="N43" i="7"/>
  <c r="N35" i="7"/>
  <c r="O56" i="7"/>
  <c r="K55" i="7"/>
  <c r="K51" i="7"/>
  <c r="N34" i="7"/>
  <c r="J43" i="7"/>
  <c r="N45" i="7"/>
  <c r="N38" i="7"/>
  <c r="K49" i="7"/>
  <c r="N55" i="7"/>
  <c r="N44" i="7"/>
  <c r="K52" i="7"/>
  <c r="K54" i="7"/>
  <c r="M56" i="7"/>
  <c r="K50" i="7"/>
  <c r="N46" i="7"/>
  <c r="N42" i="7"/>
  <c r="R105" i="7"/>
  <c r="U86" i="7"/>
  <c r="R104" i="7"/>
  <c r="R103" i="7"/>
  <c r="U94" i="7"/>
  <c r="U89" i="7"/>
  <c r="V106" i="7"/>
  <c r="R98" i="7"/>
  <c r="R99" i="7"/>
  <c r="U95" i="7"/>
  <c r="U91" i="7"/>
  <c r="U96" i="7"/>
  <c r="R101" i="7"/>
  <c r="U87" i="7"/>
  <c r="U84" i="7"/>
  <c r="U93" i="7"/>
  <c r="Q93" i="7"/>
  <c r="R100" i="7"/>
  <c r="U88" i="7"/>
  <c r="R102" i="7"/>
  <c r="U90" i="7"/>
  <c r="U92" i="7"/>
  <c r="U85" i="7"/>
  <c r="U105" i="7"/>
  <c r="R106" i="7"/>
  <c r="T106" i="7"/>
  <c r="D51" i="7"/>
  <c r="G42" i="7"/>
  <c r="H56" i="7"/>
  <c r="D54" i="7"/>
  <c r="D49" i="7"/>
  <c r="F56" i="7"/>
  <c r="D56" i="7"/>
  <c r="G55" i="7"/>
  <c r="G46" i="7"/>
  <c r="C43" i="7"/>
  <c r="D48" i="7"/>
  <c r="G43" i="7"/>
  <c r="G44" i="7"/>
  <c r="D52" i="7"/>
  <c r="G41" i="7"/>
  <c r="G36" i="7"/>
  <c r="G38" i="7"/>
  <c r="G45" i="7"/>
  <c r="G35" i="7"/>
  <c r="D55" i="7"/>
  <c r="G37" i="7"/>
  <c r="D50" i="7"/>
  <c r="D53" i="7"/>
  <c r="G39" i="7"/>
  <c r="G40" i="7"/>
  <c r="G3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tc={EAC59876-8FE0-42C1-9544-755DD917A2F8}</author>
  </authors>
  <commentList>
    <comment ref="A4" authorId="0" shapeId="0" xr:uid="{EAC59876-8FE0-42C1-9544-755DD917A2F8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escolher uma ordenação de cada vez. por enquanto não serão duas ao mesmo tempo</t>
        </r>
      </text>
    </comment>
  </commentList>
</comments>
</file>

<file path=xl/sharedStrings.xml><?xml version="1.0" encoding="utf-8"?>
<sst xmlns="http://schemas.openxmlformats.org/spreadsheetml/2006/main" count="888" uniqueCount="147">
  <si>
    <t>filtros</t>
  </si>
  <si>
    <t>dados do produto</t>
  </si>
  <si>
    <t>referencia</t>
  </si>
  <si>
    <t>codigo da cor</t>
  </si>
  <si>
    <t>grupo</t>
  </si>
  <si>
    <t>subgrupo</t>
  </si>
  <si>
    <t>linha</t>
  </si>
  <si>
    <t>coleção</t>
  </si>
  <si>
    <t>data lançamento</t>
  </si>
  <si>
    <t>preço cheio</t>
  </si>
  <si>
    <t>custo</t>
  </si>
  <si>
    <t>PMV (preço liquido)</t>
  </si>
  <si>
    <t>qtd vendida</t>
  </si>
  <si>
    <t>qtd comprada</t>
  </si>
  <si>
    <t>giro 30 dias</t>
  </si>
  <si>
    <t>giro atual</t>
  </si>
  <si>
    <t>giro antes da liqui</t>
  </si>
  <si>
    <t>data liquidação</t>
  </si>
  <si>
    <t>sim</t>
  </si>
  <si>
    <t>nome da cor</t>
  </si>
  <si>
    <t>Entrada (março 1)</t>
  </si>
  <si>
    <t>Fornecedor</t>
  </si>
  <si>
    <t>ref/cor</t>
  </si>
  <si>
    <t>nome  produto</t>
  </si>
  <si>
    <t>Canal de venda</t>
  </si>
  <si>
    <t>mkp cheio</t>
  </si>
  <si>
    <t>mkp de saída</t>
  </si>
  <si>
    <t>gasto</t>
  </si>
  <si>
    <t>MP principal</t>
  </si>
  <si>
    <t>Ordenação</t>
  </si>
  <si>
    <t>texto</t>
  </si>
  <si>
    <t>Natureza do dado</t>
  </si>
  <si>
    <t>se não conseguir ordenação agora tudo bem, fica para V1.1</t>
  </si>
  <si>
    <t>Favor não mudar as informações para colunas ou linhas diferentes! Fazê-lo interferirá nas macros!</t>
  </si>
  <si>
    <t xml:space="preserve"> </t>
  </si>
  <si>
    <t>células-alvo</t>
  </si>
  <si>
    <t>dimensões padrão das fotos</t>
  </si>
  <si>
    <t>slot</t>
  </si>
  <si>
    <t>imgTop</t>
  </si>
  <si>
    <t>imgLeft_foto frente</t>
  </si>
  <si>
    <t>Linhas</t>
  </si>
  <si>
    <t>Colunas</t>
  </si>
  <si>
    <t>Height</t>
  </si>
  <si>
    <t>&lt;-- slot pivot</t>
  </si>
  <si>
    <t>coordenadas da célula pivot do slot 1:</t>
  </si>
  <si>
    <t>Width</t>
  </si>
  <si>
    <t>Passos entre fotos frente/slots</t>
  </si>
  <si>
    <t>para a direita:</t>
  </si>
  <si>
    <t>para baixo:</t>
  </si>
  <si>
    <t>Ref:</t>
  </si>
  <si>
    <t>Cod Cor:</t>
  </si>
  <si>
    <t>Ref-cor:</t>
  </si>
  <si>
    <t>Cor:</t>
  </si>
  <si>
    <t>Grupo:</t>
  </si>
  <si>
    <t>Subgrupo:</t>
  </si>
  <si>
    <t>Subgrup:</t>
  </si>
  <si>
    <t>Linha:</t>
  </si>
  <si>
    <t>Coleção:</t>
  </si>
  <si>
    <t>Entrada:</t>
  </si>
  <si>
    <t>mp_prin:</t>
  </si>
  <si>
    <t>fornec:</t>
  </si>
  <si>
    <t>Lançam:</t>
  </si>
  <si>
    <t>Custo:</t>
  </si>
  <si>
    <t>Mkp:</t>
  </si>
  <si>
    <t>Gasto:</t>
  </si>
  <si>
    <t>PMV:</t>
  </si>
  <si>
    <t>giro 30d:</t>
  </si>
  <si>
    <t>giro pre-liq:</t>
  </si>
  <si>
    <t>Data liqui:</t>
  </si>
  <si>
    <t>Mkp saída</t>
  </si>
  <si>
    <t>giro hoje:</t>
  </si>
  <si>
    <t>qtd venda</t>
  </si>
  <si>
    <t>qtd compra</t>
  </si>
  <si>
    <t>FILTROS</t>
  </si>
  <si>
    <t>MP principal:</t>
  </si>
  <si>
    <t>Fornecedor:</t>
  </si>
  <si>
    <t>Canal de venda:</t>
  </si>
  <si>
    <t>ORDENAÇÃO</t>
  </si>
  <si>
    <t>Ordenar por:</t>
  </si>
  <si>
    <t>i.</t>
  </si>
  <si>
    <t>ii.</t>
  </si>
  <si>
    <t>iii.</t>
  </si>
  <si>
    <t>De forma:</t>
  </si>
  <si>
    <t>IdSlot</t>
  </si>
  <si>
    <t>ImgTop</t>
  </si>
  <si>
    <t>ImgLeft</t>
  </si>
  <si>
    <t>Ordenador</t>
  </si>
  <si>
    <t>Filtro final</t>
  </si>
  <si>
    <t>**tudo**</t>
  </si>
  <si>
    <t>Página:</t>
  </si>
  <si>
    <t>Caminho da foto</t>
  </si>
  <si>
    <t>Índice da função MAIOR</t>
  </si>
  <si>
    <t>Caminho da foto:</t>
  </si>
  <si>
    <t>Preço Cheio:</t>
  </si>
  <si>
    <t>Nome:</t>
  </si>
  <si>
    <t>Verificação de padrão de separador decimal</t>
  </si>
  <si>
    <t>Lista SIM ou NÃO</t>
  </si>
  <si>
    <t>SIM</t>
  </si>
  <si>
    <t>NÃO</t>
  </si>
  <si>
    <t>Lista de Grupos</t>
  </si>
  <si>
    <t>Lista de Subgrupos</t>
  </si>
  <si>
    <t>Lista de Cores</t>
  </si>
  <si>
    <t>Lista de Linhas</t>
  </si>
  <si>
    <t>Lista de Coleções</t>
  </si>
  <si>
    <t>Lista de Entradas</t>
  </si>
  <si>
    <t>Lista de MPs principais</t>
  </si>
  <si>
    <t>Lista de Fornecedores</t>
  </si>
  <si>
    <t>Lista de Canais de Venda</t>
  </si>
  <si>
    <t>cor 1</t>
  </si>
  <si>
    <t>cor 2</t>
  </si>
  <si>
    <t>cor 3</t>
  </si>
  <si>
    <t>grupo 1</t>
  </si>
  <si>
    <t>grupo 2</t>
  </si>
  <si>
    <t>grupo 3</t>
  </si>
  <si>
    <t>sbg 1</t>
  </si>
  <si>
    <t>sbg 2</t>
  </si>
  <si>
    <t>sbg 3</t>
  </si>
  <si>
    <t>linha 1</t>
  </si>
  <si>
    <t>linha 2</t>
  </si>
  <si>
    <t>linha 3</t>
  </si>
  <si>
    <t>coleção 1</t>
  </si>
  <si>
    <t>coleção 2</t>
  </si>
  <si>
    <t>coleção 3</t>
  </si>
  <si>
    <t>mp 1</t>
  </si>
  <si>
    <t>mp 2</t>
  </si>
  <si>
    <t>mp 3</t>
  </si>
  <si>
    <t>Fornecedor 1</t>
  </si>
  <si>
    <t>fornecedor 2</t>
  </si>
  <si>
    <t>fornecedor 3</t>
  </si>
  <si>
    <t>site</t>
  </si>
  <si>
    <t>presencial</t>
  </si>
  <si>
    <t>wtpp</t>
  </si>
  <si>
    <t>-</t>
  </si>
  <si>
    <t>20SET1VT01_57</t>
  </si>
  <si>
    <t>20OUT1VT01_07</t>
  </si>
  <si>
    <t>20AGO2CL01_37</t>
  </si>
  <si>
    <t>Caminho para a pasta de fotos:</t>
  </si>
  <si>
    <t>C:\Users\rodri\OneDrive\Documentos\Influir - Consultoria\Ferramenta de análise de venda por produto - similar à aprovação de visual</t>
  </si>
  <si>
    <t>Configurações:</t>
  </si>
  <si>
    <t>Mostrar dados escondidos?</t>
  </si>
  <si>
    <t>a0001cf3</t>
  </si>
  <si>
    <t>b0002cf7</t>
  </si>
  <si>
    <t>c0003cf9</t>
  </si>
  <si>
    <t>grupo 9</t>
  </si>
  <si>
    <t>março 1</t>
  </si>
  <si>
    <t>crescente</t>
  </si>
  <si>
    <t>decrescente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</si>
</sst>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3" fillId="0" borderId="0" xfId="0" applyFont="1"/>
    <xf numFmtId="0" fontId="2" fillId="0" borderId="1" xfId="0" applyFont="1" applyBorder="1" applyAlignment="1">
      <alignment vertical="center"/>
    </xf>
    <xf numFmtId="0" fontId="2" fillId="0" borderId="1" xfId="0" applyFont="1" applyBorder="1"/>
    <xf numFmtId="0" fontId="2" fillId="2" borderId="1" xfId="0" applyFont="1" applyFill="1" applyBorder="1"/>
    <xf numFmtId="0" fontId="2" fillId="3" borderId="1" xfId="0" applyFont="1" applyFill="1" applyBorder="1"/>
    <xf numFmtId="0" fontId="4" fillId="4" borderId="1" xfId="0" applyFont="1" applyFill="1" applyBorder="1" applyAlignment="1">
      <alignment vertical="center"/>
    </xf>
    <xf numFmtId="0" fontId="4" fillId="4" borderId="1" xfId="0" applyFont="1" applyFill="1" applyBorder="1"/>
    <xf numFmtId="0" fontId="5" fillId="4" borderId="1" xfId="0" applyFont="1" applyFill="1" applyBorder="1"/>
    <xf numFmtId="14" fontId="2" fillId="0" borderId="1" xfId="0" applyNumberFormat="1" applyFont="1" applyBorder="1"/>
    <xf numFmtId="164" fontId="2" fillId="0" borderId="1" xfId="1" applyFont="1" applyBorder="1"/>
    <xf numFmtId="9" fontId="2" fillId="0" borderId="1" xfId="2" applyFont="1" applyBorder="1"/>
    <xf numFmtId="49" fontId="2" fillId="0" borderId="1" xfId="0" applyNumberFormat="1" applyFont="1" applyBorder="1"/>
    <xf numFmtId="1" fontId="0" fillId="0" borderId="0" xfId="0" applyNumberFormat="1" applyAlignment="1">
      <alignment horizontal="left"/>
    </xf>
    <xf numFmtId="0" fontId="6" fillId="5" borderId="0" xfId="0" applyFont="1" applyFill="1" applyAlignment="1">
      <alignment horizontal="center" wrapText="1"/>
    </xf>
    <xf numFmtId="0" fontId="0" fillId="0" borderId="2" xfId="0" applyBorder="1"/>
    <xf numFmtId="0" fontId="0" fillId="4" borderId="0" xfId="0" applyFill="1"/>
    <xf numFmtId="0" fontId="9" fillId="0" borderId="0" xfId="0" applyFont="1"/>
    <xf numFmtId="0" fontId="7" fillId="0" borderId="0" xfId="0" applyFont="1"/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2" fillId="0" borderId="0" xfId="0" applyFont="1" applyBorder="1"/>
    <xf numFmtId="0" fontId="2" fillId="5" borderId="1" xfId="0" applyFont="1" applyFill="1" applyBorder="1" applyAlignment="1">
      <alignment vertical="center"/>
    </xf>
    <xf numFmtId="0" fontId="2" fillId="4" borderId="0" xfId="0" applyFont="1" applyFill="1"/>
    <xf numFmtId="0" fontId="2" fillId="4" borderId="0" xfId="0" applyFont="1" applyFill="1" applyBorder="1"/>
    <xf numFmtId="0" fontId="2" fillId="0" borderId="0" xfId="0" applyFont="1" applyFill="1"/>
    <xf numFmtId="0" fontId="2" fillId="0" borderId="0" xfId="0" applyFont="1" applyFill="1" applyBorder="1"/>
    <xf numFmtId="0" fontId="0" fillId="0" borderId="0" xfId="0" applyFont="1"/>
    <xf numFmtId="0" fontId="0" fillId="0" borderId="0" xfId="0" applyFont="1" applyBorder="1"/>
    <xf numFmtId="0" fontId="10" fillId="6" borderId="0" xfId="0" applyFont="1" applyFill="1" applyBorder="1" applyAlignment="1">
      <alignment horizontal="right"/>
    </xf>
    <xf numFmtId="0" fontId="11" fillId="6" borderId="0" xfId="0" applyFont="1" applyFill="1" applyBorder="1"/>
    <xf numFmtId="0" fontId="0" fillId="6" borderId="0" xfId="0" applyFont="1" applyFill="1" applyBorder="1"/>
    <xf numFmtId="0" fontId="0" fillId="0" borderId="0" xfId="0" applyBorder="1"/>
    <xf numFmtId="0" fontId="10" fillId="6" borderId="0" xfId="0" applyFont="1" applyFill="1" applyBorder="1" applyAlignment="1"/>
    <xf numFmtId="0" fontId="0" fillId="6" borderId="4" xfId="0" applyFont="1" applyFill="1" applyBorder="1"/>
    <xf numFmtId="0" fontId="0" fillId="6" borderId="6" xfId="0" applyFont="1" applyFill="1" applyBorder="1"/>
    <xf numFmtId="0" fontId="0" fillId="6" borderId="8" xfId="0" applyFont="1" applyFill="1" applyBorder="1"/>
    <xf numFmtId="0" fontId="10" fillId="6" borderId="9" xfId="0" applyFont="1" applyFill="1" applyBorder="1" applyAlignment="1">
      <alignment horizontal="right"/>
    </xf>
    <xf numFmtId="0" fontId="11" fillId="6" borderId="9" xfId="0" applyFont="1" applyFill="1" applyBorder="1"/>
    <xf numFmtId="0" fontId="0" fillId="6" borderId="9" xfId="0" applyFont="1" applyFill="1" applyBorder="1"/>
    <xf numFmtId="0" fontId="11" fillId="6" borderId="7" xfId="0" applyFont="1" applyFill="1" applyBorder="1"/>
    <xf numFmtId="0" fontId="0" fillId="6" borderId="11" xfId="0" applyFont="1" applyFill="1" applyBorder="1"/>
    <xf numFmtId="0" fontId="8" fillId="6" borderId="12" xfId="0" applyFont="1" applyFill="1" applyBorder="1" applyAlignment="1">
      <alignment horizontal="right"/>
    </xf>
    <xf numFmtId="0" fontId="10" fillId="6" borderId="4" xfId="0" applyFont="1" applyFill="1" applyBorder="1" applyAlignment="1">
      <alignment horizontal="right"/>
    </xf>
    <xf numFmtId="0" fontId="0" fillId="0" borderId="4" xfId="0" applyFont="1" applyBorder="1"/>
    <xf numFmtId="0" fontId="0" fillId="0" borderId="9" xfId="0" applyFont="1" applyBorder="1"/>
    <xf numFmtId="0" fontId="0" fillId="0" borderId="1" xfId="0" applyFont="1" applyBorder="1" applyAlignment="1">
      <alignment vertical="center"/>
    </xf>
    <xf numFmtId="0" fontId="0" fillId="5" borderId="1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2" fillId="7" borderId="0" xfId="0" applyFont="1" applyFill="1"/>
    <xf numFmtId="0" fontId="0" fillId="7" borderId="0" xfId="0" applyFont="1" applyFill="1" applyAlignment="1">
      <alignment vertical="center"/>
    </xf>
    <xf numFmtId="0" fontId="2" fillId="8" borderId="0" xfId="0" applyFont="1" applyFill="1"/>
    <xf numFmtId="0" fontId="0" fillId="8" borderId="0" xfId="0" applyFont="1" applyFill="1" applyAlignment="1">
      <alignment vertical="center"/>
    </xf>
    <xf numFmtId="0" fontId="0" fillId="4" borderId="0" xfId="0" applyFont="1" applyFill="1" applyAlignment="1">
      <alignment vertical="center"/>
    </xf>
    <xf numFmtId="0" fontId="2" fillId="4" borderId="13" xfId="0" applyFont="1" applyFill="1" applyBorder="1"/>
    <xf numFmtId="0" fontId="2" fillId="7" borderId="13" xfId="0" applyFont="1" applyFill="1" applyBorder="1"/>
    <xf numFmtId="0" fontId="2" fillId="0" borderId="13" xfId="0" applyFont="1" applyBorder="1"/>
    <xf numFmtId="0" fontId="0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2" fillId="8" borderId="14" xfId="0" applyFont="1" applyFill="1" applyBorder="1"/>
    <xf numFmtId="0" fontId="2" fillId="4" borderId="14" xfId="0" applyFont="1" applyFill="1" applyBorder="1"/>
    <xf numFmtId="0" fontId="2" fillId="7" borderId="14" xfId="0" applyFont="1" applyFill="1" applyBorder="1"/>
    <xf numFmtId="0" fontId="2" fillId="0" borderId="14" xfId="0" applyFont="1" applyBorder="1"/>
    <xf numFmtId="0" fontId="0" fillId="4" borderId="0" xfId="0" applyFont="1" applyFill="1" applyAlignment="1">
      <alignment horizontal="left" vertical="center"/>
    </xf>
    <xf numFmtId="0" fontId="12" fillId="4" borderId="0" xfId="0" applyFont="1" applyFill="1"/>
    <xf numFmtId="0" fontId="0" fillId="4" borderId="1" xfId="0" applyFont="1" applyFill="1" applyBorder="1" applyAlignment="1">
      <alignment vertical="center"/>
    </xf>
    <xf numFmtId="0" fontId="2" fillId="9" borderId="0" xfId="0" applyFont="1" applyFill="1"/>
    <xf numFmtId="0" fontId="0" fillId="9" borderId="0" xfId="0" applyFont="1" applyFill="1" applyBorder="1" applyAlignment="1">
      <alignment vertical="center"/>
    </xf>
    <xf numFmtId="0" fontId="2" fillId="9" borderId="14" xfId="0" applyFont="1" applyFill="1" applyBorder="1"/>
    <xf numFmtId="0" fontId="0" fillId="2" borderId="1" xfId="0" applyFont="1" applyFill="1" applyBorder="1" applyAlignment="1">
      <alignment vertical="center"/>
    </xf>
    <xf numFmtId="0" fontId="0" fillId="0" borderId="8" xfId="0" applyBorder="1"/>
    <xf numFmtId="0" fontId="0" fillId="0" borderId="10" xfId="0" applyBorder="1"/>
    <xf numFmtId="0" fontId="8" fillId="0" borderId="16" xfId="0" applyFont="1" applyBorder="1"/>
    <xf numFmtId="0" fontId="8" fillId="0" borderId="15" xfId="0" applyFont="1" applyBorder="1"/>
    <xf numFmtId="0" fontId="8" fillId="0" borderId="0" xfId="0" applyFont="1"/>
    <xf numFmtId="0" fontId="0" fillId="0" borderId="11" xfId="0" applyBorder="1"/>
    <xf numFmtId="0" fontId="0" fillId="0" borderId="6" xfId="0" applyBorder="1"/>
    <xf numFmtId="0" fontId="0" fillId="0" borderId="17" xfId="0" applyBorder="1"/>
    <xf numFmtId="17" fontId="2" fillId="0" borderId="0" xfId="0" applyNumberFormat="1" applyFont="1"/>
    <xf numFmtId="0" fontId="2" fillId="9" borderId="0" xfId="0" quotePrefix="1" applyFont="1" applyFill="1"/>
    <xf numFmtId="0" fontId="0" fillId="0" borderId="0" xfId="0" applyAlignment="1"/>
    <xf numFmtId="0" fontId="0" fillId="0" borderId="0" xfId="0" applyAlignment="1">
      <alignment wrapText="1"/>
    </xf>
    <xf numFmtId="0" fontId="0" fillId="0" borderId="22" xfId="0" applyBorder="1"/>
    <xf numFmtId="0" fontId="7" fillId="0" borderId="23" xfId="0" applyFont="1" applyBorder="1"/>
    <xf numFmtId="0" fontId="0" fillId="0" borderId="21" xfId="0" applyBorder="1" applyAlignment="1">
      <alignment wrapText="1"/>
    </xf>
    <xf numFmtId="0" fontId="0" fillId="0" borderId="20" xfId="0" applyBorder="1" applyAlignment="1">
      <alignment horizontal="left" vertical="top"/>
    </xf>
    <xf numFmtId="0" fontId="2" fillId="4" borderId="25" xfId="0" applyFont="1" applyFill="1" applyBorder="1" applyAlignment="1">
      <alignment horizontal="center"/>
    </xf>
    <xf numFmtId="0" fontId="13" fillId="4" borderId="0" xfId="0" applyFont="1" applyFill="1" applyAlignment="1">
      <alignment horizontal="right" shrinkToFit="1"/>
    </xf>
    <xf numFmtId="0" fontId="13" fillId="4" borderId="24" xfId="0" applyFont="1" applyFill="1" applyBorder="1" applyAlignment="1">
      <alignment horizontal="left" shrinkToFit="1"/>
    </xf>
    <xf numFmtId="0" fontId="13" fillId="4" borderId="0" xfId="0" applyFont="1" applyFill="1" applyAlignment="1">
      <alignment horizontal="left" shrinkToFit="1"/>
    </xf>
    <xf numFmtId="17" fontId="2" fillId="0" borderId="0" xfId="0" quotePrefix="1" applyNumberFormat="1" applyFont="1"/>
    <xf numFmtId="0" fontId="14" fillId="6" borderId="6" xfId="0" applyFont="1" applyFill="1" applyBorder="1"/>
    <xf numFmtId="0" fontId="14" fillId="6" borderId="8" xfId="0" applyFont="1" applyFill="1" applyBorder="1"/>
    <xf numFmtId="0" fontId="10" fillId="0" borderId="4" xfId="0" applyFont="1" applyFill="1" applyBorder="1"/>
    <xf numFmtId="0" fontId="0" fillId="0" borderId="4" xfId="0" applyFont="1" applyFill="1" applyBorder="1"/>
    <xf numFmtId="0" fontId="10" fillId="0" borderId="4" xfId="0" applyFont="1" applyFill="1" applyBorder="1" applyAlignment="1"/>
    <xf numFmtId="0" fontId="11" fillId="0" borderId="5" xfId="0" applyFont="1" applyFill="1" applyBorder="1"/>
    <xf numFmtId="0" fontId="8" fillId="0" borderId="1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0" fillId="4" borderId="18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11" fillId="6" borderId="0" xfId="0" applyFont="1" applyFill="1" applyBorder="1" applyAlignment="1">
      <alignment horizontal="left"/>
    </xf>
    <xf numFmtId="0" fontId="11" fillId="6" borderId="7" xfId="0" applyFont="1" applyFill="1" applyBorder="1" applyAlignment="1">
      <alignment horizontal="left"/>
    </xf>
    <xf numFmtId="0" fontId="11" fillId="6" borderId="9" xfId="0" applyFont="1" applyFill="1" applyBorder="1" applyAlignment="1">
      <alignment horizontal="left"/>
    </xf>
    <xf numFmtId="0" fontId="11" fillId="6" borderId="10" xfId="0" applyFont="1" applyFill="1" applyBorder="1" applyAlignment="1">
      <alignment horizontal="left"/>
    </xf>
    <xf numFmtId="0" fontId="11" fillId="6" borderId="4" xfId="0" applyFont="1" applyFill="1" applyBorder="1" applyAlignment="1">
      <alignment horizontal="left"/>
    </xf>
    <xf numFmtId="0" fontId="11" fillId="6" borderId="5" xfId="0" applyFont="1" applyFill="1" applyBorder="1" applyAlignment="1">
      <alignment horizontal="left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3">
    <dxf>
      <fill>
        <patternFill>
          <bgColor theme="4" tint="0.39994506668294322"/>
        </patternFill>
      </fill>
      <border>
        <left/>
        <right/>
        <top style="thin">
          <color auto="1"/>
        </top>
        <bottom/>
      </border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ont>
        <color theme="0"/>
      </font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347132</xdr:colOff>
      <xdr:row>1</xdr:row>
      <xdr:rowOff>50799</xdr:rowOff>
    </xdr:from>
    <xdr:to>
      <xdr:col>26</xdr:col>
      <xdr:colOff>211666</xdr:colOff>
      <xdr:row>2</xdr:row>
      <xdr:rowOff>33867</xdr:rowOff>
    </xdr:to>
    <xdr:sp macro="[0]!validar_camp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D36D5AA-839D-4B48-89AE-3279A5527711}"/>
            </a:ext>
          </a:extLst>
        </xdr:cNvPr>
        <xdr:cNvSpPr/>
      </xdr:nvSpPr>
      <xdr:spPr>
        <a:xfrm>
          <a:off x="7806265" y="211666"/>
          <a:ext cx="4250268" cy="177801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 opções de</a:t>
          </a:r>
          <a:r>
            <a:rPr lang="pt-BR" sz="1100" baseline="0"/>
            <a:t> Filtragem</a:t>
          </a:r>
          <a:endParaRPr lang="pt-BR" sz="1100"/>
        </a:p>
      </xdr:txBody>
    </xdr:sp>
    <xdr:clientData/>
  </xdr:twoCellAnchor>
  <xdr:twoCellAnchor>
    <xdr:from>
      <xdr:col>17</xdr:col>
      <xdr:colOff>338660</xdr:colOff>
      <xdr:row>2</xdr:row>
      <xdr:rowOff>127000</xdr:rowOff>
    </xdr:from>
    <xdr:to>
      <xdr:col>26</xdr:col>
      <xdr:colOff>228599</xdr:colOff>
      <xdr:row>5</xdr:row>
      <xdr:rowOff>152401</xdr:rowOff>
    </xdr:to>
    <xdr:sp macro="[0]!Atualizar_Imagens_da_Apresentaca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C0E5794-CFCD-4E0E-85A5-CCEE1116F331}"/>
            </a:ext>
          </a:extLst>
        </xdr:cNvPr>
        <xdr:cNvSpPr/>
      </xdr:nvSpPr>
      <xdr:spPr>
        <a:xfrm>
          <a:off x="7797793" y="482600"/>
          <a:ext cx="4275673" cy="58420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Atualizar Imagens</a:t>
          </a:r>
        </a:p>
      </xdr:txBody>
    </xdr:sp>
    <xdr:clientData/>
  </xdr:twoCellAnchor>
  <xdr:twoCellAnchor>
    <xdr:from>
      <xdr:col>16</xdr:col>
      <xdr:colOff>118532</xdr:colOff>
      <xdr:row>1</xdr:row>
      <xdr:rowOff>67737</xdr:rowOff>
    </xdr:from>
    <xdr:to>
      <xdr:col>16</xdr:col>
      <xdr:colOff>382125</xdr:colOff>
      <xdr:row>2</xdr:row>
      <xdr:rowOff>101601</xdr:rowOff>
    </xdr:to>
    <xdr:sp macro="[0]!ordenar" textlink="">
      <xdr:nvSpPr>
        <xdr:cNvPr id="8" name="Elipse 7">
          <a:extLst>
            <a:ext uri="{FF2B5EF4-FFF2-40B4-BE49-F238E27FC236}">
              <a16:creationId xmlns:a16="http://schemas.microsoft.com/office/drawing/2014/main" id="{CB4FB9E0-4E3D-47B7-B2D1-8839E078142B}"/>
            </a:ext>
          </a:extLst>
        </xdr:cNvPr>
        <xdr:cNvSpPr/>
      </xdr:nvSpPr>
      <xdr:spPr>
        <a:xfrm>
          <a:off x="7120465" y="228604"/>
          <a:ext cx="263593" cy="228597"/>
        </a:xfrm>
        <a:prstGeom prst="ellipse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ok</a:t>
          </a:r>
          <a:endParaRPr lang="pt-B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440267</xdr:colOff>
      <xdr:row>4</xdr:row>
      <xdr:rowOff>42335</xdr:rowOff>
    </xdr:from>
    <xdr:to>
      <xdr:col>28</xdr:col>
      <xdr:colOff>169334</xdr:colOff>
      <xdr:row>5</xdr:row>
      <xdr:rowOff>25402</xdr:rowOff>
    </xdr:to>
    <xdr:sp macro="[0]!paginaSeguinte" textlink="">
      <xdr:nvSpPr>
        <xdr:cNvPr id="4" name="Seta: para a Direita 3">
          <a:extLst>
            <a:ext uri="{FF2B5EF4-FFF2-40B4-BE49-F238E27FC236}">
              <a16:creationId xmlns:a16="http://schemas.microsoft.com/office/drawing/2014/main" id="{1FD45EEB-4C3D-490C-A402-40D63E06AE30}"/>
            </a:ext>
          </a:extLst>
        </xdr:cNvPr>
        <xdr:cNvSpPr/>
      </xdr:nvSpPr>
      <xdr:spPr>
        <a:xfrm>
          <a:off x="12920134" y="956735"/>
          <a:ext cx="186267" cy="177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0</xdr:colOff>
      <xdr:row>4</xdr:row>
      <xdr:rowOff>42333</xdr:rowOff>
    </xdr:from>
    <xdr:to>
      <xdr:col>27</xdr:col>
      <xdr:colOff>177800</xdr:colOff>
      <xdr:row>5</xdr:row>
      <xdr:rowOff>8467</xdr:rowOff>
    </xdr:to>
    <xdr:sp macro="[0]!paginaAnterior" textlink="">
      <xdr:nvSpPr>
        <xdr:cNvPr id="5" name="Seta: para a Esquerda 4">
          <a:extLst>
            <a:ext uri="{FF2B5EF4-FFF2-40B4-BE49-F238E27FC236}">
              <a16:creationId xmlns:a16="http://schemas.microsoft.com/office/drawing/2014/main" id="{30530DD7-AE6E-463B-9DEE-B25777119FF3}"/>
            </a:ext>
          </a:extLst>
        </xdr:cNvPr>
        <xdr:cNvSpPr/>
      </xdr:nvSpPr>
      <xdr:spPr>
        <a:xfrm>
          <a:off x="12479867" y="956733"/>
          <a:ext cx="177800" cy="16086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1</xdr:colOff>
      <xdr:row>8</xdr:row>
      <xdr:rowOff>0</xdr:rowOff>
    </xdr:from>
    <xdr:to>
      <xdr:col>4</xdr:col>
      <xdr:colOff>409788</xdr:colOff>
      <xdr:row>21</xdr:row>
      <xdr:rowOff>50800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1FFED4D6-17D9-4EC6-ACF3-EB042CDA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1" y="1394460"/>
          <a:ext cx="1354667" cy="20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8</xdr:row>
      <xdr:rowOff>0</xdr:rowOff>
    </xdr:from>
    <xdr:to>
      <xdr:col>11</xdr:col>
      <xdr:colOff>440268</xdr:colOff>
      <xdr:row>21</xdr:row>
      <xdr:rowOff>50800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B4FC1111-91F4-45E8-B4F9-08F4B7290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0461" y="1394460"/>
          <a:ext cx="1354667" cy="20320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33</xdr:row>
      <xdr:rowOff>0</xdr:rowOff>
    </xdr:from>
    <xdr:to>
      <xdr:col>4</xdr:col>
      <xdr:colOff>409788</xdr:colOff>
      <xdr:row>46</xdr:row>
      <xdr:rowOff>50800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FB23B199-D838-45E3-BC81-98CFA2E1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1" y="5204460"/>
          <a:ext cx="1354667" cy="2032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MANDA SEABRA" id="{2F7D765E-901A-459D-8C50-B5F580BFCF42}" userId="b4a30d4d515a4038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0-11-07T16:20:05.02" personId="{2F7D765E-901A-459D-8C50-B5F580BFCF42}" id="{EAC59876-8FE0-42C1-9544-755DD917A2F8}">
    <text>escolher uma ordenação de cada vez. por enquanto não serão duas ao mesmo tempo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3E493-C83E-44D2-939D-9DBEFE03759F}">
  <sheetPr codeName="Plan3"/>
  <dimension ref="B1:K9"/>
  <sheetViews>
    <sheetView workbookViewId="0">
      <selection activeCell="J6" sqref="J6:J10"/>
    </sheetView>
  </sheetViews>
  <sheetFormatPr defaultRowHeight="14.4" x14ac:dyDescent="0.3"/>
  <cols>
    <col min="2" max="2" width="20.44140625" bestFit="1" customWidth="1"/>
    <col min="3" max="3" width="23.109375" bestFit="1" customWidth="1"/>
    <col min="4" max="4" width="21.77734375" customWidth="1"/>
    <col min="5" max="5" width="27.5546875" bestFit="1" customWidth="1"/>
    <col min="6" max="6" width="17.21875" bestFit="1" customWidth="1"/>
    <col min="7" max="7" width="25.77734375" bestFit="1" customWidth="1"/>
    <col min="8" max="8" width="23" customWidth="1"/>
    <col min="9" max="9" width="21.6640625" bestFit="1" customWidth="1"/>
    <col min="10" max="10" width="22" bestFit="1" customWidth="1"/>
  </cols>
  <sheetData>
    <row r="1" spans="2:11" x14ac:dyDescent="0.3">
      <c r="C1" s="99" t="s">
        <v>95</v>
      </c>
      <c r="D1" s="100"/>
      <c r="F1" s="99" t="s">
        <v>96</v>
      </c>
      <c r="G1" s="100"/>
      <c r="H1" s="99" t="s">
        <v>96</v>
      </c>
      <c r="I1" s="100"/>
    </row>
    <row r="2" spans="2:11" ht="15" thickBot="1" x14ac:dyDescent="0.35">
      <c r="C2" s="72">
        <v>1.37</v>
      </c>
      <c r="D2" s="73">
        <f>IFERROR(C2+1,0)</f>
        <v>2.37</v>
      </c>
      <c r="F2" s="72" t="s">
        <v>97</v>
      </c>
      <c r="G2" s="73" t="s">
        <v>98</v>
      </c>
      <c r="H2" s="72" t="s">
        <v>145</v>
      </c>
      <c r="I2" s="73" t="s">
        <v>146</v>
      </c>
    </row>
    <row r="3" spans="2:11" s="17" customFormat="1" ht="15" thickBot="1" x14ac:dyDescent="0.35">
      <c r="B3"/>
      <c r="C3"/>
      <c r="D3"/>
      <c r="E3"/>
      <c r="F3"/>
      <c r="G3"/>
      <c r="K3" s="34"/>
    </row>
    <row r="4" spans="2:11" s="76" customFormat="1" ht="15" thickBot="1" x14ac:dyDescent="0.35">
      <c r="B4" s="74" t="s">
        <v>101</v>
      </c>
      <c r="C4" s="74" t="s">
        <v>99</v>
      </c>
      <c r="D4" s="74" t="s">
        <v>100</v>
      </c>
      <c r="E4" s="74" t="s">
        <v>102</v>
      </c>
      <c r="F4" s="75" t="s">
        <v>103</v>
      </c>
      <c r="G4" s="74" t="s">
        <v>104</v>
      </c>
      <c r="H4" s="75" t="s">
        <v>105</v>
      </c>
      <c r="I4" s="74" t="s">
        <v>106</v>
      </c>
      <c r="J4" s="75" t="s">
        <v>107</v>
      </c>
      <c r="K4" s="79"/>
    </row>
    <row r="5" spans="2:11" ht="15" thickBot="1" x14ac:dyDescent="0.35">
      <c r="B5" s="77" t="s">
        <v>88</v>
      </c>
      <c r="C5" s="77" t="s">
        <v>88</v>
      </c>
      <c r="D5" s="77" t="s">
        <v>88</v>
      </c>
      <c r="E5" s="77" t="s">
        <v>88</v>
      </c>
      <c r="F5" s="77" t="s">
        <v>88</v>
      </c>
      <c r="G5" s="77" t="s">
        <v>88</v>
      </c>
      <c r="H5" s="77" t="s">
        <v>88</v>
      </c>
      <c r="I5" s="77" t="s">
        <v>88</v>
      </c>
      <c r="J5" s="77" t="s">
        <v>88</v>
      </c>
      <c r="K5" s="78"/>
    </row>
    <row r="6" spans="2:11" x14ac:dyDescent="0.3">
      <c r="B6" t="s">
        <v>108</v>
      </c>
      <c r="C6" t="s">
        <v>111</v>
      </c>
      <c r="D6" t="s">
        <v>114</v>
      </c>
      <c r="E6" t="s">
        <v>117</v>
      </c>
      <c r="F6" t="s">
        <v>120</v>
      </c>
      <c r="G6">
        <v>36982</v>
      </c>
      <c r="H6" t="s">
        <v>123</v>
      </c>
      <c r="I6" t="s">
        <v>126</v>
      </c>
      <c r="J6" t="s">
        <v>130</v>
      </c>
      <c r="K6" s="34"/>
    </row>
    <row r="7" spans="2:11" x14ac:dyDescent="0.3">
      <c r="B7" t="s">
        <v>109</v>
      </c>
      <c r="C7" t="s">
        <v>112</v>
      </c>
      <c r="D7" t="s">
        <v>115</v>
      </c>
      <c r="E7" t="s">
        <v>118</v>
      </c>
      <c r="F7" t="s">
        <v>121</v>
      </c>
      <c r="G7">
        <v>37316</v>
      </c>
      <c r="H7" t="s">
        <v>124</v>
      </c>
      <c r="I7" t="s">
        <v>127</v>
      </c>
      <c r="J7" t="s">
        <v>129</v>
      </c>
    </row>
    <row r="8" spans="2:11" x14ac:dyDescent="0.3">
      <c r="B8" t="s">
        <v>110</v>
      </c>
      <c r="C8" t="s">
        <v>113</v>
      </c>
      <c r="D8" t="s">
        <v>116</v>
      </c>
      <c r="E8" t="s">
        <v>119</v>
      </c>
      <c r="F8" t="s">
        <v>122</v>
      </c>
      <c r="G8" t="s">
        <v>144</v>
      </c>
      <c r="H8" t="s">
        <v>125</v>
      </c>
      <c r="I8" t="s">
        <v>128</v>
      </c>
      <c r="J8" t="s">
        <v>131</v>
      </c>
    </row>
    <row r="9" spans="2:11" x14ac:dyDescent="0.3">
      <c r="C9" t="s">
        <v>143</v>
      </c>
    </row>
  </sheetData>
  <sortState xmlns:xlrd2="http://schemas.microsoft.com/office/spreadsheetml/2017/richdata2" ref="J6:J8">
    <sortCondition ref="J6"/>
  </sortState>
  <mergeCells count="3">
    <mergeCell ref="C1:D1"/>
    <mergeCell ref="F1:G1"/>
    <mergeCell ref="H1:I1"/>
  </mergeCells>
  <conditionalFormatting sqref="D2">
    <cfRule type="cellIs" dxfId="12" priority="5" operator="equal">
      <formula>0</formula>
    </cfRule>
  </conditionalFormatting>
  <conditionalFormatting sqref="G2">
    <cfRule type="cellIs" dxfId="11" priority="4" operator="equal">
      <formula>0</formula>
    </cfRule>
  </conditionalFormatting>
  <conditionalFormatting sqref="I2">
    <cfRule type="cellIs" dxfId="1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8D05C-F739-4075-BE26-C3298A160750}">
  <sheetPr codeName="Planilha1"/>
  <dimension ref="D4:G8"/>
  <sheetViews>
    <sheetView showGridLines="0" workbookViewId="0">
      <selection activeCell="F7" sqref="F7"/>
    </sheetView>
  </sheetViews>
  <sheetFormatPr defaultRowHeight="14.4" x14ac:dyDescent="0.3"/>
  <cols>
    <col min="2" max="2" width="23.6640625" bestFit="1" customWidth="1"/>
    <col min="4" max="4" width="26.88671875" bestFit="1" customWidth="1"/>
    <col min="5" max="5" width="33.77734375" customWidth="1"/>
    <col min="6" max="6" width="21.109375" customWidth="1"/>
    <col min="7" max="7" width="25.6640625" customWidth="1"/>
  </cols>
  <sheetData>
    <row r="4" spans="4:7" x14ac:dyDescent="0.3">
      <c r="D4" s="101" t="s">
        <v>138</v>
      </c>
      <c r="E4" s="102"/>
    </row>
    <row r="5" spans="4:7" x14ac:dyDescent="0.3">
      <c r="D5" s="84" t="s">
        <v>139</v>
      </c>
      <c r="E5" s="85" t="s">
        <v>98</v>
      </c>
    </row>
    <row r="6" spans="4:7" ht="57.6" x14ac:dyDescent="0.3">
      <c r="D6" s="87" t="s">
        <v>136</v>
      </c>
      <c r="E6" s="86" t="s">
        <v>137</v>
      </c>
      <c r="F6" s="83"/>
      <c r="G6" s="82"/>
    </row>
    <row r="7" spans="4:7" x14ac:dyDescent="0.3">
      <c r="E7" s="83"/>
      <c r="F7" s="83"/>
    </row>
    <row r="8" spans="4:7" x14ac:dyDescent="0.3">
      <c r="E8" s="83"/>
      <c r="F8" s="83"/>
    </row>
  </sheetData>
  <mergeCells count="1">
    <mergeCell ref="D4:E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E7CF4E-46A9-4E1E-9E21-4BDA24B425D3}">
          <x14:formula1>
            <xm:f>'Listas para Validação de Dados'!$F$2:$G$2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F00D-AE94-4EAF-BE40-5EE1BFBEA2E6}">
  <sheetPr codeName="Planilha6"/>
  <dimension ref="C1:AC131"/>
  <sheetViews>
    <sheetView showGridLines="0" tabSelected="1" zoomScale="90" zoomScaleNormal="90" workbookViewId="0">
      <selection activeCell="AF6" sqref="AF6"/>
    </sheetView>
  </sheetViews>
  <sheetFormatPr defaultRowHeight="12" x14ac:dyDescent="0.25"/>
  <cols>
    <col min="1" max="1" width="1.109375" style="1" customWidth="1"/>
    <col min="2" max="2" width="4.33203125" style="1" customWidth="1"/>
    <col min="3" max="3" width="7.109375" style="1" bestFit="1" customWidth="1"/>
    <col min="4" max="4" width="6.6640625" style="1" bestFit="1" customWidth="1"/>
    <col min="5" max="5" width="8.77734375" style="1" customWidth="1"/>
    <col min="6" max="6" width="8.88671875" style="1" bestFit="1" customWidth="1"/>
    <col min="7" max="8" width="6.6640625" style="1" bestFit="1" customWidth="1"/>
    <col min="9" max="9" width="3.44140625" style="27" customWidth="1"/>
    <col min="10" max="11" width="6.6640625" style="1" bestFit="1" customWidth="1"/>
    <col min="12" max="12" width="9" style="1" customWidth="1"/>
    <col min="13" max="13" width="9.21875" style="1" bestFit="1" customWidth="1"/>
    <col min="14" max="15" width="6.6640625" style="1" bestFit="1" customWidth="1"/>
    <col min="16" max="16" width="3.44140625" style="1" bestFit="1" customWidth="1"/>
    <col min="17" max="18" width="6.6640625" style="1" bestFit="1" customWidth="1"/>
    <col min="19" max="19" width="9" style="1" customWidth="1"/>
    <col min="20" max="20" width="9.21875" style="1" bestFit="1" customWidth="1"/>
    <col min="21" max="21" width="6.6640625" style="1" bestFit="1" customWidth="1"/>
    <col min="22" max="22" width="6.6640625" style="23" bestFit="1" customWidth="1"/>
    <col min="23" max="23" width="3.44140625" style="1" bestFit="1" customWidth="1"/>
    <col min="24" max="25" width="6.6640625" style="1" bestFit="1" customWidth="1"/>
    <col min="26" max="26" width="8.88671875" style="1" customWidth="1"/>
    <col min="27" max="27" width="9.21875" style="1" bestFit="1" customWidth="1"/>
    <col min="28" max="31" width="6.6640625" style="1" bestFit="1" customWidth="1"/>
    <col min="32" max="16384" width="8.88671875" style="1"/>
  </cols>
  <sheetData>
    <row r="1" spans="3:29" ht="12.6" thickBot="1" x14ac:dyDescent="0.3"/>
    <row r="2" spans="3:29" s="29" customFormat="1" ht="15" thickBot="1" x14ac:dyDescent="0.35">
      <c r="C2" s="43"/>
      <c r="D2" s="44" t="s">
        <v>73</v>
      </c>
      <c r="E2" s="36"/>
      <c r="F2" s="36"/>
      <c r="G2" s="46"/>
      <c r="H2" s="45" t="s">
        <v>57</v>
      </c>
      <c r="I2" s="107" t="s">
        <v>88</v>
      </c>
      <c r="J2" s="108"/>
      <c r="K2" s="43"/>
      <c r="L2" s="44" t="s">
        <v>77</v>
      </c>
      <c r="M2" s="95"/>
      <c r="N2" s="96"/>
      <c r="O2" s="97"/>
      <c r="P2" s="97"/>
      <c r="Q2" s="98"/>
      <c r="R2" s="34"/>
      <c r="V2" s="30"/>
    </row>
    <row r="3" spans="3:29" s="29" customFormat="1" ht="14.4" x14ac:dyDescent="0.3">
      <c r="C3" s="37"/>
      <c r="D3" s="31" t="s">
        <v>52</v>
      </c>
      <c r="E3" s="32" t="s">
        <v>88</v>
      </c>
      <c r="F3" s="33"/>
      <c r="G3" s="30"/>
      <c r="H3" s="31" t="s">
        <v>58</v>
      </c>
      <c r="I3" s="103" t="s">
        <v>88</v>
      </c>
      <c r="J3" s="104"/>
      <c r="K3" s="37"/>
      <c r="L3" s="31" t="s">
        <v>78</v>
      </c>
      <c r="M3" s="32"/>
      <c r="N3" s="31" t="s">
        <v>82</v>
      </c>
      <c r="O3" s="35"/>
      <c r="P3" s="35"/>
      <c r="Q3" s="42"/>
      <c r="R3" s="34"/>
      <c r="V3" s="30"/>
    </row>
    <row r="4" spans="3:29" s="29" customFormat="1" ht="14.4" x14ac:dyDescent="0.3">
      <c r="C4" s="37"/>
      <c r="D4" s="31" t="s">
        <v>53</v>
      </c>
      <c r="E4" s="32" t="s">
        <v>88</v>
      </c>
      <c r="F4" s="33"/>
      <c r="G4" s="30"/>
      <c r="H4" s="31" t="s">
        <v>74</v>
      </c>
      <c r="I4" s="103" t="s">
        <v>88</v>
      </c>
      <c r="J4" s="104"/>
      <c r="K4" s="93">
        <f>MATCH(M4,'Base de Dados e filtragem'!$3:$3,0)</f>
        <v>6</v>
      </c>
      <c r="L4" s="31" t="s">
        <v>79</v>
      </c>
      <c r="M4" s="32" t="s">
        <v>4</v>
      </c>
      <c r="N4" s="33"/>
      <c r="O4" s="103" t="s">
        <v>146</v>
      </c>
      <c r="P4" s="103"/>
      <c r="Q4" s="104"/>
      <c r="R4" s="34"/>
      <c r="V4" s="30"/>
      <c r="AB4" s="59" t="s">
        <v>89</v>
      </c>
      <c r="AC4" s="60">
        <v>1</v>
      </c>
    </row>
    <row r="5" spans="3:29" s="29" customFormat="1" ht="14.4" x14ac:dyDescent="0.3">
      <c r="C5" s="37"/>
      <c r="D5" s="31" t="s">
        <v>54</v>
      </c>
      <c r="E5" s="32" t="s">
        <v>88</v>
      </c>
      <c r="F5" s="33"/>
      <c r="G5" s="30"/>
      <c r="H5" s="31" t="s">
        <v>75</v>
      </c>
      <c r="I5" s="103" t="s">
        <v>88</v>
      </c>
      <c r="J5" s="104"/>
      <c r="K5" s="93">
        <f>MATCH(M5,'Base de Dados e filtragem'!$3:$3,0)</f>
        <v>7</v>
      </c>
      <c r="L5" s="31" t="s">
        <v>80</v>
      </c>
      <c r="M5" s="32" t="s">
        <v>5</v>
      </c>
      <c r="N5" s="33"/>
      <c r="O5" s="103" t="s">
        <v>146</v>
      </c>
      <c r="P5" s="103"/>
      <c r="Q5" s="104"/>
      <c r="R5" s="34"/>
      <c r="V5" s="30"/>
    </row>
    <row r="6" spans="3:29" s="29" customFormat="1" ht="15" thickBot="1" x14ac:dyDescent="0.35">
      <c r="C6" s="38"/>
      <c r="D6" s="39" t="s">
        <v>56</v>
      </c>
      <c r="E6" s="40" t="s">
        <v>88</v>
      </c>
      <c r="F6" s="41"/>
      <c r="G6" s="47"/>
      <c r="H6" s="39" t="s">
        <v>76</v>
      </c>
      <c r="I6" s="105" t="s">
        <v>88</v>
      </c>
      <c r="J6" s="106"/>
      <c r="K6" s="94">
        <f>MATCH(M6,'Base de Dados e filtragem'!$3:$3,0)</f>
        <v>1</v>
      </c>
      <c r="L6" s="39" t="s">
        <v>81</v>
      </c>
      <c r="M6" s="40" t="s">
        <v>22</v>
      </c>
      <c r="N6" s="41"/>
      <c r="O6" s="105" t="s">
        <v>145</v>
      </c>
      <c r="P6" s="105"/>
      <c r="Q6" s="106"/>
      <c r="R6" s="34"/>
      <c r="V6" s="30"/>
    </row>
    <row r="9" spans="3:29" x14ac:dyDescent="0.25">
      <c r="C9" s="25">
        <v>1</v>
      </c>
      <c r="D9" s="25" t="s">
        <v>83</v>
      </c>
      <c r="E9" s="25"/>
      <c r="F9" s="89" t="s">
        <v>57</v>
      </c>
      <c r="G9" s="25" t="str">
        <f>IF(C16=0,"",INDEX('Base de Dados e filtragem'!$I:$I,MATCH(C16,'Base de Dados e filtragem'!$AB:$AB,0)))</f>
        <v>coleção 1</v>
      </c>
      <c r="H9" s="25"/>
      <c r="J9" s="25">
        <v>2</v>
      </c>
      <c r="K9" s="25" t="s">
        <v>83</v>
      </c>
      <c r="L9" s="25"/>
      <c r="M9" s="89" t="s">
        <v>57</v>
      </c>
      <c r="N9" s="25" t="str">
        <f>IF(J16=0,"",INDEX('Base de Dados e filtragem'!$I:$I,MATCH(J16,'Base de Dados e filtragem'!$AB:$AB,0)))</f>
        <v>coleção 2</v>
      </c>
      <c r="O9" s="25"/>
      <c r="Q9" s="25">
        <v>3</v>
      </c>
      <c r="R9" s="25" t="s">
        <v>83</v>
      </c>
      <c r="S9" s="25"/>
      <c r="T9" s="89" t="s">
        <v>57</v>
      </c>
      <c r="U9" s="25" t="str">
        <f>IF(Q16=0,"",INDEX('Base de Dados e filtragem'!$I:$I,MATCH(Q16,'Base de Dados e filtragem'!$AB:$AB,0)))</f>
        <v>coleção 3</v>
      </c>
      <c r="V9" s="25"/>
      <c r="X9" s="25">
        <v>4</v>
      </c>
      <c r="Y9" s="25" t="s">
        <v>83</v>
      </c>
      <c r="Z9" s="25"/>
      <c r="AA9" s="89" t="s">
        <v>57</v>
      </c>
      <c r="AB9" s="25" t="str">
        <f>IF(X16=0,"",INDEX('Base de Dados e filtragem'!$I:$I,MATCH(X16,'Base de Dados e filtragem'!$AB:$AB,0)))</f>
        <v>coleção 1</v>
      </c>
      <c r="AC9" s="25"/>
    </row>
    <row r="10" spans="3:29" x14ac:dyDescent="0.25">
      <c r="C10" s="25">
        <f>VLOOKUP(C9,AuxiliarGrid!$BM$57:$BP$87,2,FALSE)</f>
        <v>109.8</v>
      </c>
      <c r="D10" s="25" t="s">
        <v>84</v>
      </c>
      <c r="E10" s="25"/>
      <c r="F10" s="89" t="s">
        <v>58</v>
      </c>
      <c r="G10" s="25" t="str">
        <f>IF(C16=0,"",INDEX('Base de Dados e filtragem'!$J:$J,MATCH(C16,'Base de Dados e filtragem'!$AB:$AB,0)))</f>
        <v>março 1</v>
      </c>
      <c r="H10" s="25"/>
      <c r="J10" s="25">
        <f>VLOOKUP(J9,AuxiliarGrid!$BM$57:$BP$87,2,FALSE)</f>
        <v>109.8</v>
      </c>
      <c r="K10" s="25" t="s">
        <v>84</v>
      </c>
      <c r="L10" s="25"/>
      <c r="M10" s="89" t="s">
        <v>58</v>
      </c>
      <c r="N10" s="25">
        <f>IF(J16=0,"",INDEX('Base de Dados e filtragem'!$J:$J,MATCH(J16,'Base de Dados e filtragem'!$AB:$AB,0)))</f>
        <v>37316</v>
      </c>
      <c r="O10" s="25"/>
      <c r="Q10" s="25">
        <f>VLOOKUP(Q9,AuxiliarGrid!$BM$57:$BP$87,2,FALSE)</f>
        <v>109.8</v>
      </c>
      <c r="R10" s="25" t="s">
        <v>84</v>
      </c>
      <c r="S10" s="25"/>
      <c r="T10" s="89" t="s">
        <v>58</v>
      </c>
      <c r="U10" s="25">
        <f>IF(Q16=0,"",INDEX('Base de Dados e filtragem'!$J:$J,MATCH(Q16,'Base de Dados e filtragem'!$AB:$AB,0)))</f>
        <v>37316</v>
      </c>
      <c r="V10" s="25"/>
      <c r="X10" s="25">
        <f>VLOOKUP(X9,AuxiliarGrid!$BM$57:$BP$87,2,FALSE)</f>
        <v>109.8</v>
      </c>
      <c r="Y10" s="25" t="s">
        <v>84</v>
      </c>
      <c r="Z10" s="25"/>
      <c r="AA10" s="89" t="s">
        <v>58</v>
      </c>
      <c r="AB10" s="25">
        <f>IF(X16=0,"",INDEX('Base de Dados e filtragem'!$J:$J,MATCH(X16,'Base de Dados e filtragem'!$AB:$AB,0)))</f>
        <v>36982</v>
      </c>
      <c r="AC10" s="25"/>
    </row>
    <row r="11" spans="3:29" x14ac:dyDescent="0.25">
      <c r="C11" s="25">
        <f>VLOOKUP(C9,AuxiliarGrid!$BM$57:$BP$87,3,FALSE)</f>
        <v>29.4</v>
      </c>
      <c r="D11" s="25" t="s">
        <v>85</v>
      </c>
      <c r="E11" s="25"/>
      <c r="F11" s="89" t="s">
        <v>53</v>
      </c>
      <c r="G11" s="25" t="str">
        <f>IF(C16=0,"",INDEX('Base de Dados e filtragem'!$F:$F,MATCH(C16,'Base de Dados e filtragem'!$AB:$AB,0)))</f>
        <v>grupo 1</v>
      </c>
      <c r="H11" s="25"/>
      <c r="J11" s="25">
        <f>VLOOKUP(J9,AuxiliarGrid!$BM$57:$BP$87,3,FALSE)</f>
        <v>289.79999999999995</v>
      </c>
      <c r="K11" s="25" t="s">
        <v>85</v>
      </c>
      <c r="L11" s="25"/>
      <c r="M11" s="89" t="s">
        <v>53</v>
      </c>
      <c r="N11" s="25" t="str">
        <f>IF(J16=0,"",INDEX('Base de Dados e filtragem'!$F:$F,MATCH(J16,'Base de Dados e filtragem'!$AB:$AB,0)))</f>
        <v>grupo 2</v>
      </c>
      <c r="O11" s="25"/>
      <c r="Q11" s="25">
        <f>VLOOKUP(Q9,AuxiliarGrid!$BM$57:$BP$87,3,FALSE)</f>
        <v>550.19999999999993</v>
      </c>
      <c r="R11" s="25" t="s">
        <v>85</v>
      </c>
      <c r="S11" s="25"/>
      <c r="T11" s="89" t="s">
        <v>53</v>
      </c>
      <c r="U11" s="25" t="str">
        <f>IF(Q16=0,"",INDEX('Base de Dados e filtragem'!$F:$F,MATCH(Q16,'Base de Dados e filtragem'!$AB:$AB,0)))</f>
        <v>grupo 3</v>
      </c>
      <c r="V11" s="25"/>
      <c r="X11" s="25">
        <f>VLOOKUP(X9,AuxiliarGrid!$BM$57:$BP$87,3,FALSE)</f>
        <v>810.59999999999991</v>
      </c>
      <c r="Y11" s="25" t="s">
        <v>85</v>
      </c>
      <c r="Z11" s="25"/>
      <c r="AA11" s="89" t="s">
        <v>53</v>
      </c>
      <c r="AB11" s="25" t="str">
        <f>IF(X16=0,"",INDEX('Base de Dados e filtragem'!$F:$F,MATCH(X16,'Base de Dados e filtragem'!$AB:$AB,0)))</f>
        <v>grupo 1</v>
      </c>
      <c r="AC11" s="25"/>
    </row>
    <row r="12" spans="3:29" x14ac:dyDescent="0.25">
      <c r="C12" s="25"/>
      <c r="D12" s="25"/>
      <c r="E12" s="25"/>
      <c r="F12" s="89" t="s">
        <v>55</v>
      </c>
      <c r="G12" s="25" t="str">
        <f>IF(C16=0,"",INDEX('Base de Dados e filtragem'!$G:$G,MATCH(C16,'Base de Dados e filtragem'!$AB:$AB,0)))</f>
        <v>sbg 1</v>
      </c>
      <c r="H12" s="25"/>
      <c r="J12" s="25"/>
      <c r="K12" s="25"/>
      <c r="L12" s="25"/>
      <c r="M12" s="89" t="s">
        <v>55</v>
      </c>
      <c r="N12" s="25" t="str">
        <f>IF(J16=0,"",INDEX('Base de Dados e filtragem'!$G:$G,MATCH(J16,'Base de Dados e filtragem'!$AB:$AB,0)))</f>
        <v>sbg 2</v>
      </c>
      <c r="O12" s="25"/>
      <c r="Q12" s="25"/>
      <c r="R12" s="25"/>
      <c r="S12" s="25"/>
      <c r="T12" s="89" t="s">
        <v>55</v>
      </c>
      <c r="U12" s="25" t="str">
        <f>IF(Q16=0,"",INDEX('Base de Dados e filtragem'!$G:$G,MATCH(Q16,'Base de Dados e filtragem'!$AB:$AB,0)))</f>
        <v>sbg 3</v>
      </c>
      <c r="V12" s="25"/>
      <c r="X12" s="25"/>
      <c r="Y12" s="25"/>
      <c r="Z12" s="25"/>
      <c r="AA12" s="89" t="s">
        <v>55</v>
      </c>
      <c r="AB12" s="25" t="str">
        <f>IF(X16=0,"",INDEX('Base de Dados e filtragem'!$G:$G,MATCH(X16,'Base de Dados e filtragem'!$AB:$AB,0)))</f>
        <v>sbg 1</v>
      </c>
      <c r="AC12" s="25"/>
    </row>
    <row r="13" spans="3:29" x14ac:dyDescent="0.25">
      <c r="C13" s="25"/>
      <c r="D13" s="25"/>
      <c r="E13" s="25"/>
      <c r="F13" s="89" t="s">
        <v>56</v>
      </c>
      <c r="G13" s="25" t="str">
        <f>IF(C16=0,"",INDEX('Base de Dados e filtragem'!$H:$H,MATCH(C16,'Base de Dados e filtragem'!$AB:$AB,0)))</f>
        <v>linha 1</v>
      </c>
      <c r="H13" s="25"/>
      <c r="J13" s="25"/>
      <c r="K13" s="25"/>
      <c r="L13" s="25"/>
      <c r="M13" s="89" t="s">
        <v>56</v>
      </c>
      <c r="N13" s="25" t="str">
        <f>IF(J16=0,"",INDEX('Base de Dados e filtragem'!$H:$H,MATCH(J16,'Base de Dados e filtragem'!$AB:$AB,0)))</f>
        <v>linha 2</v>
      </c>
      <c r="O13" s="25"/>
      <c r="Q13" s="25"/>
      <c r="R13" s="25"/>
      <c r="S13" s="25"/>
      <c r="T13" s="89" t="s">
        <v>56</v>
      </c>
      <c r="U13" s="25" t="str">
        <f>IF(Q16=0,"",INDEX('Base de Dados e filtragem'!$H:$H,MATCH(Q16,'Base de Dados e filtragem'!$AB:$AB,0)))</f>
        <v>linha 3</v>
      </c>
      <c r="V13" s="25"/>
      <c r="X13" s="25"/>
      <c r="Y13" s="25"/>
      <c r="Z13" s="25"/>
      <c r="AA13" s="89" t="s">
        <v>56</v>
      </c>
      <c r="AB13" s="25" t="str">
        <f>IF(X16=0,"",INDEX('Base de Dados e filtragem'!$H:$H,MATCH(X16,'Base de Dados e filtragem'!$AB:$AB,0)))</f>
        <v>linha 1</v>
      </c>
      <c r="AC13" s="25"/>
    </row>
    <row r="14" spans="3:29" x14ac:dyDescent="0.25">
      <c r="C14" s="25"/>
      <c r="D14" s="25"/>
      <c r="E14" s="25"/>
      <c r="F14" s="89" t="s">
        <v>93</v>
      </c>
      <c r="G14" s="25">
        <f>IF(C16=0,"",INDEX('Base de Dados e filtragem'!$O:$O,MATCH(C16,'Base de Dados e filtragem'!$AB:$AB,0)))</f>
        <v>0</v>
      </c>
      <c r="H14" s="25"/>
      <c r="J14" s="25"/>
      <c r="K14" s="25"/>
      <c r="L14" s="25"/>
      <c r="M14" s="89" t="s">
        <v>93</v>
      </c>
      <c r="N14" s="25">
        <f>IF(J16=0,"",INDEX('Base de Dados e filtragem'!$O:$O,MATCH(J16,'Base de Dados e filtragem'!$AB:$AB,0)))</f>
        <v>0</v>
      </c>
      <c r="O14" s="25"/>
      <c r="Q14" s="25"/>
      <c r="R14" s="25"/>
      <c r="S14" s="25"/>
      <c r="T14" s="89" t="s">
        <v>93</v>
      </c>
      <c r="U14" s="25">
        <f>IF(Q16=0,"",INDEX('Base de Dados e filtragem'!$O:$O,MATCH(Q16,'Base de Dados e filtragem'!$AB:$AB,0)))</f>
        <v>0</v>
      </c>
      <c r="V14" s="25"/>
      <c r="X14" s="25"/>
      <c r="Y14" s="25"/>
      <c r="Z14" s="25"/>
      <c r="AA14" s="89" t="s">
        <v>93</v>
      </c>
      <c r="AB14" s="25">
        <f>IF(X16=0,"",INDEX('Base de Dados e filtragem'!$O:$O,MATCH(X16,'Base de Dados e filtragem'!$AB:$AB,0)))</f>
        <v>0</v>
      </c>
      <c r="AC14" s="25"/>
    </row>
    <row r="15" spans="3:29" x14ac:dyDescent="0.25">
      <c r="C15" s="25">
        <f>20*($AC$4-1)+C9</f>
        <v>1</v>
      </c>
      <c r="D15" s="25" t="s">
        <v>91</v>
      </c>
      <c r="E15" s="25"/>
      <c r="F15" s="89" t="s">
        <v>62</v>
      </c>
      <c r="G15" s="25">
        <f>IF(C16=0,"",INDEX('Base de Dados e filtragem'!$P:$P,MATCH(C16,'Base de Dados e filtragem'!$AB:$AB,0)))</f>
        <v>0</v>
      </c>
      <c r="H15" s="25"/>
      <c r="J15" s="25">
        <f>20*($AC$4-1)+J9</f>
        <v>2</v>
      </c>
      <c r="K15" s="25" t="s">
        <v>91</v>
      </c>
      <c r="L15" s="25"/>
      <c r="M15" s="89" t="s">
        <v>62</v>
      </c>
      <c r="N15" s="25">
        <f>IF(J16=0,"",INDEX('Base de Dados e filtragem'!$P:$P,MATCH(J16,'Base de Dados e filtragem'!$AB:$AB,0)))</f>
        <v>0</v>
      </c>
      <c r="O15" s="25"/>
      <c r="Q15" s="25">
        <f>20*($AC$4-1)+Q9</f>
        <v>3</v>
      </c>
      <c r="R15" s="25" t="s">
        <v>91</v>
      </c>
      <c r="S15" s="25"/>
      <c r="T15" s="89" t="s">
        <v>62</v>
      </c>
      <c r="U15" s="25">
        <f>IF(Q16=0,"",INDEX('Base de Dados e filtragem'!$P:$P,MATCH(Q16,'Base de Dados e filtragem'!$AB:$AB,0)))</f>
        <v>0</v>
      </c>
      <c r="V15" s="25"/>
      <c r="X15" s="25">
        <f>20*($AC$4-1)+X9</f>
        <v>4</v>
      </c>
      <c r="Y15" s="25" t="s">
        <v>91</v>
      </c>
      <c r="Z15" s="25"/>
      <c r="AA15" s="89" t="s">
        <v>62</v>
      </c>
      <c r="AB15" s="25">
        <f>IF(X16=0,"",INDEX('Base de Dados e filtragem'!$P:$P,MATCH(X16,'Base de Dados e filtragem'!$AB:$AB,0)))</f>
        <v>0</v>
      </c>
      <c r="AC15" s="25"/>
    </row>
    <row r="16" spans="3:29" x14ac:dyDescent="0.25">
      <c r="C16" s="25">
        <f>LARGE('Base de Dados e filtragem'!$AB:$AB,C15)</f>
        <v>0.25</v>
      </c>
      <c r="D16" s="25" t="s">
        <v>86</v>
      </c>
      <c r="E16" s="25"/>
      <c r="F16" s="89" t="s">
        <v>63</v>
      </c>
      <c r="G16" s="25">
        <f>IF(C16=0,"",INDEX('Base de Dados e filtragem'!$Q:$Q,MATCH(C16,'Base de Dados e filtragem'!$AB:$AB,0)))</f>
        <v>0</v>
      </c>
      <c r="H16" s="25"/>
      <c r="J16" s="25">
        <f>LARGE('Base de Dados e filtragem'!$AB:$AB,J15)</f>
        <v>0.2</v>
      </c>
      <c r="K16" s="25" t="s">
        <v>86</v>
      </c>
      <c r="L16" s="25"/>
      <c r="M16" s="89" t="s">
        <v>63</v>
      </c>
      <c r="N16" s="25">
        <f>IF(J16=0,"",INDEX('Base de Dados e filtragem'!$Q:$Q,MATCH(J16,'Base de Dados e filtragem'!$AB:$AB,0)))</f>
        <v>0</v>
      </c>
      <c r="O16" s="25"/>
      <c r="Q16" s="25">
        <f>LARGE('Base de Dados e filtragem'!$AB:$AB,Q15)</f>
        <v>0.16666666666666666</v>
      </c>
      <c r="R16" s="25" t="s">
        <v>86</v>
      </c>
      <c r="S16" s="25"/>
      <c r="T16" s="89" t="s">
        <v>63</v>
      </c>
      <c r="U16" s="25">
        <f>IF(Q16=0,"",INDEX('Base de Dados e filtragem'!$Q:$Q,MATCH(Q16,'Base de Dados e filtragem'!$AB:$AB,0)))</f>
        <v>0</v>
      </c>
      <c r="V16" s="25"/>
      <c r="X16" s="25">
        <f>LARGE('Base de Dados e filtragem'!$AB:$AB,X15)</f>
        <v>0.14285714285714285</v>
      </c>
      <c r="Y16" s="25" t="s">
        <v>86</v>
      </c>
      <c r="Z16" s="25"/>
      <c r="AA16" s="89" t="s">
        <v>63</v>
      </c>
      <c r="AB16" s="25">
        <f>IF(X16=0,"",INDEX('Base de Dados e filtragem'!$Q:$Q,MATCH(X16,'Base de Dados e filtragem'!$AB:$AB,0)))</f>
        <v>0</v>
      </c>
      <c r="AC16" s="25"/>
    </row>
    <row r="17" spans="3:29" x14ac:dyDescent="0.25">
      <c r="C17" s="25" t="s">
        <v>92</v>
      </c>
      <c r="D17" s="25"/>
      <c r="E17" s="25"/>
      <c r="F17" s="89" t="s">
        <v>64</v>
      </c>
      <c r="G17" s="25">
        <f>IF(C16=0,"",INDEX('Base de Dados e filtragem'!$R:$R,MATCH(C16,'Base de Dados e filtragem'!$AB:$AB,0)))</f>
        <v>0</v>
      </c>
      <c r="H17" s="25"/>
      <c r="J17" s="25" t="s">
        <v>92</v>
      </c>
      <c r="K17" s="25"/>
      <c r="L17" s="25"/>
      <c r="M17" s="89" t="s">
        <v>64</v>
      </c>
      <c r="N17" s="25">
        <f>IF(J16=0,"",INDEX('Base de Dados e filtragem'!$R:$R,MATCH(J16,'Base de Dados e filtragem'!$AB:$AB,0)))</f>
        <v>0</v>
      </c>
      <c r="O17" s="25"/>
      <c r="Q17" s="25" t="s">
        <v>92</v>
      </c>
      <c r="R17" s="25"/>
      <c r="S17" s="25"/>
      <c r="T17" s="89" t="s">
        <v>64</v>
      </c>
      <c r="U17" s="25">
        <f>IF(Q16=0,"",INDEX('Base de Dados e filtragem'!$R:$R,MATCH(Q16,'Base de Dados e filtragem'!$AB:$AB,0)))</f>
        <v>0</v>
      </c>
      <c r="V17" s="25"/>
      <c r="X17" s="25" t="s">
        <v>92</v>
      </c>
      <c r="Y17" s="25"/>
      <c r="Z17" s="25"/>
      <c r="AA17" s="89" t="s">
        <v>64</v>
      </c>
      <c r="AB17" s="25">
        <f>IF(X16=0,"",INDEX('Base de Dados e filtragem'!$R:$R,MATCH(X16,'Base de Dados e filtragem'!$AB:$AB,0)))</f>
        <v>0</v>
      </c>
      <c r="AC17" s="25"/>
    </row>
    <row r="18" spans="3:29" s="23" customFormat="1" x14ac:dyDescent="0.25">
      <c r="C18" s="26" t="str">
        <f>INDEX('Base de Dados e filtragem'!$AA:$AA,MATCH(C16,'Base de Dados e filtragem'!$AB:$AB,0))</f>
        <v>Fotos\coleção 1\20OUT1VT01_07.jpg</v>
      </c>
      <c r="D18" s="26"/>
      <c r="E18" s="26"/>
      <c r="F18" s="89" t="s">
        <v>65</v>
      </c>
      <c r="G18" s="26">
        <f>IF(C16=0,"",INDEX('Base de Dados e filtragem'!$S:$S,MATCH(C16,'Base de Dados e filtragem'!$AB:$AB,0)))</f>
        <v>0</v>
      </c>
      <c r="H18" s="26"/>
      <c r="I18" s="28"/>
      <c r="J18" s="26" t="str">
        <f>INDEX('Base de Dados e filtragem'!$AA:$AA,MATCH(J16,'Base de Dados e filtragem'!$AB:$AB,0))</f>
        <v>Fotos\coleção 2\20SET1VT01_57.jpg</v>
      </c>
      <c r="K18" s="26"/>
      <c r="L18" s="26"/>
      <c r="M18" s="89" t="s">
        <v>65</v>
      </c>
      <c r="N18" s="26">
        <f>IF(J16=0,"",INDEX('Base de Dados e filtragem'!$S:$S,MATCH(J16,'Base de Dados e filtragem'!$AB:$AB,0)))</f>
        <v>0</v>
      </c>
      <c r="O18" s="26"/>
      <c r="Q18" s="26" t="str">
        <f>INDEX('Base de Dados e filtragem'!$AA:$AA,MATCH(Q16,'Base de Dados e filtragem'!$AB:$AB,0))</f>
        <v>Fotos\coleção 3\a0001cf3.jpg</v>
      </c>
      <c r="R18" s="26"/>
      <c r="S18" s="26"/>
      <c r="T18" s="89" t="s">
        <v>65</v>
      </c>
      <c r="U18" s="26">
        <f>IF(Q16=0,"",INDEX('Base de Dados e filtragem'!$S:$S,MATCH(Q16,'Base de Dados e filtragem'!$AB:$AB,0)))</f>
        <v>0</v>
      </c>
      <c r="V18" s="26"/>
      <c r="X18" s="26" t="str">
        <f>INDEX('Base de Dados e filtragem'!$AA:$AA,MATCH(X16,'Base de Dados e filtragem'!$AB:$AB,0))</f>
        <v>Fotos\coleção 1\b0002cf7.jpg</v>
      </c>
      <c r="Y18" s="26"/>
      <c r="Z18" s="26"/>
      <c r="AA18" s="89" t="s">
        <v>65</v>
      </c>
      <c r="AB18" s="26">
        <f>IF(X16=0,"",INDEX('Base de Dados e filtragem'!$S:$S,MATCH(X16,'Base de Dados e filtragem'!$AB:$AB,0)))</f>
        <v>0</v>
      </c>
      <c r="AC18" s="26"/>
    </row>
    <row r="19" spans="3:29" x14ac:dyDescent="0.25">
      <c r="C19" s="25"/>
      <c r="D19" s="25"/>
      <c r="E19" s="25"/>
      <c r="F19" s="89" t="s">
        <v>69</v>
      </c>
      <c r="G19" s="25">
        <f>IF(C16=0,"",INDEX('Base de Dados e filtragem'!$T:$T,MATCH(C16,'Base de Dados e filtragem'!$AB:$AB,0)))</f>
        <v>0</v>
      </c>
      <c r="H19" s="25"/>
      <c r="J19" s="25"/>
      <c r="K19" s="25"/>
      <c r="L19" s="25"/>
      <c r="M19" s="89" t="s">
        <v>69</v>
      </c>
      <c r="N19" s="25">
        <f>IF(J16=0,"",INDEX('Base de Dados e filtragem'!$T:$T,MATCH(J16,'Base de Dados e filtragem'!$AB:$AB,0)))</f>
        <v>0</v>
      </c>
      <c r="O19" s="25"/>
      <c r="Q19" s="25"/>
      <c r="R19" s="25"/>
      <c r="S19" s="25"/>
      <c r="T19" s="89" t="s">
        <v>69</v>
      </c>
      <c r="U19" s="25">
        <f>IF(Q16=0,"",INDEX('Base de Dados e filtragem'!$T:$T,MATCH(Q16,'Base de Dados e filtragem'!$AB:$AB,0)))</f>
        <v>0</v>
      </c>
      <c r="V19" s="25"/>
      <c r="X19" s="25"/>
      <c r="Y19" s="25"/>
      <c r="Z19" s="25"/>
      <c r="AA19" s="89" t="s">
        <v>69</v>
      </c>
      <c r="AB19" s="25">
        <f>IF(X16=0,"",INDEX('Base de Dados e filtragem'!$T:$T,MATCH(X16,'Base de Dados e filtragem'!$AB:$AB,0)))</f>
        <v>0</v>
      </c>
      <c r="AC19" s="25"/>
    </row>
    <row r="20" spans="3:29" x14ac:dyDescent="0.25">
      <c r="C20" s="25"/>
      <c r="D20" s="25"/>
      <c r="E20" s="25"/>
      <c r="F20" s="89" t="s">
        <v>71</v>
      </c>
      <c r="G20" s="25">
        <f>IF(C16=0,"",INDEX('Base de Dados e filtragem'!$U:$U,MATCH(C16,'Base de Dados e filtragem'!$AB:$AB,0)))</f>
        <v>0</v>
      </c>
      <c r="H20" s="25"/>
      <c r="J20" s="25"/>
      <c r="K20" s="25"/>
      <c r="L20" s="25"/>
      <c r="M20" s="89" t="s">
        <v>71</v>
      </c>
      <c r="N20" s="25">
        <f>IF(J16=0,"",INDEX('Base de Dados e filtragem'!$U:$U,MATCH(J16,'Base de Dados e filtragem'!$AB:$AB,0)))</f>
        <v>0</v>
      </c>
      <c r="O20" s="25"/>
      <c r="Q20" s="25"/>
      <c r="R20" s="25"/>
      <c r="S20" s="25"/>
      <c r="T20" s="89" t="s">
        <v>71</v>
      </c>
      <c r="U20" s="25">
        <f>IF(Q16=0,"",INDEX('Base de Dados e filtragem'!$U:$U,MATCH(Q16,'Base de Dados e filtragem'!$AB:$AB,0)))</f>
        <v>0</v>
      </c>
      <c r="V20" s="25"/>
      <c r="X20" s="25"/>
      <c r="Y20" s="25"/>
      <c r="Z20" s="25"/>
      <c r="AA20" s="89" t="s">
        <v>71</v>
      </c>
      <c r="AB20" s="25">
        <f>IF(X16=0,"",INDEX('Base de Dados e filtragem'!$U:$U,MATCH(X16,'Base de Dados e filtragem'!$AB:$AB,0)))</f>
        <v>0</v>
      </c>
      <c r="AC20" s="25"/>
    </row>
    <row r="21" spans="3:29" x14ac:dyDescent="0.25">
      <c r="C21" s="25"/>
      <c r="D21" s="25"/>
      <c r="E21" s="25"/>
      <c r="F21" s="89" t="s">
        <v>72</v>
      </c>
      <c r="G21" s="25">
        <f>IF(C16=0,"",INDEX('Base de Dados e filtragem'!$V:$V,MATCH(C16,'Base de Dados e filtragem'!$AB:$AB,0)))</f>
        <v>0</v>
      </c>
      <c r="H21" s="25"/>
      <c r="J21" s="25"/>
      <c r="K21" s="25"/>
      <c r="L21" s="25"/>
      <c r="M21" s="89" t="s">
        <v>72</v>
      </c>
      <c r="N21" s="25">
        <f>IF(J16=0,"",INDEX('Base de Dados e filtragem'!$V:$V,MATCH(J16,'Base de Dados e filtragem'!$AB:$AB,0)))</f>
        <v>0</v>
      </c>
      <c r="O21" s="25"/>
      <c r="Q21" s="25"/>
      <c r="R21" s="25"/>
      <c r="S21" s="25"/>
      <c r="T21" s="89" t="s">
        <v>72</v>
      </c>
      <c r="U21" s="25">
        <f>IF(Q16=0,"",INDEX('Base de Dados e filtragem'!$V:$V,MATCH(Q16,'Base de Dados e filtragem'!$AB:$AB,0)))</f>
        <v>0</v>
      </c>
      <c r="V21" s="25"/>
      <c r="X21" s="25"/>
      <c r="Y21" s="25"/>
      <c r="Z21" s="25"/>
      <c r="AA21" s="89" t="s">
        <v>72</v>
      </c>
      <c r="AB21" s="25">
        <f>IF(X16=0,"",INDEX('Base de Dados e filtragem'!$V:$V,MATCH(X16,'Base de Dados e filtragem'!$AB:$AB,0)))</f>
        <v>0</v>
      </c>
      <c r="AC21" s="25"/>
    </row>
    <row r="22" spans="3:29" x14ac:dyDescent="0.25">
      <c r="C22" s="25"/>
      <c r="D22" s="25"/>
      <c r="E22" s="25"/>
      <c r="F22" s="25"/>
      <c r="G22" s="25"/>
      <c r="H22" s="25"/>
      <c r="J22" s="25"/>
      <c r="K22" s="25"/>
      <c r="L22" s="25"/>
      <c r="M22" s="25"/>
      <c r="N22" s="25"/>
      <c r="O22" s="25"/>
      <c r="Q22" s="25"/>
      <c r="R22" s="25"/>
      <c r="S22" s="25"/>
      <c r="T22" s="25"/>
      <c r="U22" s="25"/>
      <c r="V22" s="25"/>
      <c r="X22" s="25"/>
      <c r="Y22" s="25"/>
      <c r="Z22" s="25"/>
      <c r="AA22" s="25"/>
      <c r="AB22" s="25"/>
      <c r="AC22" s="25"/>
    </row>
    <row r="23" spans="3:29" x14ac:dyDescent="0.25">
      <c r="C23" s="89" t="s">
        <v>94</v>
      </c>
      <c r="D23" s="25">
        <f>IF(C16=0,"",INDEX('Base de Dados e filtragem'!$D:$D,MATCH(C16,'Base de Dados e filtragem'!$AB:$AB,0)))</f>
        <v>0</v>
      </c>
      <c r="E23" s="25"/>
      <c r="F23" s="25"/>
      <c r="G23" s="25"/>
      <c r="H23" s="25"/>
      <c r="J23" s="89" t="s">
        <v>94</v>
      </c>
      <c r="K23" s="25">
        <f>IF(J16=0,"",INDEX('Base de Dados e filtragem'!$D:$D,MATCH(J16,'Base de Dados e filtragem'!$AB:$AB,0)))</f>
        <v>0</v>
      </c>
      <c r="L23" s="25"/>
      <c r="M23" s="25"/>
      <c r="N23" s="25"/>
      <c r="O23" s="25"/>
      <c r="Q23" s="89" t="s">
        <v>94</v>
      </c>
      <c r="R23" s="25">
        <f>IF(Q16=0,"",INDEX('Base de Dados e filtragem'!$D:$D,MATCH(Q16,'Base de Dados e filtragem'!$AB:$AB,0)))</f>
        <v>0</v>
      </c>
      <c r="S23" s="25"/>
      <c r="T23" s="25"/>
      <c r="U23" s="25"/>
      <c r="V23" s="25"/>
      <c r="X23" s="89" t="s">
        <v>94</v>
      </c>
      <c r="Y23" s="25">
        <f>IF(X16=0,"",INDEX('Base de Dados e filtragem'!$D:$D,MATCH(X16,'Base de Dados e filtragem'!$AB:$AB,0)))</f>
        <v>0</v>
      </c>
      <c r="Z23" s="25"/>
      <c r="AA23" s="25"/>
      <c r="AB23" s="25"/>
      <c r="AC23" s="25"/>
    </row>
    <row r="24" spans="3:29" x14ac:dyDescent="0.25">
      <c r="C24" s="89" t="s">
        <v>52</v>
      </c>
      <c r="D24" s="25" t="str">
        <f>IF(C16=0,"",INDEX('Base de Dados e filtragem'!$E:$E,MATCH(C16,'Base de Dados e filtragem'!$AB:$AB,0)))</f>
        <v>cor 1</v>
      </c>
      <c r="E24" s="25"/>
      <c r="F24" s="25"/>
      <c r="G24" s="25"/>
      <c r="H24" s="25"/>
      <c r="J24" s="89" t="s">
        <v>52</v>
      </c>
      <c r="K24" s="25" t="str">
        <f>IF(J16=0,"",INDEX('Base de Dados e filtragem'!$E:$E,MATCH(J16,'Base de Dados e filtragem'!$AB:$AB,0)))</f>
        <v>cor 2</v>
      </c>
      <c r="L24" s="25"/>
      <c r="M24" s="25"/>
      <c r="N24" s="25"/>
      <c r="O24" s="25"/>
      <c r="Q24" s="89" t="s">
        <v>52</v>
      </c>
      <c r="R24" s="25" t="str">
        <f>IF(Q16=0,"",INDEX('Base de Dados e filtragem'!$E:$E,MATCH(Q16,'Base de Dados e filtragem'!$AB:$AB,0)))</f>
        <v>cor 3</v>
      </c>
      <c r="S24" s="25"/>
      <c r="T24" s="25"/>
      <c r="U24" s="25"/>
      <c r="V24" s="25"/>
      <c r="X24" s="89" t="s">
        <v>52</v>
      </c>
      <c r="Y24" s="25" t="str">
        <f>IF(X16=0,"",INDEX('Base de Dados e filtragem'!$E:$E,MATCH(X16,'Base de Dados e filtragem'!$AB:$AB,0)))</f>
        <v>cor 1</v>
      </c>
      <c r="Z24" s="25"/>
      <c r="AA24" s="25"/>
      <c r="AB24" s="25"/>
      <c r="AC24" s="25"/>
    </row>
    <row r="25" spans="3:29" x14ac:dyDescent="0.25">
      <c r="C25" s="89" t="s">
        <v>49</v>
      </c>
      <c r="D25" s="25">
        <f>IF(C16=0,"",INDEX('Base de Dados e filtragem'!$B:$B,MATCH(C16,'Base de Dados e filtragem'!$AB:$AB,0)))</f>
        <v>1</v>
      </c>
      <c r="E25" s="25"/>
      <c r="F25" s="25"/>
      <c r="G25" s="25"/>
      <c r="H25" s="25"/>
      <c r="J25" s="89" t="s">
        <v>49</v>
      </c>
      <c r="K25" s="25">
        <f>IF(J16=0,"",INDEX('Base de Dados e filtragem'!$B:$B,MATCH(J16,'Base de Dados e filtragem'!$AB:$AB,0)))</f>
        <v>2</v>
      </c>
      <c r="L25" s="25"/>
      <c r="M25" s="25"/>
      <c r="N25" s="25"/>
      <c r="O25" s="25"/>
      <c r="Q25" s="89" t="s">
        <v>49</v>
      </c>
      <c r="R25" s="25">
        <f>IF(Q16=0,"",INDEX('Base de Dados e filtragem'!$B:$B,MATCH(Q16,'Base de Dados e filtragem'!$AB:$AB,0)))</f>
        <v>3</v>
      </c>
      <c r="S25" s="25"/>
      <c r="T25" s="25"/>
      <c r="U25" s="25"/>
      <c r="V25" s="25"/>
      <c r="X25" s="89" t="s">
        <v>49</v>
      </c>
      <c r="Y25" s="25">
        <f>IF(X16=0,"",INDEX('Base de Dados e filtragem'!$B:$B,MATCH(X16,'Base de Dados e filtragem'!$AB:$AB,0)))</f>
        <v>4</v>
      </c>
      <c r="Z25" s="25"/>
      <c r="AA25" s="25"/>
      <c r="AB25" s="25"/>
      <c r="AC25" s="25"/>
    </row>
    <row r="26" spans="3:29" x14ac:dyDescent="0.25">
      <c r="C26" s="89" t="s">
        <v>50</v>
      </c>
      <c r="D26" s="25">
        <f>IF(C16=0,"",INDEX('Base de Dados e filtragem'!$C:$C,MATCH(C16,'Base de Dados e filtragem'!$AB:$AB,0)))</f>
        <v>0</v>
      </c>
      <c r="E26" s="25"/>
      <c r="F26" s="25"/>
      <c r="G26" s="25"/>
      <c r="H26" s="25"/>
      <c r="J26" s="89" t="s">
        <v>50</v>
      </c>
      <c r="K26" s="25">
        <f>IF(J16=0,"",INDEX('Base de Dados e filtragem'!$C:$C,MATCH(J16,'Base de Dados e filtragem'!$AB:$AB,0)))</f>
        <v>0</v>
      </c>
      <c r="L26" s="25"/>
      <c r="M26" s="25"/>
      <c r="N26" s="25"/>
      <c r="O26" s="25"/>
      <c r="Q26" s="89" t="s">
        <v>50</v>
      </c>
      <c r="R26" s="25">
        <f>IF(Q16=0,"",INDEX('Base de Dados e filtragem'!$C:$C,MATCH(Q16,'Base de Dados e filtragem'!$AB:$AB,0)))</f>
        <v>0</v>
      </c>
      <c r="S26" s="25"/>
      <c r="T26" s="25"/>
      <c r="U26" s="25"/>
      <c r="V26" s="25"/>
      <c r="X26" s="89" t="s">
        <v>50</v>
      </c>
      <c r="Y26" s="25">
        <f>IF(X16=0,"",INDEX('Base de Dados e filtragem'!$C:$C,MATCH(X16,'Base de Dados e filtragem'!$AB:$AB,0)))</f>
        <v>0</v>
      </c>
      <c r="Z26" s="25"/>
      <c r="AA26" s="25"/>
      <c r="AB26" s="25"/>
      <c r="AC26" s="25"/>
    </row>
    <row r="27" spans="3:29" x14ac:dyDescent="0.25">
      <c r="C27" s="89" t="s">
        <v>51</v>
      </c>
      <c r="D27" s="25" t="str">
        <f>IF(C16=0,"",INDEX('Base de Dados e filtragem'!$A:$A,MATCH(C16,'Base de Dados e filtragem'!$AB:$AB,0)))</f>
        <v>20OUT1VT01_07</v>
      </c>
      <c r="E27" s="25"/>
      <c r="F27" s="25"/>
      <c r="G27" s="25"/>
      <c r="H27" s="25"/>
      <c r="J27" s="89" t="s">
        <v>51</v>
      </c>
      <c r="K27" s="25" t="str">
        <f>IF(J16=0,"",INDEX('Base de Dados e filtragem'!$A:$A,MATCH(J16,'Base de Dados e filtragem'!$AB:$AB,0)))</f>
        <v>20SET1VT01_57</v>
      </c>
      <c r="L27" s="25"/>
      <c r="M27" s="25"/>
      <c r="N27" s="25"/>
      <c r="O27" s="25"/>
      <c r="Q27" s="89" t="s">
        <v>51</v>
      </c>
      <c r="R27" s="25" t="str">
        <f>IF(Q16=0,"",INDEX('Base de Dados e filtragem'!$A:$A,MATCH(Q16,'Base de Dados e filtragem'!$AB:$AB,0)))</f>
        <v>a0001cf3</v>
      </c>
      <c r="S27" s="25"/>
      <c r="T27" s="25"/>
      <c r="U27" s="25"/>
      <c r="V27" s="25"/>
      <c r="X27" s="89" t="s">
        <v>51</v>
      </c>
      <c r="Y27" s="25" t="str">
        <f>IF(X16=0,"",INDEX('Base de Dados e filtragem'!$A:$A,MATCH(X16,'Base de Dados e filtragem'!$AB:$AB,0)))</f>
        <v>b0002cf7</v>
      </c>
      <c r="Z27" s="25"/>
      <c r="AA27" s="25"/>
      <c r="AB27" s="25"/>
      <c r="AC27" s="25"/>
    </row>
    <row r="28" spans="3:29" x14ac:dyDescent="0.25">
      <c r="C28" s="89" t="s">
        <v>59</v>
      </c>
      <c r="D28" s="25" t="str">
        <f>IF(C16=0,"",INDEX('Base de Dados e filtragem'!$K:$K,MATCH(C16,'Base de Dados e filtragem'!$AB:$AB,0)))</f>
        <v>mp 1</v>
      </c>
      <c r="E28" s="25"/>
      <c r="F28" s="25"/>
      <c r="G28" s="25"/>
      <c r="H28" s="25"/>
      <c r="J28" s="89" t="s">
        <v>59</v>
      </c>
      <c r="K28" s="25" t="str">
        <f>IF(J16=0,"",INDEX('Base de Dados e filtragem'!$K:$K,MATCH(J16,'Base de Dados e filtragem'!$AB:$AB,0)))</f>
        <v>mp 2</v>
      </c>
      <c r="L28" s="25"/>
      <c r="M28" s="25"/>
      <c r="N28" s="25"/>
      <c r="O28" s="25"/>
      <c r="Q28" s="89" t="s">
        <v>59</v>
      </c>
      <c r="R28" s="25" t="str">
        <f>IF(Q16=0,"",INDEX('Base de Dados e filtragem'!$K:$K,MATCH(Q16,'Base de Dados e filtragem'!$AB:$AB,0)))</f>
        <v>mp 3</v>
      </c>
      <c r="S28" s="25"/>
      <c r="T28" s="25"/>
      <c r="U28" s="25"/>
      <c r="V28" s="25"/>
      <c r="X28" s="89" t="s">
        <v>59</v>
      </c>
      <c r="Y28" s="25" t="str">
        <f>IF(X16=0,"",INDEX('Base de Dados e filtragem'!$K:$K,MATCH(X16,'Base de Dados e filtragem'!$AB:$AB,0)))</f>
        <v>mp 1</v>
      </c>
      <c r="Z28" s="25"/>
      <c r="AA28" s="25"/>
      <c r="AB28" s="25"/>
      <c r="AC28" s="25"/>
    </row>
    <row r="29" spans="3:29" x14ac:dyDescent="0.25">
      <c r="C29" s="89" t="s">
        <v>60</v>
      </c>
      <c r="D29" s="25" t="str">
        <f>IF(C16=0,"",INDEX('Base de Dados e filtragem'!$L:$L,MATCH(C16,'Base de Dados e filtragem'!$AB:$AB,0)))</f>
        <v>Fornecedor 1</v>
      </c>
      <c r="E29" s="25"/>
      <c r="F29" s="25"/>
      <c r="G29" s="25"/>
      <c r="H29" s="25"/>
      <c r="J29" s="89" t="s">
        <v>60</v>
      </c>
      <c r="K29" s="25" t="str">
        <f>IF(J16=0,"",INDEX('Base de Dados e filtragem'!$L:$L,MATCH(J16,'Base de Dados e filtragem'!$AB:$AB,0)))</f>
        <v>fornecedor 2</v>
      </c>
      <c r="L29" s="25"/>
      <c r="M29" s="25"/>
      <c r="N29" s="25"/>
      <c r="O29" s="25"/>
      <c r="Q29" s="89" t="s">
        <v>60</v>
      </c>
      <c r="R29" s="25" t="str">
        <f>IF(Q16=0,"",INDEX('Base de Dados e filtragem'!$L:$L,MATCH(Q16,'Base de Dados e filtragem'!$AB:$AB,0)))</f>
        <v>fornecedor 3</v>
      </c>
      <c r="S29" s="25"/>
      <c r="T29" s="25"/>
      <c r="U29" s="25"/>
      <c r="V29" s="25"/>
      <c r="X29" s="89" t="s">
        <v>60</v>
      </c>
      <c r="Y29" s="25" t="str">
        <f>IF(X16=0,"",INDEX('Base de Dados e filtragem'!$L:$L,MATCH(X16,'Base de Dados e filtragem'!$AB:$AB,0)))</f>
        <v>Fornecedor 1</v>
      </c>
      <c r="Z29" s="25"/>
      <c r="AA29" s="25"/>
      <c r="AB29" s="25"/>
      <c r="AC29" s="25"/>
    </row>
    <row r="30" spans="3:29" x14ac:dyDescent="0.25">
      <c r="C30" s="89" t="s">
        <v>61</v>
      </c>
      <c r="D30" s="25">
        <f>IF(C16=0,"",INDEX('Base de Dados e filtragem'!$N:$N,MATCH(C16,'Base de Dados e filtragem'!$AB:$AB,0)))</f>
        <v>0</v>
      </c>
      <c r="E30" s="25"/>
      <c r="F30" s="91" t="s">
        <v>68</v>
      </c>
      <c r="G30" s="25">
        <f>IF(C16=0,"",INDEX('Base de Dados e filtragem'!$Z:$Z,MATCH(C16,'Base de Dados e filtragem'!$AB:$AB,0)))</f>
        <v>0</v>
      </c>
      <c r="H30" s="25"/>
      <c r="J30" s="89" t="s">
        <v>61</v>
      </c>
      <c r="K30" s="25">
        <f>IF(J16=0,"",INDEX('Base de Dados e filtragem'!$N:$N,MATCH(J16,'Base de Dados e filtragem'!$AB:$AB,0)))</f>
        <v>0</v>
      </c>
      <c r="L30" s="25"/>
      <c r="M30" s="91" t="s">
        <v>68</v>
      </c>
      <c r="N30" s="25">
        <f>IF(J16=0,"",INDEX('Base de Dados e filtragem'!$Z:$Z,MATCH(J16,'Base de Dados e filtragem'!$AB:$AB,0)))</f>
        <v>0</v>
      </c>
      <c r="O30" s="25"/>
      <c r="Q30" s="89" t="s">
        <v>61</v>
      </c>
      <c r="R30" s="25">
        <f>IF(Q16=0,"",INDEX('Base de Dados e filtragem'!$N:$N,MATCH(Q16,'Base de Dados e filtragem'!$AB:$AB,0)))</f>
        <v>0</v>
      </c>
      <c r="S30" s="25"/>
      <c r="T30" s="91" t="s">
        <v>68</v>
      </c>
      <c r="U30" s="25">
        <f>IF(Q16=0,"",INDEX('Base de Dados e filtragem'!$Z:$Z,MATCH(Q16,'Base de Dados e filtragem'!$AB:$AB,0)))</f>
        <v>0</v>
      </c>
      <c r="V30" s="25"/>
      <c r="X30" s="89" t="s">
        <v>61</v>
      </c>
      <c r="Y30" s="25">
        <f>IF(X16=0,"",INDEX('Base de Dados e filtragem'!$N:$N,MATCH(X16,'Base de Dados e filtragem'!$AB:$AB,0)))</f>
        <v>0</v>
      </c>
      <c r="Z30" s="25"/>
      <c r="AA30" s="91" t="s">
        <v>68</v>
      </c>
      <c r="AB30" s="25">
        <f>IF(X16=0,"",INDEX('Base de Dados e filtragem'!$Z:$Z,MATCH(X16,'Base de Dados e filtragem'!$AB:$AB,0)))</f>
        <v>0</v>
      </c>
      <c r="AC30" s="25"/>
    </row>
    <row r="31" spans="3:29" x14ac:dyDescent="0.25">
      <c r="C31" s="90" t="s">
        <v>66</v>
      </c>
      <c r="D31" s="88">
        <f>IF(C16=0,"",INDEX('Base de Dados e filtragem'!$W:$W,MATCH(C16,'Base de Dados e filtragem'!$AB:$AB,0)))</f>
        <v>0</v>
      </c>
      <c r="E31" s="90" t="s">
        <v>67</v>
      </c>
      <c r="F31" s="88">
        <f>IF(C16=0,"",INDEX('Base de Dados e filtragem'!$X:$X,MATCH(C16,'Base de Dados e filtragem'!$AB:$AB,0)))</f>
        <v>0</v>
      </c>
      <c r="G31" s="90" t="s">
        <v>70</v>
      </c>
      <c r="H31" s="88">
        <f>IF(C16=0,"",INDEX('Base de Dados e filtragem'!$Y:$Y,MATCH(C16,'Base de Dados e filtragem'!$AB:$AB,0)))</f>
        <v>0</v>
      </c>
      <c r="J31" s="90" t="s">
        <v>66</v>
      </c>
      <c r="K31" s="88">
        <f>IF(J16=0,"",INDEX('Base de Dados e filtragem'!$W:$W,MATCH(J16,'Base de Dados e filtragem'!$AB:$AB,0)))</f>
        <v>0</v>
      </c>
      <c r="L31" s="90" t="s">
        <v>67</v>
      </c>
      <c r="M31" s="88">
        <f>IF(J16=0,"",INDEX('Base de Dados e filtragem'!$X:$X,MATCH(J16,'Base de Dados e filtragem'!$AB:$AB,0)))</f>
        <v>0</v>
      </c>
      <c r="N31" s="90" t="s">
        <v>70</v>
      </c>
      <c r="O31" s="88">
        <f>IF(J16=0,"",INDEX('Base de Dados e filtragem'!$Y:$Y,MATCH(J16,'Base de Dados e filtragem'!$AB:$AB,0)))</f>
        <v>0</v>
      </c>
      <c r="Q31" s="90" t="s">
        <v>66</v>
      </c>
      <c r="R31" s="88">
        <f>IF(Q16=0,"",INDEX('Base de Dados e filtragem'!$W:$W,MATCH(Q16,'Base de Dados e filtragem'!$AB:$AB,0)))</f>
        <v>0</v>
      </c>
      <c r="S31" s="90" t="s">
        <v>67</v>
      </c>
      <c r="T31" s="88">
        <f>IF(Q16=0,"",INDEX('Base de Dados e filtragem'!$X:$X,MATCH(Q16,'Base de Dados e filtragem'!$AB:$AB,0)))</f>
        <v>0</v>
      </c>
      <c r="U31" s="90" t="s">
        <v>70</v>
      </c>
      <c r="V31" s="88">
        <f>IF(Q16=0,"",INDEX('Base de Dados e filtragem'!$Y:$Y,MATCH(Q16,'Base de Dados e filtragem'!$AB:$AB,0)))</f>
        <v>0</v>
      </c>
      <c r="X31" s="90" t="s">
        <v>66</v>
      </c>
      <c r="Y31" s="88">
        <f>IF(X16=0,"",INDEX('Base de Dados e filtragem'!$W:$W,MATCH(X16,'Base de Dados e filtragem'!$AB:$AB,0)))</f>
        <v>0</v>
      </c>
      <c r="Z31" s="90" t="s">
        <v>67</v>
      </c>
      <c r="AA31" s="88">
        <f>IF(X16=0,"",INDEX('Base de Dados e filtragem'!$X:$X,MATCH(X16,'Base de Dados e filtragem'!$AB:$AB,0)))</f>
        <v>0</v>
      </c>
      <c r="AB31" s="90" t="s">
        <v>70</v>
      </c>
      <c r="AC31" s="88">
        <f>IF(X16=0,"",INDEX('Base de Dados e filtragem'!$Y:$Y,MATCH(X16,'Base de Dados e filtragem'!$AB:$AB,0)))</f>
        <v>0</v>
      </c>
    </row>
    <row r="32" spans="3:29" x14ac:dyDescent="0.25">
      <c r="V32" s="1"/>
    </row>
    <row r="33" spans="3:29" x14ac:dyDescent="0.25">
      <c r="V33" s="1"/>
    </row>
    <row r="34" spans="3:29" x14ac:dyDescent="0.25">
      <c r="C34" s="25">
        <v>5</v>
      </c>
      <c r="D34" s="25" t="s">
        <v>83</v>
      </c>
      <c r="E34" s="25"/>
      <c r="F34" s="89" t="s">
        <v>57</v>
      </c>
      <c r="G34" s="25" t="str">
        <f>IF(C41=0,"",INDEX('Base de Dados e filtragem'!$I:$I,MATCH(C41,'Base de Dados e filtragem'!$AB:$AB,0)))</f>
        <v>coleção 1</v>
      </c>
      <c r="H34" s="25"/>
      <c r="J34" s="25">
        <v>6</v>
      </c>
      <c r="K34" s="25" t="s">
        <v>83</v>
      </c>
      <c r="L34" s="25"/>
      <c r="M34" s="89" t="s">
        <v>57</v>
      </c>
      <c r="N34" s="25" t="str">
        <f>IF(J41=0,"",INDEX('Base de Dados e filtragem'!$I:$I,MATCH(J41,'Base de Dados e filtragem'!$AB:$AB,0)))</f>
        <v>coleção 1</v>
      </c>
      <c r="O34" s="25"/>
      <c r="Q34" s="25">
        <v>7</v>
      </c>
      <c r="R34" s="25" t="s">
        <v>83</v>
      </c>
      <c r="S34" s="25"/>
      <c r="T34" s="89" t="s">
        <v>57</v>
      </c>
      <c r="U34" s="25">
        <f>IF(Q41=0,"",INDEX('Base de Dados e filtragem'!$I:$I,MATCH(Q41,'Base de Dados e filtragem'!$AB:$AB,0)))</f>
        <v>0</v>
      </c>
      <c r="V34" s="25"/>
      <c r="X34" s="25">
        <v>8</v>
      </c>
      <c r="Y34" s="25" t="s">
        <v>83</v>
      </c>
      <c r="Z34" s="25"/>
      <c r="AA34" s="89" t="s">
        <v>57</v>
      </c>
      <c r="AB34" s="25">
        <f>IF(X41=0,"",INDEX('Base de Dados e filtragem'!$I:$I,MATCH(X41,'Base de Dados e filtragem'!$AB:$AB,0)))</f>
        <v>0</v>
      </c>
      <c r="AC34" s="25"/>
    </row>
    <row r="35" spans="3:29" x14ac:dyDescent="0.25">
      <c r="C35" s="25">
        <f>VLOOKUP(C34,AuxiliarGrid!$BM$57:$BP$87,2,FALSE)</f>
        <v>409.8</v>
      </c>
      <c r="D35" s="25" t="s">
        <v>84</v>
      </c>
      <c r="E35" s="25"/>
      <c r="F35" s="89" t="s">
        <v>58</v>
      </c>
      <c r="G35" s="25">
        <f>IF(C41=0,"",INDEX('Base de Dados e filtragem'!$J:$J,MATCH(C41,'Base de Dados e filtragem'!$AB:$AB,0)))</f>
        <v>36982</v>
      </c>
      <c r="H35" s="25"/>
      <c r="J35" s="25">
        <f>VLOOKUP(J34,AuxiliarGrid!$BM$57:$BP$87,2,FALSE)</f>
        <v>409.8</v>
      </c>
      <c r="K35" s="25" t="s">
        <v>84</v>
      </c>
      <c r="L35" s="25"/>
      <c r="M35" s="89" t="s">
        <v>58</v>
      </c>
      <c r="N35" s="25">
        <f>IF(J41=0,"",INDEX('Base de Dados e filtragem'!$J:$J,MATCH(J41,'Base de Dados e filtragem'!$AB:$AB,0)))</f>
        <v>0</v>
      </c>
      <c r="O35" s="25"/>
      <c r="Q35" s="25">
        <f>VLOOKUP(Q34,AuxiliarGrid!$BM$57:$BP$87,2,FALSE)</f>
        <v>409.8</v>
      </c>
      <c r="R35" s="25" t="s">
        <v>84</v>
      </c>
      <c r="S35" s="25"/>
      <c r="T35" s="89" t="s">
        <v>58</v>
      </c>
      <c r="U35" s="25">
        <f>IF(Q41=0,"",INDEX('Base de Dados e filtragem'!$J:$J,MATCH(Q41,'Base de Dados e filtragem'!$AB:$AB,0)))</f>
        <v>0</v>
      </c>
      <c r="V35" s="25"/>
      <c r="X35" s="25">
        <f>VLOOKUP(X34,AuxiliarGrid!$BM$57:$BP$87,2,FALSE)</f>
        <v>409.8</v>
      </c>
      <c r="Y35" s="25" t="s">
        <v>84</v>
      </c>
      <c r="Z35" s="25"/>
      <c r="AA35" s="89" t="s">
        <v>58</v>
      </c>
      <c r="AB35" s="25">
        <f>IF(X41=0,"",INDEX('Base de Dados e filtragem'!$J:$J,MATCH(X41,'Base de Dados e filtragem'!$AB:$AB,0)))</f>
        <v>0</v>
      </c>
      <c r="AC35" s="25"/>
    </row>
    <row r="36" spans="3:29" x14ac:dyDescent="0.25">
      <c r="C36" s="25">
        <f>VLOOKUP(C34,AuxiliarGrid!$BM$57:$BP$87,3,FALSE)</f>
        <v>29.4</v>
      </c>
      <c r="D36" s="25" t="s">
        <v>85</v>
      </c>
      <c r="E36" s="25"/>
      <c r="F36" s="89" t="s">
        <v>53</v>
      </c>
      <c r="G36" s="25" t="str">
        <f>IF(C41=0,"",INDEX('Base de Dados e filtragem'!$F:$F,MATCH(C41,'Base de Dados e filtragem'!$AB:$AB,0)))</f>
        <v>grupo 1</v>
      </c>
      <c r="H36" s="25"/>
      <c r="J36" s="25">
        <f>VLOOKUP(J34,AuxiliarGrid!$BM$57:$BP$87,3,FALSE)</f>
        <v>289.79999999999995</v>
      </c>
      <c r="K36" s="25" t="s">
        <v>85</v>
      </c>
      <c r="L36" s="25"/>
      <c r="M36" s="89" t="s">
        <v>53</v>
      </c>
      <c r="N36" s="25" t="str">
        <f>IF(J41=0,"",INDEX('Base de Dados e filtragem'!$F:$F,MATCH(J41,'Base de Dados e filtragem'!$AB:$AB,0)))</f>
        <v>grupo 9</v>
      </c>
      <c r="O36" s="25"/>
      <c r="Q36" s="25">
        <f>VLOOKUP(Q34,AuxiliarGrid!$BM$57:$BP$87,3,FALSE)</f>
        <v>550.19999999999993</v>
      </c>
      <c r="R36" s="25" t="s">
        <v>85</v>
      </c>
      <c r="S36" s="25"/>
      <c r="T36" s="89" t="s">
        <v>53</v>
      </c>
      <c r="U36" s="25">
        <f>IF(Q41=0,"",INDEX('Base de Dados e filtragem'!$F:$F,MATCH(Q41,'Base de Dados e filtragem'!$AB:$AB,0)))</f>
        <v>0</v>
      </c>
      <c r="V36" s="25"/>
      <c r="X36" s="25">
        <f>VLOOKUP(X34,AuxiliarGrid!$BM$57:$BP$87,3,FALSE)</f>
        <v>810.59999999999991</v>
      </c>
      <c r="Y36" s="25" t="s">
        <v>85</v>
      </c>
      <c r="Z36" s="25"/>
      <c r="AA36" s="89" t="s">
        <v>53</v>
      </c>
      <c r="AB36" s="25">
        <f>IF(X41=0,"",INDEX('Base de Dados e filtragem'!$F:$F,MATCH(X41,'Base de Dados e filtragem'!$AB:$AB,0)))</f>
        <v>0</v>
      </c>
      <c r="AC36" s="25"/>
    </row>
    <row r="37" spans="3:29" x14ac:dyDescent="0.25">
      <c r="C37" s="25"/>
      <c r="D37" s="25"/>
      <c r="E37" s="25"/>
      <c r="F37" s="89" t="s">
        <v>55</v>
      </c>
      <c r="G37" s="25" t="str">
        <f>IF(C41=0,"",INDEX('Base de Dados e filtragem'!$G:$G,MATCH(C41,'Base de Dados e filtragem'!$AB:$AB,0)))</f>
        <v>sbg 1</v>
      </c>
      <c r="H37" s="25"/>
      <c r="J37" s="25"/>
      <c r="K37" s="25"/>
      <c r="L37" s="25"/>
      <c r="M37" s="89" t="s">
        <v>55</v>
      </c>
      <c r="N37" s="25">
        <f>IF(J41=0,"",INDEX('Base de Dados e filtragem'!$G:$G,MATCH(J41,'Base de Dados e filtragem'!$AB:$AB,0)))</f>
        <v>0</v>
      </c>
      <c r="O37" s="25"/>
      <c r="Q37" s="25"/>
      <c r="R37" s="25"/>
      <c r="S37" s="25"/>
      <c r="T37" s="89" t="s">
        <v>55</v>
      </c>
      <c r="U37" s="25">
        <f>IF(Q41=0,"",INDEX('Base de Dados e filtragem'!$G:$G,MATCH(Q41,'Base de Dados e filtragem'!$AB:$AB,0)))</f>
        <v>0</v>
      </c>
      <c r="V37" s="25"/>
      <c r="X37" s="25"/>
      <c r="Y37" s="25"/>
      <c r="Z37" s="25"/>
      <c r="AA37" s="89" t="s">
        <v>55</v>
      </c>
      <c r="AB37" s="25">
        <f>IF(X41=0,"",INDEX('Base de Dados e filtragem'!$G:$G,MATCH(X41,'Base de Dados e filtragem'!$AB:$AB,0)))</f>
        <v>0</v>
      </c>
      <c r="AC37" s="25"/>
    </row>
    <row r="38" spans="3:29" x14ac:dyDescent="0.25">
      <c r="C38" s="25"/>
      <c r="D38" s="25"/>
      <c r="E38" s="25"/>
      <c r="F38" s="89" t="s">
        <v>56</v>
      </c>
      <c r="G38" s="25" t="str">
        <f>IF(C41=0,"",INDEX('Base de Dados e filtragem'!$H:$H,MATCH(C41,'Base de Dados e filtragem'!$AB:$AB,0)))</f>
        <v>linha 1</v>
      </c>
      <c r="H38" s="25"/>
      <c r="J38" s="25"/>
      <c r="K38" s="25"/>
      <c r="L38" s="25"/>
      <c r="M38" s="89" t="s">
        <v>56</v>
      </c>
      <c r="N38" s="25">
        <f>IF(J41=0,"",INDEX('Base de Dados e filtragem'!$H:$H,MATCH(J41,'Base de Dados e filtragem'!$AB:$AB,0)))</f>
        <v>0</v>
      </c>
      <c r="O38" s="25"/>
      <c r="Q38" s="25"/>
      <c r="R38" s="25"/>
      <c r="S38" s="25"/>
      <c r="T38" s="89" t="s">
        <v>56</v>
      </c>
      <c r="U38" s="25">
        <f>IF(Q41=0,"",INDEX('Base de Dados e filtragem'!$H:$H,MATCH(Q41,'Base de Dados e filtragem'!$AB:$AB,0)))</f>
        <v>0</v>
      </c>
      <c r="V38" s="25"/>
      <c r="X38" s="25"/>
      <c r="Y38" s="25"/>
      <c r="Z38" s="25"/>
      <c r="AA38" s="89" t="s">
        <v>56</v>
      </c>
      <c r="AB38" s="25">
        <f>IF(X41=0,"",INDEX('Base de Dados e filtragem'!$H:$H,MATCH(X41,'Base de Dados e filtragem'!$AB:$AB,0)))</f>
        <v>0</v>
      </c>
      <c r="AC38" s="25"/>
    </row>
    <row r="39" spans="3:29" x14ac:dyDescent="0.25">
      <c r="C39" s="25"/>
      <c r="D39" s="25"/>
      <c r="E39" s="25"/>
      <c r="F39" s="89" t="s">
        <v>93</v>
      </c>
      <c r="G39" s="25">
        <f>IF(C41=0,"",INDEX('Base de Dados e filtragem'!$O:$O,MATCH(C41,'Base de Dados e filtragem'!$AB:$AB,0)))</f>
        <v>0</v>
      </c>
      <c r="H39" s="25"/>
      <c r="J39" s="25"/>
      <c r="K39" s="25"/>
      <c r="L39" s="25"/>
      <c r="M39" s="89" t="s">
        <v>93</v>
      </c>
      <c r="N39" s="25">
        <f>IF(J41=0,"",INDEX('Base de Dados e filtragem'!$O:$O,MATCH(J41,'Base de Dados e filtragem'!$AB:$AB,0)))</f>
        <v>0</v>
      </c>
      <c r="O39" s="25"/>
      <c r="Q39" s="25"/>
      <c r="R39" s="25"/>
      <c r="S39" s="25"/>
      <c r="T39" s="89" t="s">
        <v>93</v>
      </c>
      <c r="U39" s="25">
        <f>IF(Q41=0,"",INDEX('Base de Dados e filtragem'!$O:$O,MATCH(Q41,'Base de Dados e filtragem'!$AB:$AB,0)))</f>
        <v>0</v>
      </c>
      <c r="V39" s="25"/>
      <c r="X39" s="25"/>
      <c r="Y39" s="25"/>
      <c r="Z39" s="25"/>
      <c r="AA39" s="89" t="s">
        <v>93</v>
      </c>
      <c r="AB39" s="25">
        <f>IF(X41=0,"",INDEX('Base de Dados e filtragem'!$O:$O,MATCH(X41,'Base de Dados e filtragem'!$AB:$AB,0)))</f>
        <v>0</v>
      </c>
      <c r="AC39" s="25"/>
    </row>
    <row r="40" spans="3:29" x14ac:dyDescent="0.25">
      <c r="C40" s="25">
        <f>20*($AC$4-1)+C34</f>
        <v>5</v>
      </c>
      <c r="D40" s="25" t="s">
        <v>91</v>
      </c>
      <c r="E40" s="25"/>
      <c r="F40" s="89" t="s">
        <v>62</v>
      </c>
      <c r="G40" s="25">
        <f>IF(C41=0,"",INDEX('Base de Dados e filtragem'!$P:$P,MATCH(C41,'Base de Dados e filtragem'!$AB:$AB,0)))</f>
        <v>0</v>
      </c>
      <c r="H40" s="25"/>
      <c r="J40" s="25">
        <f>20*($AC$4-1)+J34</f>
        <v>6</v>
      </c>
      <c r="K40" s="25" t="s">
        <v>91</v>
      </c>
      <c r="L40" s="25"/>
      <c r="M40" s="89" t="s">
        <v>62</v>
      </c>
      <c r="N40" s="25">
        <f>IF(J41=0,"",INDEX('Base de Dados e filtragem'!$P:$P,MATCH(J41,'Base de Dados e filtragem'!$AB:$AB,0)))</f>
        <v>0</v>
      </c>
      <c r="O40" s="25"/>
      <c r="Q40" s="25">
        <f>20*($AC$4-1)+Q34</f>
        <v>7</v>
      </c>
      <c r="R40" s="25" t="s">
        <v>91</v>
      </c>
      <c r="S40" s="25"/>
      <c r="T40" s="89" t="s">
        <v>62</v>
      </c>
      <c r="U40" s="25">
        <f>IF(Q41=0,"",INDEX('Base de Dados e filtragem'!$P:$P,MATCH(Q41,'Base de Dados e filtragem'!$AB:$AB,0)))</f>
        <v>0</v>
      </c>
      <c r="V40" s="25"/>
      <c r="X40" s="25">
        <f>20*($AC$4-1)+X34</f>
        <v>8</v>
      </c>
      <c r="Y40" s="25" t="s">
        <v>91</v>
      </c>
      <c r="Z40" s="25"/>
      <c r="AA40" s="89" t="s">
        <v>62</v>
      </c>
      <c r="AB40" s="25">
        <f>IF(X41=0,"",INDEX('Base de Dados e filtragem'!$P:$P,MATCH(X41,'Base de Dados e filtragem'!$AB:$AB,0)))</f>
        <v>0</v>
      </c>
      <c r="AC40" s="25"/>
    </row>
    <row r="41" spans="3:29" x14ac:dyDescent="0.25">
      <c r="C41" s="25">
        <f>LARGE('Base de Dados e filtragem'!$AB:$AB,C40)</f>
        <v>0.125</v>
      </c>
      <c r="D41" s="25" t="s">
        <v>86</v>
      </c>
      <c r="E41" s="25"/>
      <c r="F41" s="89" t="s">
        <v>63</v>
      </c>
      <c r="G41" s="25">
        <f>IF(C41=0,"",INDEX('Base de Dados e filtragem'!$Q:$Q,MATCH(C41,'Base de Dados e filtragem'!$AB:$AB,0)))</f>
        <v>0</v>
      </c>
      <c r="H41" s="25"/>
      <c r="J41" s="25">
        <f>LARGE('Base de Dados e filtragem'!$AB:$AB,J40)</f>
        <v>0.1111111111111111</v>
      </c>
      <c r="K41" s="25" t="s">
        <v>86</v>
      </c>
      <c r="L41" s="25"/>
      <c r="M41" s="89" t="s">
        <v>63</v>
      </c>
      <c r="N41" s="25">
        <f>IF(J41=0,"",INDEX('Base de Dados e filtragem'!$Q:$Q,MATCH(J41,'Base de Dados e filtragem'!$AB:$AB,0)))</f>
        <v>0</v>
      </c>
      <c r="O41" s="25"/>
      <c r="Q41" s="25">
        <f>LARGE('Base de Dados e filtragem'!$AB:$AB,Q40)</f>
        <v>0.1</v>
      </c>
      <c r="R41" s="25" t="s">
        <v>86</v>
      </c>
      <c r="S41" s="25"/>
      <c r="T41" s="89" t="s">
        <v>63</v>
      </c>
      <c r="U41" s="25">
        <f>IF(Q41=0,"",INDEX('Base de Dados e filtragem'!$Q:$Q,MATCH(Q41,'Base de Dados e filtragem'!$AB:$AB,0)))</f>
        <v>0</v>
      </c>
      <c r="V41" s="25"/>
      <c r="X41" s="25">
        <f>LARGE('Base de Dados e filtragem'!$AB:$AB,X40)</f>
        <v>9.0909090909090912E-2</v>
      </c>
      <c r="Y41" s="25" t="s">
        <v>86</v>
      </c>
      <c r="Z41" s="25"/>
      <c r="AA41" s="89" t="s">
        <v>63</v>
      </c>
      <c r="AB41" s="25">
        <f>IF(X41=0,"",INDEX('Base de Dados e filtragem'!$Q:$Q,MATCH(X41,'Base de Dados e filtragem'!$AB:$AB,0)))</f>
        <v>0</v>
      </c>
      <c r="AC41" s="25"/>
    </row>
    <row r="42" spans="3:29" x14ac:dyDescent="0.25">
      <c r="C42" s="25" t="s">
        <v>92</v>
      </c>
      <c r="D42" s="25"/>
      <c r="E42" s="25"/>
      <c r="F42" s="89" t="s">
        <v>64</v>
      </c>
      <c r="G42" s="25">
        <f>IF(C41=0,"",INDEX('Base de Dados e filtragem'!$R:$R,MATCH(C41,'Base de Dados e filtragem'!$AB:$AB,0)))</f>
        <v>0</v>
      </c>
      <c r="H42" s="25"/>
      <c r="J42" s="25" t="s">
        <v>92</v>
      </c>
      <c r="K42" s="25"/>
      <c r="L42" s="25"/>
      <c r="M42" s="89" t="s">
        <v>64</v>
      </c>
      <c r="N42" s="25">
        <f>IF(J41=0,"",INDEX('Base de Dados e filtragem'!$R:$R,MATCH(J41,'Base de Dados e filtragem'!$AB:$AB,0)))</f>
        <v>0</v>
      </c>
      <c r="O42" s="25"/>
      <c r="Q42" s="25" t="s">
        <v>92</v>
      </c>
      <c r="R42" s="25"/>
      <c r="S42" s="25"/>
      <c r="T42" s="89" t="s">
        <v>64</v>
      </c>
      <c r="U42" s="25">
        <f>IF(Q41=0,"",INDEX('Base de Dados e filtragem'!$R:$R,MATCH(Q41,'Base de Dados e filtragem'!$AB:$AB,0)))</f>
        <v>0</v>
      </c>
      <c r="V42" s="25"/>
      <c r="X42" s="25" t="s">
        <v>92</v>
      </c>
      <c r="Y42" s="25"/>
      <c r="Z42" s="25"/>
      <c r="AA42" s="89" t="s">
        <v>64</v>
      </c>
      <c r="AB42" s="25">
        <f>IF(X41=0,"",INDEX('Base de Dados e filtragem'!$R:$R,MATCH(X41,'Base de Dados e filtragem'!$AB:$AB,0)))</f>
        <v>0</v>
      </c>
      <c r="AC42" s="25"/>
    </row>
    <row r="43" spans="3:29" x14ac:dyDescent="0.25">
      <c r="C43" s="26" t="str">
        <f>INDEX('Base de Dados e filtragem'!$AA:$AA,MATCH(C41,'Base de Dados e filtragem'!$AB:$AB,0))</f>
        <v>Fotos\coleção 1\20AGO2CL01_37.jpg</v>
      </c>
      <c r="D43" s="26"/>
      <c r="E43" s="26"/>
      <c r="F43" s="89" t="s">
        <v>65</v>
      </c>
      <c r="G43" s="26">
        <f>IF(C41=0,"",INDEX('Base de Dados e filtragem'!$S:$S,MATCH(C41,'Base de Dados e filtragem'!$AB:$AB,0)))</f>
        <v>0</v>
      </c>
      <c r="H43" s="26"/>
      <c r="J43" s="26" t="str">
        <f>INDEX('Base de Dados e filtragem'!$AA:$AA,MATCH(J41,'Base de Dados e filtragem'!$AB:$AB,0))</f>
        <v>Fotos\coleção 1\c0003cf9.jpg</v>
      </c>
      <c r="K43" s="26"/>
      <c r="L43" s="26"/>
      <c r="M43" s="89" t="s">
        <v>65</v>
      </c>
      <c r="N43" s="26">
        <f>IF(J41=0,"",INDEX('Base de Dados e filtragem'!$S:$S,MATCH(J41,'Base de Dados e filtragem'!$AB:$AB,0)))</f>
        <v>0</v>
      </c>
      <c r="O43" s="26"/>
      <c r="Q43" s="26" t="str">
        <f>INDEX('Base de Dados e filtragem'!$AA:$AA,MATCH(Q41,'Base de Dados e filtragem'!$AB:$AB,0))</f>
        <v>Fotos\\.jpg</v>
      </c>
      <c r="R43" s="26"/>
      <c r="S43" s="26"/>
      <c r="T43" s="89" t="s">
        <v>65</v>
      </c>
      <c r="U43" s="26">
        <f>IF(Q41=0,"",INDEX('Base de Dados e filtragem'!$S:$S,MATCH(Q41,'Base de Dados e filtragem'!$AB:$AB,0)))</f>
        <v>0</v>
      </c>
      <c r="V43" s="26"/>
      <c r="X43" s="26" t="str">
        <f>INDEX('Base de Dados e filtragem'!$AA:$AA,MATCH(X41,'Base de Dados e filtragem'!$AB:$AB,0))</f>
        <v>Fotos\\.jpg</v>
      </c>
      <c r="Y43" s="26"/>
      <c r="Z43" s="26"/>
      <c r="AA43" s="89" t="s">
        <v>65</v>
      </c>
      <c r="AB43" s="26">
        <f>IF(X41=0,"",INDEX('Base de Dados e filtragem'!$S:$S,MATCH(X41,'Base de Dados e filtragem'!$AB:$AB,0)))</f>
        <v>0</v>
      </c>
      <c r="AC43" s="26"/>
    </row>
    <row r="44" spans="3:29" x14ac:dyDescent="0.25">
      <c r="C44" s="25"/>
      <c r="D44" s="25"/>
      <c r="E44" s="25"/>
      <c r="F44" s="89" t="s">
        <v>69</v>
      </c>
      <c r="G44" s="25">
        <f>IF(C41=0,"",INDEX('Base de Dados e filtragem'!$T:$T,MATCH(C41,'Base de Dados e filtragem'!$AB:$AB,0)))</f>
        <v>0</v>
      </c>
      <c r="H44" s="25"/>
      <c r="J44" s="25"/>
      <c r="K44" s="25"/>
      <c r="L44" s="25"/>
      <c r="M44" s="89" t="s">
        <v>69</v>
      </c>
      <c r="N44" s="25">
        <f>IF(J41=0,"",INDEX('Base de Dados e filtragem'!$T:$T,MATCH(J41,'Base de Dados e filtragem'!$AB:$AB,0)))</f>
        <v>0</v>
      </c>
      <c r="O44" s="25"/>
      <c r="Q44" s="25"/>
      <c r="R44" s="25"/>
      <c r="S44" s="25"/>
      <c r="T44" s="89" t="s">
        <v>69</v>
      </c>
      <c r="U44" s="25">
        <f>IF(Q41=0,"",INDEX('Base de Dados e filtragem'!$T:$T,MATCH(Q41,'Base de Dados e filtragem'!$AB:$AB,0)))</f>
        <v>0</v>
      </c>
      <c r="V44" s="25"/>
      <c r="X44" s="25"/>
      <c r="Y44" s="25"/>
      <c r="Z44" s="25"/>
      <c r="AA44" s="89" t="s">
        <v>69</v>
      </c>
      <c r="AB44" s="25">
        <f>IF(X41=0,"",INDEX('Base de Dados e filtragem'!$T:$T,MATCH(X41,'Base de Dados e filtragem'!$AB:$AB,0)))</f>
        <v>0</v>
      </c>
      <c r="AC44" s="25"/>
    </row>
    <row r="45" spans="3:29" x14ac:dyDescent="0.25">
      <c r="C45" s="25"/>
      <c r="D45" s="25"/>
      <c r="E45" s="25"/>
      <c r="F45" s="89" t="s">
        <v>71</v>
      </c>
      <c r="G45" s="25">
        <f>IF(C41=0,"",INDEX('Base de Dados e filtragem'!$U:$U,MATCH(C41,'Base de Dados e filtragem'!$AB:$AB,0)))</f>
        <v>0</v>
      </c>
      <c r="H45" s="25"/>
      <c r="J45" s="25"/>
      <c r="K45" s="25"/>
      <c r="L45" s="25"/>
      <c r="M45" s="89" t="s">
        <v>71</v>
      </c>
      <c r="N45" s="25">
        <f>IF(J41=0,"",INDEX('Base de Dados e filtragem'!$U:$U,MATCH(J41,'Base de Dados e filtragem'!$AB:$AB,0)))</f>
        <v>0</v>
      </c>
      <c r="O45" s="25"/>
      <c r="Q45" s="25"/>
      <c r="R45" s="25"/>
      <c r="S45" s="25"/>
      <c r="T45" s="89" t="s">
        <v>71</v>
      </c>
      <c r="U45" s="25">
        <f>IF(Q41=0,"",INDEX('Base de Dados e filtragem'!$U:$U,MATCH(Q41,'Base de Dados e filtragem'!$AB:$AB,0)))</f>
        <v>0</v>
      </c>
      <c r="V45" s="25"/>
      <c r="X45" s="25"/>
      <c r="Y45" s="25"/>
      <c r="Z45" s="25"/>
      <c r="AA45" s="89" t="s">
        <v>71</v>
      </c>
      <c r="AB45" s="25">
        <f>IF(X41=0,"",INDEX('Base de Dados e filtragem'!$U:$U,MATCH(X41,'Base de Dados e filtragem'!$AB:$AB,0)))</f>
        <v>0</v>
      </c>
      <c r="AC45" s="25"/>
    </row>
    <row r="46" spans="3:29" x14ac:dyDescent="0.25">
      <c r="C46" s="25"/>
      <c r="D46" s="25"/>
      <c r="E46" s="25"/>
      <c r="F46" s="89" t="s">
        <v>72</v>
      </c>
      <c r="G46" s="25">
        <f>IF(C41=0,"",INDEX('Base de Dados e filtragem'!$V:$V,MATCH(C41,'Base de Dados e filtragem'!$AB:$AB,0)))</f>
        <v>0</v>
      </c>
      <c r="H46" s="25"/>
      <c r="J46" s="25"/>
      <c r="K46" s="25"/>
      <c r="L46" s="25"/>
      <c r="M46" s="89" t="s">
        <v>72</v>
      </c>
      <c r="N46" s="25">
        <f>IF(J41=0,"",INDEX('Base de Dados e filtragem'!$V:$V,MATCH(J41,'Base de Dados e filtragem'!$AB:$AB,0)))</f>
        <v>0</v>
      </c>
      <c r="O46" s="25"/>
      <c r="Q46" s="25"/>
      <c r="R46" s="25"/>
      <c r="S46" s="25"/>
      <c r="T46" s="89" t="s">
        <v>72</v>
      </c>
      <c r="U46" s="25">
        <f>IF(Q41=0,"",INDEX('Base de Dados e filtragem'!$V:$V,MATCH(Q41,'Base de Dados e filtragem'!$AB:$AB,0)))</f>
        <v>0</v>
      </c>
      <c r="V46" s="25"/>
      <c r="X46" s="25"/>
      <c r="Y46" s="25"/>
      <c r="Z46" s="25"/>
      <c r="AA46" s="89" t="s">
        <v>72</v>
      </c>
      <c r="AB46" s="25">
        <f>IF(X41=0,"",INDEX('Base de Dados e filtragem'!$V:$V,MATCH(X41,'Base de Dados e filtragem'!$AB:$AB,0)))</f>
        <v>0</v>
      </c>
      <c r="AC46" s="25"/>
    </row>
    <row r="47" spans="3:29" x14ac:dyDescent="0.25">
      <c r="C47" s="25"/>
      <c r="D47" s="25"/>
      <c r="E47" s="25"/>
      <c r="F47" s="25"/>
      <c r="G47" s="25"/>
      <c r="H47" s="25"/>
      <c r="J47" s="25"/>
      <c r="K47" s="25"/>
      <c r="L47" s="25"/>
      <c r="M47" s="25"/>
      <c r="N47" s="25"/>
      <c r="O47" s="25"/>
      <c r="Q47" s="25"/>
      <c r="R47" s="25"/>
      <c r="S47" s="25"/>
      <c r="T47" s="25"/>
      <c r="U47" s="25"/>
      <c r="V47" s="25"/>
      <c r="X47" s="25"/>
      <c r="Y47" s="25"/>
      <c r="Z47" s="25"/>
      <c r="AA47" s="25"/>
      <c r="AB47" s="25"/>
      <c r="AC47" s="25"/>
    </row>
    <row r="48" spans="3:29" x14ac:dyDescent="0.25">
      <c r="C48" s="89" t="s">
        <v>94</v>
      </c>
      <c r="D48" s="25">
        <f>IF(C41=0,"",INDEX('Base de Dados e filtragem'!$D:$D,MATCH(C41,'Base de Dados e filtragem'!$AB:$AB,0)))</f>
        <v>0</v>
      </c>
      <c r="E48" s="25"/>
      <c r="F48" s="25"/>
      <c r="G48" s="25"/>
      <c r="H48" s="25"/>
      <c r="J48" s="89" t="s">
        <v>94</v>
      </c>
      <c r="K48" s="25">
        <f>IF(J41=0,"",INDEX('Base de Dados e filtragem'!$D:$D,MATCH(J41,'Base de Dados e filtragem'!$AB:$AB,0)))</f>
        <v>0</v>
      </c>
      <c r="L48" s="25"/>
      <c r="M48" s="25"/>
      <c r="N48" s="25"/>
      <c r="O48" s="25"/>
      <c r="Q48" s="89" t="s">
        <v>94</v>
      </c>
      <c r="R48" s="25">
        <f>IF(Q41=0,"",INDEX('Base de Dados e filtragem'!$D:$D,MATCH(Q41,'Base de Dados e filtragem'!$AB:$AB,0)))</f>
        <v>0</v>
      </c>
      <c r="S48" s="25"/>
      <c r="T48" s="25"/>
      <c r="U48" s="25"/>
      <c r="V48" s="25"/>
      <c r="X48" s="89" t="s">
        <v>94</v>
      </c>
      <c r="Y48" s="25">
        <f>IF(X41=0,"",INDEX('Base de Dados e filtragem'!$D:$D,MATCH(X41,'Base de Dados e filtragem'!$AB:$AB,0)))</f>
        <v>0</v>
      </c>
      <c r="Z48" s="25"/>
      <c r="AA48" s="25"/>
      <c r="AB48" s="25"/>
      <c r="AC48" s="25"/>
    </row>
    <row r="49" spans="3:29" x14ac:dyDescent="0.25">
      <c r="C49" s="89" t="s">
        <v>52</v>
      </c>
      <c r="D49" s="25" t="str">
        <f>IF(C41=0,"",INDEX('Base de Dados e filtragem'!$E:$E,MATCH(C41,'Base de Dados e filtragem'!$AB:$AB,0)))</f>
        <v>cor 1</v>
      </c>
      <c r="E49" s="25"/>
      <c r="F49" s="25"/>
      <c r="G49" s="25"/>
      <c r="H49" s="25"/>
      <c r="J49" s="89" t="s">
        <v>52</v>
      </c>
      <c r="K49" s="25" t="str">
        <f>IF(J41=0,"",INDEX('Base de Dados e filtragem'!$E:$E,MATCH(J41,'Base de Dados e filtragem'!$AB:$AB,0)))</f>
        <v>cor 1</v>
      </c>
      <c r="L49" s="25"/>
      <c r="M49" s="25"/>
      <c r="N49" s="25"/>
      <c r="O49" s="25"/>
      <c r="Q49" s="89" t="s">
        <v>52</v>
      </c>
      <c r="R49" s="25">
        <f>IF(Q41=0,"",INDEX('Base de Dados e filtragem'!$E:$E,MATCH(Q41,'Base de Dados e filtragem'!$AB:$AB,0)))</f>
        <v>0</v>
      </c>
      <c r="S49" s="25"/>
      <c r="T49" s="25"/>
      <c r="U49" s="25"/>
      <c r="V49" s="25"/>
      <c r="X49" s="89" t="s">
        <v>52</v>
      </c>
      <c r="Y49" s="25">
        <f>IF(X41=0,"",INDEX('Base de Dados e filtragem'!$E:$E,MATCH(X41,'Base de Dados e filtragem'!$AB:$AB,0)))</f>
        <v>0</v>
      </c>
      <c r="Z49" s="25"/>
      <c r="AA49" s="25"/>
      <c r="AB49" s="25"/>
      <c r="AC49" s="25"/>
    </row>
    <row r="50" spans="3:29" x14ac:dyDescent="0.25">
      <c r="C50" s="89" t="s">
        <v>49</v>
      </c>
      <c r="D50" s="25">
        <f>IF(C41=0,"",INDEX('Base de Dados e filtragem'!$B:$B,MATCH(C41,'Base de Dados e filtragem'!$AB:$AB,0)))</f>
        <v>5</v>
      </c>
      <c r="E50" s="25"/>
      <c r="F50" s="25"/>
      <c r="G50" s="25"/>
      <c r="H50" s="25"/>
      <c r="J50" s="89" t="s">
        <v>49</v>
      </c>
      <c r="K50" s="25">
        <f>IF(J41=0,"",INDEX('Base de Dados e filtragem'!$B:$B,MATCH(J41,'Base de Dados e filtragem'!$AB:$AB,0)))</f>
        <v>6</v>
      </c>
      <c r="L50" s="25"/>
      <c r="M50" s="25"/>
      <c r="N50" s="25"/>
      <c r="O50" s="25"/>
      <c r="Q50" s="89" t="s">
        <v>49</v>
      </c>
      <c r="R50" s="25">
        <f>IF(Q41=0,"",INDEX('Base de Dados e filtragem'!$B:$B,MATCH(Q41,'Base de Dados e filtragem'!$AB:$AB,0)))</f>
        <v>0</v>
      </c>
      <c r="S50" s="25"/>
      <c r="T50" s="25"/>
      <c r="U50" s="25"/>
      <c r="V50" s="25"/>
      <c r="X50" s="89" t="s">
        <v>49</v>
      </c>
      <c r="Y50" s="25">
        <f>IF(X41=0,"",INDEX('Base de Dados e filtragem'!$B:$B,MATCH(X41,'Base de Dados e filtragem'!$AB:$AB,0)))</f>
        <v>0</v>
      </c>
      <c r="Z50" s="25"/>
      <c r="AA50" s="25"/>
      <c r="AB50" s="25"/>
      <c r="AC50" s="25"/>
    </row>
    <row r="51" spans="3:29" x14ac:dyDescent="0.25">
      <c r="C51" s="89" t="s">
        <v>50</v>
      </c>
      <c r="D51" s="25">
        <f>IF(C41=0,"",INDEX('Base de Dados e filtragem'!$C:$C,MATCH(C41,'Base de Dados e filtragem'!$AB:$AB,0)))</f>
        <v>0</v>
      </c>
      <c r="E51" s="25"/>
      <c r="F51" s="25"/>
      <c r="G51" s="25"/>
      <c r="H51" s="25"/>
      <c r="J51" s="89" t="s">
        <v>50</v>
      </c>
      <c r="K51" s="25">
        <f>IF(J41=0,"",INDEX('Base de Dados e filtragem'!$C:$C,MATCH(J41,'Base de Dados e filtragem'!$AB:$AB,0)))</f>
        <v>0</v>
      </c>
      <c r="L51" s="25"/>
      <c r="M51" s="25"/>
      <c r="N51" s="25"/>
      <c r="O51" s="25"/>
      <c r="Q51" s="89" t="s">
        <v>50</v>
      </c>
      <c r="R51" s="25">
        <f>IF(Q41=0,"",INDEX('Base de Dados e filtragem'!$C:$C,MATCH(Q41,'Base de Dados e filtragem'!$AB:$AB,0)))</f>
        <v>0</v>
      </c>
      <c r="S51" s="25"/>
      <c r="T51" s="25"/>
      <c r="U51" s="25"/>
      <c r="V51" s="25"/>
      <c r="X51" s="89" t="s">
        <v>50</v>
      </c>
      <c r="Y51" s="25">
        <f>IF(X41=0,"",INDEX('Base de Dados e filtragem'!$C:$C,MATCH(X41,'Base de Dados e filtragem'!$AB:$AB,0)))</f>
        <v>0</v>
      </c>
      <c r="Z51" s="25"/>
      <c r="AA51" s="25"/>
      <c r="AB51" s="25"/>
      <c r="AC51" s="25"/>
    </row>
    <row r="52" spans="3:29" x14ac:dyDescent="0.25">
      <c r="C52" s="89" t="s">
        <v>51</v>
      </c>
      <c r="D52" s="25" t="str">
        <f>IF(C41=0,"",INDEX('Base de Dados e filtragem'!$A:$A,MATCH(C41,'Base de Dados e filtragem'!$AB:$AB,0)))</f>
        <v>20AGO2CL01_37</v>
      </c>
      <c r="E52" s="25"/>
      <c r="F52" s="25"/>
      <c r="G52" s="25"/>
      <c r="H52" s="25"/>
      <c r="J52" s="89" t="s">
        <v>51</v>
      </c>
      <c r="K52" s="25" t="str">
        <f>IF(J41=0,"",INDEX('Base de Dados e filtragem'!$A:$A,MATCH(J41,'Base de Dados e filtragem'!$AB:$AB,0)))</f>
        <v>c0003cf9</v>
      </c>
      <c r="L52" s="25"/>
      <c r="M52" s="25"/>
      <c r="N52" s="25"/>
      <c r="O52" s="25"/>
      <c r="Q52" s="89" t="s">
        <v>51</v>
      </c>
      <c r="R52" s="25">
        <f>IF(Q41=0,"",INDEX('Base de Dados e filtragem'!$A:$A,MATCH(Q41,'Base de Dados e filtragem'!$AB:$AB,0)))</f>
        <v>0</v>
      </c>
      <c r="S52" s="25"/>
      <c r="T52" s="25"/>
      <c r="U52" s="25"/>
      <c r="V52" s="25"/>
      <c r="X52" s="89" t="s">
        <v>51</v>
      </c>
      <c r="Y52" s="25">
        <f>IF(X41=0,"",INDEX('Base de Dados e filtragem'!$A:$A,MATCH(X41,'Base de Dados e filtragem'!$AB:$AB,0)))</f>
        <v>0</v>
      </c>
      <c r="Z52" s="25"/>
      <c r="AA52" s="25"/>
      <c r="AB52" s="25"/>
      <c r="AC52" s="25"/>
    </row>
    <row r="53" spans="3:29" x14ac:dyDescent="0.25">
      <c r="C53" s="89" t="s">
        <v>59</v>
      </c>
      <c r="D53" s="25" t="str">
        <f>IF(C41=0,"",INDEX('Base de Dados e filtragem'!$K:$K,MATCH(C41,'Base de Dados e filtragem'!$AB:$AB,0)))</f>
        <v>mp 1</v>
      </c>
      <c r="E53" s="25"/>
      <c r="F53" s="25"/>
      <c r="G53" s="25"/>
      <c r="H53" s="25"/>
      <c r="J53" s="89" t="s">
        <v>59</v>
      </c>
      <c r="K53" s="25">
        <f>IF(J41=0,"",INDEX('Base de Dados e filtragem'!$K:$K,MATCH(J41,'Base de Dados e filtragem'!$AB:$AB,0)))</f>
        <v>0</v>
      </c>
      <c r="L53" s="25"/>
      <c r="M53" s="25"/>
      <c r="N53" s="25"/>
      <c r="O53" s="25"/>
      <c r="Q53" s="89" t="s">
        <v>59</v>
      </c>
      <c r="R53" s="25">
        <f>IF(Q41=0,"",INDEX('Base de Dados e filtragem'!$K:$K,MATCH(Q41,'Base de Dados e filtragem'!$AB:$AB,0)))</f>
        <v>0</v>
      </c>
      <c r="S53" s="25"/>
      <c r="T53" s="25"/>
      <c r="U53" s="25"/>
      <c r="V53" s="25"/>
      <c r="X53" s="89" t="s">
        <v>59</v>
      </c>
      <c r="Y53" s="25">
        <f>IF(X41=0,"",INDEX('Base de Dados e filtragem'!$K:$K,MATCH(X41,'Base de Dados e filtragem'!$AB:$AB,0)))</f>
        <v>0</v>
      </c>
      <c r="Z53" s="25"/>
      <c r="AA53" s="25"/>
      <c r="AB53" s="25"/>
      <c r="AC53" s="25"/>
    </row>
    <row r="54" spans="3:29" x14ac:dyDescent="0.25">
      <c r="C54" s="89" t="s">
        <v>60</v>
      </c>
      <c r="D54" s="25" t="str">
        <f>IF(C41=0,"",INDEX('Base de Dados e filtragem'!$L:$L,MATCH(C41,'Base de Dados e filtragem'!$AB:$AB,0)))</f>
        <v>Fornecedor 1</v>
      </c>
      <c r="E54" s="25"/>
      <c r="F54" s="25"/>
      <c r="G54" s="25"/>
      <c r="H54" s="25"/>
      <c r="J54" s="89" t="s">
        <v>60</v>
      </c>
      <c r="K54" s="25">
        <f>IF(J41=0,"",INDEX('Base de Dados e filtragem'!$L:$L,MATCH(J41,'Base de Dados e filtragem'!$AB:$AB,0)))</f>
        <v>0</v>
      </c>
      <c r="L54" s="25"/>
      <c r="M54" s="25"/>
      <c r="N54" s="25"/>
      <c r="O54" s="25"/>
      <c r="Q54" s="89" t="s">
        <v>60</v>
      </c>
      <c r="R54" s="25">
        <f>IF(Q41=0,"",INDEX('Base de Dados e filtragem'!$L:$L,MATCH(Q41,'Base de Dados e filtragem'!$AB:$AB,0)))</f>
        <v>0</v>
      </c>
      <c r="S54" s="25"/>
      <c r="T54" s="25"/>
      <c r="U54" s="25"/>
      <c r="V54" s="25"/>
      <c r="X54" s="89" t="s">
        <v>60</v>
      </c>
      <c r="Y54" s="25">
        <f>IF(X41=0,"",INDEX('Base de Dados e filtragem'!$L:$L,MATCH(X41,'Base de Dados e filtragem'!$AB:$AB,0)))</f>
        <v>0</v>
      </c>
      <c r="Z54" s="25"/>
      <c r="AA54" s="25"/>
      <c r="AB54" s="25"/>
      <c r="AC54" s="25"/>
    </row>
    <row r="55" spans="3:29" x14ac:dyDescent="0.25">
      <c r="C55" s="89" t="s">
        <v>61</v>
      </c>
      <c r="D55" s="25">
        <f>IF(C41=0,"",INDEX('Base de Dados e filtragem'!$N:$N,MATCH(C41,'Base de Dados e filtragem'!$AB:$AB,0)))</f>
        <v>0</v>
      </c>
      <c r="E55" s="25"/>
      <c r="F55" s="91" t="s">
        <v>68</v>
      </c>
      <c r="G55" s="25">
        <f>IF(C41=0,"",INDEX('Base de Dados e filtragem'!$Z:$Z,MATCH(C41,'Base de Dados e filtragem'!$AB:$AB,0)))</f>
        <v>0</v>
      </c>
      <c r="H55" s="25"/>
      <c r="J55" s="89" t="s">
        <v>61</v>
      </c>
      <c r="K55" s="25">
        <f>IF(J41=0,"",INDEX('Base de Dados e filtragem'!$N:$N,MATCH(J41,'Base de Dados e filtragem'!$AB:$AB,0)))</f>
        <v>0</v>
      </c>
      <c r="L55" s="25"/>
      <c r="M55" s="91" t="s">
        <v>68</v>
      </c>
      <c r="N55" s="25">
        <f>IF(J41=0,"",INDEX('Base de Dados e filtragem'!$Z:$Z,MATCH(J41,'Base de Dados e filtragem'!$AB:$AB,0)))</f>
        <v>0</v>
      </c>
      <c r="O55" s="25"/>
      <c r="Q55" s="89" t="s">
        <v>61</v>
      </c>
      <c r="R55" s="25">
        <f>IF(Q41=0,"",INDEX('Base de Dados e filtragem'!$N:$N,MATCH(Q41,'Base de Dados e filtragem'!$AB:$AB,0)))</f>
        <v>0</v>
      </c>
      <c r="S55" s="25"/>
      <c r="T55" s="91" t="s">
        <v>68</v>
      </c>
      <c r="U55" s="25">
        <f>IF(Q41=0,"",INDEX('Base de Dados e filtragem'!$Z:$Z,MATCH(Q41,'Base de Dados e filtragem'!$AB:$AB,0)))</f>
        <v>0</v>
      </c>
      <c r="V55" s="25"/>
      <c r="X55" s="89" t="s">
        <v>61</v>
      </c>
      <c r="Y55" s="25">
        <f>IF(X41=0,"",INDEX('Base de Dados e filtragem'!$N:$N,MATCH(X41,'Base de Dados e filtragem'!$AB:$AB,0)))</f>
        <v>0</v>
      </c>
      <c r="Z55" s="25"/>
      <c r="AA55" s="91" t="s">
        <v>68</v>
      </c>
      <c r="AB55" s="25">
        <f>IF(X41=0,"",INDEX('Base de Dados e filtragem'!$Z:$Z,MATCH(X41,'Base de Dados e filtragem'!$AB:$AB,0)))</f>
        <v>0</v>
      </c>
      <c r="AC55" s="25"/>
    </row>
    <row r="56" spans="3:29" x14ac:dyDescent="0.25">
      <c r="C56" s="90" t="s">
        <v>66</v>
      </c>
      <c r="D56" s="88">
        <f>IF(C41=0,"",INDEX('Base de Dados e filtragem'!$W:$W,MATCH(C41,'Base de Dados e filtragem'!$AB:$AB,0)))</f>
        <v>0</v>
      </c>
      <c r="E56" s="90" t="s">
        <v>67</v>
      </c>
      <c r="F56" s="88">
        <f>IF(C41=0,"",INDEX('Base de Dados e filtragem'!$X:$X,MATCH(C41,'Base de Dados e filtragem'!$AB:$AB,0)))</f>
        <v>0</v>
      </c>
      <c r="G56" s="90" t="s">
        <v>70</v>
      </c>
      <c r="H56" s="88">
        <f>IF(C41=0,"",INDEX('Base de Dados e filtragem'!$Y:$Y,MATCH(C41,'Base de Dados e filtragem'!$AB:$AB,0)))</f>
        <v>0</v>
      </c>
      <c r="J56" s="90" t="s">
        <v>66</v>
      </c>
      <c r="K56" s="88">
        <f>IF(J41=0,"",INDEX('Base de Dados e filtragem'!$W:$W,MATCH(J41,'Base de Dados e filtragem'!$AB:$AB,0)))</f>
        <v>0</v>
      </c>
      <c r="L56" s="90" t="s">
        <v>67</v>
      </c>
      <c r="M56" s="88">
        <f>IF(J41=0,"",INDEX('Base de Dados e filtragem'!$X:$X,MATCH(J41,'Base de Dados e filtragem'!$AB:$AB,0)))</f>
        <v>0</v>
      </c>
      <c r="N56" s="90" t="s">
        <v>70</v>
      </c>
      <c r="O56" s="88">
        <f>IF(J41=0,"",INDEX('Base de Dados e filtragem'!$Y:$Y,MATCH(J41,'Base de Dados e filtragem'!$AB:$AB,0)))</f>
        <v>0</v>
      </c>
      <c r="Q56" s="90" t="s">
        <v>66</v>
      </c>
      <c r="R56" s="88">
        <f>IF(Q41=0,"",INDEX('Base de Dados e filtragem'!$W:$W,MATCH(Q41,'Base de Dados e filtragem'!$AB:$AB,0)))</f>
        <v>0</v>
      </c>
      <c r="S56" s="90" t="s">
        <v>67</v>
      </c>
      <c r="T56" s="88">
        <f>IF(Q41=0,"",INDEX('Base de Dados e filtragem'!$X:$X,MATCH(Q41,'Base de Dados e filtragem'!$AB:$AB,0)))</f>
        <v>0</v>
      </c>
      <c r="U56" s="90" t="s">
        <v>70</v>
      </c>
      <c r="V56" s="88">
        <f>IF(Q41=0,"",INDEX('Base de Dados e filtragem'!$Y:$Y,MATCH(Q41,'Base de Dados e filtragem'!$AB:$AB,0)))</f>
        <v>0</v>
      </c>
      <c r="X56" s="90" t="s">
        <v>66</v>
      </c>
      <c r="Y56" s="88">
        <f>IF(X41=0,"",INDEX('Base de Dados e filtragem'!$W:$W,MATCH(X41,'Base de Dados e filtragem'!$AB:$AB,0)))</f>
        <v>0</v>
      </c>
      <c r="Z56" s="90" t="s">
        <v>67</v>
      </c>
      <c r="AA56" s="88">
        <f>IF(X41=0,"",INDEX('Base de Dados e filtragem'!$X:$X,MATCH(X41,'Base de Dados e filtragem'!$AB:$AB,0)))</f>
        <v>0</v>
      </c>
      <c r="AB56" s="90" t="s">
        <v>70</v>
      </c>
      <c r="AC56" s="88">
        <f>IF(X41=0,"",INDEX('Base de Dados e filtragem'!$Y:$Y,MATCH(X41,'Base de Dados e filtragem'!$AB:$AB,0)))</f>
        <v>0</v>
      </c>
    </row>
    <row r="57" spans="3:29" x14ac:dyDescent="0.25">
      <c r="V57" s="1"/>
    </row>
    <row r="58" spans="3:29" x14ac:dyDescent="0.25">
      <c r="V58" s="1"/>
    </row>
    <row r="59" spans="3:29" x14ac:dyDescent="0.25">
      <c r="C59" s="25">
        <v>9</v>
      </c>
      <c r="D59" s="25" t="s">
        <v>83</v>
      </c>
      <c r="E59" s="25"/>
      <c r="F59" s="89" t="s">
        <v>57</v>
      </c>
      <c r="G59" s="25">
        <f>IF(C66=0,"",INDEX('Base de Dados e filtragem'!$I:$I,MATCH(C66,'Base de Dados e filtragem'!$AB:$AB,0)))</f>
        <v>0</v>
      </c>
      <c r="H59" s="25"/>
      <c r="J59" s="25">
        <v>10</v>
      </c>
      <c r="K59" s="25" t="s">
        <v>83</v>
      </c>
      <c r="L59" s="25"/>
      <c r="M59" s="89" t="s">
        <v>57</v>
      </c>
      <c r="N59" s="25">
        <f>IF(J66=0,"",INDEX('Base de Dados e filtragem'!$I:$I,MATCH(J66,'Base de Dados e filtragem'!$AB:$AB,0)))</f>
        <v>0</v>
      </c>
      <c r="O59" s="25"/>
      <c r="Q59" s="25">
        <v>11</v>
      </c>
      <c r="R59" s="25" t="s">
        <v>83</v>
      </c>
      <c r="S59" s="25"/>
      <c r="T59" s="89" t="s">
        <v>57</v>
      </c>
      <c r="U59" s="25">
        <f>IF(Q66=0,"",INDEX('Base de Dados e filtragem'!$I:$I,MATCH(Q66,'Base de Dados e filtragem'!$AB:$AB,0)))</f>
        <v>0</v>
      </c>
      <c r="V59" s="25"/>
      <c r="X59" s="25">
        <v>12</v>
      </c>
      <c r="Y59" s="25" t="s">
        <v>83</v>
      </c>
      <c r="Z59" s="25"/>
      <c r="AA59" s="89" t="s">
        <v>57</v>
      </c>
      <c r="AB59" s="25">
        <f>IF(X66=0,"",INDEX('Base de Dados e filtragem'!$I:$I,MATCH(X66,'Base de Dados e filtragem'!$AB:$AB,0)))</f>
        <v>0</v>
      </c>
      <c r="AC59" s="25"/>
    </row>
    <row r="60" spans="3:29" x14ac:dyDescent="0.25">
      <c r="C60" s="25">
        <f>VLOOKUP(C59,AuxiliarGrid!$BM$57:$BP$87,2,FALSE)</f>
        <v>709.8</v>
      </c>
      <c r="D60" s="25" t="s">
        <v>84</v>
      </c>
      <c r="E60" s="25"/>
      <c r="F60" s="89" t="s">
        <v>58</v>
      </c>
      <c r="G60" s="25">
        <f>IF(C66=0,"",INDEX('Base de Dados e filtragem'!$J:$J,MATCH(C66,'Base de Dados e filtragem'!$AB:$AB,0)))</f>
        <v>0</v>
      </c>
      <c r="H60" s="25"/>
      <c r="J60" s="25">
        <f>VLOOKUP(J59,AuxiliarGrid!$BM$57:$BP$87,2,FALSE)</f>
        <v>709.8</v>
      </c>
      <c r="K60" s="25" t="s">
        <v>84</v>
      </c>
      <c r="L60" s="25"/>
      <c r="M60" s="89" t="s">
        <v>58</v>
      </c>
      <c r="N60" s="25">
        <f>IF(J66=0,"",INDEX('Base de Dados e filtragem'!$J:$J,MATCH(J66,'Base de Dados e filtragem'!$AB:$AB,0)))</f>
        <v>0</v>
      </c>
      <c r="O60" s="25"/>
      <c r="Q60" s="25">
        <f>VLOOKUP(Q59,AuxiliarGrid!$BM$57:$BP$87,2,FALSE)</f>
        <v>709.8</v>
      </c>
      <c r="R60" s="25" t="s">
        <v>84</v>
      </c>
      <c r="S60" s="25"/>
      <c r="T60" s="89" t="s">
        <v>58</v>
      </c>
      <c r="U60" s="25">
        <f>IF(Q66=0,"",INDEX('Base de Dados e filtragem'!$J:$J,MATCH(Q66,'Base de Dados e filtragem'!$AB:$AB,0)))</f>
        <v>0</v>
      </c>
      <c r="V60" s="25"/>
      <c r="X60" s="25">
        <f>VLOOKUP(X59,AuxiliarGrid!$BM$57:$BP$87,2,FALSE)</f>
        <v>709.8</v>
      </c>
      <c r="Y60" s="25" t="s">
        <v>84</v>
      </c>
      <c r="Z60" s="25"/>
      <c r="AA60" s="89" t="s">
        <v>58</v>
      </c>
      <c r="AB60" s="25">
        <f>IF(X66=0,"",INDEX('Base de Dados e filtragem'!$J:$J,MATCH(X66,'Base de Dados e filtragem'!$AB:$AB,0)))</f>
        <v>0</v>
      </c>
      <c r="AC60" s="25"/>
    </row>
    <row r="61" spans="3:29" x14ac:dyDescent="0.25">
      <c r="C61" s="25">
        <f>VLOOKUP(C59,AuxiliarGrid!$BM$57:$BP$87,3,FALSE)</f>
        <v>29.4</v>
      </c>
      <c r="D61" s="25" t="s">
        <v>85</v>
      </c>
      <c r="E61" s="25"/>
      <c r="F61" s="89" t="s">
        <v>53</v>
      </c>
      <c r="G61" s="25">
        <f>IF(C66=0,"",INDEX('Base de Dados e filtragem'!$F:$F,MATCH(C66,'Base de Dados e filtragem'!$AB:$AB,0)))</f>
        <v>0</v>
      </c>
      <c r="H61" s="25"/>
      <c r="J61" s="25">
        <f>VLOOKUP(J59,AuxiliarGrid!$BM$57:$BP$87,3,FALSE)</f>
        <v>289.79999999999995</v>
      </c>
      <c r="K61" s="25" t="s">
        <v>85</v>
      </c>
      <c r="L61" s="25"/>
      <c r="M61" s="89" t="s">
        <v>53</v>
      </c>
      <c r="N61" s="25">
        <f>IF(J66=0,"",INDEX('Base de Dados e filtragem'!$F:$F,MATCH(J66,'Base de Dados e filtragem'!$AB:$AB,0)))</f>
        <v>0</v>
      </c>
      <c r="O61" s="25"/>
      <c r="Q61" s="25">
        <f>VLOOKUP(Q59,AuxiliarGrid!$BM$57:$BP$87,3,FALSE)</f>
        <v>550.19999999999993</v>
      </c>
      <c r="R61" s="25" t="s">
        <v>85</v>
      </c>
      <c r="S61" s="25"/>
      <c r="T61" s="89" t="s">
        <v>53</v>
      </c>
      <c r="U61" s="25">
        <f>IF(Q66=0,"",INDEX('Base de Dados e filtragem'!$F:$F,MATCH(Q66,'Base de Dados e filtragem'!$AB:$AB,0)))</f>
        <v>0</v>
      </c>
      <c r="V61" s="25"/>
      <c r="X61" s="25">
        <f>VLOOKUP(X59,AuxiliarGrid!$BM$57:$BP$87,3,FALSE)</f>
        <v>810.59999999999991</v>
      </c>
      <c r="Y61" s="25" t="s">
        <v>85</v>
      </c>
      <c r="Z61" s="25"/>
      <c r="AA61" s="89" t="s">
        <v>53</v>
      </c>
      <c r="AB61" s="25">
        <f>IF(X66=0,"",INDEX('Base de Dados e filtragem'!$F:$F,MATCH(X66,'Base de Dados e filtragem'!$AB:$AB,0)))</f>
        <v>0</v>
      </c>
      <c r="AC61" s="25"/>
    </row>
    <row r="62" spans="3:29" x14ac:dyDescent="0.25">
      <c r="C62" s="25"/>
      <c r="D62" s="25"/>
      <c r="E62" s="25"/>
      <c r="F62" s="89" t="s">
        <v>55</v>
      </c>
      <c r="G62" s="25">
        <f>IF(C66=0,"",INDEX('Base de Dados e filtragem'!$G:$G,MATCH(C66,'Base de Dados e filtragem'!$AB:$AB,0)))</f>
        <v>0</v>
      </c>
      <c r="H62" s="25"/>
      <c r="J62" s="25"/>
      <c r="K62" s="25"/>
      <c r="L62" s="25"/>
      <c r="M62" s="89" t="s">
        <v>55</v>
      </c>
      <c r="N62" s="25">
        <f>IF(J66=0,"",INDEX('Base de Dados e filtragem'!$G:$G,MATCH(J66,'Base de Dados e filtragem'!$AB:$AB,0)))</f>
        <v>0</v>
      </c>
      <c r="O62" s="25"/>
      <c r="Q62" s="25"/>
      <c r="R62" s="25"/>
      <c r="S62" s="25"/>
      <c r="T62" s="89" t="s">
        <v>55</v>
      </c>
      <c r="U62" s="25">
        <f>IF(Q66=0,"",INDEX('Base de Dados e filtragem'!$G:$G,MATCH(Q66,'Base de Dados e filtragem'!$AB:$AB,0)))</f>
        <v>0</v>
      </c>
      <c r="V62" s="25"/>
      <c r="X62" s="25"/>
      <c r="Y62" s="25"/>
      <c r="Z62" s="25"/>
      <c r="AA62" s="89" t="s">
        <v>55</v>
      </c>
      <c r="AB62" s="25">
        <f>IF(X66=0,"",INDEX('Base de Dados e filtragem'!$G:$G,MATCH(X66,'Base de Dados e filtragem'!$AB:$AB,0)))</f>
        <v>0</v>
      </c>
      <c r="AC62" s="25"/>
    </row>
    <row r="63" spans="3:29" x14ac:dyDescent="0.25">
      <c r="C63" s="25"/>
      <c r="D63" s="25"/>
      <c r="E63" s="25"/>
      <c r="F63" s="89" t="s">
        <v>56</v>
      </c>
      <c r="G63" s="25">
        <f>IF(C66=0,"",INDEX('Base de Dados e filtragem'!$H:$H,MATCH(C66,'Base de Dados e filtragem'!$AB:$AB,0)))</f>
        <v>0</v>
      </c>
      <c r="H63" s="25"/>
      <c r="J63" s="25"/>
      <c r="K63" s="25"/>
      <c r="L63" s="25"/>
      <c r="M63" s="89" t="s">
        <v>56</v>
      </c>
      <c r="N63" s="25">
        <f>IF(J66=0,"",INDEX('Base de Dados e filtragem'!$H:$H,MATCH(J66,'Base de Dados e filtragem'!$AB:$AB,0)))</f>
        <v>0</v>
      </c>
      <c r="O63" s="25"/>
      <c r="Q63" s="25"/>
      <c r="R63" s="25"/>
      <c r="S63" s="25"/>
      <c r="T63" s="89" t="s">
        <v>56</v>
      </c>
      <c r="U63" s="25">
        <f>IF(Q66=0,"",INDEX('Base de Dados e filtragem'!$H:$H,MATCH(Q66,'Base de Dados e filtragem'!$AB:$AB,0)))</f>
        <v>0</v>
      </c>
      <c r="V63" s="25"/>
      <c r="X63" s="25"/>
      <c r="Y63" s="25"/>
      <c r="Z63" s="25"/>
      <c r="AA63" s="89" t="s">
        <v>56</v>
      </c>
      <c r="AB63" s="25">
        <f>IF(X66=0,"",INDEX('Base de Dados e filtragem'!$H:$H,MATCH(X66,'Base de Dados e filtragem'!$AB:$AB,0)))</f>
        <v>0</v>
      </c>
      <c r="AC63" s="25"/>
    </row>
    <row r="64" spans="3:29" x14ac:dyDescent="0.25">
      <c r="C64" s="25"/>
      <c r="D64" s="25"/>
      <c r="E64" s="25"/>
      <c r="F64" s="89" t="s">
        <v>93</v>
      </c>
      <c r="G64" s="25">
        <f>IF(C66=0,"",INDEX('Base de Dados e filtragem'!$O:$O,MATCH(C66,'Base de Dados e filtragem'!$AB:$AB,0)))</f>
        <v>0</v>
      </c>
      <c r="H64" s="25"/>
      <c r="J64" s="25"/>
      <c r="K64" s="25"/>
      <c r="L64" s="25"/>
      <c r="M64" s="89" t="s">
        <v>93</v>
      </c>
      <c r="N64" s="25">
        <f>IF(J66=0,"",INDEX('Base de Dados e filtragem'!$O:$O,MATCH(J66,'Base de Dados e filtragem'!$AB:$AB,0)))</f>
        <v>0</v>
      </c>
      <c r="O64" s="25"/>
      <c r="Q64" s="25"/>
      <c r="R64" s="25"/>
      <c r="S64" s="25"/>
      <c r="T64" s="89" t="s">
        <v>93</v>
      </c>
      <c r="U64" s="25">
        <f>IF(Q66=0,"",INDEX('Base de Dados e filtragem'!$O:$O,MATCH(Q66,'Base de Dados e filtragem'!$AB:$AB,0)))</f>
        <v>0</v>
      </c>
      <c r="V64" s="25"/>
      <c r="X64" s="25"/>
      <c r="Y64" s="25"/>
      <c r="Z64" s="25"/>
      <c r="AA64" s="89" t="s">
        <v>93</v>
      </c>
      <c r="AB64" s="25">
        <f>IF(X66=0,"",INDEX('Base de Dados e filtragem'!$O:$O,MATCH(X66,'Base de Dados e filtragem'!$AB:$AB,0)))</f>
        <v>0</v>
      </c>
      <c r="AC64" s="25"/>
    </row>
    <row r="65" spans="3:29" x14ac:dyDescent="0.25">
      <c r="C65" s="25">
        <f>20*($AC$4-1)+C59</f>
        <v>9</v>
      </c>
      <c r="D65" s="25" t="s">
        <v>91</v>
      </c>
      <c r="E65" s="25"/>
      <c r="F65" s="89" t="s">
        <v>62</v>
      </c>
      <c r="G65" s="25">
        <f>IF(C66=0,"",INDEX('Base de Dados e filtragem'!$P:$P,MATCH(C66,'Base de Dados e filtragem'!$AB:$AB,0)))</f>
        <v>0</v>
      </c>
      <c r="H65" s="25"/>
      <c r="J65" s="25">
        <f>20*($AC$4-1)+J59</f>
        <v>10</v>
      </c>
      <c r="K65" s="25" t="s">
        <v>91</v>
      </c>
      <c r="L65" s="25"/>
      <c r="M65" s="89" t="s">
        <v>62</v>
      </c>
      <c r="N65" s="25">
        <f>IF(J66=0,"",INDEX('Base de Dados e filtragem'!$P:$P,MATCH(J66,'Base de Dados e filtragem'!$AB:$AB,0)))</f>
        <v>0</v>
      </c>
      <c r="O65" s="25"/>
      <c r="Q65" s="25">
        <f>20*($AC$4-1)+Q59</f>
        <v>11</v>
      </c>
      <c r="R65" s="25" t="s">
        <v>91</v>
      </c>
      <c r="S65" s="25"/>
      <c r="T65" s="89" t="s">
        <v>62</v>
      </c>
      <c r="U65" s="25">
        <f>IF(Q66=0,"",INDEX('Base de Dados e filtragem'!$P:$P,MATCH(Q66,'Base de Dados e filtragem'!$AB:$AB,0)))</f>
        <v>0</v>
      </c>
      <c r="V65" s="25"/>
      <c r="X65" s="25">
        <f>20*($AC$4-1)+X59</f>
        <v>12</v>
      </c>
      <c r="Y65" s="25" t="s">
        <v>91</v>
      </c>
      <c r="Z65" s="25"/>
      <c r="AA65" s="89" t="s">
        <v>62</v>
      </c>
      <c r="AB65" s="25">
        <f>IF(X66=0,"",INDEX('Base de Dados e filtragem'!$P:$P,MATCH(X66,'Base de Dados e filtragem'!$AB:$AB,0)))</f>
        <v>0</v>
      </c>
      <c r="AC65" s="25"/>
    </row>
    <row r="66" spans="3:29" x14ac:dyDescent="0.25">
      <c r="C66" s="25">
        <f>LARGE('Base de Dados e filtragem'!$AB:$AB,C65)</f>
        <v>8.3333333333333329E-2</v>
      </c>
      <c r="D66" s="25" t="s">
        <v>86</v>
      </c>
      <c r="E66" s="25"/>
      <c r="F66" s="89" t="s">
        <v>63</v>
      </c>
      <c r="G66" s="25">
        <f>IF(C66=0,"",INDEX('Base de Dados e filtragem'!$Q:$Q,MATCH(C66,'Base de Dados e filtragem'!$AB:$AB,0)))</f>
        <v>0</v>
      </c>
      <c r="H66" s="25"/>
      <c r="J66" s="25">
        <f>LARGE('Base de Dados e filtragem'!$AB:$AB,J65)</f>
        <v>7.6923076923076927E-2</v>
      </c>
      <c r="K66" s="25" t="s">
        <v>86</v>
      </c>
      <c r="L66" s="25"/>
      <c r="M66" s="89" t="s">
        <v>63</v>
      </c>
      <c r="N66" s="25">
        <f>IF(J66=0,"",INDEX('Base de Dados e filtragem'!$Q:$Q,MATCH(J66,'Base de Dados e filtragem'!$AB:$AB,0)))</f>
        <v>0</v>
      </c>
      <c r="O66" s="25"/>
      <c r="Q66" s="25">
        <f>LARGE('Base de Dados e filtragem'!$AB:$AB,Q65)</f>
        <v>7.1428571428571425E-2</v>
      </c>
      <c r="R66" s="25" t="s">
        <v>86</v>
      </c>
      <c r="S66" s="25"/>
      <c r="T66" s="89" t="s">
        <v>63</v>
      </c>
      <c r="U66" s="25">
        <f>IF(Q66=0,"",INDEX('Base de Dados e filtragem'!$Q:$Q,MATCH(Q66,'Base de Dados e filtragem'!$AB:$AB,0)))</f>
        <v>0</v>
      </c>
      <c r="V66" s="25"/>
      <c r="X66" s="25">
        <f>LARGE('Base de Dados e filtragem'!$AB:$AB,X65)</f>
        <v>6.6666666666666666E-2</v>
      </c>
      <c r="Y66" s="25" t="s">
        <v>86</v>
      </c>
      <c r="Z66" s="25"/>
      <c r="AA66" s="89" t="s">
        <v>63</v>
      </c>
      <c r="AB66" s="25">
        <f>IF(X66=0,"",INDEX('Base de Dados e filtragem'!$Q:$Q,MATCH(X66,'Base de Dados e filtragem'!$AB:$AB,0)))</f>
        <v>0</v>
      </c>
      <c r="AC66" s="25"/>
    </row>
    <row r="67" spans="3:29" x14ac:dyDescent="0.25">
      <c r="C67" s="25" t="s">
        <v>92</v>
      </c>
      <c r="D67" s="25"/>
      <c r="E67" s="25"/>
      <c r="F67" s="89" t="s">
        <v>64</v>
      </c>
      <c r="G67" s="25">
        <f>IF(C66=0,"",INDEX('Base de Dados e filtragem'!$R:$R,MATCH(C66,'Base de Dados e filtragem'!$AB:$AB,0)))</f>
        <v>0</v>
      </c>
      <c r="H67" s="25"/>
      <c r="J67" s="25" t="s">
        <v>92</v>
      </c>
      <c r="K67" s="25"/>
      <c r="L67" s="25"/>
      <c r="M67" s="89" t="s">
        <v>64</v>
      </c>
      <c r="N67" s="25">
        <f>IF(J66=0,"",INDEX('Base de Dados e filtragem'!$R:$R,MATCH(J66,'Base de Dados e filtragem'!$AB:$AB,0)))</f>
        <v>0</v>
      </c>
      <c r="O67" s="25"/>
      <c r="Q67" s="25" t="s">
        <v>92</v>
      </c>
      <c r="R67" s="25"/>
      <c r="S67" s="25"/>
      <c r="T67" s="89" t="s">
        <v>64</v>
      </c>
      <c r="U67" s="25">
        <f>IF(Q66=0,"",INDEX('Base de Dados e filtragem'!$R:$R,MATCH(Q66,'Base de Dados e filtragem'!$AB:$AB,0)))</f>
        <v>0</v>
      </c>
      <c r="V67" s="25"/>
      <c r="X67" s="25" t="s">
        <v>92</v>
      </c>
      <c r="Y67" s="25"/>
      <c r="Z67" s="25"/>
      <c r="AA67" s="89" t="s">
        <v>64</v>
      </c>
      <c r="AB67" s="25">
        <f>IF(X66=0,"",INDEX('Base de Dados e filtragem'!$R:$R,MATCH(X66,'Base de Dados e filtragem'!$AB:$AB,0)))</f>
        <v>0</v>
      </c>
      <c r="AC67" s="25"/>
    </row>
    <row r="68" spans="3:29" x14ac:dyDescent="0.25">
      <c r="C68" s="26" t="str">
        <f>INDEX('Base de Dados e filtragem'!$AA:$AA,MATCH(C66,'Base de Dados e filtragem'!$AB:$AB,0))</f>
        <v>Fotos\\.jpg</v>
      </c>
      <c r="D68" s="26"/>
      <c r="E68" s="26"/>
      <c r="F68" s="89" t="s">
        <v>65</v>
      </c>
      <c r="G68" s="26">
        <f>IF(C66=0,"",INDEX('Base de Dados e filtragem'!$S:$S,MATCH(C66,'Base de Dados e filtragem'!$AB:$AB,0)))</f>
        <v>0</v>
      </c>
      <c r="H68" s="26"/>
      <c r="J68" s="26" t="str">
        <f>INDEX('Base de Dados e filtragem'!$AA:$AA,MATCH(J66,'Base de Dados e filtragem'!$AB:$AB,0))</f>
        <v>Fotos\\.jpg</v>
      </c>
      <c r="K68" s="26"/>
      <c r="L68" s="26"/>
      <c r="M68" s="89" t="s">
        <v>65</v>
      </c>
      <c r="N68" s="26">
        <f>IF(J66=0,"",INDEX('Base de Dados e filtragem'!$S:$S,MATCH(J66,'Base de Dados e filtragem'!$AB:$AB,0)))</f>
        <v>0</v>
      </c>
      <c r="O68" s="26"/>
      <c r="Q68" s="26" t="str">
        <f>INDEX('Base de Dados e filtragem'!$AA:$AA,MATCH(Q66,'Base de Dados e filtragem'!$AB:$AB,0))</f>
        <v>Fotos\\.jpg</v>
      </c>
      <c r="R68" s="26"/>
      <c r="S68" s="26"/>
      <c r="T68" s="89" t="s">
        <v>65</v>
      </c>
      <c r="U68" s="26">
        <f>IF(Q66=0,"",INDEX('Base de Dados e filtragem'!$S:$S,MATCH(Q66,'Base de Dados e filtragem'!$AB:$AB,0)))</f>
        <v>0</v>
      </c>
      <c r="V68" s="26"/>
      <c r="X68" s="26" t="str">
        <f>INDEX('Base de Dados e filtragem'!$AA:$AA,MATCH(X66,'Base de Dados e filtragem'!$AB:$AB,0))</f>
        <v>Fotos\\.jpg</v>
      </c>
      <c r="Y68" s="26"/>
      <c r="Z68" s="26"/>
      <c r="AA68" s="89" t="s">
        <v>65</v>
      </c>
      <c r="AB68" s="26">
        <f>IF(X66=0,"",INDEX('Base de Dados e filtragem'!$S:$S,MATCH(X66,'Base de Dados e filtragem'!$AB:$AB,0)))</f>
        <v>0</v>
      </c>
      <c r="AC68" s="26"/>
    </row>
    <row r="69" spans="3:29" x14ac:dyDescent="0.25">
      <c r="C69" s="25"/>
      <c r="D69" s="25"/>
      <c r="E69" s="25"/>
      <c r="F69" s="89" t="s">
        <v>69</v>
      </c>
      <c r="G69" s="25">
        <f>IF(C66=0,"",INDEX('Base de Dados e filtragem'!$T:$T,MATCH(C66,'Base de Dados e filtragem'!$AB:$AB,0)))</f>
        <v>0</v>
      </c>
      <c r="H69" s="25"/>
      <c r="J69" s="25"/>
      <c r="K69" s="25"/>
      <c r="L69" s="25"/>
      <c r="M69" s="89" t="s">
        <v>69</v>
      </c>
      <c r="N69" s="25">
        <f>IF(J66=0,"",INDEX('Base de Dados e filtragem'!$T:$T,MATCH(J66,'Base de Dados e filtragem'!$AB:$AB,0)))</f>
        <v>0</v>
      </c>
      <c r="O69" s="25"/>
      <c r="Q69" s="25"/>
      <c r="R69" s="25"/>
      <c r="S69" s="25"/>
      <c r="T69" s="89" t="s">
        <v>69</v>
      </c>
      <c r="U69" s="25">
        <f>IF(Q66=0,"",INDEX('Base de Dados e filtragem'!$T:$T,MATCH(Q66,'Base de Dados e filtragem'!$AB:$AB,0)))</f>
        <v>0</v>
      </c>
      <c r="V69" s="25"/>
      <c r="X69" s="25"/>
      <c r="Y69" s="25"/>
      <c r="Z69" s="25"/>
      <c r="AA69" s="89" t="s">
        <v>69</v>
      </c>
      <c r="AB69" s="25">
        <f>IF(X66=0,"",INDEX('Base de Dados e filtragem'!$T:$T,MATCH(X66,'Base de Dados e filtragem'!$AB:$AB,0)))</f>
        <v>0</v>
      </c>
      <c r="AC69" s="25"/>
    </row>
    <row r="70" spans="3:29" x14ac:dyDescent="0.25">
      <c r="C70" s="25"/>
      <c r="D70" s="25"/>
      <c r="E70" s="25"/>
      <c r="F70" s="89" t="s">
        <v>71</v>
      </c>
      <c r="G70" s="25">
        <f>IF(C66=0,"",INDEX('Base de Dados e filtragem'!$U:$U,MATCH(C66,'Base de Dados e filtragem'!$AB:$AB,0)))</f>
        <v>0</v>
      </c>
      <c r="H70" s="25"/>
      <c r="J70" s="25"/>
      <c r="K70" s="25"/>
      <c r="L70" s="25"/>
      <c r="M70" s="89" t="s">
        <v>71</v>
      </c>
      <c r="N70" s="25">
        <f>IF(J66=0,"",INDEX('Base de Dados e filtragem'!$U:$U,MATCH(J66,'Base de Dados e filtragem'!$AB:$AB,0)))</f>
        <v>0</v>
      </c>
      <c r="O70" s="25"/>
      <c r="Q70" s="25"/>
      <c r="R70" s="25"/>
      <c r="S70" s="25"/>
      <c r="T70" s="89" t="s">
        <v>71</v>
      </c>
      <c r="U70" s="25">
        <f>IF(Q66=0,"",INDEX('Base de Dados e filtragem'!$U:$U,MATCH(Q66,'Base de Dados e filtragem'!$AB:$AB,0)))</f>
        <v>0</v>
      </c>
      <c r="V70" s="25"/>
      <c r="X70" s="25"/>
      <c r="Y70" s="25"/>
      <c r="Z70" s="25"/>
      <c r="AA70" s="89" t="s">
        <v>71</v>
      </c>
      <c r="AB70" s="25">
        <f>IF(X66=0,"",INDEX('Base de Dados e filtragem'!$U:$U,MATCH(X66,'Base de Dados e filtragem'!$AB:$AB,0)))</f>
        <v>0</v>
      </c>
      <c r="AC70" s="25"/>
    </row>
    <row r="71" spans="3:29" x14ac:dyDescent="0.25">
      <c r="C71" s="25"/>
      <c r="D71" s="25"/>
      <c r="E71" s="25"/>
      <c r="F71" s="89" t="s">
        <v>72</v>
      </c>
      <c r="G71" s="25">
        <f>IF(C66=0,"",INDEX('Base de Dados e filtragem'!$V:$V,MATCH(C66,'Base de Dados e filtragem'!$AB:$AB,0)))</f>
        <v>0</v>
      </c>
      <c r="H71" s="25"/>
      <c r="J71" s="25"/>
      <c r="K71" s="25"/>
      <c r="L71" s="25"/>
      <c r="M71" s="89" t="s">
        <v>72</v>
      </c>
      <c r="N71" s="25">
        <f>IF(J66=0,"",INDEX('Base de Dados e filtragem'!$V:$V,MATCH(J66,'Base de Dados e filtragem'!$AB:$AB,0)))</f>
        <v>0</v>
      </c>
      <c r="O71" s="25"/>
      <c r="Q71" s="25"/>
      <c r="R71" s="25"/>
      <c r="S71" s="25"/>
      <c r="T71" s="89" t="s">
        <v>72</v>
      </c>
      <c r="U71" s="25">
        <f>IF(Q66=0,"",INDEX('Base de Dados e filtragem'!$V:$V,MATCH(Q66,'Base de Dados e filtragem'!$AB:$AB,0)))</f>
        <v>0</v>
      </c>
      <c r="V71" s="25"/>
      <c r="X71" s="25"/>
      <c r="Y71" s="25"/>
      <c r="Z71" s="25"/>
      <c r="AA71" s="89" t="s">
        <v>72</v>
      </c>
      <c r="AB71" s="25">
        <f>IF(X66=0,"",INDEX('Base de Dados e filtragem'!$V:$V,MATCH(X66,'Base de Dados e filtragem'!$AB:$AB,0)))</f>
        <v>0</v>
      </c>
      <c r="AC71" s="25"/>
    </row>
    <row r="72" spans="3:29" x14ac:dyDescent="0.25">
      <c r="C72" s="25"/>
      <c r="D72" s="25"/>
      <c r="E72" s="25"/>
      <c r="F72" s="25"/>
      <c r="G72" s="25"/>
      <c r="H72" s="25"/>
      <c r="J72" s="25"/>
      <c r="K72" s="25"/>
      <c r="L72" s="25"/>
      <c r="M72" s="25"/>
      <c r="N72" s="25"/>
      <c r="O72" s="25"/>
      <c r="Q72" s="25"/>
      <c r="R72" s="25"/>
      <c r="S72" s="25"/>
      <c r="T72" s="25"/>
      <c r="U72" s="25"/>
      <c r="V72" s="25"/>
      <c r="X72" s="25"/>
      <c r="Y72" s="25"/>
      <c r="Z72" s="25"/>
      <c r="AA72" s="25"/>
      <c r="AB72" s="25"/>
      <c r="AC72" s="25"/>
    </row>
    <row r="73" spans="3:29" x14ac:dyDescent="0.25">
      <c r="C73" s="89" t="s">
        <v>94</v>
      </c>
      <c r="D73" s="25">
        <f>IF(C66=0,"",INDEX('Base de Dados e filtragem'!$D:$D,MATCH(C66,'Base de Dados e filtragem'!$AB:$AB,0)))</f>
        <v>0</v>
      </c>
      <c r="E73" s="25"/>
      <c r="F73" s="25"/>
      <c r="G73" s="25"/>
      <c r="H73" s="25"/>
      <c r="J73" s="89" t="s">
        <v>94</v>
      </c>
      <c r="K73" s="25">
        <f>IF(J66=0,"",INDEX('Base de Dados e filtragem'!$D:$D,MATCH(J66,'Base de Dados e filtragem'!$AB:$AB,0)))</f>
        <v>0</v>
      </c>
      <c r="L73" s="25"/>
      <c r="M73" s="25"/>
      <c r="N73" s="25"/>
      <c r="O73" s="25"/>
      <c r="Q73" s="89" t="s">
        <v>94</v>
      </c>
      <c r="R73" s="25">
        <f>IF(Q66=0,"",INDEX('Base de Dados e filtragem'!$D:$D,MATCH(Q66,'Base de Dados e filtragem'!$AB:$AB,0)))</f>
        <v>0</v>
      </c>
      <c r="S73" s="25"/>
      <c r="T73" s="25"/>
      <c r="U73" s="25"/>
      <c r="V73" s="25"/>
      <c r="X73" s="89" t="s">
        <v>94</v>
      </c>
      <c r="Y73" s="25">
        <f>IF(X66=0,"",INDEX('Base de Dados e filtragem'!$D:$D,MATCH(X66,'Base de Dados e filtragem'!$AB:$AB,0)))</f>
        <v>0</v>
      </c>
      <c r="Z73" s="25"/>
      <c r="AA73" s="25"/>
      <c r="AB73" s="25"/>
      <c r="AC73" s="25"/>
    </row>
    <row r="74" spans="3:29" x14ac:dyDescent="0.25">
      <c r="C74" s="89" t="s">
        <v>52</v>
      </c>
      <c r="D74" s="25">
        <f>IF(C66=0,"",INDEX('Base de Dados e filtragem'!$E:$E,MATCH(C66,'Base de Dados e filtragem'!$AB:$AB,0)))</f>
        <v>0</v>
      </c>
      <c r="E74" s="25"/>
      <c r="F74" s="25"/>
      <c r="G74" s="25"/>
      <c r="H74" s="25"/>
      <c r="J74" s="89" t="s">
        <v>52</v>
      </c>
      <c r="K74" s="25">
        <f>IF(J66=0,"",INDEX('Base de Dados e filtragem'!$E:$E,MATCH(J66,'Base de Dados e filtragem'!$AB:$AB,0)))</f>
        <v>0</v>
      </c>
      <c r="L74" s="25"/>
      <c r="M74" s="25"/>
      <c r="N74" s="25"/>
      <c r="O74" s="25"/>
      <c r="Q74" s="89" t="s">
        <v>52</v>
      </c>
      <c r="R74" s="25">
        <f>IF(Q66=0,"",INDEX('Base de Dados e filtragem'!$E:$E,MATCH(Q66,'Base de Dados e filtragem'!$AB:$AB,0)))</f>
        <v>0</v>
      </c>
      <c r="S74" s="25"/>
      <c r="T74" s="25"/>
      <c r="U74" s="25"/>
      <c r="V74" s="25"/>
      <c r="X74" s="89" t="s">
        <v>52</v>
      </c>
      <c r="Y74" s="25">
        <f>IF(X66=0,"",INDEX('Base de Dados e filtragem'!$E:$E,MATCH(X66,'Base de Dados e filtragem'!$AB:$AB,0)))</f>
        <v>0</v>
      </c>
      <c r="Z74" s="25"/>
      <c r="AA74" s="25"/>
      <c r="AB74" s="25"/>
      <c r="AC74" s="25"/>
    </row>
    <row r="75" spans="3:29" x14ac:dyDescent="0.25">
      <c r="C75" s="89" t="s">
        <v>49</v>
      </c>
      <c r="D75" s="25">
        <f>IF(C66=0,"",INDEX('Base de Dados e filtragem'!$B:$B,MATCH(C66,'Base de Dados e filtragem'!$AB:$AB,0)))</f>
        <v>0</v>
      </c>
      <c r="E75" s="25"/>
      <c r="F75" s="25"/>
      <c r="G75" s="25"/>
      <c r="H75" s="25"/>
      <c r="J75" s="89" t="s">
        <v>49</v>
      </c>
      <c r="K75" s="25">
        <f>IF(J66=0,"",INDEX('Base de Dados e filtragem'!$B:$B,MATCH(J66,'Base de Dados e filtragem'!$AB:$AB,0)))</f>
        <v>0</v>
      </c>
      <c r="L75" s="25"/>
      <c r="M75" s="25"/>
      <c r="N75" s="25"/>
      <c r="O75" s="25"/>
      <c r="Q75" s="89" t="s">
        <v>49</v>
      </c>
      <c r="R75" s="25">
        <f>IF(Q66=0,"",INDEX('Base de Dados e filtragem'!$B:$B,MATCH(Q66,'Base de Dados e filtragem'!$AB:$AB,0)))</f>
        <v>0</v>
      </c>
      <c r="S75" s="25"/>
      <c r="T75" s="25"/>
      <c r="U75" s="25"/>
      <c r="V75" s="25"/>
      <c r="X75" s="89" t="s">
        <v>49</v>
      </c>
      <c r="Y75" s="25">
        <f>IF(X66=0,"",INDEX('Base de Dados e filtragem'!$B:$B,MATCH(X66,'Base de Dados e filtragem'!$AB:$AB,0)))</f>
        <v>0</v>
      </c>
      <c r="Z75" s="25"/>
      <c r="AA75" s="25"/>
      <c r="AB75" s="25"/>
      <c r="AC75" s="25"/>
    </row>
    <row r="76" spans="3:29" x14ac:dyDescent="0.25">
      <c r="C76" s="89" t="s">
        <v>50</v>
      </c>
      <c r="D76" s="25">
        <f>IF(C66=0,"",INDEX('Base de Dados e filtragem'!$C:$C,MATCH(C66,'Base de Dados e filtragem'!$AB:$AB,0)))</f>
        <v>0</v>
      </c>
      <c r="E76" s="25"/>
      <c r="F76" s="25"/>
      <c r="G76" s="25"/>
      <c r="H76" s="25"/>
      <c r="J76" s="89" t="s">
        <v>50</v>
      </c>
      <c r="K76" s="25">
        <f>IF(J66=0,"",INDEX('Base de Dados e filtragem'!$C:$C,MATCH(J66,'Base de Dados e filtragem'!$AB:$AB,0)))</f>
        <v>0</v>
      </c>
      <c r="L76" s="25"/>
      <c r="M76" s="25"/>
      <c r="N76" s="25"/>
      <c r="O76" s="25"/>
      <c r="Q76" s="89" t="s">
        <v>50</v>
      </c>
      <c r="R76" s="25">
        <f>IF(Q66=0,"",INDEX('Base de Dados e filtragem'!$C:$C,MATCH(Q66,'Base de Dados e filtragem'!$AB:$AB,0)))</f>
        <v>0</v>
      </c>
      <c r="S76" s="25"/>
      <c r="T76" s="25"/>
      <c r="U76" s="25"/>
      <c r="V76" s="25"/>
      <c r="X76" s="89" t="s">
        <v>50</v>
      </c>
      <c r="Y76" s="25">
        <f>IF(X66=0,"",INDEX('Base de Dados e filtragem'!$C:$C,MATCH(X66,'Base de Dados e filtragem'!$AB:$AB,0)))</f>
        <v>0</v>
      </c>
      <c r="Z76" s="25"/>
      <c r="AA76" s="25"/>
      <c r="AB76" s="25"/>
      <c r="AC76" s="25"/>
    </row>
    <row r="77" spans="3:29" x14ac:dyDescent="0.25">
      <c r="C77" s="89" t="s">
        <v>51</v>
      </c>
      <c r="D77" s="25">
        <f>IF(C66=0,"",INDEX('Base de Dados e filtragem'!$A:$A,MATCH(C66,'Base de Dados e filtragem'!$AB:$AB,0)))</f>
        <v>0</v>
      </c>
      <c r="E77" s="25"/>
      <c r="F77" s="25"/>
      <c r="G77" s="25"/>
      <c r="H77" s="25"/>
      <c r="J77" s="89" t="s">
        <v>51</v>
      </c>
      <c r="K77" s="25">
        <f>IF(J66=0,"",INDEX('Base de Dados e filtragem'!$A:$A,MATCH(J66,'Base de Dados e filtragem'!$AB:$AB,0)))</f>
        <v>0</v>
      </c>
      <c r="L77" s="25"/>
      <c r="M77" s="25"/>
      <c r="N77" s="25"/>
      <c r="O77" s="25"/>
      <c r="Q77" s="89" t="s">
        <v>51</v>
      </c>
      <c r="R77" s="25">
        <f>IF(Q66=0,"",INDEX('Base de Dados e filtragem'!$A:$A,MATCH(Q66,'Base de Dados e filtragem'!$AB:$AB,0)))</f>
        <v>0</v>
      </c>
      <c r="S77" s="25"/>
      <c r="T77" s="25"/>
      <c r="U77" s="25"/>
      <c r="V77" s="25"/>
      <c r="X77" s="89" t="s">
        <v>51</v>
      </c>
      <c r="Y77" s="25">
        <f>IF(X66=0,"",INDEX('Base de Dados e filtragem'!$A:$A,MATCH(X66,'Base de Dados e filtragem'!$AB:$AB,0)))</f>
        <v>0</v>
      </c>
      <c r="Z77" s="25"/>
      <c r="AA77" s="25"/>
      <c r="AB77" s="25"/>
      <c r="AC77" s="25"/>
    </row>
    <row r="78" spans="3:29" x14ac:dyDescent="0.25">
      <c r="C78" s="89" t="s">
        <v>59</v>
      </c>
      <c r="D78" s="25">
        <f>IF(C66=0,"",INDEX('Base de Dados e filtragem'!$K:$K,MATCH(C66,'Base de Dados e filtragem'!$AB:$AB,0)))</f>
        <v>0</v>
      </c>
      <c r="E78" s="25"/>
      <c r="F78" s="25"/>
      <c r="G78" s="25"/>
      <c r="H78" s="25"/>
      <c r="J78" s="89" t="s">
        <v>59</v>
      </c>
      <c r="K78" s="25">
        <f>IF(J66=0,"",INDEX('Base de Dados e filtragem'!$K:$K,MATCH(J66,'Base de Dados e filtragem'!$AB:$AB,0)))</f>
        <v>0</v>
      </c>
      <c r="L78" s="25"/>
      <c r="M78" s="25"/>
      <c r="N78" s="25"/>
      <c r="O78" s="25"/>
      <c r="Q78" s="89" t="s">
        <v>59</v>
      </c>
      <c r="R78" s="25">
        <f>IF(Q66=0,"",INDEX('Base de Dados e filtragem'!$K:$K,MATCH(Q66,'Base de Dados e filtragem'!$AB:$AB,0)))</f>
        <v>0</v>
      </c>
      <c r="S78" s="25"/>
      <c r="T78" s="25"/>
      <c r="U78" s="25"/>
      <c r="V78" s="25"/>
      <c r="X78" s="89" t="s">
        <v>59</v>
      </c>
      <c r="Y78" s="25">
        <f>IF(X66=0,"",INDEX('Base de Dados e filtragem'!$K:$K,MATCH(X66,'Base de Dados e filtragem'!$AB:$AB,0)))</f>
        <v>0</v>
      </c>
      <c r="Z78" s="25"/>
      <c r="AA78" s="25"/>
      <c r="AB78" s="25"/>
      <c r="AC78" s="25"/>
    </row>
    <row r="79" spans="3:29" x14ac:dyDescent="0.25">
      <c r="C79" s="89" t="s">
        <v>60</v>
      </c>
      <c r="D79" s="25">
        <f>IF(C66=0,"",INDEX('Base de Dados e filtragem'!$L:$L,MATCH(C66,'Base de Dados e filtragem'!$AB:$AB,0)))</f>
        <v>0</v>
      </c>
      <c r="E79" s="25"/>
      <c r="F79" s="25"/>
      <c r="G79" s="25"/>
      <c r="H79" s="25"/>
      <c r="J79" s="89" t="s">
        <v>60</v>
      </c>
      <c r="K79" s="25">
        <f>IF(J66=0,"",INDEX('Base de Dados e filtragem'!$L:$L,MATCH(J66,'Base de Dados e filtragem'!$AB:$AB,0)))</f>
        <v>0</v>
      </c>
      <c r="L79" s="25"/>
      <c r="M79" s="25"/>
      <c r="N79" s="25"/>
      <c r="O79" s="25"/>
      <c r="Q79" s="89" t="s">
        <v>60</v>
      </c>
      <c r="R79" s="25">
        <f>IF(Q66=0,"",INDEX('Base de Dados e filtragem'!$L:$L,MATCH(Q66,'Base de Dados e filtragem'!$AB:$AB,0)))</f>
        <v>0</v>
      </c>
      <c r="S79" s="25"/>
      <c r="T79" s="25"/>
      <c r="U79" s="25"/>
      <c r="V79" s="25"/>
      <c r="X79" s="89" t="s">
        <v>60</v>
      </c>
      <c r="Y79" s="25">
        <f>IF(X66=0,"",INDEX('Base de Dados e filtragem'!$L:$L,MATCH(X66,'Base de Dados e filtragem'!$AB:$AB,0)))</f>
        <v>0</v>
      </c>
      <c r="Z79" s="25"/>
      <c r="AA79" s="25"/>
      <c r="AB79" s="25"/>
      <c r="AC79" s="25"/>
    </row>
    <row r="80" spans="3:29" x14ac:dyDescent="0.25">
      <c r="C80" s="89" t="s">
        <v>61</v>
      </c>
      <c r="D80" s="25">
        <f>IF(C66=0,"",INDEX('Base de Dados e filtragem'!$N:$N,MATCH(C66,'Base de Dados e filtragem'!$AB:$AB,0)))</f>
        <v>0</v>
      </c>
      <c r="E80" s="25"/>
      <c r="F80" s="91" t="s">
        <v>68</v>
      </c>
      <c r="G80" s="25">
        <f>IF(C66=0,"",INDEX('Base de Dados e filtragem'!$Z:$Z,MATCH(C66,'Base de Dados e filtragem'!$AB:$AB,0)))</f>
        <v>0</v>
      </c>
      <c r="H80" s="25"/>
      <c r="J80" s="89" t="s">
        <v>61</v>
      </c>
      <c r="K80" s="25">
        <f>IF(J66=0,"",INDEX('Base de Dados e filtragem'!$N:$N,MATCH(J66,'Base de Dados e filtragem'!$AB:$AB,0)))</f>
        <v>0</v>
      </c>
      <c r="L80" s="25"/>
      <c r="M80" s="91" t="s">
        <v>68</v>
      </c>
      <c r="N80" s="25">
        <f>IF(J66=0,"",INDEX('Base de Dados e filtragem'!$Z:$Z,MATCH(J66,'Base de Dados e filtragem'!$AB:$AB,0)))</f>
        <v>0</v>
      </c>
      <c r="O80" s="25"/>
      <c r="Q80" s="89" t="s">
        <v>61</v>
      </c>
      <c r="R80" s="25">
        <f>IF(Q66=0,"",INDEX('Base de Dados e filtragem'!$N:$N,MATCH(Q66,'Base de Dados e filtragem'!$AB:$AB,0)))</f>
        <v>0</v>
      </c>
      <c r="S80" s="25"/>
      <c r="T80" s="91" t="s">
        <v>68</v>
      </c>
      <c r="U80" s="25">
        <f>IF(Q66=0,"",INDEX('Base de Dados e filtragem'!$Z:$Z,MATCH(Q66,'Base de Dados e filtragem'!$AB:$AB,0)))</f>
        <v>0</v>
      </c>
      <c r="V80" s="25"/>
      <c r="X80" s="89" t="s">
        <v>61</v>
      </c>
      <c r="Y80" s="25">
        <f>IF(X66=0,"",INDEX('Base de Dados e filtragem'!$N:$N,MATCH(X66,'Base de Dados e filtragem'!$AB:$AB,0)))</f>
        <v>0</v>
      </c>
      <c r="Z80" s="25"/>
      <c r="AA80" s="91" t="s">
        <v>68</v>
      </c>
      <c r="AB80" s="25">
        <f>IF(X66=0,"",INDEX('Base de Dados e filtragem'!$Z:$Z,MATCH(X66,'Base de Dados e filtragem'!$AB:$AB,0)))</f>
        <v>0</v>
      </c>
      <c r="AC80" s="25"/>
    </row>
    <row r="81" spans="3:29" x14ac:dyDescent="0.25">
      <c r="C81" s="90" t="s">
        <v>66</v>
      </c>
      <c r="D81" s="88">
        <f>IF(C66=0,"",INDEX('Base de Dados e filtragem'!$W:$W,MATCH(C66,'Base de Dados e filtragem'!$AB:$AB,0)))</f>
        <v>0</v>
      </c>
      <c r="E81" s="90" t="s">
        <v>67</v>
      </c>
      <c r="F81" s="88">
        <f>IF(C66=0,"",INDEX('Base de Dados e filtragem'!$X:$X,MATCH(C66,'Base de Dados e filtragem'!$AB:$AB,0)))</f>
        <v>0</v>
      </c>
      <c r="G81" s="90" t="s">
        <v>70</v>
      </c>
      <c r="H81" s="88">
        <f>IF(C66=0,"",INDEX('Base de Dados e filtragem'!$Y:$Y,MATCH(C66,'Base de Dados e filtragem'!$AB:$AB,0)))</f>
        <v>0</v>
      </c>
      <c r="J81" s="90" t="s">
        <v>66</v>
      </c>
      <c r="K81" s="88">
        <f>IF(J66=0,"",INDEX('Base de Dados e filtragem'!$W:$W,MATCH(J66,'Base de Dados e filtragem'!$AB:$AB,0)))</f>
        <v>0</v>
      </c>
      <c r="L81" s="90" t="s">
        <v>67</v>
      </c>
      <c r="M81" s="88">
        <f>IF(J66=0,"",INDEX('Base de Dados e filtragem'!$X:$X,MATCH(J66,'Base de Dados e filtragem'!$AB:$AB,0)))</f>
        <v>0</v>
      </c>
      <c r="N81" s="90" t="s">
        <v>70</v>
      </c>
      <c r="O81" s="88">
        <f>IF(J66=0,"",INDEX('Base de Dados e filtragem'!$Y:$Y,MATCH(J66,'Base de Dados e filtragem'!$AB:$AB,0)))</f>
        <v>0</v>
      </c>
      <c r="Q81" s="90" t="s">
        <v>66</v>
      </c>
      <c r="R81" s="88">
        <f>IF(Q66=0,"",INDEX('Base de Dados e filtragem'!$W:$W,MATCH(Q66,'Base de Dados e filtragem'!$AB:$AB,0)))</f>
        <v>0</v>
      </c>
      <c r="S81" s="90" t="s">
        <v>67</v>
      </c>
      <c r="T81" s="88">
        <f>IF(Q66=0,"",INDEX('Base de Dados e filtragem'!$X:$X,MATCH(Q66,'Base de Dados e filtragem'!$AB:$AB,0)))</f>
        <v>0</v>
      </c>
      <c r="U81" s="90" t="s">
        <v>70</v>
      </c>
      <c r="V81" s="88">
        <f>IF(Q66=0,"",INDEX('Base de Dados e filtragem'!$Y:$Y,MATCH(Q66,'Base de Dados e filtragem'!$AB:$AB,0)))</f>
        <v>0</v>
      </c>
      <c r="X81" s="90" t="s">
        <v>66</v>
      </c>
      <c r="Y81" s="88">
        <f>IF(X66=0,"",INDEX('Base de Dados e filtragem'!$W:$W,MATCH(X66,'Base de Dados e filtragem'!$AB:$AB,0)))</f>
        <v>0</v>
      </c>
      <c r="Z81" s="90" t="s">
        <v>67</v>
      </c>
      <c r="AA81" s="88">
        <f>IF(X66=0,"",INDEX('Base de Dados e filtragem'!$X:$X,MATCH(X66,'Base de Dados e filtragem'!$AB:$AB,0)))</f>
        <v>0</v>
      </c>
      <c r="AB81" s="90" t="s">
        <v>70</v>
      </c>
      <c r="AC81" s="88">
        <f>IF(X66=0,"",INDEX('Base de Dados e filtragem'!$Y:$Y,MATCH(X66,'Base de Dados e filtragem'!$AB:$AB,0)))</f>
        <v>0</v>
      </c>
    </row>
    <row r="82" spans="3:29" x14ac:dyDescent="0.25">
      <c r="V82" s="1"/>
    </row>
    <row r="83" spans="3:29" x14ac:dyDescent="0.25">
      <c r="V83" s="1"/>
    </row>
    <row r="84" spans="3:29" x14ac:dyDescent="0.25">
      <c r="C84" s="25">
        <v>13</v>
      </c>
      <c r="D84" s="25" t="s">
        <v>83</v>
      </c>
      <c r="E84" s="25"/>
      <c r="F84" s="89" t="s">
        <v>57</v>
      </c>
      <c r="G84" s="25">
        <f>IF(C91=0,"",INDEX('Base de Dados e filtragem'!$I:$I,MATCH(C91,'Base de Dados e filtragem'!$AB:$AB,0)))</f>
        <v>0</v>
      </c>
      <c r="H84" s="25"/>
      <c r="J84" s="25">
        <v>14</v>
      </c>
      <c r="K84" s="25" t="s">
        <v>83</v>
      </c>
      <c r="L84" s="25"/>
      <c r="M84" s="89" t="s">
        <v>57</v>
      </c>
      <c r="N84" s="25">
        <f>IF(J91=0,"",INDEX('Base de Dados e filtragem'!$I:$I,MATCH(J91,'Base de Dados e filtragem'!$AB:$AB,0)))</f>
        <v>0</v>
      </c>
      <c r="O84" s="25"/>
      <c r="Q84" s="25">
        <v>15</v>
      </c>
      <c r="R84" s="25" t="s">
        <v>83</v>
      </c>
      <c r="S84" s="25"/>
      <c r="T84" s="89" t="s">
        <v>57</v>
      </c>
      <c r="U84" s="25">
        <f>IF(Q91=0,"",INDEX('Base de Dados e filtragem'!$I:$I,MATCH(Q91,'Base de Dados e filtragem'!$AB:$AB,0)))</f>
        <v>0</v>
      </c>
      <c r="V84" s="25"/>
      <c r="X84" s="25">
        <v>16</v>
      </c>
      <c r="Y84" s="25" t="s">
        <v>83</v>
      </c>
      <c r="Z84" s="25"/>
      <c r="AA84" s="89" t="s">
        <v>57</v>
      </c>
      <c r="AB84" s="25">
        <f>IF(X91=0,"",INDEX('Base de Dados e filtragem'!$I:$I,MATCH(X91,'Base de Dados e filtragem'!$AB:$AB,0)))</f>
        <v>0</v>
      </c>
      <c r="AC84" s="25"/>
    </row>
    <row r="85" spans="3:29" x14ac:dyDescent="0.25">
      <c r="C85" s="25">
        <f>VLOOKUP(C84,AuxiliarGrid!$BM$57:$BP$87,2,FALSE)</f>
        <v>1009.8</v>
      </c>
      <c r="D85" s="25" t="s">
        <v>84</v>
      </c>
      <c r="E85" s="25"/>
      <c r="F85" s="89" t="s">
        <v>58</v>
      </c>
      <c r="G85" s="25">
        <f>IF(C91=0,"",INDEX('Base de Dados e filtragem'!$J:$J,MATCH(C91,'Base de Dados e filtragem'!$AB:$AB,0)))</f>
        <v>0</v>
      </c>
      <c r="H85" s="25"/>
      <c r="J85" s="25">
        <f>VLOOKUP(J84,AuxiliarGrid!$BM$57:$BP$87,2,FALSE)</f>
        <v>1009.8</v>
      </c>
      <c r="K85" s="25" t="s">
        <v>84</v>
      </c>
      <c r="L85" s="25"/>
      <c r="M85" s="89" t="s">
        <v>58</v>
      </c>
      <c r="N85" s="25">
        <f>IF(J91=0,"",INDEX('Base de Dados e filtragem'!$J:$J,MATCH(J91,'Base de Dados e filtragem'!$AB:$AB,0)))</f>
        <v>0</v>
      </c>
      <c r="O85" s="25"/>
      <c r="Q85" s="25">
        <f>VLOOKUP(Q84,AuxiliarGrid!$BM$57:$BP$87,2,FALSE)</f>
        <v>1009.8</v>
      </c>
      <c r="R85" s="25" t="s">
        <v>84</v>
      </c>
      <c r="S85" s="25"/>
      <c r="T85" s="89" t="s">
        <v>58</v>
      </c>
      <c r="U85" s="25">
        <f>IF(Q91=0,"",INDEX('Base de Dados e filtragem'!$J:$J,MATCH(Q91,'Base de Dados e filtragem'!$AB:$AB,0)))</f>
        <v>0</v>
      </c>
      <c r="V85" s="25"/>
      <c r="X85" s="25">
        <f>VLOOKUP(X84,AuxiliarGrid!$BM$57:$BP$87,2,FALSE)</f>
        <v>1009.8</v>
      </c>
      <c r="Y85" s="25" t="s">
        <v>84</v>
      </c>
      <c r="Z85" s="25"/>
      <c r="AA85" s="89" t="s">
        <v>58</v>
      </c>
      <c r="AB85" s="25">
        <f>IF(X91=0,"",INDEX('Base de Dados e filtragem'!$J:$J,MATCH(X91,'Base de Dados e filtragem'!$AB:$AB,0)))</f>
        <v>0</v>
      </c>
      <c r="AC85" s="25"/>
    </row>
    <row r="86" spans="3:29" x14ac:dyDescent="0.25">
      <c r="C86" s="25">
        <f>VLOOKUP(C84,AuxiliarGrid!$BM$57:$BP$87,3,FALSE)</f>
        <v>29.4</v>
      </c>
      <c r="D86" s="25" t="s">
        <v>85</v>
      </c>
      <c r="E86" s="25"/>
      <c r="F86" s="89" t="s">
        <v>53</v>
      </c>
      <c r="G86" s="25">
        <f>IF(C91=0,"",INDEX('Base de Dados e filtragem'!$F:$F,MATCH(C91,'Base de Dados e filtragem'!$AB:$AB,0)))</f>
        <v>0</v>
      </c>
      <c r="H86" s="25"/>
      <c r="J86" s="25">
        <f>VLOOKUP(J84,AuxiliarGrid!$BM$57:$BP$87,3,FALSE)</f>
        <v>289.79999999999995</v>
      </c>
      <c r="K86" s="25" t="s">
        <v>85</v>
      </c>
      <c r="L86" s="25"/>
      <c r="M86" s="89" t="s">
        <v>53</v>
      </c>
      <c r="N86" s="25">
        <f>IF(J91=0,"",INDEX('Base de Dados e filtragem'!$F:$F,MATCH(J91,'Base de Dados e filtragem'!$AB:$AB,0)))</f>
        <v>0</v>
      </c>
      <c r="O86" s="25"/>
      <c r="Q86" s="25">
        <f>VLOOKUP(Q84,AuxiliarGrid!$BM$57:$BP$87,3,FALSE)</f>
        <v>550.19999999999993</v>
      </c>
      <c r="R86" s="25" t="s">
        <v>85</v>
      </c>
      <c r="S86" s="25"/>
      <c r="T86" s="89" t="s">
        <v>53</v>
      </c>
      <c r="U86" s="25">
        <f>IF(Q91=0,"",INDEX('Base de Dados e filtragem'!$F:$F,MATCH(Q91,'Base de Dados e filtragem'!$AB:$AB,0)))</f>
        <v>0</v>
      </c>
      <c r="V86" s="25"/>
      <c r="X86" s="25">
        <f>VLOOKUP(X84,AuxiliarGrid!$BM$57:$BP$87,3,FALSE)</f>
        <v>810.59999999999991</v>
      </c>
      <c r="Y86" s="25" t="s">
        <v>85</v>
      </c>
      <c r="Z86" s="25"/>
      <c r="AA86" s="89" t="s">
        <v>53</v>
      </c>
      <c r="AB86" s="25">
        <f>IF(X91=0,"",INDEX('Base de Dados e filtragem'!$F:$F,MATCH(X91,'Base de Dados e filtragem'!$AB:$AB,0)))</f>
        <v>0</v>
      </c>
      <c r="AC86" s="25"/>
    </row>
    <row r="87" spans="3:29" x14ac:dyDescent="0.25">
      <c r="C87" s="25"/>
      <c r="D87" s="25"/>
      <c r="E87" s="25"/>
      <c r="F87" s="89" t="s">
        <v>55</v>
      </c>
      <c r="G87" s="25">
        <f>IF(C91=0,"",INDEX('Base de Dados e filtragem'!$G:$G,MATCH(C91,'Base de Dados e filtragem'!$AB:$AB,0)))</f>
        <v>0</v>
      </c>
      <c r="H87" s="25"/>
      <c r="J87" s="25"/>
      <c r="K87" s="25"/>
      <c r="L87" s="25"/>
      <c r="M87" s="89" t="s">
        <v>55</v>
      </c>
      <c r="N87" s="25">
        <f>IF(J91=0,"",INDEX('Base de Dados e filtragem'!$G:$G,MATCH(J91,'Base de Dados e filtragem'!$AB:$AB,0)))</f>
        <v>0</v>
      </c>
      <c r="O87" s="25"/>
      <c r="Q87" s="25"/>
      <c r="R87" s="25"/>
      <c r="S87" s="25"/>
      <c r="T87" s="89" t="s">
        <v>55</v>
      </c>
      <c r="U87" s="25">
        <f>IF(Q91=0,"",INDEX('Base de Dados e filtragem'!$G:$G,MATCH(Q91,'Base de Dados e filtragem'!$AB:$AB,0)))</f>
        <v>0</v>
      </c>
      <c r="V87" s="25"/>
      <c r="X87" s="25"/>
      <c r="Y87" s="25"/>
      <c r="Z87" s="25"/>
      <c r="AA87" s="89" t="s">
        <v>55</v>
      </c>
      <c r="AB87" s="25">
        <f>IF(X91=0,"",INDEX('Base de Dados e filtragem'!$G:$G,MATCH(X91,'Base de Dados e filtragem'!$AB:$AB,0)))</f>
        <v>0</v>
      </c>
      <c r="AC87" s="25"/>
    </row>
    <row r="88" spans="3:29" x14ac:dyDescent="0.25">
      <c r="C88" s="25"/>
      <c r="D88" s="25"/>
      <c r="E88" s="25"/>
      <c r="F88" s="89" t="s">
        <v>56</v>
      </c>
      <c r="G88" s="25">
        <f>IF(C91=0,"",INDEX('Base de Dados e filtragem'!$H:$H,MATCH(C91,'Base de Dados e filtragem'!$AB:$AB,0)))</f>
        <v>0</v>
      </c>
      <c r="H88" s="25"/>
      <c r="J88" s="25"/>
      <c r="K88" s="25"/>
      <c r="L88" s="25"/>
      <c r="M88" s="89" t="s">
        <v>56</v>
      </c>
      <c r="N88" s="25">
        <f>IF(J91=0,"",INDEX('Base de Dados e filtragem'!$H:$H,MATCH(J91,'Base de Dados e filtragem'!$AB:$AB,0)))</f>
        <v>0</v>
      </c>
      <c r="O88" s="25"/>
      <c r="Q88" s="25"/>
      <c r="R88" s="25"/>
      <c r="S88" s="25"/>
      <c r="T88" s="89" t="s">
        <v>56</v>
      </c>
      <c r="U88" s="25">
        <f>IF(Q91=0,"",INDEX('Base de Dados e filtragem'!$H:$H,MATCH(Q91,'Base de Dados e filtragem'!$AB:$AB,0)))</f>
        <v>0</v>
      </c>
      <c r="V88" s="25"/>
      <c r="X88" s="25"/>
      <c r="Y88" s="25"/>
      <c r="Z88" s="25"/>
      <c r="AA88" s="89" t="s">
        <v>56</v>
      </c>
      <c r="AB88" s="25">
        <f>IF(X91=0,"",INDEX('Base de Dados e filtragem'!$H:$H,MATCH(X91,'Base de Dados e filtragem'!$AB:$AB,0)))</f>
        <v>0</v>
      </c>
      <c r="AC88" s="25"/>
    </row>
    <row r="89" spans="3:29" x14ac:dyDescent="0.25">
      <c r="C89" s="25"/>
      <c r="D89" s="25"/>
      <c r="E89" s="25"/>
      <c r="F89" s="89" t="s">
        <v>93</v>
      </c>
      <c r="G89" s="25">
        <f>IF(C91=0,"",INDEX('Base de Dados e filtragem'!$O:$O,MATCH(C91,'Base de Dados e filtragem'!$AB:$AB,0)))</f>
        <v>0</v>
      </c>
      <c r="H89" s="25"/>
      <c r="J89" s="25"/>
      <c r="K89" s="25"/>
      <c r="L89" s="25"/>
      <c r="M89" s="89" t="s">
        <v>93</v>
      </c>
      <c r="N89" s="25">
        <f>IF(J91=0,"",INDEX('Base de Dados e filtragem'!$O:$O,MATCH(J91,'Base de Dados e filtragem'!$AB:$AB,0)))</f>
        <v>0</v>
      </c>
      <c r="O89" s="25"/>
      <c r="Q89" s="25"/>
      <c r="R89" s="25"/>
      <c r="S89" s="25"/>
      <c r="T89" s="89" t="s">
        <v>93</v>
      </c>
      <c r="U89" s="25">
        <f>IF(Q91=0,"",INDEX('Base de Dados e filtragem'!$O:$O,MATCH(Q91,'Base de Dados e filtragem'!$AB:$AB,0)))</f>
        <v>0</v>
      </c>
      <c r="V89" s="25"/>
      <c r="X89" s="25"/>
      <c r="Y89" s="25"/>
      <c r="Z89" s="25"/>
      <c r="AA89" s="89" t="s">
        <v>93</v>
      </c>
      <c r="AB89" s="25">
        <f>IF(X91=0,"",INDEX('Base de Dados e filtragem'!$O:$O,MATCH(X91,'Base de Dados e filtragem'!$AB:$AB,0)))</f>
        <v>0</v>
      </c>
      <c r="AC89" s="25"/>
    </row>
    <row r="90" spans="3:29" x14ac:dyDescent="0.25">
      <c r="C90" s="25">
        <f>20*($AC$4-1)+C84</f>
        <v>13</v>
      </c>
      <c r="D90" s="25" t="s">
        <v>91</v>
      </c>
      <c r="E90" s="25"/>
      <c r="F90" s="89" t="s">
        <v>62</v>
      </c>
      <c r="G90" s="25">
        <f>IF(C91=0,"",INDEX('Base de Dados e filtragem'!$P:$P,MATCH(C91,'Base de Dados e filtragem'!$AB:$AB,0)))</f>
        <v>0</v>
      </c>
      <c r="H90" s="25"/>
      <c r="J90" s="25">
        <f>20*($AC$4-1)+J84</f>
        <v>14</v>
      </c>
      <c r="K90" s="25" t="s">
        <v>91</v>
      </c>
      <c r="L90" s="25"/>
      <c r="M90" s="89" t="s">
        <v>62</v>
      </c>
      <c r="N90" s="25">
        <f>IF(J91=0,"",INDEX('Base de Dados e filtragem'!$P:$P,MATCH(J91,'Base de Dados e filtragem'!$AB:$AB,0)))</f>
        <v>0</v>
      </c>
      <c r="O90" s="25"/>
      <c r="Q90" s="25">
        <f>20*($AC$4-1)+Q84</f>
        <v>15</v>
      </c>
      <c r="R90" s="25" t="s">
        <v>91</v>
      </c>
      <c r="S90" s="25"/>
      <c r="T90" s="89" t="s">
        <v>62</v>
      </c>
      <c r="U90" s="25">
        <f>IF(Q91=0,"",INDEX('Base de Dados e filtragem'!$P:$P,MATCH(Q91,'Base de Dados e filtragem'!$AB:$AB,0)))</f>
        <v>0</v>
      </c>
      <c r="V90" s="25"/>
      <c r="X90" s="25">
        <f>20*($AC$4-1)+X84</f>
        <v>16</v>
      </c>
      <c r="Y90" s="25" t="s">
        <v>91</v>
      </c>
      <c r="Z90" s="25"/>
      <c r="AA90" s="89" t="s">
        <v>62</v>
      </c>
      <c r="AB90" s="25">
        <f>IF(X91=0,"",INDEX('Base de Dados e filtragem'!$P:$P,MATCH(X91,'Base de Dados e filtragem'!$AB:$AB,0)))</f>
        <v>0</v>
      </c>
      <c r="AC90" s="25"/>
    </row>
    <row r="91" spans="3:29" x14ac:dyDescent="0.25">
      <c r="C91" s="25">
        <f>LARGE('Base de Dados e filtragem'!$AB:$AB,C90)</f>
        <v>6.25E-2</v>
      </c>
      <c r="D91" s="25" t="s">
        <v>86</v>
      </c>
      <c r="E91" s="25"/>
      <c r="F91" s="89" t="s">
        <v>63</v>
      </c>
      <c r="G91" s="25">
        <f>IF(C91=0,"",INDEX('Base de Dados e filtragem'!$Q:$Q,MATCH(C91,'Base de Dados e filtragem'!$AB:$AB,0)))</f>
        <v>0</v>
      </c>
      <c r="H91" s="25"/>
      <c r="J91" s="25">
        <f>LARGE('Base de Dados e filtragem'!$AB:$AB,J90)</f>
        <v>5.8823529411764705E-2</v>
      </c>
      <c r="K91" s="25" t="s">
        <v>86</v>
      </c>
      <c r="L91" s="25"/>
      <c r="M91" s="89" t="s">
        <v>63</v>
      </c>
      <c r="N91" s="25">
        <f>IF(J91=0,"",INDEX('Base de Dados e filtragem'!$Q:$Q,MATCH(J91,'Base de Dados e filtragem'!$AB:$AB,0)))</f>
        <v>0</v>
      </c>
      <c r="O91" s="25"/>
      <c r="Q91" s="25">
        <f>LARGE('Base de Dados e filtragem'!$AB:$AB,Q90)</f>
        <v>5.5555555555555552E-2</v>
      </c>
      <c r="R91" s="25" t="s">
        <v>86</v>
      </c>
      <c r="S91" s="25"/>
      <c r="T91" s="89" t="s">
        <v>63</v>
      </c>
      <c r="U91" s="25">
        <f>IF(Q91=0,"",INDEX('Base de Dados e filtragem'!$Q:$Q,MATCH(Q91,'Base de Dados e filtragem'!$AB:$AB,0)))</f>
        <v>0</v>
      </c>
      <c r="V91" s="25"/>
      <c r="X91" s="25">
        <f>LARGE('Base de Dados e filtragem'!$AB:$AB,X90)</f>
        <v>5.2631578947368418E-2</v>
      </c>
      <c r="Y91" s="25" t="s">
        <v>86</v>
      </c>
      <c r="Z91" s="25"/>
      <c r="AA91" s="89" t="s">
        <v>63</v>
      </c>
      <c r="AB91" s="25">
        <f>IF(X91=0,"",INDEX('Base de Dados e filtragem'!$Q:$Q,MATCH(X91,'Base de Dados e filtragem'!$AB:$AB,0)))</f>
        <v>0</v>
      </c>
      <c r="AC91" s="25"/>
    </row>
    <row r="92" spans="3:29" x14ac:dyDescent="0.25">
      <c r="C92" s="25" t="s">
        <v>92</v>
      </c>
      <c r="D92" s="25"/>
      <c r="E92" s="25"/>
      <c r="F92" s="89" t="s">
        <v>64</v>
      </c>
      <c r="G92" s="25">
        <f>IF(C91=0,"",INDEX('Base de Dados e filtragem'!$R:$R,MATCH(C91,'Base de Dados e filtragem'!$AB:$AB,0)))</f>
        <v>0</v>
      </c>
      <c r="H92" s="25"/>
      <c r="J92" s="25" t="s">
        <v>92</v>
      </c>
      <c r="K92" s="25"/>
      <c r="L92" s="25"/>
      <c r="M92" s="89" t="s">
        <v>64</v>
      </c>
      <c r="N92" s="25">
        <f>IF(J91=0,"",INDEX('Base de Dados e filtragem'!$R:$R,MATCH(J91,'Base de Dados e filtragem'!$AB:$AB,0)))</f>
        <v>0</v>
      </c>
      <c r="O92" s="25"/>
      <c r="Q92" s="25" t="s">
        <v>92</v>
      </c>
      <c r="R92" s="25"/>
      <c r="S92" s="25"/>
      <c r="T92" s="89" t="s">
        <v>64</v>
      </c>
      <c r="U92" s="25">
        <f>IF(Q91=0,"",INDEX('Base de Dados e filtragem'!$R:$R,MATCH(Q91,'Base de Dados e filtragem'!$AB:$AB,0)))</f>
        <v>0</v>
      </c>
      <c r="V92" s="25"/>
      <c r="X92" s="25" t="s">
        <v>92</v>
      </c>
      <c r="Y92" s="25"/>
      <c r="Z92" s="25"/>
      <c r="AA92" s="89" t="s">
        <v>64</v>
      </c>
      <c r="AB92" s="25">
        <f>IF(X91=0,"",INDEX('Base de Dados e filtragem'!$R:$R,MATCH(X91,'Base de Dados e filtragem'!$AB:$AB,0)))</f>
        <v>0</v>
      </c>
      <c r="AC92" s="25"/>
    </row>
    <row r="93" spans="3:29" x14ac:dyDescent="0.25">
      <c r="C93" s="26" t="str">
        <f>INDEX('Base de Dados e filtragem'!$AA:$AA,MATCH(C91,'Base de Dados e filtragem'!$AB:$AB,0))</f>
        <v>Fotos\\.jpg</v>
      </c>
      <c r="D93" s="26"/>
      <c r="E93" s="26"/>
      <c r="F93" s="89" t="s">
        <v>65</v>
      </c>
      <c r="G93" s="26">
        <f>IF(C91=0,"",INDEX('Base de Dados e filtragem'!$S:$S,MATCH(C91,'Base de Dados e filtragem'!$AB:$AB,0)))</f>
        <v>0</v>
      </c>
      <c r="H93" s="26"/>
      <c r="J93" s="26" t="str">
        <f>INDEX('Base de Dados e filtragem'!$AA:$AA,MATCH(J91,'Base de Dados e filtragem'!$AB:$AB,0))</f>
        <v>Fotos\\.jpg</v>
      </c>
      <c r="K93" s="26"/>
      <c r="L93" s="26"/>
      <c r="M93" s="89" t="s">
        <v>65</v>
      </c>
      <c r="N93" s="26">
        <f>IF(J91=0,"",INDEX('Base de Dados e filtragem'!$S:$S,MATCH(J91,'Base de Dados e filtragem'!$AB:$AB,0)))</f>
        <v>0</v>
      </c>
      <c r="O93" s="26"/>
      <c r="Q93" s="26" t="str">
        <f>INDEX('Base de Dados e filtragem'!$AA:$AA,MATCH(Q91,'Base de Dados e filtragem'!$AB:$AB,0))</f>
        <v>Fotos\\.jpg</v>
      </c>
      <c r="R93" s="26"/>
      <c r="S93" s="26"/>
      <c r="T93" s="89" t="s">
        <v>65</v>
      </c>
      <c r="U93" s="26">
        <f>IF(Q91=0,"",INDEX('Base de Dados e filtragem'!$S:$S,MATCH(Q91,'Base de Dados e filtragem'!$AB:$AB,0)))</f>
        <v>0</v>
      </c>
      <c r="V93" s="26"/>
      <c r="X93" s="26" t="str">
        <f>INDEX('Base de Dados e filtragem'!$AA:$AA,MATCH(X91,'Base de Dados e filtragem'!$AB:$AB,0))</f>
        <v>Fotos\\.jpg</v>
      </c>
      <c r="Y93" s="26"/>
      <c r="Z93" s="26"/>
      <c r="AA93" s="89" t="s">
        <v>65</v>
      </c>
      <c r="AB93" s="26">
        <f>IF(X91=0,"",INDEX('Base de Dados e filtragem'!$S:$S,MATCH(X91,'Base de Dados e filtragem'!$AB:$AB,0)))</f>
        <v>0</v>
      </c>
      <c r="AC93" s="26"/>
    </row>
    <row r="94" spans="3:29" x14ac:dyDescent="0.25">
      <c r="C94" s="25"/>
      <c r="D94" s="25"/>
      <c r="E94" s="25"/>
      <c r="F94" s="89" t="s">
        <v>69</v>
      </c>
      <c r="G94" s="25">
        <f>IF(C91=0,"",INDEX('Base de Dados e filtragem'!$T:$T,MATCH(C91,'Base de Dados e filtragem'!$AB:$AB,0)))</f>
        <v>0</v>
      </c>
      <c r="H94" s="25"/>
      <c r="J94" s="25"/>
      <c r="K94" s="25"/>
      <c r="L94" s="25"/>
      <c r="M94" s="89" t="s">
        <v>69</v>
      </c>
      <c r="N94" s="25">
        <f>IF(J91=0,"",INDEX('Base de Dados e filtragem'!$T:$T,MATCH(J91,'Base de Dados e filtragem'!$AB:$AB,0)))</f>
        <v>0</v>
      </c>
      <c r="O94" s="25"/>
      <c r="Q94" s="25"/>
      <c r="R94" s="25"/>
      <c r="S94" s="25"/>
      <c r="T94" s="89" t="s">
        <v>69</v>
      </c>
      <c r="U94" s="25">
        <f>IF(Q91=0,"",INDEX('Base de Dados e filtragem'!$T:$T,MATCH(Q91,'Base de Dados e filtragem'!$AB:$AB,0)))</f>
        <v>0</v>
      </c>
      <c r="V94" s="25"/>
      <c r="X94" s="25"/>
      <c r="Y94" s="25"/>
      <c r="Z94" s="25"/>
      <c r="AA94" s="89" t="s">
        <v>69</v>
      </c>
      <c r="AB94" s="25">
        <f>IF(X91=0,"",INDEX('Base de Dados e filtragem'!$T:$T,MATCH(X91,'Base de Dados e filtragem'!$AB:$AB,0)))</f>
        <v>0</v>
      </c>
      <c r="AC94" s="25"/>
    </row>
    <row r="95" spans="3:29" x14ac:dyDescent="0.25">
      <c r="C95" s="25"/>
      <c r="D95" s="25"/>
      <c r="E95" s="25"/>
      <c r="F95" s="89" t="s">
        <v>71</v>
      </c>
      <c r="G95" s="25">
        <f>IF(C91=0,"",INDEX('Base de Dados e filtragem'!$U:$U,MATCH(C91,'Base de Dados e filtragem'!$AB:$AB,0)))</f>
        <v>0</v>
      </c>
      <c r="H95" s="25"/>
      <c r="J95" s="25"/>
      <c r="K95" s="25"/>
      <c r="L95" s="25"/>
      <c r="M95" s="89" t="s">
        <v>71</v>
      </c>
      <c r="N95" s="25">
        <f>IF(J91=0,"",INDEX('Base de Dados e filtragem'!$U:$U,MATCH(J91,'Base de Dados e filtragem'!$AB:$AB,0)))</f>
        <v>0</v>
      </c>
      <c r="O95" s="25"/>
      <c r="Q95" s="25"/>
      <c r="R95" s="25"/>
      <c r="S95" s="25"/>
      <c r="T95" s="89" t="s">
        <v>71</v>
      </c>
      <c r="U95" s="25">
        <f>IF(Q91=0,"",INDEX('Base de Dados e filtragem'!$U:$U,MATCH(Q91,'Base de Dados e filtragem'!$AB:$AB,0)))</f>
        <v>0</v>
      </c>
      <c r="V95" s="25"/>
      <c r="X95" s="25"/>
      <c r="Y95" s="25"/>
      <c r="Z95" s="25"/>
      <c r="AA95" s="89" t="s">
        <v>71</v>
      </c>
      <c r="AB95" s="25">
        <f>IF(X91=0,"",INDEX('Base de Dados e filtragem'!$U:$U,MATCH(X91,'Base de Dados e filtragem'!$AB:$AB,0)))</f>
        <v>0</v>
      </c>
      <c r="AC95" s="25"/>
    </row>
    <row r="96" spans="3:29" x14ac:dyDescent="0.25">
      <c r="C96" s="25"/>
      <c r="D96" s="25"/>
      <c r="E96" s="25"/>
      <c r="F96" s="89" t="s">
        <v>72</v>
      </c>
      <c r="G96" s="25">
        <f>IF(C91=0,"",INDEX('Base de Dados e filtragem'!$V:$V,MATCH(C91,'Base de Dados e filtragem'!$AB:$AB,0)))</f>
        <v>0</v>
      </c>
      <c r="H96" s="25"/>
      <c r="J96" s="25"/>
      <c r="K96" s="25"/>
      <c r="L96" s="25"/>
      <c r="M96" s="89" t="s">
        <v>72</v>
      </c>
      <c r="N96" s="25">
        <f>IF(J91=0,"",INDEX('Base de Dados e filtragem'!$V:$V,MATCH(J91,'Base de Dados e filtragem'!$AB:$AB,0)))</f>
        <v>0</v>
      </c>
      <c r="O96" s="25"/>
      <c r="Q96" s="25"/>
      <c r="R96" s="25"/>
      <c r="S96" s="25"/>
      <c r="T96" s="89" t="s">
        <v>72</v>
      </c>
      <c r="U96" s="25">
        <f>IF(Q91=0,"",INDEX('Base de Dados e filtragem'!$V:$V,MATCH(Q91,'Base de Dados e filtragem'!$AB:$AB,0)))</f>
        <v>0</v>
      </c>
      <c r="V96" s="25"/>
      <c r="X96" s="25"/>
      <c r="Y96" s="25"/>
      <c r="Z96" s="25"/>
      <c r="AA96" s="89" t="s">
        <v>72</v>
      </c>
      <c r="AB96" s="25">
        <f>IF(X91=0,"",INDEX('Base de Dados e filtragem'!$V:$V,MATCH(X91,'Base de Dados e filtragem'!$AB:$AB,0)))</f>
        <v>0</v>
      </c>
      <c r="AC96" s="25"/>
    </row>
    <row r="97" spans="3:29" x14ac:dyDescent="0.25">
      <c r="C97" s="25"/>
      <c r="D97" s="25"/>
      <c r="E97" s="25"/>
      <c r="F97" s="25"/>
      <c r="G97" s="25"/>
      <c r="H97" s="25"/>
      <c r="J97" s="25"/>
      <c r="K97" s="25"/>
      <c r="L97" s="25"/>
      <c r="M97" s="25"/>
      <c r="N97" s="25"/>
      <c r="O97" s="25"/>
      <c r="Q97" s="25"/>
      <c r="R97" s="25"/>
      <c r="S97" s="25"/>
      <c r="T97" s="25"/>
      <c r="U97" s="25"/>
      <c r="V97" s="25"/>
      <c r="X97" s="25"/>
      <c r="Y97" s="25"/>
      <c r="Z97" s="25"/>
      <c r="AA97" s="25"/>
      <c r="AB97" s="25"/>
      <c r="AC97" s="25"/>
    </row>
    <row r="98" spans="3:29" x14ac:dyDescent="0.25">
      <c r="C98" s="89" t="s">
        <v>94</v>
      </c>
      <c r="D98" s="25">
        <f>IF(C91=0,"",INDEX('Base de Dados e filtragem'!$D:$D,MATCH(C91,'Base de Dados e filtragem'!$AB:$AB,0)))</f>
        <v>0</v>
      </c>
      <c r="E98" s="25"/>
      <c r="F98" s="25"/>
      <c r="G98" s="25"/>
      <c r="H98" s="25"/>
      <c r="J98" s="89" t="s">
        <v>94</v>
      </c>
      <c r="K98" s="25">
        <f>IF(J91=0,"",INDEX('Base de Dados e filtragem'!$D:$D,MATCH(J91,'Base de Dados e filtragem'!$AB:$AB,0)))</f>
        <v>0</v>
      </c>
      <c r="L98" s="25"/>
      <c r="M98" s="25"/>
      <c r="N98" s="25"/>
      <c r="O98" s="25"/>
      <c r="Q98" s="89" t="s">
        <v>94</v>
      </c>
      <c r="R98" s="25">
        <f>IF(Q91=0,"",INDEX('Base de Dados e filtragem'!$D:$D,MATCH(Q91,'Base de Dados e filtragem'!$AB:$AB,0)))</f>
        <v>0</v>
      </c>
      <c r="S98" s="25"/>
      <c r="T98" s="25"/>
      <c r="U98" s="25"/>
      <c r="V98" s="25"/>
      <c r="X98" s="89" t="s">
        <v>94</v>
      </c>
      <c r="Y98" s="25">
        <f>IF(X91=0,"",INDEX('Base de Dados e filtragem'!$D:$D,MATCH(X91,'Base de Dados e filtragem'!$AB:$AB,0)))</f>
        <v>0</v>
      </c>
      <c r="Z98" s="25"/>
      <c r="AA98" s="25"/>
      <c r="AB98" s="25"/>
      <c r="AC98" s="25"/>
    </row>
    <row r="99" spans="3:29" x14ac:dyDescent="0.25">
      <c r="C99" s="89" t="s">
        <v>52</v>
      </c>
      <c r="D99" s="25">
        <f>IF(C91=0,"",INDEX('Base de Dados e filtragem'!$E:$E,MATCH(C91,'Base de Dados e filtragem'!$AB:$AB,0)))</f>
        <v>0</v>
      </c>
      <c r="E99" s="25"/>
      <c r="F99" s="25"/>
      <c r="G99" s="25"/>
      <c r="H99" s="25"/>
      <c r="J99" s="89" t="s">
        <v>52</v>
      </c>
      <c r="K99" s="25">
        <f>IF(J91=0,"",INDEX('Base de Dados e filtragem'!$E:$E,MATCH(J91,'Base de Dados e filtragem'!$AB:$AB,0)))</f>
        <v>0</v>
      </c>
      <c r="L99" s="25"/>
      <c r="M99" s="25"/>
      <c r="N99" s="25"/>
      <c r="O99" s="25"/>
      <c r="Q99" s="89" t="s">
        <v>52</v>
      </c>
      <c r="R99" s="25">
        <f>IF(Q91=0,"",INDEX('Base de Dados e filtragem'!$E:$E,MATCH(Q91,'Base de Dados e filtragem'!$AB:$AB,0)))</f>
        <v>0</v>
      </c>
      <c r="S99" s="25"/>
      <c r="T99" s="25"/>
      <c r="U99" s="25"/>
      <c r="V99" s="25"/>
      <c r="X99" s="89" t="s">
        <v>52</v>
      </c>
      <c r="Y99" s="25">
        <f>IF(X91=0,"",INDEX('Base de Dados e filtragem'!$E:$E,MATCH(X91,'Base de Dados e filtragem'!$AB:$AB,0)))</f>
        <v>0</v>
      </c>
      <c r="Z99" s="25"/>
      <c r="AA99" s="25"/>
      <c r="AB99" s="25"/>
      <c r="AC99" s="25"/>
    </row>
    <row r="100" spans="3:29" x14ac:dyDescent="0.25">
      <c r="C100" s="89" t="s">
        <v>49</v>
      </c>
      <c r="D100" s="25">
        <f>IF(C91=0,"",INDEX('Base de Dados e filtragem'!$B:$B,MATCH(C91,'Base de Dados e filtragem'!$AB:$AB,0)))</f>
        <v>0</v>
      </c>
      <c r="E100" s="25"/>
      <c r="F100" s="25"/>
      <c r="G100" s="25"/>
      <c r="H100" s="25"/>
      <c r="J100" s="89" t="s">
        <v>49</v>
      </c>
      <c r="K100" s="25">
        <f>IF(J91=0,"",INDEX('Base de Dados e filtragem'!$B:$B,MATCH(J91,'Base de Dados e filtragem'!$AB:$AB,0)))</f>
        <v>0</v>
      </c>
      <c r="L100" s="25"/>
      <c r="M100" s="25"/>
      <c r="N100" s="25"/>
      <c r="O100" s="25"/>
      <c r="Q100" s="89" t="s">
        <v>49</v>
      </c>
      <c r="R100" s="25">
        <f>IF(Q91=0,"",INDEX('Base de Dados e filtragem'!$B:$B,MATCH(Q91,'Base de Dados e filtragem'!$AB:$AB,0)))</f>
        <v>0</v>
      </c>
      <c r="S100" s="25"/>
      <c r="T100" s="25"/>
      <c r="U100" s="25"/>
      <c r="V100" s="25"/>
      <c r="X100" s="89" t="s">
        <v>49</v>
      </c>
      <c r="Y100" s="25">
        <f>IF(X91=0,"",INDEX('Base de Dados e filtragem'!$B:$B,MATCH(X91,'Base de Dados e filtragem'!$AB:$AB,0)))</f>
        <v>0</v>
      </c>
      <c r="Z100" s="25"/>
      <c r="AA100" s="25"/>
      <c r="AB100" s="25"/>
      <c r="AC100" s="25"/>
    </row>
    <row r="101" spans="3:29" x14ac:dyDescent="0.25">
      <c r="C101" s="89" t="s">
        <v>50</v>
      </c>
      <c r="D101" s="25">
        <f>IF(C91=0,"",INDEX('Base de Dados e filtragem'!$C:$C,MATCH(C91,'Base de Dados e filtragem'!$AB:$AB,0)))</f>
        <v>0</v>
      </c>
      <c r="E101" s="25"/>
      <c r="F101" s="25"/>
      <c r="G101" s="25"/>
      <c r="H101" s="25"/>
      <c r="J101" s="89" t="s">
        <v>50</v>
      </c>
      <c r="K101" s="25">
        <f>IF(J91=0,"",INDEX('Base de Dados e filtragem'!$C:$C,MATCH(J91,'Base de Dados e filtragem'!$AB:$AB,0)))</f>
        <v>0</v>
      </c>
      <c r="L101" s="25"/>
      <c r="M101" s="25"/>
      <c r="N101" s="25"/>
      <c r="O101" s="25"/>
      <c r="Q101" s="89" t="s">
        <v>50</v>
      </c>
      <c r="R101" s="25">
        <f>IF(Q91=0,"",INDEX('Base de Dados e filtragem'!$C:$C,MATCH(Q91,'Base de Dados e filtragem'!$AB:$AB,0)))</f>
        <v>0</v>
      </c>
      <c r="S101" s="25"/>
      <c r="T101" s="25"/>
      <c r="U101" s="25"/>
      <c r="V101" s="25"/>
      <c r="X101" s="89" t="s">
        <v>50</v>
      </c>
      <c r="Y101" s="25">
        <f>IF(X91=0,"",INDEX('Base de Dados e filtragem'!$C:$C,MATCH(X91,'Base de Dados e filtragem'!$AB:$AB,0)))</f>
        <v>0</v>
      </c>
      <c r="Z101" s="25"/>
      <c r="AA101" s="25"/>
      <c r="AB101" s="25"/>
      <c r="AC101" s="25"/>
    </row>
    <row r="102" spans="3:29" x14ac:dyDescent="0.25">
      <c r="C102" s="89" t="s">
        <v>51</v>
      </c>
      <c r="D102" s="25">
        <f>IF(C91=0,"",INDEX('Base de Dados e filtragem'!$A:$A,MATCH(C91,'Base de Dados e filtragem'!$AB:$AB,0)))</f>
        <v>0</v>
      </c>
      <c r="E102" s="25"/>
      <c r="F102" s="25"/>
      <c r="G102" s="25"/>
      <c r="H102" s="25"/>
      <c r="J102" s="89" t="s">
        <v>51</v>
      </c>
      <c r="K102" s="25">
        <f>IF(J91=0,"",INDEX('Base de Dados e filtragem'!$A:$A,MATCH(J91,'Base de Dados e filtragem'!$AB:$AB,0)))</f>
        <v>0</v>
      </c>
      <c r="L102" s="25"/>
      <c r="M102" s="25"/>
      <c r="N102" s="25"/>
      <c r="O102" s="25"/>
      <c r="Q102" s="89" t="s">
        <v>51</v>
      </c>
      <c r="R102" s="25">
        <f>IF(Q91=0,"",INDEX('Base de Dados e filtragem'!$A:$A,MATCH(Q91,'Base de Dados e filtragem'!$AB:$AB,0)))</f>
        <v>0</v>
      </c>
      <c r="S102" s="25"/>
      <c r="T102" s="25"/>
      <c r="U102" s="25"/>
      <c r="V102" s="25"/>
      <c r="X102" s="89" t="s">
        <v>51</v>
      </c>
      <c r="Y102" s="25">
        <f>IF(X91=0,"",INDEX('Base de Dados e filtragem'!$A:$A,MATCH(X91,'Base de Dados e filtragem'!$AB:$AB,0)))</f>
        <v>0</v>
      </c>
      <c r="Z102" s="25"/>
      <c r="AA102" s="25"/>
      <c r="AB102" s="25"/>
      <c r="AC102" s="25"/>
    </row>
    <row r="103" spans="3:29" x14ac:dyDescent="0.25">
      <c r="C103" s="89" t="s">
        <v>59</v>
      </c>
      <c r="D103" s="25">
        <f>IF(C91=0,"",INDEX('Base de Dados e filtragem'!$K:$K,MATCH(C91,'Base de Dados e filtragem'!$AB:$AB,0)))</f>
        <v>0</v>
      </c>
      <c r="E103" s="25"/>
      <c r="F103" s="25"/>
      <c r="G103" s="25"/>
      <c r="H103" s="25"/>
      <c r="J103" s="89" t="s">
        <v>59</v>
      </c>
      <c r="K103" s="25">
        <f>IF(J91=0,"",INDEX('Base de Dados e filtragem'!$K:$K,MATCH(J91,'Base de Dados e filtragem'!$AB:$AB,0)))</f>
        <v>0</v>
      </c>
      <c r="L103" s="25"/>
      <c r="M103" s="25"/>
      <c r="N103" s="25"/>
      <c r="O103" s="25"/>
      <c r="Q103" s="89" t="s">
        <v>59</v>
      </c>
      <c r="R103" s="25">
        <f>IF(Q91=0,"",INDEX('Base de Dados e filtragem'!$K:$K,MATCH(Q91,'Base de Dados e filtragem'!$AB:$AB,0)))</f>
        <v>0</v>
      </c>
      <c r="S103" s="25"/>
      <c r="T103" s="25"/>
      <c r="U103" s="25"/>
      <c r="V103" s="25"/>
      <c r="X103" s="89" t="s">
        <v>59</v>
      </c>
      <c r="Y103" s="25">
        <f>IF(X91=0,"",INDEX('Base de Dados e filtragem'!$K:$K,MATCH(X91,'Base de Dados e filtragem'!$AB:$AB,0)))</f>
        <v>0</v>
      </c>
      <c r="Z103" s="25"/>
      <c r="AA103" s="25"/>
      <c r="AB103" s="25"/>
      <c r="AC103" s="25"/>
    </row>
    <row r="104" spans="3:29" x14ac:dyDescent="0.25">
      <c r="C104" s="89" t="s">
        <v>60</v>
      </c>
      <c r="D104" s="25">
        <f>IF(C91=0,"",INDEX('Base de Dados e filtragem'!$L:$L,MATCH(C91,'Base de Dados e filtragem'!$AB:$AB,0)))</f>
        <v>0</v>
      </c>
      <c r="E104" s="25"/>
      <c r="F104" s="25"/>
      <c r="G104" s="25"/>
      <c r="H104" s="25"/>
      <c r="J104" s="89" t="s">
        <v>60</v>
      </c>
      <c r="K104" s="25">
        <f>IF(J91=0,"",INDEX('Base de Dados e filtragem'!$L:$L,MATCH(J91,'Base de Dados e filtragem'!$AB:$AB,0)))</f>
        <v>0</v>
      </c>
      <c r="L104" s="25"/>
      <c r="M104" s="25"/>
      <c r="N104" s="25"/>
      <c r="O104" s="25"/>
      <c r="Q104" s="89" t="s">
        <v>60</v>
      </c>
      <c r="R104" s="25">
        <f>IF(Q91=0,"",INDEX('Base de Dados e filtragem'!$L:$L,MATCH(Q91,'Base de Dados e filtragem'!$AB:$AB,0)))</f>
        <v>0</v>
      </c>
      <c r="S104" s="25"/>
      <c r="T104" s="25"/>
      <c r="U104" s="25"/>
      <c r="V104" s="25"/>
      <c r="X104" s="89" t="s">
        <v>60</v>
      </c>
      <c r="Y104" s="25">
        <f>IF(X91=0,"",INDEX('Base de Dados e filtragem'!$L:$L,MATCH(X91,'Base de Dados e filtragem'!$AB:$AB,0)))</f>
        <v>0</v>
      </c>
      <c r="Z104" s="25"/>
      <c r="AA104" s="25"/>
      <c r="AB104" s="25"/>
      <c r="AC104" s="25"/>
    </row>
    <row r="105" spans="3:29" x14ac:dyDescent="0.25">
      <c r="C105" s="89" t="s">
        <v>61</v>
      </c>
      <c r="D105" s="25">
        <f>IF(C91=0,"",INDEX('Base de Dados e filtragem'!$N:$N,MATCH(C91,'Base de Dados e filtragem'!$AB:$AB,0)))</f>
        <v>0</v>
      </c>
      <c r="E105" s="25"/>
      <c r="F105" s="91" t="s">
        <v>68</v>
      </c>
      <c r="G105" s="25">
        <f>IF(C91=0,"",INDEX('Base de Dados e filtragem'!$Z:$Z,MATCH(C91,'Base de Dados e filtragem'!$AB:$AB,0)))</f>
        <v>0</v>
      </c>
      <c r="H105" s="25"/>
      <c r="J105" s="89" t="s">
        <v>61</v>
      </c>
      <c r="K105" s="25">
        <f>IF(J91=0,"",INDEX('Base de Dados e filtragem'!$N:$N,MATCH(J91,'Base de Dados e filtragem'!$AB:$AB,0)))</f>
        <v>0</v>
      </c>
      <c r="L105" s="25"/>
      <c r="M105" s="91" t="s">
        <v>68</v>
      </c>
      <c r="N105" s="25">
        <f>IF(J91=0,"",INDEX('Base de Dados e filtragem'!$Z:$Z,MATCH(J91,'Base de Dados e filtragem'!$AB:$AB,0)))</f>
        <v>0</v>
      </c>
      <c r="O105" s="25"/>
      <c r="Q105" s="89" t="s">
        <v>61</v>
      </c>
      <c r="R105" s="25">
        <f>IF(Q91=0,"",INDEX('Base de Dados e filtragem'!$N:$N,MATCH(Q91,'Base de Dados e filtragem'!$AB:$AB,0)))</f>
        <v>0</v>
      </c>
      <c r="S105" s="25"/>
      <c r="T105" s="91" t="s">
        <v>68</v>
      </c>
      <c r="U105" s="25">
        <f>IF(Q91=0,"",INDEX('Base de Dados e filtragem'!$Z:$Z,MATCH(Q91,'Base de Dados e filtragem'!$AB:$AB,0)))</f>
        <v>0</v>
      </c>
      <c r="V105" s="25"/>
      <c r="X105" s="89" t="s">
        <v>61</v>
      </c>
      <c r="Y105" s="25">
        <f>IF(X91=0,"",INDEX('Base de Dados e filtragem'!$N:$N,MATCH(X91,'Base de Dados e filtragem'!$AB:$AB,0)))</f>
        <v>0</v>
      </c>
      <c r="Z105" s="25"/>
      <c r="AA105" s="91" t="s">
        <v>68</v>
      </c>
      <c r="AB105" s="25">
        <f>IF(X91=0,"",INDEX('Base de Dados e filtragem'!$Z:$Z,MATCH(X91,'Base de Dados e filtragem'!$AB:$AB,0)))</f>
        <v>0</v>
      </c>
      <c r="AC105" s="25"/>
    </row>
    <row r="106" spans="3:29" x14ac:dyDescent="0.25">
      <c r="C106" s="90" t="s">
        <v>66</v>
      </c>
      <c r="D106" s="88">
        <f>IF(C91=0,"",INDEX('Base de Dados e filtragem'!$W:$W,MATCH(C91,'Base de Dados e filtragem'!$AB:$AB,0)))</f>
        <v>0</v>
      </c>
      <c r="E106" s="90" t="s">
        <v>67</v>
      </c>
      <c r="F106" s="88">
        <f>IF(C91=0,"",INDEX('Base de Dados e filtragem'!$X:$X,MATCH(C91,'Base de Dados e filtragem'!$AB:$AB,0)))</f>
        <v>0</v>
      </c>
      <c r="G106" s="90" t="s">
        <v>70</v>
      </c>
      <c r="H106" s="88">
        <f>IF(C91=0,"",INDEX('Base de Dados e filtragem'!$Y:$Y,MATCH(C91,'Base de Dados e filtragem'!$AB:$AB,0)))</f>
        <v>0</v>
      </c>
      <c r="J106" s="90" t="s">
        <v>66</v>
      </c>
      <c r="K106" s="88">
        <f>IF(J91=0,"",INDEX('Base de Dados e filtragem'!$W:$W,MATCH(J91,'Base de Dados e filtragem'!$AB:$AB,0)))</f>
        <v>0</v>
      </c>
      <c r="L106" s="90" t="s">
        <v>67</v>
      </c>
      <c r="M106" s="88">
        <f>IF(J91=0,"",INDEX('Base de Dados e filtragem'!$X:$X,MATCH(J91,'Base de Dados e filtragem'!$AB:$AB,0)))</f>
        <v>0</v>
      </c>
      <c r="N106" s="90" t="s">
        <v>70</v>
      </c>
      <c r="O106" s="88">
        <f>IF(J91=0,"",INDEX('Base de Dados e filtragem'!$Y:$Y,MATCH(J91,'Base de Dados e filtragem'!$AB:$AB,0)))</f>
        <v>0</v>
      </c>
      <c r="Q106" s="90" t="s">
        <v>66</v>
      </c>
      <c r="R106" s="88">
        <f>IF(Q91=0,"",INDEX('Base de Dados e filtragem'!$W:$W,MATCH(Q91,'Base de Dados e filtragem'!$AB:$AB,0)))</f>
        <v>0</v>
      </c>
      <c r="S106" s="90" t="s">
        <v>67</v>
      </c>
      <c r="T106" s="88">
        <f>IF(Q91=0,"",INDEX('Base de Dados e filtragem'!$X:$X,MATCH(Q91,'Base de Dados e filtragem'!$AB:$AB,0)))</f>
        <v>0</v>
      </c>
      <c r="U106" s="90" t="s">
        <v>70</v>
      </c>
      <c r="V106" s="88">
        <f>IF(Q91=0,"",INDEX('Base de Dados e filtragem'!$Y:$Y,MATCH(Q91,'Base de Dados e filtragem'!$AB:$AB,0)))</f>
        <v>0</v>
      </c>
      <c r="X106" s="90" t="s">
        <v>66</v>
      </c>
      <c r="Y106" s="88">
        <f>IF(X91=0,"",INDEX('Base de Dados e filtragem'!$W:$W,MATCH(X91,'Base de Dados e filtragem'!$AB:$AB,0)))</f>
        <v>0</v>
      </c>
      <c r="Z106" s="90" t="s">
        <v>67</v>
      </c>
      <c r="AA106" s="88">
        <f>IF(X91=0,"",INDEX('Base de Dados e filtragem'!$X:$X,MATCH(X91,'Base de Dados e filtragem'!$AB:$AB,0)))</f>
        <v>0</v>
      </c>
      <c r="AB106" s="90" t="s">
        <v>70</v>
      </c>
      <c r="AC106" s="88">
        <f>IF(X91=0,"",INDEX('Base de Dados e filtragem'!$Y:$Y,MATCH(X91,'Base de Dados e filtragem'!$AB:$AB,0)))</f>
        <v>0</v>
      </c>
    </row>
    <row r="107" spans="3:29" x14ac:dyDescent="0.25">
      <c r="V107" s="1"/>
    </row>
    <row r="108" spans="3:29" x14ac:dyDescent="0.25">
      <c r="V108" s="1"/>
    </row>
    <row r="109" spans="3:29" x14ac:dyDescent="0.25">
      <c r="C109" s="25">
        <v>17</v>
      </c>
      <c r="D109" s="25" t="s">
        <v>83</v>
      </c>
      <c r="E109" s="25"/>
      <c r="F109" s="89" t="s">
        <v>57</v>
      </c>
      <c r="G109" s="25">
        <f>IF(C116=0,"",INDEX('Base de Dados e filtragem'!$I:$I,MATCH(C116,'Base de Dados e filtragem'!$AB:$AB,0)))</f>
        <v>0</v>
      </c>
      <c r="H109" s="25"/>
      <c r="J109" s="25">
        <v>18</v>
      </c>
      <c r="K109" s="25" t="s">
        <v>83</v>
      </c>
      <c r="L109" s="25"/>
      <c r="M109" s="89" t="s">
        <v>57</v>
      </c>
      <c r="N109" s="25">
        <f>IF(J116=0,"",INDEX('Base de Dados e filtragem'!$I:$I,MATCH(J116,'Base de Dados e filtragem'!$AB:$AB,0)))</f>
        <v>0</v>
      </c>
      <c r="O109" s="25"/>
      <c r="Q109" s="25">
        <v>19</v>
      </c>
      <c r="R109" s="25" t="s">
        <v>83</v>
      </c>
      <c r="S109" s="25"/>
      <c r="T109" s="89" t="s">
        <v>57</v>
      </c>
      <c r="U109" s="25">
        <f>IF(Q116=0,"",INDEX('Base de Dados e filtragem'!$I:$I,MATCH(Q116,'Base de Dados e filtragem'!$AB:$AB,0)))</f>
        <v>0</v>
      </c>
      <c r="V109" s="25"/>
      <c r="X109" s="25">
        <v>20</v>
      </c>
      <c r="Y109" s="25" t="s">
        <v>83</v>
      </c>
      <c r="Z109" s="25"/>
      <c r="AA109" s="89" t="s">
        <v>57</v>
      </c>
      <c r="AB109" s="25">
        <f>IF(X116=0,"",INDEX('Base de Dados e filtragem'!$I:$I,MATCH(X116,'Base de Dados e filtragem'!$AB:$AB,0)))</f>
        <v>0</v>
      </c>
      <c r="AC109" s="25"/>
    </row>
    <row r="110" spans="3:29" x14ac:dyDescent="0.25">
      <c r="C110" s="25">
        <f>VLOOKUP(C109,AuxiliarGrid!$BM$57:$BP$87,2,FALSE)</f>
        <v>1309.8</v>
      </c>
      <c r="D110" s="25" t="s">
        <v>84</v>
      </c>
      <c r="E110" s="25"/>
      <c r="F110" s="89" t="s">
        <v>58</v>
      </c>
      <c r="G110" s="25">
        <f>IF(C116=0,"",INDEX('Base de Dados e filtragem'!$J:$J,MATCH(C116,'Base de Dados e filtragem'!$AB:$AB,0)))</f>
        <v>0</v>
      </c>
      <c r="H110" s="25"/>
      <c r="J110" s="25">
        <f>VLOOKUP(J109,AuxiliarGrid!$BM$57:$BP$87,2,FALSE)</f>
        <v>1309.8</v>
      </c>
      <c r="K110" s="25" t="s">
        <v>84</v>
      </c>
      <c r="L110" s="25"/>
      <c r="M110" s="89" t="s">
        <v>58</v>
      </c>
      <c r="N110" s="25">
        <f>IF(J116=0,"",INDEX('Base de Dados e filtragem'!$J:$J,MATCH(J116,'Base de Dados e filtragem'!$AB:$AB,0)))</f>
        <v>0</v>
      </c>
      <c r="O110" s="25"/>
      <c r="Q110" s="25">
        <f>VLOOKUP(Q109,AuxiliarGrid!$BM$57:$BP$87,2,FALSE)</f>
        <v>1309.8</v>
      </c>
      <c r="R110" s="25" t="s">
        <v>84</v>
      </c>
      <c r="S110" s="25"/>
      <c r="T110" s="89" t="s">
        <v>58</v>
      </c>
      <c r="U110" s="25">
        <f>IF(Q116=0,"",INDEX('Base de Dados e filtragem'!$J:$J,MATCH(Q116,'Base de Dados e filtragem'!$AB:$AB,0)))</f>
        <v>0</v>
      </c>
      <c r="V110" s="25"/>
      <c r="X110" s="25">
        <f>VLOOKUP(X109,AuxiliarGrid!$BM$57:$BP$87,2,FALSE)</f>
        <v>1309.8</v>
      </c>
      <c r="Y110" s="25" t="s">
        <v>84</v>
      </c>
      <c r="Z110" s="25"/>
      <c r="AA110" s="89" t="s">
        <v>58</v>
      </c>
      <c r="AB110" s="25">
        <f>IF(X116=0,"",INDEX('Base de Dados e filtragem'!$J:$J,MATCH(X116,'Base de Dados e filtragem'!$AB:$AB,0)))</f>
        <v>0</v>
      </c>
      <c r="AC110" s="25"/>
    </row>
    <row r="111" spans="3:29" x14ac:dyDescent="0.25">
      <c r="C111" s="25">
        <f>VLOOKUP(C109,AuxiliarGrid!$BM$57:$BP$87,3,FALSE)</f>
        <v>29.4</v>
      </c>
      <c r="D111" s="25" t="s">
        <v>85</v>
      </c>
      <c r="E111" s="25"/>
      <c r="F111" s="89" t="s">
        <v>53</v>
      </c>
      <c r="G111" s="25">
        <f>IF(C116=0,"",INDEX('Base de Dados e filtragem'!$F:$F,MATCH(C116,'Base de Dados e filtragem'!$AB:$AB,0)))</f>
        <v>0</v>
      </c>
      <c r="H111" s="25"/>
      <c r="J111" s="25">
        <f>VLOOKUP(J109,AuxiliarGrid!$BM$57:$BP$87,3,FALSE)</f>
        <v>289.79999999999995</v>
      </c>
      <c r="K111" s="25" t="s">
        <v>85</v>
      </c>
      <c r="L111" s="25"/>
      <c r="M111" s="89" t="s">
        <v>53</v>
      </c>
      <c r="N111" s="25">
        <f>IF(J116=0,"",INDEX('Base de Dados e filtragem'!$F:$F,MATCH(J116,'Base de Dados e filtragem'!$AB:$AB,0)))</f>
        <v>0</v>
      </c>
      <c r="O111" s="25"/>
      <c r="Q111" s="25">
        <f>VLOOKUP(Q109,AuxiliarGrid!$BM$57:$BP$87,3,FALSE)</f>
        <v>550.19999999999993</v>
      </c>
      <c r="R111" s="25" t="s">
        <v>85</v>
      </c>
      <c r="S111" s="25"/>
      <c r="T111" s="89" t="s">
        <v>53</v>
      </c>
      <c r="U111" s="25">
        <f>IF(Q116=0,"",INDEX('Base de Dados e filtragem'!$F:$F,MATCH(Q116,'Base de Dados e filtragem'!$AB:$AB,0)))</f>
        <v>0</v>
      </c>
      <c r="V111" s="25"/>
      <c r="X111" s="25">
        <f>VLOOKUP(X109,AuxiliarGrid!$BM$57:$BP$87,3,FALSE)</f>
        <v>810.59999999999991</v>
      </c>
      <c r="Y111" s="25" t="s">
        <v>85</v>
      </c>
      <c r="Z111" s="25"/>
      <c r="AA111" s="89" t="s">
        <v>53</v>
      </c>
      <c r="AB111" s="25">
        <f>IF(X116=0,"",INDEX('Base de Dados e filtragem'!$F:$F,MATCH(X116,'Base de Dados e filtragem'!$AB:$AB,0)))</f>
        <v>0</v>
      </c>
      <c r="AC111" s="25"/>
    </row>
    <row r="112" spans="3:29" x14ac:dyDescent="0.25">
      <c r="C112" s="25"/>
      <c r="D112" s="25"/>
      <c r="E112" s="25"/>
      <c r="F112" s="89" t="s">
        <v>55</v>
      </c>
      <c r="G112" s="25">
        <f>IF(C116=0,"",INDEX('Base de Dados e filtragem'!$G:$G,MATCH(C116,'Base de Dados e filtragem'!$AB:$AB,0)))</f>
        <v>0</v>
      </c>
      <c r="H112" s="25"/>
      <c r="J112" s="25"/>
      <c r="K112" s="25"/>
      <c r="L112" s="25"/>
      <c r="M112" s="89" t="s">
        <v>55</v>
      </c>
      <c r="N112" s="25">
        <f>IF(J116=0,"",INDEX('Base de Dados e filtragem'!$G:$G,MATCH(J116,'Base de Dados e filtragem'!$AB:$AB,0)))</f>
        <v>0</v>
      </c>
      <c r="O112" s="25"/>
      <c r="Q112" s="25"/>
      <c r="R112" s="25"/>
      <c r="S112" s="25"/>
      <c r="T112" s="89" t="s">
        <v>55</v>
      </c>
      <c r="U112" s="25">
        <f>IF(Q116=0,"",INDEX('Base de Dados e filtragem'!$G:$G,MATCH(Q116,'Base de Dados e filtragem'!$AB:$AB,0)))</f>
        <v>0</v>
      </c>
      <c r="V112" s="25"/>
      <c r="X112" s="25"/>
      <c r="Y112" s="25"/>
      <c r="Z112" s="25"/>
      <c r="AA112" s="89" t="s">
        <v>55</v>
      </c>
      <c r="AB112" s="25">
        <f>IF(X116=0,"",INDEX('Base de Dados e filtragem'!$G:$G,MATCH(X116,'Base de Dados e filtragem'!$AB:$AB,0)))</f>
        <v>0</v>
      </c>
      <c r="AC112" s="25"/>
    </row>
    <row r="113" spans="3:29" x14ac:dyDescent="0.25">
      <c r="C113" s="25"/>
      <c r="D113" s="25"/>
      <c r="E113" s="25"/>
      <c r="F113" s="89" t="s">
        <v>56</v>
      </c>
      <c r="G113" s="25">
        <f>IF(C116=0,"",INDEX('Base de Dados e filtragem'!$H:$H,MATCH(C116,'Base de Dados e filtragem'!$AB:$AB,0)))</f>
        <v>0</v>
      </c>
      <c r="H113" s="25"/>
      <c r="J113" s="25"/>
      <c r="K113" s="25"/>
      <c r="L113" s="25"/>
      <c r="M113" s="89" t="s">
        <v>56</v>
      </c>
      <c r="N113" s="25">
        <f>IF(J116=0,"",INDEX('Base de Dados e filtragem'!$H:$H,MATCH(J116,'Base de Dados e filtragem'!$AB:$AB,0)))</f>
        <v>0</v>
      </c>
      <c r="O113" s="25"/>
      <c r="Q113" s="25"/>
      <c r="R113" s="25"/>
      <c r="S113" s="25"/>
      <c r="T113" s="89" t="s">
        <v>56</v>
      </c>
      <c r="U113" s="25">
        <f>IF(Q116=0,"",INDEX('Base de Dados e filtragem'!$H:$H,MATCH(Q116,'Base de Dados e filtragem'!$AB:$AB,0)))</f>
        <v>0</v>
      </c>
      <c r="V113" s="25"/>
      <c r="X113" s="25"/>
      <c r="Y113" s="25"/>
      <c r="Z113" s="25"/>
      <c r="AA113" s="89" t="s">
        <v>56</v>
      </c>
      <c r="AB113" s="25">
        <f>IF(X116=0,"",INDEX('Base de Dados e filtragem'!$H:$H,MATCH(X116,'Base de Dados e filtragem'!$AB:$AB,0)))</f>
        <v>0</v>
      </c>
      <c r="AC113" s="25"/>
    </row>
    <row r="114" spans="3:29" x14ac:dyDescent="0.25">
      <c r="C114" s="25"/>
      <c r="D114" s="25"/>
      <c r="E114" s="25"/>
      <c r="F114" s="89" t="s">
        <v>93</v>
      </c>
      <c r="G114" s="25">
        <f>IF(C116=0,"",INDEX('Base de Dados e filtragem'!$O:$O,MATCH(C116,'Base de Dados e filtragem'!$AB:$AB,0)))</f>
        <v>0</v>
      </c>
      <c r="H114" s="25"/>
      <c r="J114" s="25"/>
      <c r="K114" s="25"/>
      <c r="L114" s="25"/>
      <c r="M114" s="89" t="s">
        <v>93</v>
      </c>
      <c r="N114" s="25">
        <f>IF(J116=0,"",INDEX('Base de Dados e filtragem'!$O:$O,MATCH(J116,'Base de Dados e filtragem'!$AB:$AB,0)))</f>
        <v>0</v>
      </c>
      <c r="O114" s="25"/>
      <c r="Q114" s="25"/>
      <c r="R114" s="25"/>
      <c r="S114" s="25"/>
      <c r="T114" s="89" t="s">
        <v>93</v>
      </c>
      <c r="U114" s="25">
        <f>IF(Q116=0,"",INDEX('Base de Dados e filtragem'!$O:$O,MATCH(Q116,'Base de Dados e filtragem'!$AB:$AB,0)))</f>
        <v>0</v>
      </c>
      <c r="V114" s="25"/>
      <c r="X114" s="25"/>
      <c r="Y114" s="25"/>
      <c r="Z114" s="25"/>
      <c r="AA114" s="89" t="s">
        <v>93</v>
      </c>
      <c r="AB114" s="25">
        <f>IF(X116=0,"",INDEX('Base de Dados e filtragem'!$O:$O,MATCH(X116,'Base de Dados e filtragem'!$AB:$AB,0)))</f>
        <v>0</v>
      </c>
      <c r="AC114" s="25"/>
    </row>
    <row r="115" spans="3:29" x14ac:dyDescent="0.25">
      <c r="C115" s="25">
        <f>20*($AC$4-1)+C109</f>
        <v>17</v>
      </c>
      <c r="D115" s="25" t="s">
        <v>91</v>
      </c>
      <c r="E115" s="25"/>
      <c r="F115" s="89" t="s">
        <v>62</v>
      </c>
      <c r="G115" s="25">
        <f>IF(C116=0,"",INDEX('Base de Dados e filtragem'!$P:$P,MATCH(C116,'Base de Dados e filtragem'!$AB:$AB,0)))</f>
        <v>0</v>
      </c>
      <c r="H115" s="25"/>
      <c r="J115" s="25">
        <f>20*($AC$4-1)+J109</f>
        <v>18</v>
      </c>
      <c r="K115" s="25" t="s">
        <v>91</v>
      </c>
      <c r="L115" s="25"/>
      <c r="M115" s="89" t="s">
        <v>62</v>
      </c>
      <c r="N115" s="25">
        <f>IF(J116=0,"",INDEX('Base de Dados e filtragem'!$P:$P,MATCH(J116,'Base de Dados e filtragem'!$AB:$AB,0)))</f>
        <v>0</v>
      </c>
      <c r="O115" s="25"/>
      <c r="Q115" s="25">
        <f>20*($AC$4-1)+Q109</f>
        <v>19</v>
      </c>
      <c r="R115" s="25" t="s">
        <v>91</v>
      </c>
      <c r="S115" s="25"/>
      <c r="T115" s="89" t="s">
        <v>62</v>
      </c>
      <c r="U115" s="25">
        <f>IF(Q116=0,"",INDEX('Base de Dados e filtragem'!$P:$P,MATCH(Q116,'Base de Dados e filtragem'!$AB:$AB,0)))</f>
        <v>0</v>
      </c>
      <c r="V115" s="25"/>
      <c r="X115" s="25">
        <f>20*($AC$4-1)+X109</f>
        <v>20</v>
      </c>
      <c r="Y115" s="25" t="s">
        <v>91</v>
      </c>
      <c r="Z115" s="25"/>
      <c r="AA115" s="89" t="s">
        <v>62</v>
      </c>
      <c r="AB115" s="25">
        <f>IF(X116=0,"",INDEX('Base de Dados e filtragem'!$P:$P,MATCH(X116,'Base de Dados e filtragem'!$AB:$AB,0)))</f>
        <v>0</v>
      </c>
      <c r="AC115" s="25"/>
    </row>
    <row r="116" spans="3:29" x14ac:dyDescent="0.25">
      <c r="C116" s="25">
        <f>LARGE('Base de Dados e filtragem'!$AB:$AB,C115)</f>
        <v>0.05</v>
      </c>
      <c r="D116" s="25" t="s">
        <v>86</v>
      </c>
      <c r="E116" s="25"/>
      <c r="F116" s="89" t="s">
        <v>63</v>
      </c>
      <c r="G116" s="25">
        <f>IF(C116=0,"",INDEX('Base de Dados e filtragem'!$Q:$Q,MATCH(C116,'Base de Dados e filtragem'!$AB:$AB,0)))</f>
        <v>0</v>
      </c>
      <c r="H116" s="25"/>
      <c r="J116" s="25">
        <f>LARGE('Base de Dados e filtragem'!$AB:$AB,J115)</f>
        <v>4.7619047619047616E-2</v>
      </c>
      <c r="K116" s="25" t="s">
        <v>86</v>
      </c>
      <c r="L116" s="25"/>
      <c r="M116" s="89" t="s">
        <v>63</v>
      </c>
      <c r="N116" s="25">
        <f>IF(J116=0,"",INDEX('Base de Dados e filtragem'!$Q:$Q,MATCH(J116,'Base de Dados e filtragem'!$AB:$AB,0)))</f>
        <v>0</v>
      </c>
      <c r="O116" s="25"/>
      <c r="Q116" s="25">
        <f>LARGE('Base de Dados e filtragem'!$AB:$AB,Q115)</f>
        <v>4.5454545454545456E-2</v>
      </c>
      <c r="R116" s="25" t="s">
        <v>86</v>
      </c>
      <c r="S116" s="25"/>
      <c r="T116" s="89" t="s">
        <v>63</v>
      </c>
      <c r="U116" s="25">
        <f>IF(Q116=0,"",INDEX('Base de Dados e filtragem'!$Q:$Q,MATCH(Q116,'Base de Dados e filtragem'!$AB:$AB,0)))</f>
        <v>0</v>
      </c>
      <c r="V116" s="25"/>
      <c r="X116" s="25">
        <f>LARGE('Base de Dados e filtragem'!$AB:$AB,X115)</f>
        <v>4.3478260869565216E-2</v>
      </c>
      <c r="Y116" s="25" t="s">
        <v>86</v>
      </c>
      <c r="Z116" s="25"/>
      <c r="AA116" s="89" t="s">
        <v>63</v>
      </c>
      <c r="AB116" s="25">
        <f>IF(X116=0,"",INDEX('Base de Dados e filtragem'!$Q:$Q,MATCH(X116,'Base de Dados e filtragem'!$AB:$AB,0)))</f>
        <v>0</v>
      </c>
      <c r="AC116" s="25"/>
    </row>
    <row r="117" spans="3:29" x14ac:dyDescent="0.25">
      <c r="C117" s="25" t="s">
        <v>92</v>
      </c>
      <c r="D117" s="25"/>
      <c r="E117" s="25"/>
      <c r="F117" s="89" t="s">
        <v>64</v>
      </c>
      <c r="G117" s="25">
        <f>IF(C116=0,"",INDEX('Base de Dados e filtragem'!$R:$R,MATCH(C116,'Base de Dados e filtragem'!$AB:$AB,0)))</f>
        <v>0</v>
      </c>
      <c r="H117" s="25"/>
      <c r="J117" s="25" t="s">
        <v>92</v>
      </c>
      <c r="K117" s="25"/>
      <c r="L117" s="25"/>
      <c r="M117" s="89" t="s">
        <v>64</v>
      </c>
      <c r="N117" s="25">
        <f>IF(J116=0,"",INDEX('Base de Dados e filtragem'!$R:$R,MATCH(J116,'Base de Dados e filtragem'!$AB:$AB,0)))</f>
        <v>0</v>
      </c>
      <c r="O117" s="25"/>
      <c r="Q117" s="25" t="s">
        <v>92</v>
      </c>
      <c r="R117" s="25"/>
      <c r="S117" s="25"/>
      <c r="T117" s="89" t="s">
        <v>64</v>
      </c>
      <c r="U117" s="25">
        <f>IF(Q116=0,"",INDEX('Base de Dados e filtragem'!$R:$R,MATCH(Q116,'Base de Dados e filtragem'!$AB:$AB,0)))</f>
        <v>0</v>
      </c>
      <c r="V117" s="25"/>
      <c r="X117" s="25" t="s">
        <v>92</v>
      </c>
      <c r="Y117" s="25"/>
      <c r="Z117" s="25"/>
      <c r="AA117" s="89" t="s">
        <v>64</v>
      </c>
      <c r="AB117" s="25">
        <f>IF(X116=0,"",INDEX('Base de Dados e filtragem'!$R:$R,MATCH(X116,'Base de Dados e filtragem'!$AB:$AB,0)))</f>
        <v>0</v>
      </c>
      <c r="AC117" s="25"/>
    </row>
    <row r="118" spans="3:29" x14ac:dyDescent="0.25">
      <c r="C118" s="26" t="str">
        <f>INDEX('Base de Dados e filtragem'!$AA:$AA,MATCH(C116,'Base de Dados e filtragem'!$AB:$AB,0))</f>
        <v>Fotos\\.jpg</v>
      </c>
      <c r="D118" s="26"/>
      <c r="E118" s="26"/>
      <c r="F118" s="89" t="s">
        <v>65</v>
      </c>
      <c r="G118" s="26">
        <f>IF(C116=0,"",INDEX('Base de Dados e filtragem'!$S:$S,MATCH(C116,'Base de Dados e filtragem'!$AB:$AB,0)))</f>
        <v>0</v>
      </c>
      <c r="H118" s="26"/>
      <c r="J118" s="26" t="str">
        <f>INDEX('Base de Dados e filtragem'!$AA:$AA,MATCH(J116,'Base de Dados e filtragem'!$AB:$AB,0))</f>
        <v>Fotos\\.jpg</v>
      </c>
      <c r="K118" s="26"/>
      <c r="L118" s="26"/>
      <c r="M118" s="89" t="s">
        <v>65</v>
      </c>
      <c r="N118" s="26">
        <f>IF(J116=0,"",INDEX('Base de Dados e filtragem'!$S:$S,MATCH(J116,'Base de Dados e filtragem'!$AB:$AB,0)))</f>
        <v>0</v>
      </c>
      <c r="O118" s="26"/>
      <c r="Q118" s="26" t="str">
        <f>INDEX('Base de Dados e filtragem'!$AA:$AA,MATCH(Q116,'Base de Dados e filtragem'!$AB:$AB,0))</f>
        <v>Fotos\\.jpg</v>
      </c>
      <c r="R118" s="26"/>
      <c r="S118" s="26"/>
      <c r="T118" s="89" t="s">
        <v>65</v>
      </c>
      <c r="U118" s="26">
        <f>IF(Q116=0,"",INDEX('Base de Dados e filtragem'!$S:$S,MATCH(Q116,'Base de Dados e filtragem'!$AB:$AB,0)))</f>
        <v>0</v>
      </c>
      <c r="V118" s="26"/>
      <c r="X118" s="26" t="str">
        <f>INDEX('Base de Dados e filtragem'!$AA:$AA,MATCH(X116,'Base de Dados e filtragem'!$AB:$AB,0))</f>
        <v>Fotos\\.jpg</v>
      </c>
      <c r="Y118" s="26"/>
      <c r="Z118" s="26"/>
      <c r="AA118" s="89" t="s">
        <v>65</v>
      </c>
      <c r="AB118" s="26">
        <f>IF(X116=0,"",INDEX('Base de Dados e filtragem'!$S:$S,MATCH(X116,'Base de Dados e filtragem'!$AB:$AB,0)))</f>
        <v>0</v>
      </c>
      <c r="AC118" s="26"/>
    </row>
    <row r="119" spans="3:29" x14ac:dyDescent="0.25">
      <c r="C119" s="25"/>
      <c r="D119" s="25"/>
      <c r="E119" s="25"/>
      <c r="F119" s="89" t="s">
        <v>69</v>
      </c>
      <c r="G119" s="25">
        <f>IF(C116=0,"",INDEX('Base de Dados e filtragem'!$T:$T,MATCH(C116,'Base de Dados e filtragem'!$AB:$AB,0)))</f>
        <v>0</v>
      </c>
      <c r="H119" s="25"/>
      <c r="J119" s="25"/>
      <c r="K119" s="25"/>
      <c r="L119" s="25"/>
      <c r="M119" s="89" t="s">
        <v>69</v>
      </c>
      <c r="N119" s="25">
        <f>IF(J116=0,"",INDEX('Base de Dados e filtragem'!$T:$T,MATCH(J116,'Base de Dados e filtragem'!$AB:$AB,0)))</f>
        <v>0</v>
      </c>
      <c r="O119" s="25"/>
      <c r="Q119" s="25"/>
      <c r="R119" s="25"/>
      <c r="S119" s="25"/>
      <c r="T119" s="89" t="s">
        <v>69</v>
      </c>
      <c r="U119" s="25">
        <f>IF(Q116=0,"",INDEX('Base de Dados e filtragem'!$T:$T,MATCH(Q116,'Base de Dados e filtragem'!$AB:$AB,0)))</f>
        <v>0</v>
      </c>
      <c r="V119" s="25"/>
      <c r="X119" s="25"/>
      <c r="Y119" s="25"/>
      <c r="Z119" s="25"/>
      <c r="AA119" s="89" t="s">
        <v>69</v>
      </c>
      <c r="AB119" s="25">
        <f>IF(X116=0,"",INDEX('Base de Dados e filtragem'!$T:$T,MATCH(X116,'Base de Dados e filtragem'!$AB:$AB,0)))</f>
        <v>0</v>
      </c>
      <c r="AC119" s="25"/>
    </row>
    <row r="120" spans="3:29" x14ac:dyDescent="0.25">
      <c r="C120" s="25"/>
      <c r="D120" s="25"/>
      <c r="E120" s="25"/>
      <c r="F120" s="89" t="s">
        <v>71</v>
      </c>
      <c r="G120" s="25">
        <f>IF(C116=0,"",INDEX('Base de Dados e filtragem'!$U:$U,MATCH(C116,'Base de Dados e filtragem'!$AB:$AB,0)))</f>
        <v>0</v>
      </c>
      <c r="H120" s="25"/>
      <c r="J120" s="25"/>
      <c r="K120" s="25"/>
      <c r="L120" s="25"/>
      <c r="M120" s="89" t="s">
        <v>71</v>
      </c>
      <c r="N120" s="25">
        <f>IF(J116=0,"",INDEX('Base de Dados e filtragem'!$U:$U,MATCH(J116,'Base de Dados e filtragem'!$AB:$AB,0)))</f>
        <v>0</v>
      </c>
      <c r="O120" s="25"/>
      <c r="Q120" s="25"/>
      <c r="R120" s="25"/>
      <c r="S120" s="25"/>
      <c r="T120" s="89" t="s">
        <v>71</v>
      </c>
      <c r="U120" s="25">
        <f>IF(Q116=0,"",INDEX('Base de Dados e filtragem'!$U:$U,MATCH(Q116,'Base de Dados e filtragem'!$AB:$AB,0)))</f>
        <v>0</v>
      </c>
      <c r="V120" s="25"/>
      <c r="X120" s="25"/>
      <c r="Y120" s="25"/>
      <c r="Z120" s="25"/>
      <c r="AA120" s="89" t="s">
        <v>71</v>
      </c>
      <c r="AB120" s="25">
        <f>IF(X116=0,"",INDEX('Base de Dados e filtragem'!$U:$U,MATCH(X116,'Base de Dados e filtragem'!$AB:$AB,0)))</f>
        <v>0</v>
      </c>
      <c r="AC120" s="25"/>
    </row>
    <row r="121" spans="3:29" x14ac:dyDescent="0.25">
      <c r="C121" s="25"/>
      <c r="D121" s="25"/>
      <c r="E121" s="25"/>
      <c r="F121" s="89" t="s">
        <v>72</v>
      </c>
      <c r="G121" s="25">
        <f>IF(C116=0,"",INDEX('Base de Dados e filtragem'!$V:$V,MATCH(C116,'Base de Dados e filtragem'!$AB:$AB,0)))</f>
        <v>0</v>
      </c>
      <c r="H121" s="25"/>
      <c r="J121" s="25"/>
      <c r="K121" s="25"/>
      <c r="L121" s="25"/>
      <c r="M121" s="89" t="s">
        <v>72</v>
      </c>
      <c r="N121" s="25">
        <f>IF(J116=0,"",INDEX('Base de Dados e filtragem'!$V:$V,MATCH(J116,'Base de Dados e filtragem'!$AB:$AB,0)))</f>
        <v>0</v>
      </c>
      <c r="O121" s="25"/>
      <c r="Q121" s="25"/>
      <c r="R121" s="25"/>
      <c r="S121" s="25"/>
      <c r="T121" s="89" t="s">
        <v>72</v>
      </c>
      <c r="U121" s="25">
        <f>IF(Q116=0,"",INDEX('Base de Dados e filtragem'!$V:$V,MATCH(Q116,'Base de Dados e filtragem'!$AB:$AB,0)))</f>
        <v>0</v>
      </c>
      <c r="V121" s="25"/>
      <c r="X121" s="25"/>
      <c r="Y121" s="25"/>
      <c r="Z121" s="25"/>
      <c r="AA121" s="89" t="s">
        <v>72</v>
      </c>
      <c r="AB121" s="25">
        <f>IF(X116=0,"",INDEX('Base de Dados e filtragem'!$V:$V,MATCH(X116,'Base de Dados e filtragem'!$AB:$AB,0)))</f>
        <v>0</v>
      </c>
      <c r="AC121" s="25"/>
    </row>
    <row r="122" spans="3:29" x14ac:dyDescent="0.25">
      <c r="C122" s="25"/>
      <c r="D122" s="25"/>
      <c r="E122" s="25"/>
      <c r="F122" s="25"/>
      <c r="G122" s="25"/>
      <c r="H122" s="25"/>
      <c r="J122" s="25"/>
      <c r="K122" s="25"/>
      <c r="L122" s="25"/>
      <c r="M122" s="25"/>
      <c r="N122" s="25"/>
      <c r="O122" s="25"/>
      <c r="Q122" s="25"/>
      <c r="R122" s="25"/>
      <c r="S122" s="25"/>
      <c r="T122" s="25"/>
      <c r="U122" s="25"/>
      <c r="V122" s="25"/>
      <c r="X122" s="25"/>
      <c r="Y122" s="25"/>
      <c r="Z122" s="25"/>
      <c r="AA122" s="25"/>
      <c r="AB122" s="25"/>
      <c r="AC122" s="25"/>
    </row>
    <row r="123" spans="3:29" x14ac:dyDescent="0.25">
      <c r="C123" s="89" t="s">
        <v>94</v>
      </c>
      <c r="D123" s="25">
        <f>IF(C116=0,"",INDEX('Base de Dados e filtragem'!$D:$D,MATCH(C116,'Base de Dados e filtragem'!$AB:$AB,0)))</f>
        <v>0</v>
      </c>
      <c r="E123" s="25"/>
      <c r="F123" s="25"/>
      <c r="G123" s="25"/>
      <c r="H123" s="25"/>
      <c r="J123" s="89" t="s">
        <v>94</v>
      </c>
      <c r="K123" s="25">
        <f>IF(J116=0,"",INDEX('Base de Dados e filtragem'!$D:$D,MATCH(J116,'Base de Dados e filtragem'!$AB:$AB,0)))</f>
        <v>0</v>
      </c>
      <c r="L123" s="25"/>
      <c r="M123" s="25"/>
      <c r="N123" s="25"/>
      <c r="O123" s="25"/>
      <c r="Q123" s="89" t="s">
        <v>94</v>
      </c>
      <c r="R123" s="25">
        <f>IF(Q116=0,"",INDEX('Base de Dados e filtragem'!$D:$D,MATCH(Q116,'Base de Dados e filtragem'!$AB:$AB,0)))</f>
        <v>0</v>
      </c>
      <c r="S123" s="25"/>
      <c r="T123" s="25"/>
      <c r="U123" s="25"/>
      <c r="V123" s="25"/>
      <c r="X123" s="89" t="s">
        <v>94</v>
      </c>
      <c r="Y123" s="25">
        <f>IF(X116=0,"",INDEX('Base de Dados e filtragem'!$D:$D,MATCH(X116,'Base de Dados e filtragem'!$AB:$AB,0)))</f>
        <v>0</v>
      </c>
      <c r="Z123" s="25"/>
      <c r="AA123" s="25"/>
      <c r="AB123" s="25"/>
      <c r="AC123" s="25"/>
    </row>
    <row r="124" spans="3:29" x14ac:dyDescent="0.25">
      <c r="C124" s="89" t="s">
        <v>52</v>
      </c>
      <c r="D124" s="25">
        <f>IF(C116=0,"",INDEX('Base de Dados e filtragem'!$E:$E,MATCH(C116,'Base de Dados e filtragem'!$AB:$AB,0)))</f>
        <v>0</v>
      </c>
      <c r="E124" s="25"/>
      <c r="F124" s="25"/>
      <c r="G124" s="25"/>
      <c r="H124" s="25"/>
      <c r="J124" s="89" t="s">
        <v>52</v>
      </c>
      <c r="K124" s="25">
        <f>IF(J116=0,"",INDEX('Base de Dados e filtragem'!$E:$E,MATCH(J116,'Base de Dados e filtragem'!$AB:$AB,0)))</f>
        <v>0</v>
      </c>
      <c r="L124" s="25"/>
      <c r="M124" s="25"/>
      <c r="N124" s="25"/>
      <c r="O124" s="25"/>
      <c r="Q124" s="89" t="s">
        <v>52</v>
      </c>
      <c r="R124" s="25">
        <f>IF(Q116=0,"",INDEX('Base de Dados e filtragem'!$E:$E,MATCH(Q116,'Base de Dados e filtragem'!$AB:$AB,0)))</f>
        <v>0</v>
      </c>
      <c r="S124" s="25"/>
      <c r="T124" s="25"/>
      <c r="U124" s="25"/>
      <c r="V124" s="25"/>
      <c r="X124" s="89" t="s">
        <v>52</v>
      </c>
      <c r="Y124" s="25">
        <f>IF(X116=0,"",INDEX('Base de Dados e filtragem'!$E:$E,MATCH(X116,'Base de Dados e filtragem'!$AB:$AB,0)))</f>
        <v>0</v>
      </c>
      <c r="Z124" s="25"/>
      <c r="AA124" s="25"/>
      <c r="AB124" s="25"/>
      <c r="AC124" s="25"/>
    </row>
    <row r="125" spans="3:29" x14ac:dyDescent="0.25">
      <c r="C125" s="89" t="s">
        <v>49</v>
      </c>
      <c r="D125" s="25">
        <f>IF(C116=0,"",INDEX('Base de Dados e filtragem'!$B:$B,MATCH(C116,'Base de Dados e filtragem'!$AB:$AB,0)))</f>
        <v>0</v>
      </c>
      <c r="E125" s="25"/>
      <c r="F125" s="25"/>
      <c r="G125" s="25"/>
      <c r="H125" s="25"/>
      <c r="J125" s="89" t="s">
        <v>49</v>
      </c>
      <c r="K125" s="25">
        <f>IF(J116=0,"",INDEX('Base de Dados e filtragem'!$B:$B,MATCH(J116,'Base de Dados e filtragem'!$AB:$AB,0)))</f>
        <v>0</v>
      </c>
      <c r="L125" s="25"/>
      <c r="M125" s="25"/>
      <c r="N125" s="25"/>
      <c r="O125" s="25"/>
      <c r="Q125" s="89" t="s">
        <v>49</v>
      </c>
      <c r="R125" s="25">
        <f>IF(Q116=0,"",INDEX('Base de Dados e filtragem'!$B:$B,MATCH(Q116,'Base de Dados e filtragem'!$AB:$AB,0)))</f>
        <v>0</v>
      </c>
      <c r="S125" s="25"/>
      <c r="T125" s="25"/>
      <c r="U125" s="25"/>
      <c r="V125" s="25"/>
      <c r="X125" s="89" t="s">
        <v>49</v>
      </c>
      <c r="Y125" s="25">
        <f>IF(X116=0,"",INDEX('Base de Dados e filtragem'!$B:$B,MATCH(X116,'Base de Dados e filtragem'!$AB:$AB,0)))</f>
        <v>0</v>
      </c>
      <c r="Z125" s="25"/>
      <c r="AA125" s="25"/>
      <c r="AB125" s="25"/>
      <c r="AC125" s="25"/>
    </row>
    <row r="126" spans="3:29" x14ac:dyDescent="0.25">
      <c r="C126" s="89" t="s">
        <v>50</v>
      </c>
      <c r="D126" s="25">
        <f>IF(C116=0,"",INDEX('Base de Dados e filtragem'!$C:$C,MATCH(C116,'Base de Dados e filtragem'!$AB:$AB,0)))</f>
        <v>0</v>
      </c>
      <c r="E126" s="25"/>
      <c r="F126" s="25"/>
      <c r="G126" s="25"/>
      <c r="H126" s="25"/>
      <c r="J126" s="89" t="s">
        <v>50</v>
      </c>
      <c r="K126" s="25">
        <f>IF(J116=0,"",INDEX('Base de Dados e filtragem'!$C:$C,MATCH(J116,'Base de Dados e filtragem'!$AB:$AB,0)))</f>
        <v>0</v>
      </c>
      <c r="L126" s="25"/>
      <c r="M126" s="25"/>
      <c r="N126" s="25"/>
      <c r="O126" s="25"/>
      <c r="Q126" s="89" t="s">
        <v>50</v>
      </c>
      <c r="R126" s="25">
        <f>IF(Q116=0,"",INDEX('Base de Dados e filtragem'!$C:$C,MATCH(Q116,'Base de Dados e filtragem'!$AB:$AB,0)))</f>
        <v>0</v>
      </c>
      <c r="S126" s="25"/>
      <c r="T126" s="25"/>
      <c r="U126" s="25"/>
      <c r="V126" s="25"/>
      <c r="X126" s="89" t="s">
        <v>50</v>
      </c>
      <c r="Y126" s="25">
        <f>IF(X116=0,"",INDEX('Base de Dados e filtragem'!$C:$C,MATCH(X116,'Base de Dados e filtragem'!$AB:$AB,0)))</f>
        <v>0</v>
      </c>
      <c r="Z126" s="25"/>
      <c r="AA126" s="25"/>
      <c r="AB126" s="25"/>
      <c r="AC126" s="25"/>
    </row>
    <row r="127" spans="3:29" x14ac:dyDescent="0.25">
      <c r="C127" s="89" t="s">
        <v>51</v>
      </c>
      <c r="D127" s="25">
        <f>IF(C116=0,"",INDEX('Base de Dados e filtragem'!$A:$A,MATCH(C116,'Base de Dados e filtragem'!$AB:$AB,0)))</f>
        <v>0</v>
      </c>
      <c r="E127" s="25"/>
      <c r="F127" s="25"/>
      <c r="G127" s="25"/>
      <c r="H127" s="25"/>
      <c r="J127" s="89" t="s">
        <v>51</v>
      </c>
      <c r="K127" s="25">
        <f>IF(J116=0,"",INDEX('Base de Dados e filtragem'!$A:$A,MATCH(J116,'Base de Dados e filtragem'!$AB:$AB,0)))</f>
        <v>0</v>
      </c>
      <c r="L127" s="25"/>
      <c r="M127" s="25"/>
      <c r="N127" s="25"/>
      <c r="O127" s="25"/>
      <c r="Q127" s="89" t="s">
        <v>51</v>
      </c>
      <c r="R127" s="25">
        <f>IF(Q116=0,"",INDEX('Base de Dados e filtragem'!$A:$A,MATCH(Q116,'Base de Dados e filtragem'!$AB:$AB,0)))</f>
        <v>0</v>
      </c>
      <c r="S127" s="25"/>
      <c r="T127" s="25"/>
      <c r="U127" s="25"/>
      <c r="V127" s="25"/>
      <c r="X127" s="89" t="s">
        <v>51</v>
      </c>
      <c r="Y127" s="25">
        <f>IF(X116=0,"",INDEX('Base de Dados e filtragem'!$A:$A,MATCH(X116,'Base de Dados e filtragem'!$AB:$AB,0)))</f>
        <v>0</v>
      </c>
      <c r="Z127" s="25"/>
      <c r="AA127" s="25"/>
      <c r="AB127" s="25"/>
      <c r="AC127" s="25"/>
    </row>
    <row r="128" spans="3:29" x14ac:dyDescent="0.25">
      <c r="C128" s="89" t="s">
        <v>59</v>
      </c>
      <c r="D128" s="25">
        <f>IF(C116=0,"",INDEX('Base de Dados e filtragem'!$K:$K,MATCH(C116,'Base de Dados e filtragem'!$AB:$AB,0)))</f>
        <v>0</v>
      </c>
      <c r="E128" s="25"/>
      <c r="F128" s="25"/>
      <c r="G128" s="25"/>
      <c r="H128" s="25"/>
      <c r="J128" s="89" t="s">
        <v>59</v>
      </c>
      <c r="K128" s="25">
        <f>IF(J116=0,"",INDEX('Base de Dados e filtragem'!$K:$K,MATCH(J116,'Base de Dados e filtragem'!$AB:$AB,0)))</f>
        <v>0</v>
      </c>
      <c r="L128" s="25"/>
      <c r="M128" s="25"/>
      <c r="N128" s="25"/>
      <c r="O128" s="25"/>
      <c r="Q128" s="89" t="s">
        <v>59</v>
      </c>
      <c r="R128" s="25">
        <f>IF(Q116=0,"",INDEX('Base de Dados e filtragem'!$K:$K,MATCH(Q116,'Base de Dados e filtragem'!$AB:$AB,0)))</f>
        <v>0</v>
      </c>
      <c r="S128" s="25"/>
      <c r="T128" s="25"/>
      <c r="U128" s="25"/>
      <c r="V128" s="25"/>
      <c r="X128" s="89" t="s">
        <v>59</v>
      </c>
      <c r="Y128" s="25">
        <f>IF(X116=0,"",INDEX('Base de Dados e filtragem'!$K:$K,MATCH(X116,'Base de Dados e filtragem'!$AB:$AB,0)))</f>
        <v>0</v>
      </c>
      <c r="Z128" s="25"/>
      <c r="AA128" s="25"/>
      <c r="AB128" s="25"/>
      <c r="AC128" s="25"/>
    </row>
    <row r="129" spans="3:29" x14ac:dyDescent="0.25">
      <c r="C129" s="89" t="s">
        <v>60</v>
      </c>
      <c r="D129" s="25">
        <f>IF(C116=0,"",INDEX('Base de Dados e filtragem'!$L:$L,MATCH(C116,'Base de Dados e filtragem'!$AB:$AB,0)))</f>
        <v>0</v>
      </c>
      <c r="E129" s="25"/>
      <c r="F129" s="25"/>
      <c r="G129" s="25"/>
      <c r="H129" s="25"/>
      <c r="J129" s="89" t="s">
        <v>60</v>
      </c>
      <c r="K129" s="25">
        <f>IF(J116=0,"",INDEX('Base de Dados e filtragem'!$L:$L,MATCH(J116,'Base de Dados e filtragem'!$AB:$AB,0)))</f>
        <v>0</v>
      </c>
      <c r="L129" s="25"/>
      <c r="M129" s="25"/>
      <c r="N129" s="25"/>
      <c r="O129" s="25"/>
      <c r="Q129" s="89" t="s">
        <v>60</v>
      </c>
      <c r="R129" s="25">
        <f>IF(Q116=0,"",INDEX('Base de Dados e filtragem'!$L:$L,MATCH(Q116,'Base de Dados e filtragem'!$AB:$AB,0)))</f>
        <v>0</v>
      </c>
      <c r="S129" s="25"/>
      <c r="T129" s="25"/>
      <c r="U129" s="25"/>
      <c r="V129" s="25"/>
      <c r="X129" s="89" t="s">
        <v>60</v>
      </c>
      <c r="Y129" s="25">
        <f>IF(X116=0,"",INDEX('Base de Dados e filtragem'!$L:$L,MATCH(X116,'Base de Dados e filtragem'!$AB:$AB,0)))</f>
        <v>0</v>
      </c>
      <c r="Z129" s="25"/>
      <c r="AA129" s="25"/>
      <c r="AB129" s="25"/>
      <c r="AC129" s="25"/>
    </row>
    <row r="130" spans="3:29" x14ac:dyDescent="0.25">
      <c r="C130" s="89" t="s">
        <v>61</v>
      </c>
      <c r="D130" s="25">
        <f>IF(C116=0,"",INDEX('Base de Dados e filtragem'!$N:$N,MATCH(C116,'Base de Dados e filtragem'!$AB:$AB,0)))</f>
        <v>0</v>
      </c>
      <c r="E130" s="25"/>
      <c r="F130" s="91" t="s">
        <v>68</v>
      </c>
      <c r="G130" s="25">
        <f>IF(C116=0,"",INDEX('Base de Dados e filtragem'!$Z:$Z,MATCH(C116,'Base de Dados e filtragem'!$AB:$AB,0)))</f>
        <v>0</v>
      </c>
      <c r="H130" s="25"/>
      <c r="J130" s="89" t="s">
        <v>61</v>
      </c>
      <c r="K130" s="25">
        <f>IF(J116=0,"",INDEX('Base de Dados e filtragem'!$N:$N,MATCH(J116,'Base de Dados e filtragem'!$AB:$AB,0)))</f>
        <v>0</v>
      </c>
      <c r="L130" s="25"/>
      <c r="M130" s="91" t="s">
        <v>68</v>
      </c>
      <c r="N130" s="25">
        <f>IF(J116=0,"",INDEX('Base de Dados e filtragem'!$Z:$Z,MATCH(J116,'Base de Dados e filtragem'!$AB:$AB,0)))</f>
        <v>0</v>
      </c>
      <c r="O130" s="25"/>
      <c r="Q130" s="89" t="s">
        <v>61</v>
      </c>
      <c r="R130" s="25">
        <f>IF(Q116=0,"",INDEX('Base de Dados e filtragem'!$N:$N,MATCH(Q116,'Base de Dados e filtragem'!$AB:$AB,0)))</f>
        <v>0</v>
      </c>
      <c r="S130" s="25"/>
      <c r="T130" s="91" t="s">
        <v>68</v>
      </c>
      <c r="U130" s="25">
        <f>IF(Q116=0,"",INDEX('Base de Dados e filtragem'!$Z:$Z,MATCH(Q116,'Base de Dados e filtragem'!$AB:$AB,0)))</f>
        <v>0</v>
      </c>
      <c r="V130" s="25"/>
      <c r="X130" s="89" t="s">
        <v>61</v>
      </c>
      <c r="Y130" s="25">
        <f>IF(X116=0,"",INDEX('Base de Dados e filtragem'!$N:$N,MATCH(X116,'Base de Dados e filtragem'!$AB:$AB,0)))</f>
        <v>0</v>
      </c>
      <c r="Z130" s="25"/>
      <c r="AA130" s="91" t="s">
        <v>68</v>
      </c>
      <c r="AB130" s="25">
        <f>IF(X116=0,"",INDEX('Base de Dados e filtragem'!$Z:$Z,MATCH(X116,'Base de Dados e filtragem'!$AB:$AB,0)))</f>
        <v>0</v>
      </c>
      <c r="AC130" s="25"/>
    </row>
    <row r="131" spans="3:29" x14ac:dyDescent="0.25">
      <c r="C131" s="90" t="s">
        <v>66</v>
      </c>
      <c r="D131" s="88">
        <f>IF(C116=0,"",INDEX('Base de Dados e filtragem'!$W:$W,MATCH(C116,'Base de Dados e filtragem'!$AB:$AB,0)))</f>
        <v>0</v>
      </c>
      <c r="E131" s="90" t="s">
        <v>67</v>
      </c>
      <c r="F131" s="88">
        <f>IF(C116=0,"",INDEX('Base de Dados e filtragem'!$X:$X,MATCH(C116,'Base de Dados e filtragem'!$AB:$AB,0)))</f>
        <v>0</v>
      </c>
      <c r="G131" s="90" t="s">
        <v>70</v>
      </c>
      <c r="H131" s="88">
        <f>IF(C116=0,"",INDEX('Base de Dados e filtragem'!$Y:$Y,MATCH(C116,'Base de Dados e filtragem'!$AB:$AB,0)))</f>
        <v>0</v>
      </c>
      <c r="J131" s="90" t="s">
        <v>66</v>
      </c>
      <c r="K131" s="88">
        <f>IF(J116=0,"",INDEX('Base de Dados e filtragem'!$W:$W,MATCH(J116,'Base de Dados e filtragem'!$AB:$AB,0)))</f>
        <v>0</v>
      </c>
      <c r="L131" s="90" t="s">
        <v>67</v>
      </c>
      <c r="M131" s="88">
        <f>IF(J116=0,"",INDEX('Base de Dados e filtragem'!$X:$X,MATCH(J116,'Base de Dados e filtragem'!$AB:$AB,0)))</f>
        <v>0</v>
      </c>
      <c r="N131" s="90" t="s">
        <v>70</v>
      </c>
      <c r="O131" s="88">
        <f>IF(J116=0,"",INDEX('Base de Dados e filtragem'!$Y:$Y,MATCH(J116,'Base de Dados e filtragem'!$AB:$AB,0)))</f>
        <v>0</v>
      </c>
      <c r="Q131" s="90" t="s">
        <v>66</v>
      </c>
      <c r="R131" s="88">
        <f>IF(Q116=0,"",INDEX('Base de Dados e filtragem'!$W:$W,MATCH(Q116,'Base de Dados e filtragem'!$AB:$AB,0)))</f>
        <v>0</v>
      </c>
      <c r="S131" s="90" t="s">
        <v>67</v>
      </c>
      <c r="T131" s="88">
        <f>IF(Q116=0,"",INDEX('Base de Dados e filtragem'!$X:$X,MATCH(Q116,'Base de Dados e filtragem'!$AB:$AB,0)))</f>
        <v>0</v>
      </c>
      <c r="U131" s="90" t="s">
        <v>70</v>
      </c>
      <c r="V131" s="88">
        <f>IF(Q116=0,"",INDEX('Base de Dados e filtragem'!$Y:$Y,MATCH(Q116,'Base de Dados e filtragem'!$AB:$AB,0)))</f>
        <v>0</v>
      </c>
      <c r="X131" s="90" t="s">
        <v>66</v>
      </c>
      <c r="Y131" s="88">
        <f>IF(X116=0,"",INDEX('Base de Dados e filtragem'!$W:$W,MATCH(X116,'Base de Dados e filtragem'!$AB:$AB,0)))</f>
        <v>0</v>
      </c>
      <c r="Z131" s="90" t="s">
        <v>67</v>
      </c>
      <c r="AA131" s="88">
        <f>IF(X116=0,"",INDEX('Base de Dados e filtragem'!$X:$X,MATCH(X116,'Base de Dados e filtragem'!$AB:$AB,0)))</f>
        <v>0</v>
      </c>
      <c r="AB131" s="90" t="s">
        <v>70</v>
      </c>
      <c r="AC131" s="88">
        <f>IF(X116=0,"",INDEX('Base de Dados e filtragem'!$Y:$Y,MATCH(X116,'Base de Dados e filtragem'!$AB:$AB,0)))</f>
        <v>0</v>
      </c>
    </row>
  </sheetData>
  <mergeCells count="8">
    <mergeCell ref="O4:Q4"/>
    <mergeCell ref="O5:Q5"/>
    <mergeCell ref="O6:Q6"/>
    <mergeCell ref="I2:J2"/>
    <mergeCell ref="I3:J3"/>
    <mergeCell ref="I4:J4"/>
    <mergeCell ref="I5:J5"/>
    <mergeCell ref="I6:J6"/>
  </mergeCells>
  <conditionalFormatting sqref="D3:D6 H2:H6">
    <cfRule type="expression" dxfId="9" priority="7">
      <formula>E2="**tudo**"</formula>
    </cfRule>
  </conditionalFormatting>
  <conditionalFormatting sqref="I2:J6 E3:E6">
    <cfRule type="cellIs" dxfId="8" priority="6" operator="equal">
      <formula>"**tudo**"</formula>
    </cfRule>
  </conditionalFormatting>
  <conditionalFormatting sqref="M4:M5">
    <cfRule type="cellIs" dxfId="7" priority="4" operator="equal">
      <formula>$M$6</formula>
    </cfRule>
  </conditionalFormatting>
  <conditionalFormatting sqref="M5:M6">
    <cfRule type="cellIs" dxfId="6" priority="3" operator="equal">
      <formula>$M$4</formula>
    </cfRule>
  </conditionalFormatting>
  <conditionalFormatting sqref="M4 M6">
    <cfRule type="cellIs" dxfId="5" priority="2" operator="equal">
      <formula>$M$5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309B9643-AEF6-40A7-A683-31FE69BAFE9D}">
            <xm:f>HOME!$E$5="NÃO"</xm:f>
            <x14:dxf>
              <font>
                <color theme="0" tint="-0.14996795556505021"/>
              </font>
            </x14:dxf>
          </x14:cfRule>
          <xm:sqref>X109:Z122 Q109:S122 J109:L122 C109:E122 C84:E97 J84:L97 Q84:S97 X84:Z97 C59:E72 J59:L72 Q59:S72 X59:Z72 C34:E47 J34:L47 Q34:S47 X34:Z47 C9:E22 J9:L22 Q9:S22 X9:Z22</xm:sqref>
        </x14:conditionalFormatting>
        <x14:conditionalFormatting xmlns:xm="http://schemas.microsoft.com/office/excel/2006/main">
          <x14:cfRule type="expression" priority="1" id="{21F627B5-596F-4550-9F33-CD00B3D3F184}">
            <xm:f>HOME!$E$5="NÃO"</xm:f>
            <x14:dxf>
              <font>
                <color theme="0"/>
              </font>
            </x14:dxf>
          </x14:cfRule>
          <xm:sqref>K4:K6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7CF4021A-FE0C-48A7-9F35-239B696A45CC}">
          <x14:formula1>
            <xm:f>'Listas para Validação de Dados'!B5:B8</xm:f>
          </x14:formula1>
          <xm:sqref>E3</xm:sqref>
        </x14:dataValidation>
        <x14:dataValidation type="list" allowBlank="1" showInputMessage="1" showErrorMessage="1" xr:uid="{EF248848-38B1-4C5A-90A3-752D5AC20E27}">
          <x14:formula1>
            <xm:f>'Listas para Validação de Dados'!D5:D8</xm:f>
          </x14:formula1>
          <xm:sqref>E5</xm:sqref>
        </x14:dataValidation>
        <x14:dataValidation type="list" allowBlank="1" showInputMessage="1" showErrorMessage="1" xr:uid="{FC80059F-59C5-4C75-88D8-71779A51C5FA}">
          <x14:formula1>
            <xm:f>'Listas para Validação de Dados'!E5:E8</xm:f>
          </x14:formula1>
          <xm:sqref>E6</xm:sqref>
        </x14:dataValidation>
        <x14:dataValidation type="list" allowBlank="1" showInputMessage="1" showErrorMessage="1" xr:uid="{41D87BED-5420-4513-8973-301862A907EC}">
          <x14:formula1>
            <xm:f>'Listas para Validação de Dados'!F5:F8</xm:f>
          </x14:formula1>
          <xm:sqref>I2:J2</xm:sqref>
        </x14:dataValidation>
        <x14:dataValidation type="list" allowBlank="1" showInputMessage="1" showErrorMessage="1" xr:uid="{03D1C298-DC6C-4D1D-B011-27E8C6C8F9BF}">
          <x14:formula1>
            <xm:f>'Listas para Validação de Dados'!G5:G8</xm:f>
          </x14:formula1>
          <xm:sqref>I3:J3</xm:sqref>
        </x14:dataValidation>
        <x14:dataValidation type="list" allowBlank="1" showInputMessage="1" showErrorMessage="1" xr:uid="{A0BDF83D-9AF5-4236-B07E-C3C686FF90F9}">
          <x14:formula1>
            <xm:f>'Listas para Validação de Dados'!H5:H8</xm:f>
          </x14:formula1>
          <xm:sqref>I4:J4</xm:sqref>
        </x14:dataValidation>
        <x14:dataValidation type="list" allowBlank="1" showInputMessage="1" showErrorMessage="1" xr:uid="{7D48D8D5-704C-4339-9D67-87C34AB9DB40}">
          <x14:formula1>
            <xm:f>'Listas para Validação de Dados'!I5:I8</xm:f>
          </x14:formula1>
          <xm:sqref>I5:J5</xm:sqref>
        </x14:dataValidation>
        <x14:dataValidation type="list" allowBlank="1" showInputMessage="1" showErrorMessage="1" xr:uid="{8BA8B203-2325-44E1-965A-3BB6180D04D3}">
          <x14:formula1>
            <xm:f>'Listas para Validação de Dados'!J5:J8</xm:f>
          </x14:formula1>
          <xm:sqref>I6:J6</xm:sqref>
        </x14:dataValidation>
        <x14:dataValidation type="list" allowBlank="1" showInputMessage="1" showErrorMessage="1" xr:uid="{6FE72DF9-F343-48BF-837D-39EED53FC98B}">
          <x14:formula1>
            <xm:f>'Listas para Validação de Dados'!C5:C9</xm:f>
          </x14:formula1>
          <xm:sqref>E4</xm:sqref>
        </x14:dataValidation>
        <x14:dataValidation type="list" allowBlank="1" showInputMessage="1" showErrorMessage="1" xr:uid="{888B8173-BAE9-4D0B-A90C-946E36475666}">
          <x14:formula1>
            <xm:f>'Base de Dados e filtragem'!$A$3:$Z$3</xm:f>
          </x14:formula1>
          <xm:sqref>M4 M5 M6</xm:sqref>
        </x14:dataValidation>
        <x14:dataValidation type="list" allowBlank="1" showInputMessage="1" showErrorMessage="1" xr:uid="{01C3E912-0FB6-425A-9CCD-7FBAF1EA5D9B}">
          <x14:formula1>
            <xm:f>'Listas para Validação de Dados'!$H$2:$I$2</xm:f>
          </x14:formula1>
          <xm:sqref>O4:Q4 O5:Q6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43FC-C083-4410-876E-D93831705833}">
  <sheetPr codeName="Planilha8"/>
  <dimension ref="A2:BD1502"/>
  <sheetViews>
    <sheetView workbookViewId="0">
      <selection activeCell="M4" sqref="M4:M8"/>
    </sheetView>
  </sheetViews>
  <sheetFormatPr defaultColWidth="8.77734375" defaultRowHeight="12" x14ac:dyDescent="0.25"/>
  <cols>
    <col min="1" max="1" width="11.6640625" style="1" bestFit="1" customWidth="1"/>
    <col min="2" max="2" width="11.5546875" style="1" bestFit="1" customWidth="1"/>
    <col min="3" max="3" width="14.21875" style="1" bestFit="1" customWidth="1"/>
    <col min="4" max="4" width="15.44140625" style="1" bestFit="1" customWidth="1"/>
    <col min="5" max="5" width="13.44140625" style="1" bestFit="1" customWidth="1"/>
    <col min="6" max="6" width="7.88671875" style="1" bestFit="1" customWidth="1"/>
    <col min="7" max="7" width="10.6640625" style="1" bestFit="1" customWidth="1"/>
    <col min="8" max="8" width="7.109375" style="1" bestFit="1" customWidth="1"/>
    <col min="9" max="9" width="9.6640625" style="1" bestFit="1" customWidth="1"/>
    <col min="10" max="10" width="17.88671875" style="1" bestFit="1" customWidth="1"/>
    <col min="11" max="11" width="13.21875" style="1" bestFit="1" customWidth="1"/>
    <col min="12" max="12" width="12.5546875" style="1" bestFit="1" customWidth="1"/>
    <col min="13" max="13" width="15.6640625" style="1" bestFit="1" customWidth="1"/>
    <col min="14" max="14" width="17.109375" style="1" bestFit="1" customWidth="1"/>
    <col min="15" max="15" width="12.77734375" style="1" bestFit="1" customWidth="1"/>
    <col min="16" max="16" width="7.6640625" style="1" bestFit="1" customWidth="1"/>
    <col min="17" max="17" width="11.5546875" style="1" bestFit="1" customWidth="1"/>
    <col min="18" max="18" width="7.6640625" style="1" bestFit="1" customWidth="1"/>
    <col min="19" max="19" width="19.21875" style="1" bestFit="1" customWidth="1"/>
    <col min="20" max="20" width="13.77734375" style="1" bestFit="1" customWidth="1"/>
    <col min="21" max="21" width="12.6640625" style="1" bestFit="1" customWidth="1"/>
    <col min="22" max="22" width="14.5546875" style="1" bestFit="1" customWidth="1"/>
    <col min="23" max="23" width="12.44140625" style="1" bestFit="1" customWidth="1"/>
    <col min="24" max="24" width="17.5546875" style="1" bestFit="1" customWidth="1"/>
    <col min="25" max="25" width="10.88671875" style="1" bestFit="1" customWidth="1"/>
    <col min="26" max="26" width="15.77734375" style="1" bestFit="1" customWidth="1"/>
    <col min="27" max="27" width="25.5546875" style="68" bestFit="1" customWidth="1"/>
    <col min="28" max="28" width="12" style="53" bestFit="1" customWidth="1"/>
    <col min="29" max="29" width="4.21875" style="25" bestFit="1" customWidth="1"/>
    <col min="30" max="30" width="11.44140625" style="51" bestFit="1" customWidth="1"/>
    <col min="31" max="31" width="17.77734375" style="25" hidden="1" customWidth="1"/>
    <col min="32" max="32" width="20.77734375" style="25" hidden="1" customWidth="1"/>
    <col min="33" max="33" width="24.21875" style="25" hidden="1" customWidth="1"/>
    <col min="34" max="34" width="25.21875" style="25" hidden="1" customWidth="1"/>
    <col min="35" max="35" width="22.6640625" style="25" bestFit="1" customWidth="1"/>
    <col min="36" max="36" width="16.44140625" style="25" bestFit="1" customWidth="1"/>
    <col min="37" max="37" width="19.88671875" style="25" bestFit="1" customWidth="1"/>
    <col min="38" max="38" width="15.5546875" style="25" bestFit="1" customWidth="1"/>
    <col min="39" max="39" width="18.33203125" style="25" bestFit="1" customWidth="1"/>
    <col min="40" max="40" width="28" style="25" bestFit="1" customWidth="1"/>
    <col min="41" max="41" width="22.33203125" style="25" bestFit="1" customWidth="1"/>
    <col min="42" max="42" width="22" style="25" bestFit="1" customWidth="1"/>
    <col min="43" max="43" width="25.109375" style="25" bestFit="1" customWidth="1"/>
    <col min="44" max="44" width="27.44140625" style="25" hidden="1" customWidth="1"/>
    <col min="45" max="45" width="21.77734375" style="25" hidden="1" customWidth="1"/>
    <col min="46" max="46" width="16.109375" style="25" hidden="1" customWidth="1"/>
    <col min="47" max="47" width="19.88671875" style="25" hidden="1" customWidth="1"/>
    <col min="48" max="48" width="16" style="25" hidden="1" customWidth="1"/>
    <col min="49" max="49" width="29.33203125" style="25" hidden="1" customWidth="1"/>
    <col min="50" max="50" width="22.21875" style="25" hidden="1" customWidth="1"/>
    <col min="51" max="51" width="22.109375" style="25" hidden="1" customWidth="1"/>
    <col min="52" max="52" width="24.33203125" style="25" hidden="1" customWidth="1"/>
    <col min="53" max="53" width="21.44140625" style="25" hidden="1" customWidth="1"/>
    <col min="54" max="54" width="28.6640625" style="25" hidden="1" customWidth="1"/>
    <col min="55" max="55" width="20.6640625" style="25" hidden="1" customWidth="1"/>
    <col min="56" max="56" width="26.109375" style="25" hidden="1" customWidth="1"/>
    <col min="57" max="16384" width="8.77734375" style="1"/>
  </cols>
  <sheetData>
    <row r="2" spans="1:56" x14ac:dyDescent="0.25">
      <c r="AA2" s="81" t="s">
        <v>132</v>
      </c>
      <c r="AB2" s="53">
        <v>0</v>
      </c>
      <c r="AE2" s="66" t="s">
        <v>88</v>
      </c>
      <c r="AF2" s="66" t="s">
        <v>88</v>
      </c>
      <c r="AG2" s="66" t="s">
        <v>88</v>
      </c>
      <c r="AH2" s="66" t="s">
        <v>88</v>
      </c>
      <c r="AI2" s="66" t="s">
        <v>88</v>
      </c>
      <c r="AJ2" s="66" t="s">
        <v>88</v>
      </c>
      <c r="AK2" s="66" t="s">
        <v>88</v>
      </c>
      <c r="AL2" s="66" t="s">
        <v>88</v>
      </c>
      <c r="AM2" s="66" t="s">
        <v>88</v>
      </c>
      <c r="AN2" s="66" t="s">
        <v>88</v>
      </c>
      <c r="AO2" s="66" t="s">
        <v>88</v>
      </c>
      <c r="AP2" s="66" t="s">
        <v>88</v>
      </c>
      <c r="AQ2" s="66" t="s">
        <v>88</v>
      </c>
      <c r="AR2" s="66" t="s">
        <v>88</v>
      </c>
      <c r="AS2" s="66" t="s">
        <v>88</v>
      </c>
      <c r="AT2" s="66" t="s">
        <v>88</v>
      </c>
      <c r="AU2" s="66" t="s">
        <v>88</v>
      </c>
      <c r="AV2" s="66" t="s">
        <v>88</v>
      </c>
      <c r="AW2" s="66" t="s">
        <v>88</v>
      </c>
      <c r="AX2" s="66" t="s">
        <v>88</v>
      </c>
      <c r="AY2" s="66" t="s">
        <v>88</v>
      </c>
      <c r="AZ2" s="66" t="s">
        <v>88</v>
      </c>
      <c r="BA2" s="66" t="s">
        <v>88</v>
      </c>
      <c r="BB2" s="66" t="s">
        <v>88</v>
      </c>
      <c r="BC2" s="66" t="s">
        <v>88</v>
      </c>
      <c r="BD2" s="66" t="s">
        <v>88</v>
      </c>
    </row>
    <row r="3" spans="1:56" s="50" customFormat="1" ht="14.4" x14ac:dyDescent="0.3">
      <c r="A3" s="71" t="s">
        <v>22</v>
      </c>
      <c r="B3" s="48" t="s">
        <v>2</v>
      </c>
      <c r="C3" s="48" t="s">
        <v>3</v>
      </c>
      <c r="D3" s="48" t="s">
        <v>23</v>
      </c>
      <c r="E3" s="48" t="s">
        <v>19</v>
      </c>
      <c r="F3" s="48" t="s">
        <v>4</v>
      </c>
      <c r="G3" s="48" t="s">
        <v>5</v>
      </c>
      <c r="H3" s="48" t="s">
        <v>6</v>
      </c>
      <c r="I3" s="71" t="s">
        <v>7</v>
      </c>
      <c r="J3" s="48" t="s">
        <v>20</v>
      </c>
      <c r="K3" s="48" t="s">
        <v>28</v>
      </c>
      <c r="L3" s="48" t="s">
        <v>21</v>
      </c>
      <c r="M3" s="49" t="s">
        <v>24</v>
      </c>
      <c r="N3" s="48" t="s">
        <v>8</v>
      </c>
      <c r="O3" s="48" t="s">
        <v>9</v>
      </c>
      <c r="P3" s="48" t="s">
        <v>10</v>
      </c>
      <c r="Q3" s="48" t="s">
        <v>25</v>
      </c>
      <c r="R3" s="48" t="s">
        <v>27</v>
      </c>
      <c r="S3" s="48" t="s">
        <v>11</v>
      </c>
      <c r="T3" s="48" t="s">
        <v>26</v>
      </c>
      <c r="U3" s="48" t="s">
        <v>12</v>
      </c>
      <c r="V3" s="48" t="s">
        <v>13</v>
      </c>
      <c r="W3" s="48" t="s">
        <v>14</v>
      </c>
      <c r="X3" s="48" t="s">
        <v>16</v>
      </c>
      <c r="Y3" s="48" t="s">
        <v>15</v>
      </c>
      <c r="Z3" s="48" t="s">
        <v>17</v>
      </c>
      <c r="AA3" s="69" t="s">
        <v>90</v>
      </c>
      <c r="AB3" s="54" t="s">
        <v>86</v>
      </c>
      <c r="AC3" s="65">
        <v>3</v>
      </c>
      <c r="AD3" s="52" t="s">
        <v>87</v>
      </c>
      <c r="AE3" s="55" t="str">
        <f t="shared" ref="AE3:BD3" si="0">"Filtro de "&amp;UPPER(A3)</f>
        <v>Filtro de REF/COR</v>
      </c>
      <c r="AF3" s="55" t="str">
        <f t="shared" si="0"/>
        <v>Filtro de REFERENCIA</v>
      </c>
      <c r="AG3" s="55" t="str">
        <f t="shared" si="0"/>
        <v>Filtro de CODIGO DA COR</v>
      </c>
      <c r="AH3" s="55" t="str">
        <f t="shared" si="0"/>
        <v>Filtro de NOME  PRODUTO</v>
      </c>
      <c r="AI3" s="67" t="str">
        <f t="shared" si="0"/>
        <v>Filtro de NOME DA COR</v>
      </c>
      <c r="AJ3" s="67" t="str">
        <f t="shared" si="0"/>
        <v>Filtro de GRUPO</v>
      </c>
      <c r="AK3" s="67" t="str">
        <f t="shared" si="0"/>
        <v>Filtro de SUBGRUPO</v>
      </c>
      <c r="AL3" s="67" t="str">
        <f t="shared" si="0"/>
        <v>Filtro de LINHA</v>
      </c>
      <c r="AM3" s="67" t="str">
        <f t="shared" si="0"/>
        <v>Filtro de COLEÇÃO</v>
      </c>
      <c r="AN3" s="67" t="str">
        <f t="shared" si="0"/>
        <v>Filtro de ENTRADA (MARÇO 1)</v>
      </c>
      <c r="AO3" s="67" t="str">
        <f t="shared" si="0"/>
        <v>Filtro de MP PRINCIPAL</v>
      </c>
      <c r="AP3" s="67" t="str">
        <f t="shared" si="0"/>
        <v>Filtro de FORNECEDOR</v>
      </c>
      <c r="AQ3" s="67" t="str">
        <f t="shared" si="0"/>
        <v>Filtro de CANAL DE VENDA</v>
      </c>
      <c r="AR3" s="55" t="str">
        <f t="shared" si="0"/>
        <v>Filtro de DATA LANÇAMENTO</v>
      </c>
      <c r="AS3" s="55" t="str">
        <f t="shared" si="0"/>
        <v>Filtro de PREÇO CHEIO</v>
      </c>
      <c r="AT3" s="55" t="str">
        <f t="shared" si="0"/>
        <v>Filtro de CUSTO</v>
      </c>
      <c r="AU3" s="55" t="str">
        <f t="shared" si="0"/>
        <v>Filtro de MKP CHEIO</v>
      </c>
      <c r="AV3" s="55" t="str">
        <f t="shared" si="0"/>
        <v>Filtro de GASTO</v>
      </c>
      <c r="AW3" s="55" t="str">
        <f t="shared" si="0"/>
        <v>Filtro de PMV (PREÇO LIQUIDO)</v>
      </c>
      <c r="AX3" s="55" t="str">
        <f t="shared" si="0"/>
        <v>Filtro de MKP DE SAÍDA</v>
      </c>
      <c r="AY3" s="55" t="str">
        <f t="shared" si="0"/>
        <v>Filtro de QTD VENDIDA</v>
      </c>
      <c r="AZ3" s="55" t="str">
        <f t="shared" si="0"/>
        <v>Filtro de QTD COMPRADA</v>
      </c>
      <c r="BA3" s="55" t="str">
        <f t="shared" si="0"/>
        <v>Filtro de GIRO 30 DIAS</v>
      </c>
      <c r="BB3" s="55" t="str">
        <f t="shared" si="0"/>
        <v>Filtro de GIRO ANTES DA LIQUI</v>
      </c>
      <c r="BC3" s="55" t="str">
        <f t="shared" si="0"/>
        <v>Filtro de GIRO ATUAL</v>
      </c>
      <c r="BD3" s="55" t="str">
        <f t="shared" si="0"/>
        <v>Filtro de DATA LIQUIDAÇÃO</v>
      </c>
    </row>
    <row r="4" spans="1:56" x14ac:dyDescent="0.25">
      <c r="A4" s="1" t="s">
        <v>134</v>
      </c>
      <c r="B4" s="1">
        <v>1</v>
      </c>
      <c r="E4" s="1" t="s">
        <v>108</v>
      </c>
      <c r="F4" s="1" t="s">
        <v>111</v>
      </c>
      <c r="G4" s="1" t="s">
        <v>114</v>
      </c>
      <c r="H4" s="1" t="s">
        <v>117</v>
      </c>
      <c r="I4" s="1" t="s">
        <v>120</v>
      </c>
      <c r="J4" s="92" t="s">
        <v>144</v>
      </c>
      <c r="K4" s="1" t="s">
        <v>123</v>
      </c>
      <c r="L4" s="1" t="s">
        <v>126</v>
      </c>
      <c r="M4" s="1" t="s">
        <v>129</v>
      </c>
      <c r="AA4" s="68" t="str">
        <f t="shared" ref="AA4:AA67" si="1">"Fotos\"&amp;I4&amp;"\"&amp;A4&amp;".jpg"</f>
        <v>Fotos\coleção 1\20OUT1VT01_07.jpg</v>
      </c>
      <c r="AB4" s="53">
        <f t="shared" ref="AB4:AB67" si="2">AD4/AC4</f>
        <v>0.25</v>
      </c>
      <c r="AC4" s="25">
        <f t="shared" ref="AC4:AC67" si="3">AC3+1</f>
        <v>4</v>
      </c>
      <c r="AD4" s="51">
        <f t="shared" ref="AD4:AD67" si="4">PRODUCT(AE4:BD4)</f>
        <v>1</v>
      </c>
      <c r="AE4" s="25">
        <v>1</v>
      </c>
      <c r="AF4" s="25">
        <v>1</v>
      </c>
      <c r="AG4" s="25">
        <v>1</v>
      </c>
      <c r="AH4" s="25">
        <v>1</v>
      </c>
      <c r="AI4" s="25">
        <f>IF(OR(Apresentação!$E$3='Base de Dados e filtragem'!AI$2,Apresentação!$E$3='Base de Dados e filtragem'!E4),1,0)</f>
        <v>1</v>
      </c>
      <c r="AJ4" s="25">
        <f>IF(OR(Apresentação!$E$4='Base de Dados e filtragem'!AJ$2,Apresentação!$E$4='Base de Dados e filtragem'!F4),1,0)</f>
        <v>1</v>
      </c>
      <c r="AK4" s="25">
        <f>IF(OR(Apresentação!$E$5='Base de Dados e filtragem'!AK$2,Apresentação!$E$5='Base de Dados e filtragem'!G4),1,0)</f>
        <v>1</v>
      </c>
      <c r="AL4" s="25">
        <f>IF(OR(Apresentação!$E$6='Base de Dados e filtragem'!AL$2,Apresentação!$E$6='Base de Dados e filtragem'!H4),1,0)</f>
        <v>1</v>
      </c>
      <c r="AM4" s="25">
        <f>IF(OR(Apresentação!$I$2='Base de Dados e filtragem'!AM$2,Apresentação!$I$2='Base de Dados e filtragem'!I4),1,0)</f>
        <v>1</v>
      </c>
      <c r="AN4" s="25">
        <f>IF(OR(Apresentação!$I$3='Base de Dados e filtragem'!AN$2,Apresentação!$I$3='Base de Dados e filtragem'!J4),1,0)</f>
        <v>1</v>
      </c>
      <c r="AO4" s="25">
        <f>IF(OR(Apresentação!$I$4='Base de Dados e filtragem'!AO$2,Apresentação!$I$4='Base de Dados e filtragem'!K4),1,0)</f>
        <v>1</v>
      </c>
      <c r="AP4" s="25">
        <f>IF(OR(Apresentação!$I$5='Base de Dados e filtragem'!AP$2,Apresentação!$I$5='Base de Dados e filtragem'!L4),1,0)</f>
        <v>1</v>
      </c>
      <c r="AQ4" s="25">
        <f>IF(OR(Apresentação!$I$6='Base de Dados e filtragem'!AQ$2,Apresentação!$I$6='Base de Dados e filtragem'!M4),1,0)</f>
        <v>1</v>
      </c>
      <c r="AR4" s="25">
        <v>1</v>
      </c>
      <c r="AS4" s="25">
        <v>1</v>
      </c>
      <c r="AT4" s="25">
        <v>1</v>
      </c>
      <c r="AU4" s="25">
        <v>1</v>
      </c>
      <c r="AV4" s="25">
        <v>1</v>
      </c>
      <c r="AW4" s="25">
        <v>1</v>
      </c>
      <c r="AX4" s="25">
        <v>1</v>
      </c>
      <c r="AY4" s="25">
        <v>1</v>
      </c>
      <c r="AZ4" s="25">
        <v>1</v>
      </c>
      <c r="BA4" s="25">
        <v>1</v>
      </c>
      <c r="BB4" s="25">
        <v>1</v>
      </c>
      <c r="BC4" s="25">
        <v>1</v>
      </c>
      <c r="BD4" s="25">
        <v>1</v>
      </c>
    </row>
    <row r="5" spans="1:56" x14ac:dyDescent="0.25">
      <c r="A5" s="1" t="s">
        <v>133</v>
      </c>
      <c r="B5" s="1">
        <v>2</v>
      </c>
      <c r="E5" s="1" t="s">
        <v>109</v>
      </c>
      <c r="F5" s="1" t="s">
        <v>112</v>
      </c>
      <c r="G5" s="1" t="s">
        <v>115</v>
      </c>
      <c r="H5" s="1" t="s">
        <v>118</v>
      </c>
      <c r="I5" s="1" t="s">
        <v>121</v>
      </c>
      <c r="J5" s="80">
        <v>37316</v>
      </c>
      <c r="K5" s="1" t="s">
        <v>124</v>
      </c>
      <c r="L5" s="1" t="s">
        <v>127</v>
      </c>
      <c r="M5" s="1" t="s">
        <v>130</v>
      </c>
      <c r="AA5" s="68" t="str">
        <f t="shared" si="1"/>
        <v>Fotos\coleção 2\20SET1VT01_57.jpg</v>
      </c>
      <c r="AB5" s="53">
        <f t="shared" si="2"/>
        <v>0.2</v>
      </c>
      <c r="AC5" s="25">
        <f t="shared" si="3"/>
        <v>5</v>
      </c>
      <c r="AD5" s="51">
        <f t="shared" si="4"/>
        <v>1</v>
      </c>
      <c r="AE5" s="25">
        <v>1</v>
      </c>
      <c r="AF5" s="25">
        <v>1</v>
      </c>
      <c r="AG5" s="25">
        <v>1</v>
      </c>
      <c r="AH5" s="25">
        <v>1</v>
      </c>
      <c r="AI5" s="25">
        <f>IF(OR(Apresentação!$E$3='Base de Dados e filtragem'!AI$2,Apresentação!$E$3='Base de Dados e filtragem'!E5),1,0)</f>
        <v>1</v>
      </c>
      <c r="AJ5" s="25">
        <f>IF(OR(Apresentação!$E$4='Base de Dados e filtragem'!AJ$2,Apresentação!$E$4='Base de Dados e filtragem'!F5),1,0)</f>
        <v>1</v>
      </c>
      <c r="AK5" s="25">
        <f>IF(OR(Apresentação!$E$5='Base de Dados e filtragem'!AK$2,Apresentação!$E$5='Base de Dados e filtragem'!G5),1,0)</f>
        <v>1</v>
      </c>
      <c r="AL5" s="25">
        <f>IF(OR(Apresentação!$E$6='Base de Dados e filtragem'!AL$2,Apresentação!$E$6='Base de Dados e filtragem'!H5),1,0)</f>
        <v>1</v>
      </c>
      <c r="AM5" s="25">
        <f>IF(OR(Apresentação!$I$2='Base de Dados e filtragem'!AM$2,Apresentação!$I$2='Base de Dados e filtragem'!I5),1,0)</f>
        <v>1</v>
      </c>
      <c r="AN5" s="25">
        <f>IF(OR(Apresentação!$I$3='Base de Dados e filtragem'!AN$2,Apresentação!$I$3='Base de Dados e filtragem'!J5),1,0)</f>
        <v>1</v>
      </c>
      <c r="AO5" s="25">
        <f>IF(OR(Apresentação!$I$4='Base de Dados e filtragem'!AO$2,Apresentação!$I$4='Base de Dados e filtragem'!K5),1,0)</f>
        <v>1</v>
      </c>
      <c r="AP5" s="25">
        <f>IF(OR(Apresentação!$I$5='Base de Dados e filtragem'!AP$2,Apresentação!$I$5='Base de Dados e filtragem'!L5),1,0)</f>
        <v>1</v>
      </c>
      <c r="AQ5" s="25">
        <f>IF(OR(Apresentação!$I$6='Base de Dados e filtragem'!AQ$2,Apresentação!$I$6='Base de Dados e filtragem'!M5),1,0)</f>
        <v>1</v>
      </c>
      <c r="AR5" s="25">
        <v>1</v>
      </c>
      <c r="AS5" s="25">
        <v>1</v>
      </c>
      <c r="AT5" s="25">
        <v>1</v>
      </c>
      <c r="AU5" s="25">
        <v>1</v>
      </c>
      <c r="AV5" s="25">
        <v>1</v>
      </c>
      <c r="AW5" s="25">
        <v>1</v>
      </c>
      <c r="AX5" s="25">
        <v>1</v>
      </c>
      <c r="AY5" s="25">
        <v>1</v>
      </c>
      <c r="AZ5" s="25">
        <v>1</v>
      </c>
      <c r="BA5" s="25">
        <v>1</v>
      </c>
      <c r="BB5" s="25">
        <v>1</v>
      </c>
      <c r="BC5" s="25">
        <v>1</v>
      </c>
      <c r="BD5" s="25">
        <v>1</v>
      </c>
    </row>
    <row r="6" spans="1:56" x14ac:dyDescent="0.25">
      <c r="A6" s="1" t="s">
        <v>140</v>
      </c>
      <c r="B6" s="1">
        <v>3</v>
      </c>
      <c r="E6" s="1" t="s">
        <v>110</v>
      </c>
      <c r="F6" s="1" t="s">
        <v>113</v>
      </c>
      <c r="G6" s="1" t="s">
        <v>116</v>
      </c>
      <c r="H6" s="1" t="s">
        <v>119</v>
      </c>
      <c r="I6" s="1" t="s">
        <v>122</v>
      </c>
      <c r="J6" s="80">
        <v>37316</v>
      </c>
      <c r="K6" s="1" t="s">
        <v>125</v>
      </c>
      <c r="L6" s="1" t="s">
        <v>128</v>
      </c>
      <c r="M6" s="1" t="s">
        <v>129</v>
      </c>
      <c r="AA6" s="68" t="str">
        <f t="shared" si="1"/>
        <v>Fotos\coleção 3\a0001cf3.jpg</v>
      </c>
      <c r="AB6" s="53">
        <f t="shared" si="2"/>
        <v>0.16666666666666666</v>
      </c>
      <c r="AC6" s="25">
        <f t="shared" si="3"/>
        <v>6</v>
      </c>
      <c r="AD6" s="51">
        <f t="shared" si="4"/>
        <v>1</v>
      </c>
      <c r="AE6" s="25">
        <v>1</v>
      </c>
      <c r="AF6" s="25">
        <v>1</v>
      </c>
      <c r="AG6" s="25">
        <v>1</v>
      </c>
      <c r="AH6" s="25">
        <v>1</v>
      </c>
      <c r="AI6" s="25">
        <f>IF(OR(Apresentação!$E$3='Base de Dados e filtragem'!AI$2,Apresentação!$E$3='Base de Dados e filtragem'!E6),1,0)</f>
        <v>1</v>
      </c>
      <c r="AJ6" s="25">
        <f>IF(OR(Apresentação!$E$4='Base de Dados e filtragem'!AJ$2,Apresentação!$E$4='Base de Dados e filtragem'!F6),1,0)</f>
        <v>1</v>
      </c>
      <c r="AK6" s="25">
        <f>IF(OR(Apresentação!$E$5='Base de Dados e filtragem'!AK$2,Apresentação!$E$5='Base de Dados e filtragem'!G6),1,0)</f>
        <v>1</v>
      </c>
      <c r="AL6" s="25">
        <f>IF(OR(Apresentação!$E$6='Base de Dados e filtragem'!AL$2,Apresentação!$E$6='Base de Dados e filtragem'!H6),1,0)</f>
        <v>1</v>
      </c>
      <c r="AM6" s="25">
        <f>IF(OR(Apresentação!$I$2='Base de Dados e filtragem'!AM$2,Apresentação!$I$2='Base de Dados e filtragem'!I6),1,0)</f>
        <v>1</v>
      </c>
      <c r="AN6" s="25">
        <f>IF(OR(Apresentação!$I$3='Base de Dados e filtragem'!AN$2,Apresentação!$I$3='Base de Dados e filtragem'!J6),1,0)</f>
        <v>1</v>
      </c>
      <c r="AO6" s="25">
        <f>IF(OR(Apresentação!$I$4='Base de Dados e filtragem'!AO$2,Apresentação!$I$4='Base de Dados e filtragem'!K6),1,0)</f>
        <v>1</v>
      </c>
      <c r="AP6" s="25">
        <f>IF(OR(Apresentação!$I$5='Base de Dados e filtragem'!AP$2,Apresentação!$I$5='Base de Dados e filtragem'!L6),1,0)</f>
        <v>1</v>
      </c>
      <c r="AQ6" s="25">
        <f>IF(OR(Apresentação!$I$6='Base de Dados e filtragem'!AQ$2,Apresentação!$I$6='Base de Dados e filtragem'!M6),1,0)</f>
        <v>1</v>
      </c>
      <c r="AR6" s="25">
        <v>1</v>
      </c>
      <c r="AS6" s="25">
        <v>1</v>
      </c>
      <c r="AT6" s="25">
        <v>1</v>
      </c>
      <c r="AU6" s="25">
        <v>1</v>
      </c>
      <c r="AV6" s="25">
        <v>1</v>
      </c>
      <c r="AW6" s="25">
        <v>1</v>
      </c>
      <c r="AX6" s="25">
        <v>1</v>
      </c>
      <c r="AY6" s="25">
        <v>1</v>
      </c>
      <c r="AZ6" s="25">
        <v>1</v>
      </c>
      <c r="BA6" s="25">
        <v>1</v>
      </c>
      <c r="BB6" s="25">
        <v>1</v>
      </c>
      <c r="BC6" s="25">
        <v>1</v>
      </c>
      <c r="BD6" s="25">
        <v>1</v>
      </c>
    </row>
    <row r="7" spans="1:56" x14ac:dyDescent="0.25">
      <c r="A7" s="1" t="s">
        <v>141</v>
      </c>
      <c r="B7" s="1">
        <v>4</v>
      </c>
      <c r="E7" s="1" t="s">
        <v>108</v>
      </c>
      <c r="F7" s="1" t="s">
        <v>111</v>
      </c>
      <c r="G7" s="1" t="s">
        <v>114</v>
      </c>
      <c r="H7" s="1" t="s">
        <v>117</v>
      </c>
      <c r="I7" s="1" t="s">
        <v>120</v>
      </c>
      <c r="J7" s="80">
        <v>36982</v>
      </c>
      <c r="K7" s="1" t="s">
        <v>123</v>
      </c>
      <c r="L7" s="1" t="s">
        <v>126</v>
      </c>
      <c r="M7" s="1" t="s">
        <v>131</v>
      </c>
      <c r="AA7" s="68" t="str">
        <f t="shared" si="1"/>
        <v>Fotos\coleção 1\b0002cf7.jpg</v>
      </c>
      <c r="AB7" s="53">
        <f t="shared" si="2"/>
        <v>0.14285714285714285</v>
      </c>
      <c r="AC7" s="25">
        <f t="shared" si="3"/>
        <v>7</v>
      </c>
      <c r="AD7" s="51">
        <f t="shared" si="4"/>
        <v>1</v>
      </c>
      <c r="AE7" s="25">
        <v>1</v>
      </c>
      <c r="AF7" s="25">
        <v>1</v>
      </c>
      <c r="AG7" s="25">
        <v>1</v>
      </c>
      <c r="AH7" s="25">
        <v>1</v>
      </c>
      <c r="AI7" s="25">
        <f>IF(OR(Apresentação!$E$3='Base de Dados e filtragem'!AI$2,Apresentação!$E$3='Base de Dados e filtragem'!E7),1,0)</f>
        <v>1</v>
      </c>
      <c r="AJ7" s="25">
        <f>IF(OR(Apresentação!$E$4='Base de Dados e filtragem'!AJ$2,Apresentação!$E$4='Base de Dados e filtragem'!F7),1,0)</f>
        <v>1</v>
      </c>
      <c r="AK7" s="25">
        <f>IF(OR(Apresentação!$E$5='Base de Dados e filtragem'!AK$2,Apresentação!$E$5='Base de Dados e filtragem'!G7),1,0)</f>
        <v>1</v>
      </c>
      <c r="AL7" s="25">
        <f>IF(OR(Apresentação!$E$6='Base de Dados e filtragem'!AL$2,Apresentação!$E$6='Base de Dados e filtragem'!H7),1,0)</f>
        <v>1</v>
      </c>
      <c r="AM7" s="25">
        <f>IF(OR(Apresentação!$I$2='Base de Dados e filtragem'!AM$2,Apresentação!$I$2='Base de Dados e filtragem'!I7),1,0)</f>
        <v>1</v>
      </c>
      <c r="AN7" s="25">
        <f>IF(OR(Apresentação!$I$3='Base de Dados e filtragem'!AN$2,Apresentação!$I$3='Base de Dados e filtragem'!J7),1,0)</f>
        <v>1</v>
      </c>
      <c r="AO7" s="25">
        <f>IF(OR(Apresentação!$I$4='Base de Dados e filtragem'!AO$2,Apresentação!$I$4='Base de Dados e filtragem'!K7),1,0)</f>
        <v>1</v>
      </c>
      <c r="AP7" s="25">
        <f>IF(OR(Apresentação!$I$5='Base de Dados e filtragem'!AP$2,Apresentação!$I$5='Base de Dados e filtragem'!L7),1,0)</f>
        <v>1</v>
      </c>
      <c r="AQ7" s="25">
        <f>IF(OR(Apresentação!$I$6='Base de Dados e filtragem'!AQ$2,Apresentação!$I$6='Base de Dados e filtragem'!M7),1,0)</f>
        <v>1</v>
      </c>
      <c r="AR7" s="25">
        <v>1</v>
      </c>
      <c r="AS7" s="25">
        <v>1</v>
      </c>
      <c r="AT7" s="25">
        <v>1</v>
      </c>
      <c r="AU7" s="25">
        <v>1</v>
      </c>
      <c r="AV7" s="25">
        <v>1</v>
      </c>
      <c r="AW7" s="25">
        <v>1</v>
      </c>
      <c r="AX7" s="25">
        <v>1</v>
      </c>
      <c r="AY7" s="25">
        <v>1</v>
      </c>
      <c r="AZ7" s="25">
        <v>1</v>
      </c>
      <c r="BA7" s="25">
        <v>1</v>
      </c>
      <c r="BB7" s="25">
        <v>1</v>
      </c>
      <c r="BC7" s="25">
        <v>1</v>
      </c>
      <c r="BD7" s="25">
        <v>1</v>
      </c>
    </row>
    <row r="8" spans="1:56" x14ac:dyDescent="0.25">
      <c r="A8" s="1" t="s">
        <v>135</v>
      </c>
      <c r="B8" s="1">
        <v>5</v>
      </c>
      <c r="E8" s="1" t="s">
        <v>108</v>
      </c>
      <c r="F8" s="1" t="s">
        <v>111</v>
      </c>
      <c r="G8" s="1" t="s">
        <v>114</v>
      </c>
      <c r="H8" s="1" t="s">
        <v>117</v>
      </c>
      <c r="I8" s="1" t="s">
        <v>120</v>
      </c>
      <c r="J8" s="80">
        <v>36982</v>
      </c>
      <c r="K8" s="1" t="s">
        <v>123</v>
      </c>
      <c r="L8" s="1" t="s">
        <v>126</v>
      </c>
      <c r="M8" s="1" t="s">
        <v>131</v>
      </c>
      <c r="AA8" s="68" t="str">
        <f t="shared" si="1"/>
        <v>Fotos\coleção 1\20AGO2CL01_37.jpg</v>
      </c>
      <c r="AB8" s="53">
        <f t="shared" si="2"/>
        <v>0.125</v>
      </c>
      <c r="AC8" s="25">
        <f t="shared" si="3"/>
        <v>8</v>
      </c>
      <c r="AD8" s="51">
        <f t="shared" si="4"/>
        <v>1</v>
      </c>
      <c r="AE8" s="25">
        <v>1</v>
      </c>
      <c r="AF8" s="25">
        <v>1</v>
      </c>
      <c r="AG8" s="25">
        <v>1</v>
      </c>
      <c r="AH8" s="25">
        <v>1</v>
      </c>
      <c r="AI8" s="25">
        <f>IF(OR(Apresentação!$E$3='Base de Dados e filtragem'!AI$2,Apresentação!$E$3='Base de Dados e filtragem'!E8),1,0)</f>
        <v>1</v>
      </c>
      <c r="AJ8" s="25">
        <f>IF(OR(Apresentação!$E$4='Base de Dados e filtragem'!AJ$2,Apresentação!$E$4='Base de Dados e filtragem'!F8),1,0)</f>
        <v>1</v>
      </c>
      <c r="AK8" s="25">
        <f>IF(OR(Apresentação!$E$5='Base de Dados e filtragem'!AK$2,Apresentação!$E$5='Base de Dados e filtragem'!G8),1,0)</f>
        <v>1</v>
      </c>
      <c r="AL8" s="25">
        <f>IF(OR(Apresentação!$E$6='Base de Dados e filtragem'!AL$2,Apresentação!$E$6='Base de Dados e filtragem'!H8),1,0)</f>
        <v>1</v>
      </c>
      <c r="AM8" s="25">
        <f>IF(OR(Apresentação!$I$2='Base de Dados e filtragem'!AM$2,Apresentação!$I$2='Base de Dados e filtragem'!I8),1,0)</f>
        <v>1</v>
      </c>
      <c r="AN8" s="25">
        <f>IF(OR(Apresentação!$I$3='Base de Dados e filtragem'!AN$2,Apresentação!$I$3='Base de Dados e filtragem'!J8),1,0)</f>
        <v>1</v>
      </c>
      <c r="AO8" s="25">
        <f>IF(OR(Apresentação!$I$4='Base de Dados e filtragem'!AO$2,Apresentação!$I$4='Base de Dados e filtragem'!K8),1,0)</f>
        <v>1</v>
      </c>
      <c r="AP8" s="25">
        <f>IF(OR(Apresentação!$I$5='Base de Dados e filtragem'!AP$2,Apresentação!$I$5='Base de Dados e filtragem'!L8),1,0)</f>
        <v>1</v>
      </c>
      <c r="AQ8" s="25">
        <f>IF(OR(Apresentação!$I$6='Base de Dados e filtragem'!AQ$2,Apresentação!$I$6='Base de Dados e filtragem'!M8),1,0)</f>
        <v>1</v>
      </c>
      <c r="AR8" s="25">
        <v>1</v>
      </c>
      <c r="AS8" s="25">
        <v>1</v>
      </c>
      <c r="AT8" s="25">
        <v>1</v>
      </c>
      <c r="AU8" s="25">
        <v>1</v>
      </c>
      <c r="AV8" s="25">
        <v>1</v>
      </c>
      <c r="AW8" s="25">
        <v>1</v>
      </c>
      <c r="AX8" s="25">
        <v>1</v>
      </c>
      <c r="AY8" s="25">
        <v>1</v>
      </c>
      <c r="AZ8" s="25">
        <v>1</v>
      </c>
      <c r="BA8" s="25">
        <v>1</v>
      </c>
      <c r="BB8" s="25">
        <v>1</v>
      </c>
      <c r="BC8" s="25">
        <v>1</v>
      </c>
      <c r="BD8" s="25">
        <v>1</v>
      </c>
    </row>
    <row r="9" spans="1:56" x14ac:dyDescent="0.25">
      <c r="A9" s="1" t="s">
        <v>142</v>
      </c>
      <c r="B9" s="1">
        <v>6</v>
      </c>
      <c r="E9" s="1" t="s">
        <v>108</v>
      </c>
      <c r="F9" s="1" t="s">
        <v>143</v>
      </c>
      <c r="I9" s="1" t="s">
        <v>120</v>
      </c>
      <c r="J9" s="80"/>
      <c r="AA9" s="68" t="str">
        <f t="shared" si="1"/>
        <v>Fotos\coleção 1\c0003cf9.jpg</v>
      </c>
      <c r="AB9" s="53">
        <f t="shared" si="2"/>
        <v>0.1111111111111111</v>
      </c>
      <c r="AC9" s="25">
        <f t="shared" si="3"/>
        <v>9</v>
      </c>
      <c r="AD9" s="51">
        <f t="shared" si="4"/>
        <v>1</v>
      </c>
      <c r="AE9" s="25">
        <v>1</v>
      </c>
      <c r="AF9" s="25">
        <v>1</v>
      </c>
      <c r="AG9" s="25">
        <v>1</v>
      </c>
      <c r="AH9" s="25">
        <v>1</v>
      </c>
      <c r="AI9" s="25">
        <f>IF(OR(Apresentação!$E$3='Base de Dados e filtragem'!AI$2,Apresentação!$E$3='Base de Dados e filtragem'!E9),1,0)</f>
        <v>1</v>
      </c>
      <c r="AJ9" s="25">
        <f>IF(OR(Apresentação!$E$4='Base de Dados e filtragem'!AJ$2,Apresentação!$E$4='Base de Dados e filtragem'!F9),1,0)</f>
        <v>1</v>
      </c>
      <c r="AK9" s="25">
        <f>IF(OR(Apresentação!$E$5='Base de Dados e filtragem'!AK$2,Apresentação!$E$5='Base de Dados e filtragem'!G9),1,0)</f>
        <v>1</v>
      </c>
      <c r="AL9" s="25">
        <f>IF(OR(Apresentação!$E$6='Base de Dados e filtragem'!AL$2,Apresentação!$E$6='Base de Dados e filtragem'!H9),1,0)</f>
        <v>1</v>
      </c>
      <c r="AM9" s="25">
        <f>IF(OR(Apresentação!$I$2='Base de Dados e filtragem'!AM$2,Apresentação!$I$2='Base de Dados e filtragem'!I9),1,0)</f>
        <v>1</v>
      </c>
      <c r="AN9" s="25">
        <f>IF(OR(Apresentação!$I$3='Base de Dados e filtragem'!AN$2,Apresentação!$I$3='Base de Dados e filtragem'!J9),1,0)</f>
        <v>1</v>
      </c>
      <c r="AO9" s="25">
        <f>IF(OR(Apresentação!$I$4='Base de Dados e filtragem'!AO$2,Apresentação!$I$4='Base de Dados e filtragem'!K9),1,0)</f>
        <v>1</v>
      </c>
      <c r="AP9" s="25">
        <f>IF(OR(Apresentação!$I$5='Base de Dados e filtragem'!AP$2,Apresentação!$I$5='Base de Dados e filtragem'!L9),1,0)</f>
        <v>1</v>
      </c>
      <c r="AQ9" s="25">
        <f>IF(OR(Apresentação!$I$6='Base de Dados e filtragem'!AQ$2,Apresentação!$I$6='Base de Dados e filtragem'!M9),1,0)</f>
        <v>1</v>
      </c>
      <c r="AR9" s="25">
        <v>1</v>
      </c>
      <c r="AS9" s="25">
        <v>1</v>
      </c>
      <c r="AT9" s="25">
        <v>1</v>
      </c>
      <c r="AU9" s="25">
        <v>1</v>
      </c>
      <c r="AV9" s="25">
        <v>1</v>
      </c>
      <c r="AW9" s="25">
        <v>1</v>
      </c>
      <c r="AX9" s="25">
        <v>1</v>
      </c>
      <c r="AY9" s="25">
        <v>1</v>
      </c>
      <c r="AZ9" s="25">
        <v>1</v>
      </c>
      <c r="BA9" s="25">
        <v>1</v>
      </c>
      <c r="BB9" s="25">
        <v>1</v>
      </c>
      <c r="BC9" s="25">
        <v>1</v>
      </c>
      <c r="BD9" s="25">
        <v>1</v>
      </c>
    </row>
    <row r="10" spans="1:56" x14ac:dyDescent="0.25">
      <c r="AA10" s="68" t="str">
        <f t="shared" si="1"/>
        <v>Fotos\\.jpg</v>
      </c>
      <c r="AB10" s="53">
        <f t="shared" si="2"/>
        <v>0.1</v>
      </c>
      <c r="AC10" s="25">
        <f t="shared" si="3"/>
        <v>10</v>
      </c>
      <c r="AD10" s="51">
        <f t="shared" si="4"/>
        <v>1</v>
      </c>
      <c r="AE10" s="25">
        <v>1</v>
      </c>
      <c r="AF10" s="25">
        <v>1</v>
      </c>
      <c r="AG10" s="25">
        <v>1</v>
      </c>
      <c r="AH10" s="25">
        <v>1</v>
      </c>
      <c r="AI10" s="25">
        <f>IF(OR(Apresentação!$E$3='Base de Dados e filtragem'!AI$2,Apresentação!$E$3='Base de Dados e filtragem'!E10),1,0)</f>
        <v>1</v>
      </c>
      <c r="AJ10" s="25">
        <f>IF(OR(Apresentação!$E$4='Base de Dados e filtragem'!AJ$2,Apresentação!$E$4='Base de Dados e filtragem'!F10),1,0)</f>
        <v>1</v>
      </c>
      <c r="AK10" s="25">
        <f>IF(OR(Apresentação!$E$5='Base de Dados e filtragem'!AK$2,Apresentação!$E$5='Base de Dados e filtragem'!G10),1,0)</f>
        <v>1</v>
      </c>
      <c r="AL10" s="25">
        <f>IF(OR(Apresentação!$E$6='Base de Dados e filtragem'!AL$2,Apresentação!$E$6='Base de Dados e filtragem'!H10),1,0)</f>
        <v>1</v>
      </c>
      <c r="AM10" s="25">
        <f>IF(OR(Apresentação!$I$2='Base de Dados e filtragem'!AM$2,Apresentação!$I$2='Base de Dados e filtragem'!I10),1,0)</f>
        <v>1</v>
      </c>
      <c r="AN10" s="25">
        <f>IF(OR(Apresentação!$I$3='Base de Dados e filtragem'!AN$2,Apresentação!$I$3='Base de Dados e filtragem'!J10),1,0)</f>
        <v>1</v>
      </c>
      <c r="AO10" s="25">
        <f>IF(OR(Apresentação!$I$4='Base de Dados e filtragem'!AO$2,Apresentação!$I$4='Base de Dados e filtragem'!K10),1,0)</f>
        <v>1</v>
      </c>
      <c r="AP10" s="25">
        <f>IF(OR(Apresentação!$I$5='Base de Dados e filtragem'!AP$2,Apresentação!$I$5='Base de Dados e filtragem'!L10),1,0)</f>
        <v>1</v>
      </c>
      <c r="AQ10" s="25">
        <f>IF(OR(Apresentação!$I$6='Base de Dados e filtragem'!AQ$2,Apresentação!$I$6='Base de Dados e filtragem'!M10),1,0)</f>
        <v>1</v>
      </c>
      <c r="AR10" s="25">
        <v>1</v>
      </c>
      <c r="AS10" s="25">
        <v>1</v>
      </c>
      <c r="AT10" s="25">
        <v>1</v>
      </c>
      <c r="AU10" s="25">
        <v>1</v>
      </c>
      <c r="AV10" s="25">
        <v>1</v>
      </c>
      <c r="AW10" s="25">
        <v>1</v>
      </c>
      <c r="AX10" s="25">
        <v>1</v>
      </c>
      <c r="AY10" s="25">
        <v>1</v>
      </c>
      <c r="AZ10" s="25">
        <v>1</v>
      </c>
      <c r="BA10" s="25">
        <v>1</v>
      </c>
      <c r="BB10" s="25">
        <v>1</v>
      </c>
      <c r="BC10" s="25">
        <v>1</v>
      </c>
      <c r="BD10" s="25">
        <v>1</v>
      </c>
    </row>
    <row r="11" spans="1:56" x14ac:dyDescent="0.25">
      <c r="AA11" s="68" t="str">
        <f t="shared" si="1"/>
        <v>Fotos\\.jpg</v>
      </c>
      <c r="AB11" s="53">
        <f t="shared" si="2"/>
        <v>9.0909090909090912E-2</v>
      </c>
      <c r="AC11" s="25">
        <f t="shared" si="3"/>
        <v>11</v>
      </c>
      <c r="AD11" s="51">
        <f t="shared" si="4"/>
        <v>1</v>
      </c>
      <c r="AE11" s="25">
        <v>1</v>
      </c>
      <c r="AF11" s="25">
        <v>1</v>
      </c>
      <c r="AG11" s="25">
        <v>1</v>
      </c>
      <c r="AH11" s="25">
        <v>1</v>
      </c>
      <c r="AI11" s="25">
        <f>IF(OR(Apresentação!$E$3='Base de Dados e filtragem'!AI$2,Apresentação!$E$3='Base de Dados e filtragem'!E11),1,0)</f>
        <v>1</v>
      </c>
      <c r="AJ11" s="25">
        <f>IF(OR(Apresentação!$E$4='Base de Dados e filtragem'!AJ$2,Apresentação!$E$4='Base de Dados e filtragem'!F11),1,0)</f>
        <v>1</v>
      </c>
      <c r="AK11" s="25">
        <f>IF(OR(Apresentação!$E$5='Base de Dados e filtragem'!AK$2,Apresentação!$E$5='Base de Dados e filtragem'!G11),1,0)</f>
        <v>1</v>
      </c>
      <c r="AL11" s="25">
        <f>IF(OR(Apresentação!$E$6='Base de Dados e filtragem'!AL$2,Apresentação!$E$6='Base de Dados e filtragem'!H11),1,0)</f>
        <v>1</v>
      </c>
      <c r="AM11" s="25">
        <f>IF(OR(Apresentação!$I$2='Base de Dados e filtragem'!AM$2,Apresentação!$I$2='Base de Dados e filtragem'!I11),1,0)</f>
        <v>1</v>
      </c>
      <c r="AN11" s="25">
        <f>IF(OR(Apresentação!$I$3='Base de Dados e filtragem'!AN$2,Apresentação!$I$3='Base de Dados e filtragem'!J11),1,0)</f>
        <v>1</v>
      </c>
      <c r="AO11" s="25">
        <f>IF(OR(Apresentação!$I$4='Base de Dados e filtragem'!AO$2,Apresentação!$I$4='Base de Dados e filtragem'!K11),1,0)</f>
        <v>1</v>
      </c>
      <c r="AP11" s="25">
        <f>IF(OR(Apresentação!$I$5='Base de Dados e filtragem'!AP$2,Apresentação!$I$5='Base de Dados e filtragem'!L11),1,0)</f>
        <v>1</v>
      </c>
      <c r="AQ11" s="25">
        <f>IF(OR(Apresentação!$I$6='Base de Dados e filtragem'!AQ$2,Apresentação!$I$6='Base de Dados e filtragem'!M11),1,0)</f>
        <v>1</v>
      </c>
      <c r="AR11" s="25">
        <v>1</v>
      </c>
      <c r="AS11" s="25">
        <v>1</v>
      </c>
      <c r="AT11" s="25">
        <v>1</v>
      </c>
      <c r="AU11" s="25">
        <v>1</v>
      </c>
      <c r="AV11" s="25">
        <v>1</v>
      </c>
      <c r="AW11" s="25">
        <v>1</v>
      </c>
      <c r="AX11" s="25">
        <v>1</v>
      </c>
      <c r="AY11" s="25">
        <v>1</v>
      </c>
      <c r="AZ11" s="25">
        <v>1</v>
      </c>
      <c r="BA11" s="25">
        <v>1</v>
      </c>
      <c r="BB11" s="25">
        <v>1</v>
      </c>
      <c r="BC11" s="25">
        <v>1</v>
      </c>
      <c r="BD11" s="25">
        <v>1</v>
      </c>
    </row>
    <row r="12" spans="1:56" x14ac:dyDescent="0.25">
      <c r="AA12" s="68" t="str">
        <f t="shared" si="1"/>
        <v>Fotos\\.jpg</v>
      </c>
      <c r="AB12" s="53">
        <f t="shared" si="2"/>
        <v>8.3333333333333329E-2</v>
      </c>
      <c r="AC12" s="25">
        <f t="shared" si="3"/>
        <v>12</v>
      </c>
      <c r="AD12" s="51">
        <f t="shared" si="4"/>
        <v>1</v>
      </c>
      <c r="AE12" s="25">
        <v>1</v>
      </c>
      <c r="AF12" s="25">
        <v>1</v>
      </c>
      <c r="AG12" s="25">
        <v>1</v>
      </c>
      <c r="AH12" s="25">
        <v>1</v>
      </c>
      <c r="AI12" s="25">
        <f>IF(OR(Apresentação!$E$3='Base de Dados e filtragem'!AI$2,Apresentação!$E$3='Base de Dados e filtragem'!E12),1,0)</f>
        <v>1</v>
      </c>
      <c r="AJ12" s="25">
        <f>IF(OR(Apresentação!$E$4='Base de Dados e filtragem'!AJ$2,Apresentação!$E$4='Base de Dados e filtragem'!F12),1,0)</f>
        <v>1</v>
      </c>
      <c r="AK12" s="25">
        <f>IF(OR(Apresentação!$E$5='Base de Dados e filtragem'!AK$2,Apresentação!$E$5='Base de Dados e filtragem'!G12),1,0)</f>
        <v>1</v>
      </c>
      <c r="AL12" s="25">
        <f>IF(OR(Apresentação!$E$6='Base de Dados e filtragem'!AL$2,Apresentação!$E$6='Base de Dados e filtragem'!H12),1,0)</f>
        <v>1</v>
      </c>
      <c r="AM12" s="25">
        <f>IF(OR(Apresentação!$I$2='Base de Dados e filtragem'!AM$2,Apresentação!$I$2='Base de Dados e filtragem'!I12),1,0)</f>
        <v>1</v>
      </c>
      <c r="AN12" s="25">
        <f>IF(OR(Apresentação!$I$3='Base de Dados e filtragem'!AN$2,Apresentação!$I$3='Base de Dados e filtragem'!J12),1,0)</f>
        <v>1</v>
      </c>
      <c r="AO12" s="25">
        <f>IF(OR(Apresentação!$I$4='Base de Dados e filtragem'!AO$2,Apresentação!$I$4='Base de Dados e filtragem'!K12),1,0)</f>
        <v>1</v>
      </c>
      <c r="AP12" s="25">
        <f>IF(OR(Apresentação!$I$5='Base de Dados e filtragem'!AP$2,Apresentação!$I$5='Base de Dados e filtragem'!L12),1,0)</f>
        <v>1</v>
      </c>
      <c r="AQ12" s="25">
        <f>IF(OR(Apresentação!$I$6='Base de Dados e filtragem'!AQ$2,Apresentação!$I$6='Base de Dados e filtragem'!M12),1,0)</f>
        <v>1</v>
      </c>
      <c r="AR12" s="25">
        <v>1</v>
      </c>
      <c r="AS12" s="25">
        <v>1</v>
      </c>
      <c r="AT12" s="25">
        <v>1</v>
      </c>
      <c r="AU12" s="25">
        <v>1</v>
      </c>
      <c r="AV12" s="25">
        <v>1</v>
      </c>
      <c r="AW12" s="25">
        <v>1</v>
      </c>
      <c r="AX12" s="25">
        <v>1</v>
      </c>
      <c r="AY12" s="25">
        <v>1</v>
      </c>
      <c r="AZ12" s="25">
        <v>1</v>
      </c>
      <c r="BA12" s="25">
        <v>1</v>
      </c>
      <c r="BB12" s="25">
        <v>1</v>
      </c>
      <c r="BC12" s="25">
        <v>1</v>
      </c>
      <c r="BD12" s="25">
        <v>1</v>
      </c>
    </row>
    <row r="13" spans="1:56" x14ac:dyDescent="0.25">
      <c r="AA13" s="68" t="str">
        <f t="shared" si="1"/>
        <v>Fotos\\.jpg</v>
      </c>
      <c r="AB13" s="53">
        <f t="shared" si="2"/>
        <v>7.6923076923076927E-2</v>
      </c>
      <c r="AC13" s="25">
        <f t="shared" si="3"/>
        <v>13</v>
      </c>
      <c r="AD13" s="51">
        <f t="shared" si="4"/>
        <v>1</v>
      </c>
      <c r="AE13" s="25">
        <v>1</v>
      </c>
      <c r="AF13" s="25">
        <v>1</v>
      </c>
      <c r="AG13" s="25">
        <v>1</v>
      </c>
      <c r="AH13" s="25">
        <v>1</v>
      </c>
      <c r="AI13" s="25">
        <f>IF(OR(Apresentação!$E$3='Base de Dados e filtragem'!AI$2,Apresentação!$E$3='Base de Dados e filtragem'!E13),1,0)</f>
        <v>1</v>
      </c>
      <c r="AJ13" s="25">
        <f>IF(OR(Apresentação!$E$4='Base de Dados e filtragem'!AJ$2,Apresentação!$E$4='Base de Dados e filtragem'!F13),1,0)</f>
        <v>1</v>
      </c>
      <c r="AK13" s="25">
        <f>IF(OR(Apresentação!$E$5='Base de Dados e filtragem'!AK$2,Apresentação!$E$5='Base de Dados e filtragem'!G13),1,0)</f>
        <v>1</v>
      </c>
      <c r="AL13" s="25">
        <f>IF(OR(Apresentação!$E$6='Base de Dados e filtragem'!AL$2,Apresentação!$E$6='Base de Dados e filtragem'!H13),1,0)</f>
        <v>1</v>
      </c>
      <c r="AM13" s="25">
        <f>IF(OR(Apresentação!$I$2='Base de Dados e filtragem'!AM$2,Apresentação!$I$2='Base de Dados e filtragem'!I13),1,0)</f>
        <v>1</v>
      </c>
      <c r="AN13" s="25">
        <f>IF(OR(Apresentação!$I$3='Base de Dados e filtragem'!AN$2,Apresentação!$I$3='Base de Dados e filtragem'!J13),1,0)</f>
        <v>1</v>
      </c>
      <c r="AO13" s="25">
        <f>IF(OR(Apresentação!$I$4='Base de Dados e filtragem'!AO$2,Apresentação!$I$4='Base de Dados e filtragem'!K13),1,0)</f>
        <v>1</v>
      </c>
      <c r="AP13" s="25">
        <f>IF(OR(Apresentação!$I$5='Base de Dados e filtragem'!AP$2,Apresentação!$I$5='Base de Dados e filtragem'!L13),1,0)</f>
        <v>1</v>
      </c>
      <c r="AQ13" s="25">
        <f>IF(OR(Apresentação!$I$6='Base de Dados e filtragem'!AQ$2,Apresentação!$I$6='Base de Dados e filtragem'!M13),1,0)</f>
        <v>1</v>
      </c>
      <c r="AR13" s="25">
        <v>1</v>
      </c>
      <c r="AS13" s="25">
        <v>1</v>
      </c>
      <c r="AT13" s="25">
        <v>1</v>
      </c>
      <c r="AU13" s="25">
        <v>1</v>
      </c>
      <c r="AV13" s="25">
        <v>1</v>
      </c>
      <c r="AW13" s="25">
        <v>1</v>
      </c>
      <c r="AX13" s="25">
        <v>1</v>
      </c>
      <c r="AY13" s="25">
        <v>1</v>
      </c>
      <c r="AZ13" s="25">
        <v>1</v>
      </c>
      <c r="BA13" s="25">
        <v>1</v>
      </c>
      <c r="BB13" s="25">
        <v>1</v>
      </c>
      <c r="BC13" s="25">
        <v>1</v>
      </c>
      <c r="BD13" s="25">
        <v>1</v>
      </c>
    </row>
    <row r="14" spans="1:56" x14ac:dyDescent="0.25">
      <c r="AA14" s="68" t="str">
        <f t="shared" si="1"/>
        <v>Fotos\\.jpg</v>
      </c>
      <c r="AB14" s="53">
        <f t="shared" si="2"/>
        <v>7.1428571428571425E-2</v>
      </c>
      <c r="AC14" s="25">
        <f t="shared" si="3"/>
        <v>14</v>
      </c>
      <c r="AD14" s="51">
        <f t="shared" si="4"/>
        <v>1</v>
      </c>
      <c r="AE14" s="25">
        <v>1</v>
      </c>
      <c r="AF14" s="25">
        <v>1</v>
      </c>
      <c r="AG14" s="25">
        <v>1</v>
      </c>
      <c r="AH14" s="25">
        <v>1</v>
      </c>
      <c r="AI14" s="25">
        <f>IF(OR(Apresentação!$E$3='Base de Dados e filtragem'!AI$2,Apresentação!$E$3='Base de Dados e filtragem'!E14),1,0)</f>
        <v>1</v>
      </c>
      <c r="AJ14" s="25">
        <f>IF(OR(Apresentação!$E$4='Base de Dados e filtragem'!AJ$2,Apresentação!$E$4='Base de Dados e filtragem'!F14),1,0)</f>
        <v>1</v>
      </c>
      <c r="AK14" s="25">
        <f>IF(OR(Apresentação!$E$5='Base de Dados e filtragem'!AK$2,Apresentação!$E$5='Base de Dados e filtragem'!G14),1,0)</f>
        <v>1</v>
      </c>
      <c r="AL14" s="25">
        <f>IF(OR(Apresentação!$E$6='Base de Dados e filtragem'!AL$2,Apresentação!$E$6='Base de Dados e filtragem'!H14),1,0)</f>
        <v>1</v>
      </c>
      <c r="AM14" s="25">
        <f>IF(OR(Apresentação!$I$2='Base de Dados e filtragem'!AM$2,Apresentação!$I$2='Base de Dados e filtragem'!I14),1,0)</f>
        <v>1</v>
      </c>
      <c r="AN14" s="25">
        <f>IF(OR(Apresentação!$I$3='Base de Dados e filtragem'!AN$2,Apresentação!$I$3='Base de Dados e filtragem'!J14),1,0)</f>
        <v>1</v>
      </c>
      <c r="AO14" s="25">
        <f>IF(OR(Apresentação!$I$4='Base de Dados e filtragem'!AO$2,Apresentação!$I$4='Base de Dados e filtragem'!K14),1,0)</f>
        <v>1</v>
      </c>
      <c r="AP14" s="25">
        <f>IF(OR(Apresentação!$I$5='Base de Dados e filtragem'!AP$2,Apresentação!$I$5='Base de Dados e filtragem'!L14),1,0)</f>
        <v>1</v>
      </c>
      <c r="AQ14" s="25">
        <f>IF(OR(Apresentação!$I$6='Base de Dados e filtragem'!AQ$2,Apresentação!$I$6='Base de Dados e filtragem'!M14),1,0)</f>
        <v>1</v>
      </c>
      <c r="AR14" s="25">
        <v>1</v>
      </c>
      <c r="AS14" s="25">
        <v>1</v>
      </c>
      <c r="AT14" s="25">
        <v>1</v>
      </c>
      <c r="AU14" s="25">
        <v>1</v>
      </c>
      <c r="AV14" s="25">
        <v>1</v>
      </c>
      <c r="AW14" s="25">
        <v>1</v>
      </c>
      <c r="AX14" s="25">
        <v>1</v>
      </c>
      <c r="AY14" s="25">
        <v>1</v>
      </c>
      <c r="AZ14" s="25">
        <v>1</v>
      </c>
      <c r="BA14" s="25">
        <v>1</v>
      </c>
      <c r="BB14" s="25">
        <v>1</v>
      </c>
      <c r="BC14" s="25">
        <v>1</v>
      </c>
      <c r="BD14" s="25">
        <v>1</v>
      </c>
    </row>
    <row r="15" spans="1:56" x14ac:dyDescent="0.25">
      <c r="AA15" s="68" t="str">
        <f t="shared" si="1"/>
        <v>Fotos\\.jpg</v>
      </c>
      <c r="AB15" s="53">
        <f t="shared" si="2"/>
        <v>6.6666666666666666E-2</v>
      </c>
      <c r="AC15" s="25">
        <f t="shared" si="3"/>
        <v>15</v>
      </c>
      <c r="AD15" s="51">
        <f t="shared" si="4"/>
        <v>1</v>
      </c>
      <c r="AE15" s="25">
        <v>1</v>
      </c>
      <c r="AF15" s="25">
        <v>1</v>
      </c>
      <c r="AG15" s="25">
        <v>1</v>
      </c>
      <c r="AH15" s="25">
        <v>1</v>
      </c>
      <c r="AI15" s="25">
        <f>IF(OR(Apresentação!$E$3='Base de Dados e filtragem'!AI$2,Apresentação!$E$3='Base de Dados e filtragem'!E15),1,0)</f>
        <v>1</v>
      </c>
      <c r="AJ15" s="25">
        <f>IF(OR(Apresentação!$E$4='Base de Dados e filtragem'!AJ$2,Apresentação!$E$4='Base de Dados e filtragem'!F15),1,0)</f>
        <v>1</v>
      </c>
      <c r="AK15" s="25">
        <f>IF(OR(Apresentação!$E$5='Base de Dados e filtragem'!AK$2,Apresentação!$E$5='Base de Dados e filtragem'!G15),1,0)</f>
        <v>1</v>
      </c>
      <c r="AL15" s="25">
        <f>IF(OR(Apresentação!$E$6='Base de Dados e filtragem'!AL$2,Apresentação!$E$6='Base de Dados e filtragem'!H15),1,0)</f>
        <v>1</v>
      </c>
      <c r="AM15" s="25">
        <f>IF(OR(Apresentação!$I$2='Base de Dados e filtragem'!AM$2,Apresentação!$I$2='Base de Dados e filtragem'!I15),1,0)</f>
        <v>1</v>
      </c>
      <c r="AN15" s="25">
        <f>IF(OR(Apresentação!$I$3='Base de Dados e filtragem'!AN$2,Apresentação!$I$3='Base de Dados e filtragem'!J15),1,0)</f>
        <v>1</v>
      </c>
      <c r="AO15" s="25">
        <f>IF(OR(Apresentação!$I$4='Base de Dados e filtragem'!AO$2,Apresentação!$I$4='Base de Dados e filtragem'!K15),1,0)</f>
        <v>1</v>
      </c>
      <c r="AP15" s="25">
        <f>IF(OR(Apresentação!$I$5='Base de Dados e filtragem'!AP$2,Apresentação!$I$5='Base de Dados e filtragem'!L15),1,0)</f>
        <v>1</v>
      </c>
      <c r="AQ15" s="25">
        <f>IF(OR(Apresentação!$I$6='Base de Dados e filtragem'!AQ$2,Apresentação!$I$6='Base de Dados e filtragem'!M15),1,0)</f>
        <v>1</v>
      </c>
      <c r="AR15" s="25">
        <v>1</v>
      </c>
      <c r="AS15" s="25">
        <v>1</v>
      </c>
      <c r="AT15" s="25">
        <v>1</v>
      </c>
      <c r="AU15" s="25">
        <v>1</v>
      </c>
      <c r="AV15" s="25">
        <v>1</v>
      </c>
      <c r="AW15" s="25">
        <v>1</v>
      </c>
      <c r="AX15" s="25">
        <v>1</v>
      </c>
      <c r="AY15" s="25">
        <v>1</v>
      </c>
      <c r="AZ15" s="25">
        <v>1</v>
      </c>
      <c r="BA15" s="25">
        <v>1</v>
      </c>
      <c r="BB15" s="25">
        <v>1</v>
      </c>
      <c r="BC15" s="25">
        <v>1</v>
      </c>
      <c r="BD15" s="25">
        <v>1</v>
      </c>
    </row>
    <row r="16" spans="1:56" x14ac:dyDescent="0.25">
      <c r="AA16" s="68" t="str">
        <f t="shared" si="1"/>
        <v>Fotos\\.jpg</v>
      </c>
      <c r="AB16" s="53">
        <f t="shared" si="2"/>
        <v>6.25E-2</v>
      </c>
      <c r="AC16" s="25">
        <f t="shared" si="3"/>
        <v>16</v>
      </c>
      <c r="AD16" s="51">
        <f t="shared" si="4"/>
        <v>1</v>
      </c>
      <c r="AE16" s="25">
        <v>1</v>
      </c>
      <c r="AF16" s="25">
        <v>1</v>
      </c>
      <c r="AG16" s="25">
        <v>1</v>
      </c>
      <c r="AH16" s="25">
        <v>1</v>
      </c>
      <c r="AI16" s="25">
        <f>IF(OR(Apresentação!$E$3='Base de Dados e filtragem'!AI$2,Apresentação!$E$3='Base de Dados e filtragem'!E16),1,0)</f>
        <v>1</v>
      </c>
      <c r="AJ16" s="25">
        <f>IF(OR(Apresentação!$E$4='Base de Dados e filtragem'!AJ$2,Apresentação!$E$4='Base de Dados e filtragem'!F16),1,0)</f>
        <v>1</v>
      </c>
      <c r="AK16" s="25">
        <f>IF(OR(Apresentação!$E$5='Base de Dados e filtragem'!AK$2,Apresentação!$E$5='Base de Dados e filtragem'!G16),1,0)</f>
        <v>1</v>
      </c>
      <c r="AL16" s="25">
        <f>IF(OR(Apresentação!$E$6='Base de Dados e filtragem'!AL$2,Apresentação!$E$6='Base de Dados e filtragem'!H16),1,0)</f>
        <v>1</v>
      </c>
      <c r="AM16" s="25">
        <f>IF(OR(Apresentação!$I$2='Base de Dados e filtragem'!AM$2,Apresentação!$I$2='Base de Dados e filtragem'!I16),1,0)</f>
        <v>1</v>
      </c>
      <c r="AN16" s="25">
        <f>IF(OR(Apresentação!$I$3='Base de Dados e filtragem'!AN$2,Apresentação!$I$3='Base de Dados e filtragem'!J16),1,0)</f>
        <v>1</v>
      </c>
      <c r="AO16" s="25">
        <f>IF(OR(Apresentação!$I$4='Base de Dados e filtragem'!AO$2,Apresentação!$I$4='Base de Dados e filtragem'!K16),1,0)</f>
        <v>1</v>
      </c>
      <c r="AP16" s="25">
        <f>IF(OR(Apresentação!$I$5='Base de Dados e filtragem'!AP$2,Apresentação!$I$5='Base de Dados e filtragem'!L16),1,0)</f>
        <v>1</v>
      </c>
      <c r="AQ16" s="25">
        <f>IF(OR(Apresentação!$I$6='Base de Dados e filtragem'!AQ$2,Apresentação!$I$6='Base de Dados e filtragem'!M16),1,0)</f>
        <v>1</v>
      </c>
      <c r="AR16" s="25">
        <v>1</v>
      </c>
      <c r="AS16" s="25">
        <v>1</v>
      </c>
      <c r="AT16" s="25">
        <v>1</v>
      </c>
      <c r="AU16" s="25">
        <v>1</v>
      </c>
      <c r="AV16" s="25">
        <v>1</v>
      </c>
      <c r="AW16" s="25">
        <v>1</v>
      </c>
      <c r="AX16" s="25">
        <v>1</v>
      </c>
      <c r="AY16" s="25">
        <v>1</v>
      </c>
      <c r="AZ16" s="25">
        <v>1</v>
      </c>
      <c r="BA16" s="25">
        <v>1</v>
      </c>
      <c r="BB16" s="25">
        <v>1</v>
      </c>
      <c r="BC16" s="25">
        <v>1</v>
      </c>
      <c r="BD16" s="25">
        <v>1</v>
      </c>
    </row>
    <row r="17" spans="27:56" x14ac:dyDescent="0.25">
      <c r="AA17" s="68" t="str">
        <f t="shared" si="1"/>
        <v>Fotos\\.jpg</v>
      </c>
      <c r="AB17" s="53">
        <f t="shared" si="2"/>
        <v>5.8823529411764705E-2</v>
      </c>
      <c r="AC17" s="25">
        <f t="shared" si="3"/>
        <v>17</v>
      </c>
      <c r="AD17" s="51">
        <f t="shared" si="4"/>
        <v>1</v>
      </c>
      <c r="AE17" s="25">
        <v>1</v>
      </c>
      <c r="AF17" s="25">
        <v>1</v>
      </c>
      <c r="AG17" s="25">
        <v>1</v>
      </c>
      <c r="AH17" s="25">
        <v>1</v>
      </c>
      <c r="AI17" s="25">
        <f>IF(OR(Apresentação!$E$3='Base de Dados e filtragem'!AI$2,Apresentação!$E$3='Base de Dados e filtragem'!E17),1,0)</f>
        <v>1</v>
      </c>
      <c r="AJ17" s="25">
        <f>IF(OR(Apresentação!$E$4='Base de Dados e filtragem'!AJ$2,Apresentação!$E$4='Base de Dados e filtragem'!F17),1,0)</f>
        <v>1</v>
      </c>
      <c r="AK17" s="25">
        <f>IF(OR(Apresentação!$E$5='Base de Dados e filtragem'!AK$2,Apresentação!$E$5='Base de Dados e filtragem'!G17),1,0)</f>
        <v>1</v>
      </c>
      <c r="AL17" s="25">
        <f>IF(OR(Apresentação!$E$6='Base de Dados e filtragem'!AL$2,Apresentação!$E$6='Base de Dados e filtragem'!H17),1,0)</f>
        <v>1</v>
      </c>
      <c r="AM17" s="25">
        <f>IF(OR(Apresentação!$I$2='Base de Dados e filtragem'!AM$2,Apresentação!$I$2='Base de Dados e filtragem'!I17),1,0)</f>
        <v>1</v>
      </c>
      <c r="AN17" s="25">
        <f>IF(OR(Apresentação!$I$3='Base de Dados e filtragem'!AN$2,Apresentação!$I$3='Base de Dados e filtragem'!J17),1,0)</f>
        <v>1</v>
      </c>
      <c r="AO17" s="25">
        <f>IF(OR(Apresentação!$I$4='Base de Dados e filtragem'!AO$2,Apresentação!$I$4='Base de Dados e filtragem'!K17),1,0)</f>
        <v>1</v>
      </c>
      <c r="AP17" s="25">
        <f>IF(OR(Apresentação!$I$5='Base de Dados e filtragem'!AP$2,Apresentação!$I$5='Base de Dados e filtragem'!L17),1,0)</f>
        <v>1</v>
      </c>
      <c r="AQ17" s="25">
        <f>IF(OR(Apresentação!$I$6='Base de Dados e filtragem'!AQ$2,Apresentação!$I$6='Base de Dados e filtragem'!M17),1,0)</f>
        <v>1</v>
      </c>
      <c r="AR17" s="25">
        <v>1</v>
      </c>
      <c r="AS17" s="25">
        <v>1</v>
      </c>
      <c r="AT17" s="25">
        <v>1</v>
      </c>
      <c r="AU17" s="25">
        <v>1</v>
      </c>
      <c r="AV17" s="25">
        <v>1</v>
      </c>
      <c r="AW17" s="25">
        <v>1</v>
      </c>
      <c r="AX17" s="25">
        <v>1</v>
      </c>
      <c r="AY17" s="25">
        <v>1</v>
      </c>
      <c r="AZ17" s="25">
        <v>1</v>
      </c>
      <c r="BA17" s="25">
        <v>1</v>
      </c>
      <c r="BB17" s="25">
        <v>1</v>
      </c>
      <c r="BC17" s="25">
        <v>1</v>
      </c>
      <c r="BD17" s="25">
        <v>1</v>
      </c>
    </row>
    <row r="18" spans="27:56" x14ac:dyDescent="0.25">
      <c r="AA18" s="68" t="str">
        <f t="shared" si="1"/>
        <v>Fotos\\.jpg</v>
      </c>
      <c r="AB18" s="53">
        <f t="shared" si="2"/>
        <v>5.5555555555555552E-2</v>
      </c>
      <c r="AC18" s="25">
        <f t="shared" si="3"/>
        <v>18</v>
      </c>
      <c r="AD18" s="51">
        <f t="shared" si="4"/>
        <v>1</v>
      </c>
      <c r="AE18" s="25">
        <v>1</v>
      </c>
      <c r="AF18" s="25">
        <v>1</v>
      </c>
      <c r="AG18" s="25">
        <v>1</v>
      </c>
      <c r="AH18" s="25">
        <v>1</v>
      </c>
      <c r="AI18" s="25">
        <f>IF(OR(Apresentação!$E$3='Base de Dados e filtragem'!AI$2,Apresentação!$E$3='Base de Dados e filtragem'!E18),1,0)</f>
        <v>1</v>
      </c>
      <c r="AJ18" s="25">
        <f>IF(OR(Apresentação!$E$4='Base de Dados e filtragem'!AJ$2,Apresentação!$E$4='Base de Dados e filtragem'!F18),1,0)</f>
        <v>1</v>
      </c>
      <c r="AK18" s="25">
        <f>IF(OR(Apresentação!$E$5='Base de Dados e filtragem'!AK$2,Apresentação!$E$5='Base de Dados e filtragem'!G18),1,0)</f>
        <v>1</v>
      </c>
      <c r="AL18" s="25">
        <f>IF(OR(Apresentação!$E$6='Base de Dados e filtragem'!AL$2,Apresentação!$E$6='Base de Dados e filtragem'!H18),1,0)</f>
        <v>1</v>
      </c>
      <c r="AM18" s="25">
        <f>IF(OR(Apresentação!$I$2='Base de Dados e filtragem'!AM$2,Apresentação!$I$2='Base de Dados e filtragem'!I18),1,0)</f>
        <v>1</v>
      </c>
      <c r="AN18" s="25">
        <f>IF(OR(Apresentação!$I$3='Base de Dados e filtragem'!AN$2,Apresentação!$I$3='Base de Dados e filtragem'!J18),1,0)</f>
        <v>1</v>
      </c>
      <c r="AO18" s="25">
        <f>IF(OR(Apresentação!$I$4='Base de Dados e filtragem'!AO$2,Apresentação!$I$4='Base de Dados e filtragem'!K18),1,0)</f>
        <v>1</v>
      </c>
      <c r="AP18" s="25">
        <f>IF(OR(Apresentação!$I$5='Base de Dados e filtragem'!AP$2,Apresentação!$I$5='Base de Dados e filtragem'!L18),1,0)</f>
        <v>1</v>
      </c>
      <c r="AQ18" s="25">
        <f>IF(OR(Apresentação!$I$6='Base de Dados e filtragem'!AQ$2,Apresentação!$I$6='Base de Dados e filtragem'!M18),1,0)</f>
        <v>1</v>
      </c>
      <c r="AR18" s="25">
        <v>1</v>
      </c>
      <c r="AS18" s="25">
        <v>1</v>
      </c>
      <c r="AT18" s="25">
        <v>1</v>
      </c>
      <c r="AU18" s="25">
        <v>1</v>
      </c>
      <c r="AV18" s="25">
        <v>1</v>
      </c>
      <c r="AW18" s="25">
        <v>1</v>
      </c>
      <c r="AX18" s="25">
        <v>1</v>
      </c>
      <c r="AY18" s="25">
        <v>1</v>
      </c>
      <c r="AZ18" s="25">
        <v>1</v>
      </c>
      <c r="BA18" s="25">
        <v>1</v>
      </c>
      <c r="BB18" s="25">
        <v>1</v>
      </c>
      <c r="BC18" s="25">
        <v>1</v>
      </c>
      <c r="BD18" s="25">
        <v>1</v>
      </c>
    </row>
    <row r="19" spans="27:56" x14ac:dyDescent="0.25">
      <c r="AA19" s="68" t="str">
        <f t="shared" si="1"/>
        <v>Fotos\\.jpg</v>
      </c>
      <c r="AB19" s="53">
        <f t="shared" si="2"/>
        <v>5.2631578947368418E-2</v>
      </c>
      <c r="AC19" s="25">
        <f t="shared" si="3"/>
        <v>19</v>
      </c>
      <c r="AD19" s="51">
        <f t="shared" si="4"/>
        <v>1</v>
      </c>
      <c r="AE19" s="25">
        <v>1</v>
      </c>
      <c r="AF19" s="25">
        <v>1</v>
      </c>
      <c r="AG19" s="25">
        <v>1</v>
      </c>
      <c r="AH19" s="25">
        <v>1</v>
      </c>
      <c r="AI19" s="25">
        <f>IF(OR(Apresentação!$E$3='Base de Dados e filtragem'!AI$2,Apresentação!$E$3='Base de Dados e filtragem'!E19),1,0)</f>
        <v>1</v>
      </c>
      <c r="AJ19" s="25">
        <f>IF(OR(Apresentação!$E$4='Base de Dados e filtragem'!AJ$2,Apresentação!$E$4='Base de Dados e filtragem'!F19),1,0)</f>
        <v>1</v>
      </c>
      <c r="AK19" s="25">
        <f>IF(OR(Apresentação!$E$5='Base de Dados e filtragem'!AK$2,Apresentação!$E$5='Base de Dados e filtragem'!G19),1,0)</f>
        <v>1</v>
      </c>
      <c r="AL19" s="25">
        <f>IF(OR(Apresentação!$E$6='Base de Dados e filtragem'!AL$2,Apresentação!$E$6='Base de Dados e filtragem'!H19),1,0)</f>
        <v>1</v>
      </c>
      <c r="AM19" s="25">
        <f>IF(OR(Apresentação!$I$2='Base de Dados e filtragem'!AM$2,Apresentação!$I$2='Base de Dados e filtragem'!I19),1,0)</f>
        <v>1</v>
      </c>
      <c r="AN19" s="25">
        <f>IF(OR(Apresentação!$I$3='Base de Dados e filtragem'!AN$2,Apresentação!$I$3='Base de Dados e filtragem'!J19),1,0)</f>
        <v>1</v>
      </c>
      <c r="AO19" s="25">
        <f>IF(OR(Apresentação!$I$4='Base de Dados e filtragem'!AO$2,Apresentação!$I$4='Base de Dados e filtragem'!K19),1,0)</f>
        <v>1</v>
      </c>
      <c r="AP19" s="25">
        <f>IF(OR(Apresentação!$I$5='Base de Dados e filtragem'!AP$2,Apresentação!$I$5='Base de Dados e filtragem'!L19),1,0)</f>
        <v>1</v>
      </c>
      <c r="AQ19" s="25">
        <f>IF(OR(Apresentação!$I$6='Base de Dados e filtragem'!AQ$2,Apresentação!$I$6='Base de Dados e filtragem'!M19),1,0)</f>
        <v>1</v>
      </c>
      <c r="AR19" s="25">
        <v>1</v>
      </c>
      <c r="AS19" s="25">
        <v>1</v>
      </c>
      <c r="AT19" s="25">
        <v>1</v>
      </c>
      <c r="AU19" s="25">
        <v>1</v>
      </c>
      <c r="AV19" s="25">
        <v>1</v>
      </c>
      <c r="AW19" s="25">
        <v>1</v>
      </c>
      <c r="AX19" s="25">
        <v>1</v>
      </c>
      <c r="AY19" s="25">
        <v>1</v>
      </c>
      <c r="AZ19" s="25">
        <v>1</v>
      </c>
      <c r="BA19" s="25">
        <v>1</v>
      </c>
      <c r="BB19" s="25">
        <v>1</v>
      </c>
      <c r="BC19" s="25">
        <v>1</v>
      </c>
      <c r="BD19" s="25">
        <v>1</v>
      </c>
    </row>
    <row r="20" spans="27:56" x14ac:dyDescent="0.25">
      <c r="AA20" s="68" t="str">
        <f t="shared" si="1"/>
        <v>Fotos\\.jpg</v>
      </c>
      <c r="AB20" s="53">
        <f t="shared" si="2"/>
        <v>0.05</v>
      </c>
      <c r="AC20" s="25">
        <f t="shared" si="3"/>
        <v>20</v>
      </c>
      <c r="AD20" s="51">
        <f t="shared" si="4"/>
        <v>1</v>
      </c>
      <c r="AE20" s="25">
        <v>1</v>
      </c>
      <c r="AF20" s="25">
        <v>1</v>
      </c>
      <c r="AG20" s="25">
        <v>1</v>
      </c>
      <c r="AH20" s="25">
        <v>1</v>
      </c>
      <c r="AI20" s="25">
        <f>IF(OR(Apresentação!$E$3='Base de Dados e filtragem'!AI$2,Apresentação!$E$3='Base de Dados e filtragem'!E20),1,0)</f>
        <v>1</v>
      </c>
      <c r="AJ20" s="25">
        <f>IF(OR(Apresentação!$E$4='Base de Dados e filtragem'!AJ$2,Apresentação!$E$4='Base de Dados e filtragem'!F20),1,0)</f>
        <v>1</v>
      </c>
      <c r="AK20" s="25">
        <f>IF(OR(Apresentação!$E$5='Base de Dados e filtragem'!AK$2,Apresentação!$E$5='Base de Dados e filtragem'!G20),1,0)</f>
        <v>1</v>
      </c>
      <c r="AL20" s="25">
        <f>IF(OR(Apresentação!$E$6='Base de Dados e filtragem'!AL$2,Apresentação!$E$6='Base de Dados e filtragem'!H20),1,0)</f>
        <v>1</v>
      </c>
      <c r="AM20" s="25">
        <f>IF(OR(Apresentação!$I$2='Base de Dados e filtragem'!AM$2,Apresentação!$I$2='Base de Dados e filtragem'!I20),1,0)</f>
        <v>1</v>
      </c>
      <c r="AN20" s="25">
        <f>IF(OR(Apresentação!$I$3='Base de Dados e filtragem'!AN$2,Apresentação!$I$3='Base de Dados e filtragem'!J20),1,0)</f>
        <v>1</v>
      </c>
      <c r="AO20" s="25">
        <f>IF(OR(Apresentação!$I$4='Base de Dados e filtragem'!AO$2,Apresentação!$I$4='Base de Dados e filtragem'!K20),1,0)</f>
        <v>1</v>
      </c>
      <c r="AP20" s="25">
        <f>IF(OR(Apresentação!$I$5='Base de Dados e filtragem'!AP$2,Apresentação!$I$5='Base de Dados e filtragem'!L20),1,0)</f>
        <v>1</v>
      </c>
      <c r="AQ20" s="25">
        <f>IF(OR(Apresentação!$I$6='Base de Dados e filtragem'!AQ$2,Apresentação!$I$6='Base de Dados e filtragem'!M20),1,0)</f>
        <v>1</v>
      </c>
      <c r="AR20" s="25">
        <v>1</v>
      </c>
      <c r="AS20" s="25">
        <v>1</v>
      </c>
      <c r="AT20" s="25">
        <v>1</v>
      </c>
      <c r="AU20" s="25">
        <v>1</v>
      </c>
      <c r="AV20" s="25">
        <v>1</v>
      </c>
      <c r="AW20" s="25">
        <v>1</v>
      </c>
      <c r="AX20" s="25">
        <v>1</v>
      </c>
      <c r="AY20" s="25">
        <v>1</v>
      </c>
      <c r="AZ20" s="25">
        <v>1</v>
      </c>
      <c r="BA20" s="25">
        <v>1</v>
      </c>
      <c r="BB20" s="25">
        <v>1</v>
      </c>
      <c r="BC20" s="25">
        <v>1</v>
      </c>
      <c r="BD20" s="25">
        <v>1</v>
      </c>
    </row>
    <row r="21" spans="27:56" x14ac:dyDescent="0.25">
      <c r="AA21" s="68" t="str">
        <f t="shared" si="1"/>
        <v>Fotos\\.jpg</v>
      </c>
      <c r="AB21" s="53">
        <f t="shared" si="2"/>
        <v>4.7619047619047616E-2</v>
      </c>
      <c r="AC21" s="25">
        <f t="shared" si="3"/>
        <v>21</v>
      </c>
      <c r="AD21" s="51">
        <f t="shared" si="4"/>
        <v>1</v>
      </c>
      <c r="AE21" s="25">
        <v>1</v>
      </c>
      <c r="AF21" s="25">
        <v>1</v>
      </c>
      <c r="AG21" s="25">
        <v>1</v>
      </c>
      <c r="AH21" s="25">
        <v>1</v>
      </c>
      <c r="AI21" s="25">
        <f>IF(OR(Apresentação!$E$3='Base de Dados e filtragem'!AI$2,Apresentação!$E$3='Base de Dados e filtragem'!E21),1,0)</f>
        <v>1</v>
      </c>
      <c r="AJ21" s="25">
        <f>IF(OR(Apresentação!$E$4='Base de Dados e filtragem'!AJ$2,Apresentação!$E$4='Base de Dados e filtragem'!F21),1,0)</f>
        <v>1</v>
      </c>
      <c r="AK21" s="25">
        <f>IF(OR(Apresentação!$E$5='Base de Dados e filtragem'!AK$2,Apresentação!$E$5='Base de Dados e filtragem'!G21),1,0)</f>
        <v>1</v>
      </c>
      <c r="AL21" s="25">
        <f>IF(OR(Apresentação!$E$6='Base de Dados e filtragem'!AL$2,Apresentação!$E$6='Base de Dados e filtragem'!H21),1,0)</f>
        <v>1</v>
      </c>
      <c r="AM21" s="25">
        <f>IF(OR(Apresentação!$I$2='Base de Dados e filtragem'!AM$2,Apresentação!$I$2='Base de Dados e filtragem'!I21),1,0)</f>
        <v>1</v>
      </c>
      <c r="AN21" s="25">
        <f>IF(OR(Apresentação!$I$3='Base de Dados e filtragem'!AN$2,Apresentação!$I$3='Base de Dados e filtragem'!J21),1,0)</f>
        <v>1</v>
      </c>
      <c r="AO21" s="25">
        <f>IF(OR(Apresentação!$I$4='Base de Dados e filtragem'!AO$2,Apresentação!$I$4='Base de Dados e filtragem'!K21),1,0)</f>
        <v>1</v>
      </c>
      <c r="AP21" s="25">
        <f>IF(OR(Apresentação!$I$5='Base de Dados e filtragem'!AP$2,Apresentação!$I$5='Base de Dados e filtragem'!L21),1,0)</f>
        <v>1</v>
      </c>
      <c r="AQ21" s="25">
        <f>IF(OR(Apresentação!$I$6='Base de Dados e filtragem'!AQ$2,Apresentação!$I$6='Base de Dados e filtragem'!M21),1,0)</f>
        <v>1</v>
      </c>
      <c r="AR21" s="25">
        <v>1</v>
      </c>
      <c r="AS21" s="25">
        <v>1</v>
      </c>
      <c r="AT21" s="25">
        <v>1</v>
      </c>
      <c r="AU21" s="25">
        <v>1</v>
      </c>
      <c r="AV21" s="25">
        <v>1</v>
      </c>
      <c r="AW21" s="25">
        <v>1</v>
      </c>
      <c r="AX21" s="25">
        <v>1</v>
      </c>
      <c r="AY21" s="25">
        <v>1</v>
      </c>
      <c r="AZ21" s="25">
        <v>1</v>
      </c>
      <c r="BA21" s="25">
        <v>1</v>
      </c>
      <c r="BB21" s="25">
        <v>1</v>
      </c>
      <c r="BC21" s="25">
        <v>1</v>
      </c>
      <c r="BD21" s="25">
        <v>1</v>
      </c>
    </row>
    <row r="22" spans="27:56" x14ac:dyDescent="0.25">
      <c r="AA22" s="68" t="str">
        <f t="shared" si="1"/>
        <v>Fotos\\.jpg</v>
      </c>
      <c r="AB22" s="53">
        <f t="shared" si="2"/>
        <v>4.5454545454545456E-2</v>
      </c>
      <c r="AC22" s="25">
        <f t="shared" si="3"/>
        <v>22</v>
      </c>
      <c r="AD22" s="51">
        <f t="shared" si="4"/>
        <v>1</v>
      </c>
      <c r="AE22" s="25">
        <v>1</v>
      </c>
      <c r="AF22" s="25">
        <v>1</v>
      </c>
      <c r="AG22" s="25">
        <v>1</v>
      </c>
      <c r="AH22" s="25">
        <v>1</v>
      </c>
      <c r="AI22" s="25">
        <f>IF(OR(Apresentação!$E$3='Base de Dados e filtragem'!AI$2,Apresentação!$E$3='Base de Dados e filtragem'!E22),1,0)</f>
        <v>1</v>
      </c>
      <c r="AJ22" s="25">
        <f>IF(OR(Apresentação!$E$4='Base de Dados e filtragem'!AJ$2,Apresentação!$E$4='Base de Dados e filtragem'!F22),1,0)</f>
        <v>1</v>
      </c>
      <c r="AK22" s="25">
        <f>IF(OR(Apresentação!$E$5='Base de Dados e filtragem'!AK$2,Apresentação!$E$5='Base de Dados e filtragem'!G22),1,0)</f>
        <v>1</v>
      </c>
      <c r="AL22" s="25">
        <f>IF(OR(Apresentação!$E$6='Base de Dados e filtragem'!AL$2,Apresentação!$E$6='Base de Dados e filtragem'!H22),1,0)</f>
        <v>1</v>
      </c>
      <c r="AM22" s="25">
        <f>IF(OR(Apresentação!$I$2='Base de Dados e filtragem'!AM$2,Apresentação!$I$2='Base de Dados e filtragem'!I22),1,0)</f>
        <v>1</v>
      </c>
      <c r="AN22" s="25">
        <f>IF(OR(Apresentação!$I$3='Base de Dados e filtragem'!AN$2,Apresentação!$I$3='Base de Dados e filtragem'!J22),1,0)</f>
        <v>1</v>
      </c>
      <c r="AO22" s="25">
        <f>IF(OR(Apresentação!$I$4='Base de Dados e filtragem'!AO$2,Apresentação!$I$4='Base de Dados e filtragem'!K22),1,0)</f>
        <v>1</v>
      </c>
      <c r="AP22" s="25">
        <f>IF(OR(Apresentação!$I$5='Base de Dados e filtragem'!AP$2,Apresentação!$I$5='Base de Dados e filtragem'!L22),1,0)</f>
        <v>1</v>
      </c>
      <c r="AQ22" s="25">
        <f>IF(OR(Apresentação!$I$6='Base de Dados e filtragem'!AQ$2,Apresentação!$I$6='Base de Dados e filtragem'!M22),1,0)</f>
        <v>1</v>
      </c>
      <c r="AR22" s="25">
        <v>1</v>
      </c>
      <c r="AS22" s="25">
        <v>1</v>
      </c>
      <c r="AT22" s="25">
        <v>1</v>
      </c>
      <c r="AU22" s="25">
        <v>1</v>
      </c>
      <c r="AV22" s="25">
        <v>1</v>
      </c>
      <c r="AW22" s="25">
        <v>1</v>
      </c>
      <c r="AX22" s="25">
        <v>1</v>
      </c>
      <c r="AY22" s="25">
        <v>1</v>
      </c>
      <c r="AZ22" s="25">
        <v>1</v>
      </c>
      <c r="BA22" s="25">
        <v>1</v>
      </c>
      <c r="BB22" s="25">
        <v>1</v>
      </c>
      <c r="BC22" s="25">
        <v>1</v>
      </c>
      <c r="BD22" s="25">
        <v>1</v>
      </c>
    </row>
    <row r="23" spans="27:56" x14ac:dyDescent="0.25">
      <c r="AA23" s="68" t="str">
        <f t="shared" si="1"/>
        <v>Fotos\\.jpg</v>
      </c>
      <c r="AB23" s="53">
        <f t="shared" si="2"/>
        <v>4.3478260869565216E-2</v>
      </c>
      <c r="AC23" s="25">
        <f t="shared" si="3"/>
        <v>23</v>
      </c>
      <c r="AD23" s="51">
        <f t="shared" si="4"/>
        <v>1</v>
      </c>
      <c r="AE23" s="25">
        <v>1</v>
      </c>
      <c r="AF23" s="25">
        <v>1</v>
      </c>
      <c r="AG23" s="25">
        <v>1</v>
      </c>
      <c r="AH23" s="25">
        <v>1</v>
      </c>
      <c r="AI23" s="25">
        <f>IF(OR(Apresentação!$E$3='Base de Dados e filtragem'!AI$2,Apresentação!$E$3='Base de Dados e filtragem'!E23),1,0)</f>
        <v>1</v>
      </c>
      <c r="AJ23" s="25">
        <f>IF(OR(Apresentação!$E$4='Base de Dados e filtragem'!AJ$2,Apresentação!$E$4='Base de Dados e filtragem'!F23),1,0)</f>
        <v>1</v>
      </c>
      <c r="AK23" s="25">
        <f>IF(OR(Apresentação!$E$5='Base de Dados e filtragem'!AK$2,Apresentação!$E$5='Base de Dados e filtragem'!G23),1,0)</f>
        <v>1</v>
      </c>
      <c r="AL23" s="25">
        <f>IF(OR(Apresentação!$E$6='Base de Dados e filtragem'!AL$2,Apresentação!$E$6='Base de Dados e filtragem'!H23),1,0)</f>
        <v>1</v>
      </c>
      <c r="AM23" s="25">
        <f>IF(OR(Apresentação!$I$2='Base de Dados e filtragem'!AM$2,Apresentação!$I$2='Base de Dados e filtragem'!I23),1,0)</f>
        <v>1</v>
      </c>
      <c r="AN23" s="25">
        <f>IF(OR(Apresentação!$I$3='Base de Dados e filtragem'!AN$2,Apresentação!$I$3='Base de Dados e filtragem'!J23),1,0)</f>
        <v>1</v>
      </c>
      <c r="AO23" s="25">
        <f>IF(OR(Apresentação!$I$4='Base de Dados e filtragem'!AO$2,Apresentação!$I$4='Base de Dados e filtragem'!K23),1,0)</f>
        <v>1</v>
      </c>
      <c r="AP23" s="25">
        <f>IF(OR(Apresentação!$I$5='Base de Dados e filtragem'!AP$2,Apresentação!$I$5='Base de Dados e filtragem'!L23),1,0)</f>
        <v>1</v>
      </c>
      <c r="AQ23" s="25">
        <f>IF(OR(Apresentação!$I$6='Base de Dados e filtragem'!AQ$2,Apresentação!$I$6='Base de Dados e filtragem'!M23),1,0)</f>
        <v>1</v>
      </c>
      <c r="AR23" s="25">
        <v>1</v>
      </c>
      <c r="AS23" s="25">
        <v>1</v>
      </c>
      <c r="AT23" s="25">
        <v>1</v>
      </c>
      <c r="AU23" s="25">
        <v>1</v>
      </c>
      <c r="AV23" s="25">
        <v>1</v>
      </c>
      <c r="AW23" s="25">
        <v>1</v>
      </c>
      <c r="AX23" s="25">
        <v>1</v>
      </c>
      <c r="AY23" s="25">
        <v>1</v>
      </c>
      <c r="AZ23" s="25">
        <v>1</v>
      </c>
      <c r="BA23" s="25">
        <v>1</v>
      </c>
      <c r="BB23" s="25">
        <v>1</v>
      </c>
      <c r="BC23" s="25">
        <v>1</v>
      </c>
      <c r="BD23" s="25">
        <v>1</v>
      </c>
    </row>
    <row r="24" spans="27:56" x14ac:dyDescent="0.25">
      <c r="AA24" s="68" t="str">
        <f t="shared" si="1"/>
        <v>Fotos\\.jpg</v>
      </c>
      <c r="AB24" s="53">
        <f t="shared" si="2"/>
        <v>4.1666666666666664E-2</v>
      </c>
      <c r="AC24" s="25">
        <f t="shared" si="3"/>
        <v>24</v>
      </c>
      <c r="AD24" s="51">
        <f t="shared" si="4"/>
        <v>1</v>
      </c>
      <c r="AE24" s="25">
        <v>1</v>
      </c>
      <c r="AF24" s="25">
        <v>1</v>
      </c>
      <c r="AG24" s="25">
        <v>1</v>
      </c>
      <c r="AH24" s="25">
        <v>1</v>
      </c>
      <c r="AI24" s="25">
        <f>IF(OR(Apresentação!$E$3='Base de Dados e filtragem'!AI$2,Apresentação!$E$3='Base de Dados e filtragem'!E24),1,0)</f>
        <v>1</v>
      </c>
      <c r="AJ24" s="25">
        <f>IF(OR(Apresentação!$E$4='Base de Dados e filtragem'!AJ$2,Apresentação!$E$4='Base de Dados e filtragem'!F24),1,0)</f>
        <v>1</v>
      </c>
      <c r="AK24" s="25">
        <f>IF(OR(Apresentação!$E$5='Base de Dados e filtragem'!AK$2,Apresentação!$E$5='Base de Dados e filtragem'!G24),1,0)</f>
        <v>1</v>
      </c>
      <c r="AL24" s="25">
        <f>IF(OR(Apresentação!$E$6='Base de Dados e filtragem'!AL$2,Apresentação!$E$6='Base de Dados e filtragem'!H24),1,0)</f>
        <v>1</v>
      </c>
      <c r="AM24" s="25">
        <f>IF(OR(Apresentação!$I$2='Base de Dados e filtragem'!AM$2,Apresentação!$I$2='Base de Dados e filtragem'!I24),1,0)</f>
        <v>1</v>
      </c>
      <c r="AN24" s="25">
        <f>IF(OR(Apresentação!$I$3='Base de Dados e filtragem'!AN$2,Apresentação!$I$3='Base de Dados e filtragem'!J24),1,0)</f>
        <v>1</v>
      </c>
      <c r="AO24" s="25">
        <f>IF(OR(Apresentação!$I$4='Base de Dados e filtragem'!AO$2,Apresentação!$I$4='Base de Dados e filtragem'!K24),1,0)</f>
        <v>1</v>
      </c>
      <c r="AP24" s="25">
        <f>IF(OR(Apresentação!$I$5='Base de Dados e filtragem'!AP$2,Apresentação!$I$5='Base de Dados e filtragem'!L24),1,0)</f>
        <v>1</v>
      </c>
      <c r="AQ24" s="25">
        <f>IF(OR(Apresentação!$I$6='Base de Dados e filtragem'!AQ$2,Apresentação!$I$6='Base de Dados e filtragem'!M24),1,0)</f>
        <v>1</v>
      </c>
      <c r="AR24" s="25">
        <v>1</v>
      </c>
      <c r="AS24" s="25">
        <v>1</v>
      </c>
      <c r="AT24" s="25">
        <v>1</v>
      </c>
      <c r="AU24" s="25">
        <v>1</v>
      </c>
      <c r="AV24" s="25">
        <v>1</v>
      </c>
      <c r="AW24" s="25">
        <v>1</v>
      </c>
      <c r="AX24" s="25">
        <v>1</v>
      </c>
      <c r="AY24" s="25">
        <v>1</v>
      </c>
      <c r="AZ24" s="25">
        <v>1</v>
      </c>
      <c r="BA24" s="25">
        <v>1</v>
      </c>
      <c r="BB24" s="25">
        <v>1</v>
      </c>
      <c r="BC24" s="25">
        <v>1</v>
      </c>
      <c r="BD24" s="25">
        <v>1</v>
      </c>
    </row>
    <row r="25" spans="27:56" x14ac:dyDescent="0.25">
      <c r="AA25" s="68" t="str">
        <f t="shared" si="1"/>
        <v>Fotos\\.jpg</v>
      </c>
      <c r="AB25" s="53">
        <f t="shared" si="2"/>
        <v>0.04</v>
      </c>
      <c r="AC25" s="25">
        <f t="shared" si="3"/>
        <v>25</v>
      </c>
      <c r="AD25" s="51">
        <f t="shared" si="4"/>
        <v>1</v>
      </c>
      <c r="AE25" s="25">
        <v>1</v>
      </c>
      <c r="AF25" s="25">
        <v>1</v>
      </c>
      <c r="AG25" s="25">
        <v>1</v>
      </c>
      <c r="AH25" s="25">
        <v>1</v>
      </c>
      <c r="AI25" s="25">
        <f>IF(OR(Apresentação!$E$3='Base de Dados e filtragem'!AI$2,Apresentação!$E$3='Base de Dados e filtragem'!E25),1,0)</f>
        <v>1</v>
      </c>
      <c r="AJ25" s="25">
        <f>IF(OR(Apresentação!$E$4='Base de Dados e filtragem'!AJ$2,Apresentação!$E$4='Base de Dados e filtragem'!F25),1,0)</f>
        <v>1</v>
      </c>
      <c r="AK25" s="25">
        <f>IF(OR(Apresentação!$E$5='Base de Dados e filtragem'!AK$2,Apresentação!$E$5='Base de Dados e filtragem'!G25),1,0)</f>
        <v>1</v>
      </c>
      <c r="AL25" s="25">
        <f>IF(OR(Apresentação!$E$6='Base de Dados e filtragem'!AL$2,Apresentação!$E$6='Base de Dados e filtragem'!H25),1,0)</f>
        <v>1</v>
      </c>
      <c r="AM25" s="25">
        <f>IF(OR(Apresentação!$I$2='Base de Dados e filtragem'!AM$2,Apresentação!$I$2='Base de Dados e filtragem'!I25),1,0)</f>
        <v>1</v>
      </c>
      <c r="AN25" s="25">
        <f>IF(OR(Apresentação!$I$3='Base de Dados e filtragem'!AN$2,Apresentação!$I$3='Base de Dados e filtragem'!J25),1,0)</f>
        <v>1</v>
      </c>
      <c r="AO25" s="25">
        <f>IF(OR(Apresentação!$I$4='Base de Dados e filtragem'!AO$2,Apresentação!$I$4='Base de Dados e filtragem'!K25),1,0)</f>
        <v>1</v>
      </c>
      <c r="AP25" s="25">
        <f>IF(OR(Apresentação!$I$5='Base de Dados e filtragem'!AP$2,Apresentação!$I$5='Base de Dados e filtragem'!L25),1,0)</f>
        <v>1</v>
      </c>
      <c r="AQ25" s="25">
        <f>IF(OR(Apresentação!$I$6='Base de Dados e filtragem'!AQ$2,Apresentação!$I$6='Base de Dados e filtragem'!M25),1,0)</f>
        <v>1</v>
      </c>
      <c r="AR25" s="25">
        <v>1</v>
      </c>
      <c r="AS25" s="25">
        <v>1</v>
      </c>
      <c r="AT25" s="25">
        <v>1</v>
      </c>
      <c r="AU25" s="25">
        <v>1</v>
      </c>
      <c r="AV25" s="25">
        <v>1</v>
      </c>
      <c r="AW25" s="25">
        <v>1</v>
      </c>
      <c r="AX25" s="25">
        <v>1</v>
      </c>
      <c r="AY25" s="25">
        <v>1</v>
      </c>
      <c r="AZ25" s="25">
        <v>1</v>
      </c>
      <c r="BA25" s="25">
        <v>1</v>
      </c>
      <c r="BB25" s="25">
        <v>1</v>
      </c>
      <c r="BC25" s="25">
        <v>1</v>
      </c>
      <c r="BD25" s="25">
        <v>1</v>
      </c>
    </row>
    <row r="26" spans="27:56" x14ac:dyDescent="0.25">
      <c r="AA26" s="68" t="str">
        <f t="shared" si="1"/>
        <v>Fotos\\.jpg</v>
      </c>
      <c r="AB26" s="53">
        <f t="shared" si="2"/>
        <v>3.8461538461538464E-2</v>
      </c>
      <c r="AC26" s="25">
        <f t="shared" si="3"/>
        <v>26</v>
      </c>
      <c r="AD26" s="51">
        <f t="shared" si="4"/>
        <v>1</v>
      </c>
      <c r="AE26" s="25">
        <v>1</v>
      </c>
      <c r="AF26" s="25">
        <v>1</v>
      </c>
      <c r="AG26" s="25">
        <v>1</v>
      </c>
      <c r="AH26" s="25">
        <v>1</v>
      </c>
      <c r="AI26" s="25">
        <f>IF(OR(Apresentação!$E$3='Base de Dados e filtragem'!AI$2,Apresentação!$E$3='Base de Dados e filtragem'!E26),1,0)</f>
        <v>1</v>
      </c>
      <c r="AJ26" s="25">
        <f>IF(OR(Apresentação!$E$4='Base de Dados e filtragem'!AJ$2,Apresentação!$E$4='Base de Dados e filtragem'!F26),1,0)</f>
        <v>1</v>
      </c>
      <c r="AK26" s="25">
        <f>IF(OR(Apresentação!$E$5='Base de Dados e filtragem'!AK$2,Apresentação!$E$5='Base de Dados e filtragem'!G26),1,0)</f>
        <v>1</v>
      </c>
      <c r="AL26" s="25">
        <f>IF(OR(Apresentação!$E$6='Base de Dados e filtragem'!AL$2,Apresentação!$E$6='Base de Dados e filtragem'!H26),1,0)</f>
        <v>1</v>
      </c>
      <c r="AM26" s="25">
        <f>IF(OR(Apresentação!$I$2='Base de Dados e filtragem'!AM$2,Apresentação!$I$2='Base de Dados e filtragem'!I26),1,0)</f>
        <v>1</v>
      </c>
      <c r="AN26" s="25">
        <f>IF(OR(Apresentação!$I$3='Base de Dados e filtragem'!AN$2,Apresentação!$I$3='Base de Dados e filtragem'!J26),1,0)</f>
        <v>1</v>
      </c>
      <c r="AO26" s="25">
        <f>IF(OR(Apresentação!$I$4='Base de Dados e filtragem'!AO$2,Apresentação!$I$4='Base de Dados e filtragem'!K26),1,0)</f>
        <v>1</v>
      </c>
      <c r="AP26" s="25">
        <f>IF(OR(Apresentação!$I$5='Base de Dados e filtragem'!AP$2,Apresentação!$I$5='Base de Dados e filtragem'!L26),1,0)</f>
        <v>1</v>
      </c>
      <c r="AQ26" s="25">
        <f>IF(OR(Apresentação!$I$6='Base de Dados e filtragem'!AQ$2,Apresentação!$I$6='Base de Dados e filtragem'!M26),1,0)</f>
        <v>1</v>
      </c>
      <c r="AR26" s="25">
        <v>1</v>
      </c>
      <c r="AS26" s="25">
        <v>1</v>
      </c>
      <c r="AT26" s="25">
        <v>1</v>
      </c>
      <c r="AU26" s="25">
        <v>1</v>
      </c>
      <c r="AV26" s="25">
        <v>1</v>
      </c>
      <c r="AW26" s="25">
        <v>1</v>
      </c>
      <c r="AX26" s="25">
        <v>1</v>
      </c>
      <c r="AY26" s="25">
        <v>1</v>
      </c>
      <c r="AZ26" s="25">
        <v>1</v>
      </c>
      <c r="BA26" s="25">
        <v>1</v>
      </c>
      <c r="BB26" s="25">
        <v>1</v>
      </c>
      <c r="BC26" s="25">
        <v>1</v>
      </c>
      <c r="BD26" s="25">
        <v>1</v>
      </c>
    </row>
    <row r="27" spans="27:56" x14ac:dyDescent="0.25">
      <c r="AA27" s="68" t="str">
        <f t="shared" si="1"/>
        <v>Fotos\\.jpg</v>
      </c>
      <c r="AB27" s="53">
        <f t="shared" si="2"/>
        <v>3.7037037037037035E-2</v>
      </c>
      <c r="AC27" s="25">
        <f t="shared" si="3"/>
        <v>27</v>
      </c>
      <c r="AD27" s="51">
        <f t="shared" si="4"/>
        <v>1</v>
      </c>
      <c r="AE27" s="25">
        <v>1</v>
      </c>
      <c r="AF27" s="25">
        <v>1</v>
      </c>
      <c r="AG27" s="25">
        <v>1</v>
      </c>
      <c r="AH27" s="25">
        <v>1</v>
      </c>
      <c r="AI27" s="25">
        <f>IF(OR(Apresentação!$E$3='Base de Dados e filtragem'!AI$2,Apresentação!$E$3='Base de Dados e filtragem'!E27),1,0)</f>
        <v>1</v>
      </c>
      <c r="AJ27" s="25">
        <f>IF(OR(Apresentação!$E$4='Base de Dados e filtragem'!AJ$2,Apresentação!$E$4='Base de Dados e filtragem'!F27),1,0)</f>
        <v>1</v>
      </c>
      <c r="AK27" s="25">
        <f>IF(OR(Apresentação!$E$5='Base de Dados e filtragem'!AK$2,Apresentação!$E$5='Base de Dados e filtragem'!G27),1,0)</f>
        <v>1</v>
      </c>
      <c r="AL27" s="25">
        <f>IF(OR(Apresentação!$E$6='Base de Dados e filtragem'!AL$2,Apresentação!$E$6='Base de Dados e filtragem'!H27),1,0)</f>
        <v>1</v>
      </c>
      <c r="AM27" s="25">
        <f>IF(OR(Apresentação!$I$2='Base de Dados e filtragem'!AM$2,Apresentação!$I$2='Base de Dados e filtragem'!I27),1,0)</f>
        <v>1</v>
      </c>
      <c r="AN27" s="25">
        <f>IF(OR(Apresentação!$I$3='Base de Dados e filtragem'!AN$2,Apresentação!$I$3='Base de Dados e filtragem'!J27),1,0)</f>
        <v>1</v>
      </c>
      <c r="AO27" s="25">
        <f>IF(OR(Apresentação!$I$4='Base de Dados e filtragem'!AO$2,Apresentação!$I$4='Base de Dados e filtragem'!K27),1,0)</f>
        <v>1</v>
      </c>
      <c r="AP27" s="25">
        <f>IF(OR(Apresentação!$I$5='Base de Dados e filtragem'!AP$2,Apresentação!$I$5='Base de Dados e filtragem'!L27),1,0)</f>
        <v>1</v>
      </c>
      <c r="AQ27" s="25">
        <f>IF(OR(Apresentação!$I$6='Base de Dados e filtragem'!AQ$2,Apresentação!$I$6='Base de Dados e filtragem'!M27),1,0)</f>
        <v>1</v>
      </c>
      <c r="AR27" s="25">
        <v>1</v>
      </c>
      <c r="AS27" s="25">
        <v>1</v>
      </c>
      <c r="AT27" s="25">
        <v>1</v>
      </c>
      <c r="AU27" s="25">
        <v>1</v>
      </c>
      <c r="AV27" s="25">
        <v>1</v>
      </c>
      <c r="AW27" s="25">
        <v>1</v>
      </c>
      <c r="AX27" s="25">
        <v>1</v>
      </c>
      <c r="AY27" s="25">
        <v>1</v>
      </c>
      <c r="AZ27" s="25">
        <v>1</v>
      </c>
      <c r="BA27" s="25">
        <v>1</v>
      </c>
      <c r="BB27" s="25">
        <v>1</v>
      </c>
      <c r="BC27" s="25">
        <v>1</v>
      </c>
      <c r="BD27" s="25">
        <v>1</v>
      </c>
    </row>
    <row r="28" spans="27:56" x14ac:dyDescent="0.25">
      <c r="AA28" s="68" t="str">
        <f t="shared" si="1"/>
        <v>Fotos\\.jpg</v>
      </c>
      <c r="AB28" s="53">
        <f t="shared" si="2"/>
        <v>3.5714285714285712E-2</v>
      </c>
      <c r="AC28" s="25">
        <f t="shared" si="3"/>
        <v>28</v>
      </c>
      <c r="AD28" s="51">
        <f t="shared" si="4"/>
        <v>1</v>
      </c>
      <c r="AE28" s="25">
        <v>1</v>
      </c>
      <c r="AF28" s="25">
        <v>1</v>
      </c>
      <c r="AG28" s="25">
        <v>1</v>
      </c>
      <c r="AH28" s="25">
        <v>1</v>
      </c>
      <c r="AI28" s="25">
        <f>IF(OR(Apresentação!$E$3='Base de Dados e filtragem'!AI$2,Apresentação!$E$3='Base de Dados e filtragem'!E28),1,0)</f>
        <v>1</v>
      </c>
      <c r="AJ28" s="25">
        <f>IF(OR(Apresentação!$E$4='Base de Dados e filtragem'!AJ$2,Apresentação!$E$4='Base de Dados e filtragem'!F28),1,0)</f>
        <v>1</v>
      </c>
      <c r="AK28" s="25">
        <f>IF(OR(Apresentação!$E$5='Base de Dados e filtragem'!AK$2,Apresentação!$E$5='Base de Dados e filtragem'!G28),1,0)</f>
        <v>1</v>
      </c>
      <c r="AL28" s="25">
        <f>IF(OR(Apresentação!$E$6='Base de Dados e filtragem'!AL$2,Apresentação!$E$6='Base de Dados e filtragem'!H28),1,0)</f>
        <v>1</v>
      </c>
      <c r="AM28" s="25">
        <f>IF(OR(Apresentação!$I$2='Base de Dados e filtragem'!AM$2,Apresentação!$I$2='Base de Dados e filtragem'!I28),1,0)</f>
        <v>1</v>
      </c>
      <c r="AN28" s="25">
        <f>IF(OR(Apresentação!$I$3='Base de Dados e filtragem'!AN$2,Apresentação!$I$3='Base de Dados e filtragem'!J28),1,0)</f>
        <v>1</v>
      </c>
      <c r="AO28" s="25">
        <f>IF(OR(Apresentação!$I$4='Base de Dados e filtragem'!AO$2,Apresentação!$I$4='Base de Dados e filtragem'!K28),1,0)</f>
        <v>1</v>
      </c>
      <c r="AP28" s="25">
        <f>IF(OR(Apresentação!$I$5='Base de Dados e filtragem'!AP$2,Apresentação!$I$5='Base de Dados e filtragem'!L28),1,0)</f>
        <v>1</v>
      </c>
      <c r="AQ28" s="25">
        <f>IF(OR(Apresentação!$I$6='Base de Dados e filtragem'!AQ$2,Apresentação!$I$6='Base de Dados e filtragem'!M28),1,0)</f>
        <v>1</v>
      </c>
      <c r="AR28" s="25">
        <v>1</v>
      </c>
      <c r="AS28" s="25">
        <v>1</v>
      </c>
      <c r="AT28" s="25">
        <v>1</v>
      </c>
      <c r="AU28" s="25">
        <v>1</v>
      </c>
      <c r="AV28" s="25">
        <v>1</v>
      </c>
      <c r="AW28" s="25">
        <v>1</v>
      </c>
      <c r="AX28" s="25">
        <v>1</v>
      </c>
      <c r="AY28" s="25">
        <v>1</v>
      </c>
      <c r="AZ28" s="25">
        <v>1</v>
      </c>
      <c r="BA28" s="25">
        <v>1</v>
      </c>
      <c r="BB28" s="25">
        <v>1</v>
      </c>
      <c r="BC28" s="25">
        <v>1</v>
      </c>
      <c r="BD28" s="25">
        <v>1</v>
      </c>
    </row>
    <row r="29" spans="27:56" x14ac:dyDescent="0.25">
      <c r="AA29" s="68" t="str">
        <f t="shared" si="1"/>
        <v>Fotos\\.jpg</v>
      </c>
      <c r="AB29" s="53">
        <f t="shared" si="2"/>
        <v>3.4482758620689655E-2</v>
      </c>
      <c r="AC29" s="25">
        <f t="shared" si="3"/>
        <v>29</v>
      </c>
      <c r="AD29" s="51">
        <f t="shared" si="4"/>
        <v>1</v>
      </c>
      <c r="AE29" s="25">
        <v>1</v>
      </c>
      <c r="AF29" s="25">
        <v>1</v>
      </c>
      <c r="AG29" s="25">
        <v>1</v>
      </c>
      <c r="AH29" s="25">
        <v>1</v>
      </c>
      <c r="AI29" s="25">
        <f>IF(OR(Apresentação!$E$3='Base de Dados e filtragem'!AI$2,Apresentação!$E$3='Base de Dados e filtragem'!E29),1,0)</f>
        <v>1</v>
      </c>
      <c r="AJ29" s="25">
        <f>IF(OR(Apresentação!$E$4='Base de Dados e filtragem'!AJ$2,Apresentação!$E$4='Base de Dados e filtragem'!F29),1,0)</f>
        <v>1</v>
      </c>
      <c r="AK29" s="25">
        <f>IF(OR(Apresentação!$E$5='Base de Dados e filtragem'!AK$2,Apresentação!$E$5='Base de Dados e filtragem'!G29),1,0)</f>
        <v>1</v>
      </c>
      <c r="AL29" s="25">
        <f>IF(OR(Apresentação!$E$6='Base de Dados e filtragem'!AL$2,Apresentação!$E$6='Base de Dados e filtragem'!H29),1,0)</f>
        <v>1</v>
      </c>
      <c r="AM29" s="25">
        <f>IF(OR(Apresentação!$I$2='Base de Dados e filtragem'!AM$2,Apresentação!$I$2='Base de Dados e filtragem'!I29),1,0)</f>
        <v>1</v>
      </c>
      <c r="AN29" s="25">
        <f>IF(OR(Apresentação!$I$3='Base de Dados e filtragem'!AN$2,Apresentação!$I$3='Base de Dados e filtragem'!J29),1,0)</f>
        <v>1</v>
      </c>
      <c r="AO29" s="25">
        <f>IF(OR(Apresentação!$I$4='Base de Dados e filtragem'!AO$2,Apresentação!$I$4='Base de Dados e filtragem'!K29),1,0)</f>
        <v>1</v>
      </c>
      <c r="AP29" s="25">
        <f>IF(OR(Apresentação!$I$5='Base de Dados e filtragem'!AP$2,Apresentação!$I$5='Base de Dados e filtragem'!L29),1,0)</f>
        <v>1</v>
      </c>
      <c r="AQ29" s="25">
        <f>IF(OR(Apresentação!$I$6='Base de Dados e filtragem'!AQ$2,Apresentação!$I$6='Base de Dados e filtragem'!M29),1,0)</f>
        <v>1</v>
      </c>
      <c r="AR29" s="25">
        <v>1</v>
      </c>
      <c r="AS29" s="25">
        <v>1</v>
      </c>
      <c r="AT29" s="25">
        <v>1</v>
      </c>
      <c r="AU29" s="25">
        <v>1</v>
      </c>
      <c r="AV29" s="25">
        <v>1</v>
      </c>
      <c r="AW29" s="25">
        <v>1</v>
      </c>
      <c r="AX29" s="25">
        <v>1</v>
      </c>
      <c r="AY29" s="25">
        <v>1</v>
      </c>
      <c r="AZ29" s="25">
        <v>1</v>
      </c>
      <c r="BA29" s="25">
        <v>1</v>
      </c>
      <c r="BB29" s="25">
        <v>1</v>
      </c>
      <c r="BC29" s="25">
        <v>1</v>
      </c>
      <c r="BD29" s="25">
        <v>1</v>
      </c>
    </row>
    <row r="30" spans="27:56" x14ac:dyDescent="0.25">
      <c r="AA30" s="68" t="str">
        <f t="shared" si="1"/>
        <v>Fotos\\.jpg</v>
      </c>
      <c r="AB30" s="53">
        <f t="shared" si="2"/>
        <v>3.3333333333333333E-2</v>
      </c>
      <c r="AC30" s="25">
        <f t="shared" si="3"/>
        <v>30</v>
      </c>
      <c r="AD30" s="51">
        <f t="shared" si="4"/>
        <v>1</v>
      </c>
      <c r="AE30" s="25">
        <v>1</v>
      </c>
      <c r="AF30" s="25">
        <v>1</v>
      </c>
      <c r="AG30" s="25">
        <v>1</v>
      </c>
      <c r="AH30" s="25">
        <v>1</v>
      </c>
      <c r="AI30" s="25">
        <f>IF(OR(Apresentação!$E$3='Base de Dados e filtragem'!AI$2,Apresentação!$E$3='Base de Dados e filtragem'!E30),1,0)</f>
        <v>1</v>
      </c>
      <c r="AJ30" s="25">
        <f>IF(OR(Apresentação!$E$4='Base de Dados e filtragem'!AJ$2,Apresentação!$E$4='Base de Dados e filtragem'!F30),1,0)</f>
        <v>1</v>
      </c>
      <c r="AK30" s="25">
        <f>IF(OR(Apresentação!$E$5='Base de Dados e filtragem'!AK$2,Apresentação!$E$5='Base de Dados e filtragem'!G30),1,0)</f>
        <v>1</v>
      </c>
      <c r="AL30" s="25">
        <f>IF(OR(Apresentação!$E$6='Base de Dados e filtragem'!AL$2,Apresentação!$E$6='Base de Dados e filtragem'!H30),1,0)</f>
        <v>1</v>
      </c>
      <c r="AM30" s="25">
        <f>IF(OR(Apresentação!$I$2='Base de Dados e filtragem'!AM$2,Apresentação!$I$2='Base de Dados e filtragem'!I30),1,0)</f>
        <v>1</v>
      </c>
      <c r="AN30" s="25">
        <f>IF(OR(Apresentação!$I$3='Base de Dados e filtragem'!AN$2,Apresentação!$I$3='Base de Dados e filtragem'!J30),1,0)</f>
        <v>1</v>
      </c>
      <c r="AO30" s="25">
        <f>IF(OR(Apresentação!$I$4='Base de Dados e filtragem'!AO$2,Apresentação!$I$4='Base de Dados e filtragem'!K30),1,0)</f>
        <v>1</v>
      </c>
      <c r="AP30" s="25">
        <f>IF(OR(Apresentação!$I$5='Base de Dados e filtragem'!AP$2,Apresentação!$I$5='Base de Dados e filtragem'!L30),1,0)</f>
        <v>1</v>
      </c>
      <c r="AQ30" s="25">
        <f>IF(OR(Apresentação!$I$6='Base de Dados e filtragem'!AQ$2,Apresentação!$I$6='Base de Dados e filtragem'!M30),1,0)</f>
        <v>1</v>
      </c>
      <c r="AR30" s="25">
        <v>1</v>
      </c>
      <c r="AS30" s="25">
        <v>1</v>
      </c>
      <c r="AT30" s="25">
        <v>1</v>
      </c>
      <c r="AU30" s="25">
        <v>1</v>
      </c>
      <c r="AV30" s="25">
        <v>1</v>
      </c>
      <c r="AW30" s="25">
        <v>1</v>
      </c>
      <c r="AX30" s="25">
        <v>1</v>
      </c>
      <c r="AY30" s="25">
        <v>1</v>
      </c>
      <c r="AZ30" s="25">
        <v>1</v>
      </c>
      <c r="BA30" s="25">
        <v>1</v>
      </c>
      <c r="BB30" s="25">
        <v>1</v>
      </c>
      <c r="BC30" s="25">
        <v>1</v>
      </c>
      <c r="BD30" s="25">
        <v>1</v>
      </c>
    </row>
    <row r="31" spans="27:56" x14ac:dyDescent="0.25">
      <c r="AA31" s="68" t="str">
        <f t="shared" si="1"/>
        <v>Fotos\\.jpg</v>
      </c>
      <c r="AB31" s="53">
        <f t="shared" si="2"/>
        <v>3.2258064516129031E-2</v>
      </c>
      <c r="AC31" s="25">
        <f t="shared" si="3"/>
        <v>31</v>
      </c>
      <c r="AD31" s="51">
        <f t="shared" si="4"/>
        <v>1</v>
      </c>
      <c r="AE31" s="25">
        <v>1</v>
      </c>
      <c r="AF31" s="25">
        <v>1</v>
      </c>
      <c r="AG31" s="25">
        <v>1</v>
      </c>
      <c r="AH31" s="25">
        <v>1</v>
      </c>
      <c r="AI31" s="25">
        <f>IF(OR(Apresentação!$E$3='Base de Dados e filtragem'!AI$2,Apresentação!$E$3='Base de Dados e filtragem'!E31),1,0)</f>
        <v>1</v>
      </c>
      <c r="AJ31" s="25">
        <f>IF(OR(Apresentação!$E$4='Base de Dados e filtragem'!AJ$2,Apresentação!$E$4='Base de Dados e filtragem'!F31),1,0)</f>
        <v>1</v>
      </c>
      <c r="AK31" s="25">
        <f>IF(OR(Apresentação!$E$5='Base de Dados e filtragem'!AK$2,Apresentação!$E$5='Base de Dados e filtragem'!G31),1,0)</f>
        <v>1</v>
      </c>
      <c r="AL31" s="25">
        <f>IF(OR(Apresentação!$E$6='Base de Dados e filtragem'!AL$2,Apresentação!$E$6='Base de Dados e filtragem'!H31),1,0)</f>
        <v>1</v>
      </c>
      <c r="AM31" s="25">
        <f>IF(OR(Apresentação!$I$2='Base de Dados e filtragem'!AM$2,Apresentação!$I$2='Base de Dados e filtragem'!I31),1,0)</f>
        <v>1</v>
      </c>
      <c r="AN31" s="25">
        <f>IF(OR(Apresentação!$I$3='Base de Dados e filtragem'!AN$2,Apresentação!$I$3='Base de Dados e filtragem'!J31),1,0)</f>
        <v>1</v>
      </c>
      <c r="AO31" s="25">
        <f>IF(OR(Apresentação!$I$4='Base de Dados e filtragem'!AO$2,Apresentação!$I$4='Base de Dados e filtragem'!K31),1,0)</f>
        <v>1</v>
      </c>
      <c r="AP31" s="25">
        <f>IF(OR(Apresentação!$I$5='Base de Dados e filtragem'!AP$2,Apresentação!$I$5='Base de Dados e filtragem'!L31),1,0)</f>
        <v>1</v>
      </c>
      <c r="AQ31" s="25">
        <f>IF(OR(Apresentação!$I$6='Base de Dados e filtragem'!AQ$2,Apresentação!$I$6='Base de Dados e filtragem'!M31),1,0)</f>
        <v>1</v>
      </c>
      <c r="AR31" s="25">
        <v>1</v>
      </c>
      <c r="AS31" s="25">
        <v>1</v>
      </c>
      <c r="AT31" s="25">
        <v>1</v>
      </c>
      <c r="AU31" s="25">
        <v>1</v>
      </c>
      <c r="AV31" s="25">
        <v>1</v>
      </c>
      <c r="AW31" s="25">
        <v>1</v>
      </c>
      <c r="AX31" s="25">
        <v>1</v>
      </c>
      <c r="AY31" s="25">
        <v>1</v>
      </c>
      <c r="AZ31" s="25">
        <v>1</v>
      </c>
      <c r="BA31" s="25">
        <v>1</v>
      </c>
      <c r="BB31" s="25">
        <v>1</v>
      </c>
      <c r="BC31" s="25">
        <v>1</v>
      </c>
      <c r="BD31" s="25">
        <v>1</v>
      </c>
    </row>
    <row r="32" spans="27:56" x14ac:dyDescent="0.25">
      <c r="AA32" s="68" t="str">
        <f t="shared" si="1"/>
        <v>Fotos\\.jpg</v>
      </c>
      <c r="AB32" s="53">
        <f t="shared" si="2"/>
        <v>3.125E-2</v>
      </c>
      <c r="AC32" s="25">
        <f t="shared" si="3"/>
        <v>32</v>
      </c>
      <c r="AD32" s="51">
        <f t="shared" si="4"/>
        <v>1</v>
      </c>
      <c r="AE32" s="25">
        <v>1</v>
      </c>
      <c r="AF32" s="25">
        <v>1</v>
      </c>
      <c r="AG32" s="25">
        <v>1</v>
      </c>
      <c r="AH32" s="25">
        <v>1</v>
      </c>
      <c r="AI32" s="25">
        <f>IF(OR(Apresentação!$E$3='Base de Dados e filtragem'!AI$2,Apresentação!$E$3='Base de Dados e filtragem'!E32),1,0)</f>
        <v>1</v>
      </c>
      <c r="AJ32" s="25">
        <f>IF(OR(Apresentação!$E$4='Base de Dados e filtragem'!AJ$2,Apresentação!$E$4='Base de Dados e filtragem'!F32),1,0)</f>
        <v>1</v>
      </c>
      <c r="AK32" s="25">
        <f>IF(OR(Apresentação!$E$5='Base de Dados e filtragem'!AK$2,Apresentação!$E$5='Base de Dados e filtragem'!G32),1,0)</f>
        <v>1</v>
      </c>
      <c r="AL32" s="25">
        <f>IF(OR(Apresentação!$E$6='Base de Dados e filtragem'!AL$2,Apresentação!$E$6='Base de Dados e filtragem'!H32),1,0)</f>
        <v>1</v>
      </c>
      <c r="AM32" s="25">
        <f>IF(OR(Apresentação!$I$2='Base de Dados e filtragem'!AM$2,Apresentação!$I$2='Base de Dados e filtragem'!I32),1,0)</f>
        <v>1</v>
      </c>
      <c r="AN32" s="25">
        <f>IF(OR(Apresentação!$I$3='Base de Dados e filtragem'!AN$2,Apresentação!$I$3='Base de Dados e filtragem'!J32),1,0)</f>
        <v>1</v>
      </c>
      <c r="AO32" s="25">
        <f>IF(OR(Apresentação!$I$4='Base de Dados e filtragem'!AO$2,Apresentação!$I$4='Base de Dados e filtragem'!K32),1,0)</f>
        <v>1</v>
      </c>
      <c r="AP32" s="25">
        <f>IF(OR(Apresentação!$I$5='Base de Dados e filtragem'!AP$2,Apresentação!$I$5='Base de Dados e filtragem'!L32),1,0)</f>
        <v>1</v>
      </c>
      <c r="AQ32" s="25">
        <f>IF(OR(Apresentação!$I$6='Base de Dados e filtragem'!AQ$2,Apresentação!$I$6='Base de Dados e filtragem'!M32),1,0)</f>
        <v>1</v>
      </c>
      <c r="AR32" s="25">
        <v>1</v>
      </c>
      <c r="AS32" s="25">
        <v>1</v>
      </c>
      <c r="AT32" s="25">
        <v>1</v>
      </c>
      <c r="AU32" s="25">
        <v>1</v>
      </c>
      <c r="AV32" s="25">
        <v>1</v>
      </c>
      <c r="AW32" s="25">
        <v>1</v>
      </c>
      <c r="AX32" s="25">
        <v>1</v>
      </c>
      <c r="AY32" s="25">
        <v>1</v>
      </c>
      <c r="AZ32" s="25">
        <v>1</v>
      </c>
      <c r="BA32" s="25">
        <v>1</v>
      </c>
      <c r="BB32" s="25">
        <v>1</v>
      </c>
      <c r="BC32" s="25">
        <v>1</v>
      </c>
      <c r="BD32" s="25">
        <v>1</v>
      </c>
    </row>
    <row r="33" spans="27:56" x14ac:dyDescent="0.25">
      <c r="AA33" s="68" t="str">
        <f t="shared" si="1"/>
        <v>Fotos\\.jpg</v>
      </c>
      <c r="AB33" s="53">
        <f t="shared" si="2"/>
        <v>3.0303030303030304E-2</v>
      </c>
      <c r="AC33" s="25">
        <f t="shared" si="3"/>
        <v>33</v>
      </c>
      <c r="AD33" s="51">
        <f t="shared" si="4"/>
        <v>1</v>
      </c>
      <c r="AE33" s="25">
        <v>1</v>
      </c>
      <c r="AF33" s="25">
        <v>1</v>
      </c>
      <c r="AG33" s="25">
        <v>1</v>
      </c>
      <c r="AH33" s="25">
        <v>1</v>
      </c>
      <c r="AI33" s="25">
        <f>IF(OR(Apresentação!$E$3='Base de Dados e filtragem'!AI$2,Apresentação!$E$3='Base de Dados e filtragem'!E33),1,0)</f>
        <v>1</v>
      </c>
      <c r="AJ33" s="25">
        <f>IF(OR(Apresentação!$E$4='Base de Dados e filtragem'!AJ$2,Apresentação!$E$4='Base de Dados e filtragem'!F33),1,0)</f>
        <v>1</v>
      </c>
      <c r="AK33" s="25">
        <f>IF(OR(Apresentação!$E$5='Base de Dados e filtragem'!AK$2,Apresentação!$E$5='Base de Dados e filtragem'!G33),1,0)</f>
        <v>1</v>
      </c>
      <c r="AL33" s="25">
        <f>IF(OR(Apresentação!$E$6='Base de Dados e filtragem'!AL$2,Apresentação!$E$6='Base de Dados e filtragem'!H33),1,0)</f>
        <v>1</v>
      </c>
      <c r="AM33" s="25">
        <f>IF(OR(Apresentação!$I$2='Base de Dados e filtragem'!AM$2,Apresentação!$I$2='Base de Dados e filtragem'!I33),1,0)</f>
        <v>1</v>
      </c>
      <c r="AN33" s="25">
        <f>IF(OR(Apresentação!$I$3='Base de Dados e filtragem'!AN$2,Apresentação!$I$3='Base de Dados e filtragem'!J33),1,0)</f>
        <v>1</v>
      </c>
      <c r="AO33" s="25">
        <f>IF(OR(Apresentação!$I$4='Base de Dados e filtragem'!AO$2,Apresentação!$I$4='Base de Dados e filtragem'!K33),1,0)</f>
        <v>1</v>
      </c>
      <c r="AP33" s="25">
        <f>IF(OR(Apresentação!$I$5='Base de Dados e filtragem'!AP$2,Apresentação!$I$5='Base de Dados e filtragem'!L33),1,0)</f>
        <v>1</v>
      </c>
      <c r="AQ33" s="25">
        <f>IF(OR(Apresentação!$I$6='Base de Dados e filtragem'!AQ$2,Apresentação!$I$6='Base de Dados e filtragem'!M33),1,0)</f>
        <v>1</v>
      </c>
      <c r="AR33" s="25">
        <v>1</v>
      </c>
      <c r="AS33" s="25">
        <v>1</v>
      </c>
      <c r="AT33" s="25">
        <v>1</v>
      </c>
      <c r="AU33" s="25">
        <v>1</v>
      </c>
      <c r="AV33" s="25">
        <v>1</v>
      </c>
      <c r="AW33" s="25">
        <v>1</v>
      </c>
      <c r="AX33" s="25">
        <v>1</v>
      </c>
      <c r="AY33" s="25">
        <v>1</v>
      </c>
      <c r="AZ33" s="25">
        <v>1</v>
      </c>
      <c r="BA33" s="25">
        <v>1</v>
      </c>
      <c r="BB33" s="25">
        <v>1</v>
      </c>
      <c r="BC33" s="25">
        <v>1</v>
      </c>
      <c r="BD33" s="25">
        <v>1</v>
      </c>
    </row>
    <row r="34" spans="27:56" x14ac:dyDescent="0.25">
      <c r="AA34" s="68" t="str">
        <f t="shared" si="1"/>
        <v>Fotos\\.jpg</v>
      </c>
      <c r="AB34" s="53">
        <f t="shared" si="2"/>
        <v>2.9411764705882353E-2</v>
      </c>
      <c r="AC34" s="25">
        <f t="shared" si="3"/>
        <v>34</v>
      </c>
      <c r="AD34" s="51">
        <f t="shared" si="4"/>
        <v>1</v>
      </c>
      <c r="AE34" s="25">
        <v>1</v>
      </c>
      <c r="AF34" s="25">
        <v>1</v>
      </c>
      <c r="AG34" s="25">
        <v>1</v>
      </c>
      <c r="AH34" s="25">
        <v>1</v>
      </c>
      <c r="AI34" s="25">
        <f>IF(OR(Apresentação!$E$3='Base de Dados e filtragem'!AI$2,Apresentação!$E$3='Base de Dados e filtragem'!E34),1,0)</f>
        <v>1</v>
      </c>
      <c r="AJ34" s="25">
        <f>IF(OR(Apresentação!$E$4='Base de Dados e filtragem'!AJ$2,Apresentação!$E$4='Base de Dados e filtragem'!F34),1,0)</f>
        <v>1</v>
      </c>
      <c r="AK34" s="25">
        <f>IF(OR(Apresentação!$E$5='Base de Dados e filtragem'!AK$2,Apresentação!$E$5='Base de Dados e filtragem'!G34),1,0)</f>
        <v>1</v>
      </c>
      <c r="AL34" s="25">
        <f>IF(OR(Apresentação!$E$6='Base de Dados e filtragem'!AL$2,Apresentação!$E$6='Base de Dados e filtragem'!H34),1,0)</f>
        <v>1</v>
      </c>
      <c r="AM34" s="25">
        <f>IF(OR(Apresentação!$I$2='Base de Dados e filtragem'!AM$2,Apresentação!$I$2='Base de Dados e filtragem'!I34),1,0)</f>
        <v>1</v>
      </c>
      <c r="AN34" s="25">
        <f>IF(OR(Apresentação!$I$3='Base de Dados e filtragem'!AN$2,Apresentação!$I$3='Base de Dados e filtragem'!J34),1,0)</f>
        <v>1</v>
      </c>
      <c r="AO34" s="25">
        <f>IF(OR(Apresentação!$I$4='Base de Dados e filtragem'!AO$2,Apresentação!$I$4='Base de Dados e filtragem'!K34),1,0)</f>
        <v>1</v>
      </c>
      <c r="AP34" s="25">
        <f>IF(OR(Apresentação!$I$5='Base de Dados e filtragem'!AP$2,Apresentação!$I$5='Base de Dados e filtragem'!L34),1,0)</f>
        <v>1</v>
      </c>
      <c r="AQ34" s="25">
        <f>IF(OR(Apresentação!$I$6='Base de Dados e filtragem'!AQ$2,Apresentação!$I$6='Base de Dados e filtragem'!M34),1,0)</f>
        <v>1</v>
      </c>
      <c r="AR34" s="25">
        <v>1</v>
      </c>
      <c r="AS34" s="25">
        <v>1</v>
      </c>
      <c r="AT34" s="25">
        <v>1</v>
      </c>
      <c r="AU34" s="25">
        <v>1</v>
      </c>
      <c r="AV34" s="25">
        <v>1</v>
      </c>
      <c r="AW34" s="25">
        <v>1</v>
      </c>
      <c r="AX34" s="25">
        <v>1</v>
      </c>
      <c r="AY34" s="25">
        <v>1</v>
      </c>
      <c r="AZ34" s="25">
        <v>1</v>
      </c>
      <c r="BA34" s="25">
        <v>1</v>
      </c>
      <c r="BB34" s="25">
        <v>1</v>
      </c>
      <c r="BC34" s="25">
        <v>1</v>
      </c>
      <c r="BD34" s="25">
        <v>1</v>
      </c>
    </row>
    <row r="35" spans="27:56" x14ac:dyDescent="0.25">
      <c r="AA35" s="68" t="str">
        <f t="shared" si="1"/>
        <v>Fotos\\.jpg</v>
      </c>
      <c r="AB35" s="53">
        <f t="shared" si="2"/>
        <v>2.8571428571428571E-2</v>
      </c>
      <c r="AC35" s="25">
        <f t="shared" si="3"/>
        <v>35</v>
      </c>
      <c r="AD35" s="51">
        <f t="shared" si="4"/>
        <v>1</v>
      </c>
      <c r="AE35" s="25">
        <v>1</v>
      </c>
      <c r="AF35" s="25">
        <v>1</v>
      </c>
      <c r="AG35" s="25">
        <v>1</v>
      </c>
      <c r="AH35" s="25">
        <v>1</v>
      </c>
      <c r="AI35" s="25">
        <f>IF(OR(Apresentação!$E$3='Base de Dados e filtragem'!AI$2,Apresentação!$E$3='Base de Dados e filtragem'!E35),1,0)</f>
        <v>1</v>
      </c>
      <c r="AJ35" s="25">
        <f>IF(OR(Apresentação!$E$4='Base de Dados e filtragem'!AJ$2,Apresentação!$E$4='Base de Dados e filtragem'!F35),1,0)</f>
        <v>1</v>
      </c>
      <c r="AK35" s="25">
        <f>IF(OR(Apresentação!$E$5='Base de Dados e filtragem'!AK$2,Apresentação!$E$5='Base de Dados e filtragem'!G35),1,0)</f>
        <v>1</v>
      </c>
      <c r="AL35" s="25">
        <f>IF(OR(Apresentação!$E$6='Base de Dados e filtragem'!AL$2,Apresentação!$E$6='Base de Dados e filtragem'!H35),1,0)</f>
        <v>1</v>
      </c>
      <c r="AM35" s="25">
        <f>IF(OR(Apresentação!$I$2='Base de Dados e filtragem'!AM$2,Apresentação!$I$2='Base de Dados e filtragem'!I35),1,0)</f>
        <v>1</v>
      </c>
      <c r="AN35" s="25">
        <f>IF(OR(Apresentação!$I$3='Base de Dados e filtragem'!AN$2,Apresentação!$I$3='Base de Dados e filtragem'!J35),1,0)</f>
        <v>1</v>
      </c>
      <c r="AO35" s="25">
        <f>IF(OR(Apresentação!$I$4='Base de Dados e filtragem'!AO$2,Apresentação!$I$4='Base de Dados e filtragem'!K35),1,0)</f>
        <v>1</v>
      </c>
      <c r="AP35" s="25">
        <f>IF(OR(Apresentação!$I$5='Base de Dados e filtragem'!AP$2,Apresentação!$I$5='Base de Dados e filtragem'!L35),1,0)</f>
        <v>1</v>
      </c>
      <c r="AQ35" s="25">
        <f>IF(OR(Apresentação!$I$6='Base de Dados e filtragem'!AQ$2,Apresentação!$I$6='Base de Dados e filtragem'!M35),1,0)</f>
        <v>1</v>
      </c>
      <c r="AR35" s="25">
        <v>1</v>
      </c>
      <c r="AS35" s="25">
        <v>1</v>
      </c>
      <c r="AT35" s="25">
        <v>1</v>
      </c>
      <c r="AU35" s="25">
        <v>1</v>
      </c>
      <c r="AV35" s="25">
        <v>1</v>
      </c>
      <c r="AW35" s="25">
        <v>1</v>
      </c>
      <c r="AX35" s="25">
        <v>1</v>
      </c>
      <c r="AY35" s="25">
        <v>1</v>
      </c>
      <c r="AZ35" s="25">
        <v>1</v>
      </c>
      <c r="BA35" s="25">
        <v>1</v>
      </c>
      <c r="BB35" s="25">
        <v>1</v>
      </c>
      <c r="BC35" s="25">
        <v>1</v>
      </c>
      <c r="BD35" s="25">
        <v>1</v>
      </c>
    </row>
    <row r="36" spans="27:56" x14ac:dyDescent="0.25">
      <c r="AA36" s="68" t="str">
        <f t="shared" si="1"/>
        <v>Fotos\\.jpg</v>
      </c>
      <c r="AB36" s="53">
        <f t="shared" si="2"/>
        <v>2.7777777777777776E-2</v>
      </c>
      <c r="AC36" s="25">
        <f t="shared" si="3"/>
        <v>36</v>
      </c>
      <c r="AD36" s="51">
        <f t="shared" si="4"/>
        <v>1</v>
      </c>
      <c r="AE36" s="25">
        <v>1</v>
      </c>
      <c r="AF36" s="25">
        <v>1</v>
      </c>
      <c r="AG36" s="25">
        <v>1</v>
      </c>
      <c r="AH36" s="25">
        <v>1</v>
      </c>
      <c r="AI36" s="25">
        <f>IF(OR(Apresentação!$E$3='Base de Dados e filtragem'!AI$2,Apresentação!$E$3='Base de Dados e filtragem'!E36),1,0)</f>
        <v>1</v>
      </c>
      <c r="AJ36" s="25">
        <f>IF(OR(Apresentação!$E$4='Base de Dados e filtragem'!AJ$2,Apresentação!$E$4='Base de Dados e filtragem'!F36),1,0)</f>
        <v>1</v>
      </c>
      <c r="AK36" s="25">
        <f>IF(OR(Apresentação!$E$5='Base de Dados e filtragem'!AK$2,Apresentação!$E$5='Base de Dados e filtragem'!G36),1,0)</f>
        <v>1</v>
      </c>
      <c r="AL36" s="25">
        <f>IF(OR(Apresentação!$E$6='Base de Dados e filtragem'!AL$2,Apresentação!$E$6='Base de Dados e filtragem'!H36),1,0)</f>
        <v>1</v>
      </c>
      <c r="AM36" s="25">
        <f>IF(OR(Apresentação!$I$2='Base de Dados e filtragem'!AM$2,Apresentação!$I$2='Base de Dados e filtragem'!I36),1,0)</f>
        <v>1</v>
      </c>
      <c r="AN36" s="25">
        <f>IF(OR(Apresentação!$I$3='Base de Dados e filtragem'!AN$2,Apresentação!$I$3='Base de Dados e filtragem'!J36),1,0)</f>
        <v>1</v>
      </c>
      <c r="AO36" s="25">
        <f>IF(OR(Apresentação!$I$4='Base de Dados e filtragem'!AO$2,Apresentação!$I$4='Base de Dados e filtragem'!K36),1,0)</f>
        <v>1</v>
      </c>
      <c r="AP36" s="25">
        <f>IF(OR(Apresentação!$I$5='Base de Dados e filtragem'!AP$2,Apresentação!$I$5='Base de Dados e filtragem'!L36),1,0)</f>
        <v>1</v>
      </c>
      <c r="AQ36" s="25">
        <f>IF(OR(Apresentação!$I$6='Base de Dados e filtragem'!AQ$2,Apresentação!$I$6='Base de Dados e filtragem'!M36),1,0)</f>
        <v>1</v>
      </c>
      <c r="AR36" s="25">
        <v>1</v>
      </c>
      <c r="AS36" s="25">
        <v>1</v>
      </c>
      <c r="AT36" s="25">
        <v>1</v>
      </c>
      <c r="AU36" s="25">
        <v>1</v>
      </c>
      <c r="AV36" s="25">
        <v>1</v>
      </c>
      <c r="AW36" s="25">
        <v>1</v>
      </c>
      <c r="AX36" s="25">
        <v>1</v>
      </c>
      <c r="AY36" s="25">
        <v>1</v>
      </c>
      <c r="AZ36" s="25">
        <v>1</v>
      </c>
      <c r="BA36" s="25">
        <v>1</v>
      </c>
      <c r="BB36" s="25">
        <v>1</v>
      </c>
      <c r="BC36" s="25">
        <v>1</v>
      </c>
      <c r="BD36" s="25">
        <v>1</v>
      </c>
    </row>
    <row r="37" spans="27:56" x14ac:dyDescent="0.25">
      <c r="AA37" s="68" t="str">
        <f t="shared" si="1"/>
        <v>Fotos\\.jpg</v>
      </c>
      <c r="AB37" s="53">
        <f t="shared" si="2"/>
        <v>2.7027027027027029E-2</v>
      </c>
      <c r="AC37" s="25">
        <f t="shared" si="3"/>
        <v>37</v>
      </c>
      <c r="AD37" s="51">
        <f t="shared" si="4"/>
        <v>1</v>
      </c>
      <c r="AE37" s="25">
        <v>1</v>
      </c>
      <c r="AF37" s="25">
        <v>1</v>
      </c>
      <c r="AG37" s="25">
        <v>1</v>
      </c>
      <c r="AH37" s="25">
        <v>1</v>
      </c>
      <c r="AI37" s="25">
        <f>IF(OR(Apresentação!$E$3='Base de Dados e filtragem'!AI$2,Apresentação!$E$3='Base de Dados e filtragem'!E37),1,0)</f>
        <v>1</v>
      </c>
      <c r="AJ37" s="25">
        <f>IF(OR(Apresentação!$E$4='Base de Dados e filtragem'!AJ$2,Apresentação!$E$4='Base de Dados e filtragem'!F37),1,0)</f>
        <v>1</v>
      </c>
      <c r="AK37" s="25">
        <f>IF(OR(Apresentação!$E$5='Base de Dados e filtragem'!AK$2,Apresentação!$E$5='Base de Dados e filtragem'!G37),1,0)</f>
        <v>1</v>
      </c>
      <c r="AL37" s="25">
        <f>IF(OR(Apresentação!$E$6='Base de Dados e filtragem'!AL$2,Apresentação!$E$6='Base de Dados e filtragem'!H37),1,0)</f>
        <v>1</v>
      </c>
      <c r="AM37" s="25">
        <f>IF(OR(Apresentação!$I$2='Base de Dados e filtragem'!AM$2,Apresentação!$I$2='Base de Dados e filtragem'!I37),1,0)</f>
        <v>1</v>
      </c>
      <c r="AN37" s="25">
        <f>IF(OR(Apresentação!$I$3='Base de Dados e filtragem'!AN$2,Apresentação!$I$3='Base de Dados e filtragem'!J37),1,0)</f>
        <v>1</v>
      </c>
      <c r="AO37" s="25">
        <f>IF(OR(Apresentação!$I$4='Base de Dados e filtragem'!AO$2,Apresentação!$I$4='Base de Dados e filtragem'!K37),1,0)</f>
        <v>1</v>
      </c>
      <c r="AP37" s="25">
        <f>IF(OR(Apresentação!$I$5='Base de Dados e filtragem'!AP$2,Apresentação!$I$5='Base de Dados e filtragem'!L37),1,0)</f>
        <v>1</v>
      </c>
      <c r="AQ37" s="25">
        <f>IF(OR(Apresentação!$I$6='Base de Dados e filtragem'!AQ$2,Apresentação!$I$6='Base de Dados e filtragem'!M37),1,0)</f>
        <v>1</v>
      </c>
      <c r="AR37" s="25">
        <v>1</v>
      </c>
      <c r="AS37" s="25">
        <v>1</v>
      </c>
      <c r="AT37" s="25">
        <v>1</v>
      </c>
      <c r="AU37" s="25">
        <v>1</v>
      </c>
      <c r="AV37" s="25">
        <v>1</v>
      </c>
      <c r="AW37" s="25">
        <v>1</v>
      </c>
      <c r="AX37" s="25">
        <v>1</v>
      </c>
      <c r="AY37" s="25">
        <v>1</v>
      </c>
      <c r="AZ37" s="25">
        <v>1</v>
      </c>
      <c r="BA37" s="25">
        <v>1</v>
      </c>
      <c r="BB37" s="25">
        <v>1</v>
      </c>
      <c r="BC37" s="25">
        <v>1</v>
      </c>
      <c r="BD37" s="25">
        <v>1</v>
      </c>
    </row>
    <row r="38" spans="27:56" x14ac:dyDescent="0.25">
      <c r="AA38" s="68" t="str">
        <f t="shared" si="1"/>
        <v>Fotos\\.jpg</v>
      </c>
      <c r="AB38" s="53">
        <f t="shared" si="2"/>
        <v>2.6315789473684209E-2</v>
      </c>
      <c r="AC38" s="25">
        <f t="shared" si="3"/>
        <v>38</v>
      </c>
      <c r="AD38" s="51">
        <f t="shared" si="4"/>
        <v>1</v>
      </c>
      <c r="AE38" s="25">
        <v>1</v>
      </c>
      <c r="AF38" s="25">
        <v>1</v>
      </c>
      <c r="AG38" s="25">
        <v>1</v>
      </c>
      <c r="AH38" s="25">
        <v>1</v>
      </c>
      <c r="AI38" s="25">
        <f>IF(OR(Apresentação!$E$3='Base de Dados e filtragem'!AI$2,Apresentação!$E$3='Base de Dados e filtragem'!E38),1,0)</f>
        <v>1</v>
      </c>
      <c r="AJ38" s="25">
        <f>IF(OR(Apresentação!$E$4='Base de Dados e filtragem'!AJ$2,Apresentação!$E$4='Base de Dados e filtragem'!F38),1,0)</f>
        <v>1</v>
      </c>
      <c r="AK38" s="25">
        <f>IF(OR(Apresentação!$E$5='Base de Dados e filtragem'!AK$2,Apresentação!$E$5='Base de Dados e filtragem'!G38),1,0)</f>
        <v>1</v>
      </c>
      <c r="AL38" s="25">
        <f>IF(OR(Apresentação!$E$6='Base de Dados e filtragem'!AL$2,Apresentação!$E$6='Base de Dados e filtragem'!H38),1,0)</f>
        <v>1</v>
      </c>
      <c r="AM38" s="25">
        <f>IF(OR(Apresentação!$I$2='Base de Dados e filtragem'!AM$2,Apresentação!$I$2='Base de Dados e filtragem'!I38),1,0)</f>
        <v>1</v>
      </c>
      <c r="AN38" s="25">
        <f>IF(OR(Apresentação!$I$3='Base de Dados e filtragem'!AN$2,Apresentação!$I$3='Base de Dados e filtragem'!J38),1,0)</f>
        <v>1</v>
      </c>
      <c r="AO38" s="25">
        <f>IF(OR(Apresentação!$I$4='Base de Dados e filtragem'!AO$2,Apresentação!$I$4='Base de Dados e filtragem'!K38),1,0)</f>
        <v>1</v>
      </c>
      <c r="AP38" s="25">
        <f>IF(OR(Apresentação!$I$5='Base de Dados e filtragem'!AP$2,Apresentação!$I$5='Base de Dados e filtragem'!L38),1,0)</f>
        <v>1</v>
      </c>
      <c r="AQ38" s="25">
        <f>IF(OR(Apresentação!$I$6='Base de Dados e filtragem'!AQ$2,Apresentação!$I$6='Base de Dados e filtragem'!M38),1,0)</f>
        <v>1</v>
      </c>
      <c r="AR38" s="25">
        <v>1</v>
      </c>
      <c r="AS38" s="25">
        <v>1</v>
      </c>
      <c r="AT38" s="25">
        <v>1</v>
      </c>
      <c r="AU38" s="25">
        <v>1</v>
      </c>
      <c r="AV38" s="25">
        <v>1</v>
      </c>
      <c r="AW38" s="25">
        <v>1</v>
      </c>
      <c r="AX38" s="25">
        <v>1</v>
      </c>
      <c r="AY38" s="25">
        <v>1</v>
      </c>
      <c r="AZ38" s="25">
        <v>1</v>
      </c>
      <c r="BA38" s="25">
        <v>1</v>
      </c>
      <c r="BB38" s="25">
        <v>1</v>
      </c>
      <c r="BC38" s="25">
        <v>1</v>
      </c>
      <c r="BD38" s="25">
        <v>1</v>
      </c>
    </row>
    <row r="39" spans="27:56" x14ac:dyDescent="0.25">
      <c r="AA39" s="68" t="str">
        <f t="shared" si="1"/>
        <v>Fotos\\.jpg</v>
      </c>
      <c r="AB39" s="53">
        <f t="shared" si="2"/>
        <v>2.564102564102564E-2</v>
      </c>
      <c r="AC39" s="25">
        <f t="shared" si="3"/>
        <v>39</v>
      </c>
      <c r="AD39" s="51">
        <f t="shared" si="4"/>
        <v>1</v>
      </c>
      <c r="AE39" s="25">
        <v>1</v>
      </c>
      <c r="AF39" s="25">
        <v>1</v>
      </c>
      <c r="AG39" s="25">
        <v>1</v>
      </c>
      <c r="AH39" s="25">
        <v>1</v>
      </c>
      <c r="AI39" s="25">
        <f>IF(OR(Apresentação!$E$3='Base de Dados e filtragem'!AI$2,Apresentação!$E$3='Base de Dados e filtragem'!E39),1,0)</f>
        <v>1</v>
      </c>
      <c r="AJ39" s="25">
        <f>IF(OR(Apresentação!$E$4='Base de Dados e filtragem'!AJ$2,Apresentação!$E$4='Base de Dados e filtragem'!F39),1,0)</f>
        <v>1</v>
      </c>
      <c r="AK39" s="25">
        <f>IF(OR(Apresentação!$E$5='Base de Dados e filtragem'!AK$2,Apresentação!$E$5='Base de Dados e filtragem'!G39),1,0)</f>
        <v>1</v>
      </c>
      <c r="AL39" s="25">
        <f>IF(OR(Apresentação!$E$6='Base de Dados e filtragem'!AL$2,Apresentação!$E$6='Base de Dados e filtragem'!H39),1,0)</f>
        <v>1</v>
      </c>
      <c r="AM39" s="25">
        <f>IF(OR(Apresentação!$I$2='Base de Dados e filtragem'!AM$2,Apresentação!$I$2='Base de Dados e filtragem'!I39),1,0)</f>
        <v>1</v>
      </c>
      <c r="AN39" s="25">
        <f>IF(OR(Apresentação!$I$3='Base de Dados e filtragem'!AN$2,Apresentação!$I$3='Base de Dados e filtragem'!J39),1,0)</f>
        <v>1</v>
      </c>
      <c r="AO39" s="25">
        <f>IF(OR(Apresentação!$I$4='Base de Dados e filtragem'!AO$2,Apresentação!$I$4='Base de Dados e filtragem'!K39),1,0)</f>
        <v>1</v>
      </c>
      <c r="AP39" s="25">
        <f>IF(OR(Apresentação!$I$5='Base de Dados e filtragem'!AP$2,Apresentação!$I$5='Base de Dados e filtragem'!L39),1,0)</f>
        <v>1</v>
      </c>
      <c r="AQ39" s="25">
        <f>IF(OR(Apresentação!$I$6='Base de Dados e filtragem'!AQ$2,Apresentação!$I$6='Base de Dados e filtragem'!M39),1,0)</f>
        <v>1</v>
      </c>
      <c r="AR39" s="25">
        <v>1</v>
      </c>
      <c r="AS39" s="25">
        <v>1</v>
      </c>
      <c r="AT39" s="25">
        <v>1</v>
      </c>
      <c r="AU39" s="25">
        <v>1</v>
      </c>
      <c r="AV39" s="25">
        <v>1</v>
      </c>
      <c r="AW39" s="25">
        <v>1</v>
      </c>
      <c r="AX39" s="25">
        <v>1</v>
      </c>
      <c r="AY39" s="25">
        <v>1</v>
      </c>
      <c r="AZ39" s="25">
        <v>1</v>
      </c>
      <c r="BA39" s="25">
        <v>1</v>
      </c>
      <c r="BB39" s="25">
        <v>1</v>
      </c>
      <c r="BC39" s="25">
        <v>1</v>
      </c>
      <c r="BD39" s="25">
        <v>1</v>
      </c>
    </row>
    <row r="40" spans="27:56" x14ac:dyDescent="0.25">
      <c r="AA40" s="68" t="str">
        <f t="shared" si="1"/>
        <v>Fotos\\.jpg</v>
      </c>
      <c r="AB40" s="53">
        <f t="shared" si="2"/>
        <v>2.5000000000000001E-2</v>
      </c>
      <c r="AC40" s="25">
        <f t="shared" si="3"/>
        <v>40</v>
      </c>
      <c r="AD40" s="51">
        <f t="shared" si="4"/>
        <v>1</v>
      </c>
      <c r="AE40" s="25">
        <v>1</v>
      </c>
      <c r="AF40" s="25">
        <v>1</v>
      </c>
      <c r="AG40" s="25">
        <v>1</v>
      </c>
      <c r="AH40" s="25">
        <v>1</v>
      </c>
      <c r="AI40" s="25">
        <f>IF(OR(Apresentação!$E$3='Base de Dados e filtragem'!AI$2,Apresentação!$E$3='Base de Dados e filtragem'!E40),1,0)</f>
        <v>1</v>
      </c>
      <c r="AJ40" s="25">
        <f>IF(OR(Apresentação!$E$4='Base de Dados e filtragem'!AJ$2,Apresentação!$E$4='Base de Dados e filtragem'!F40),1,0)</f>
        <v>1</v>
      </c>
      <c r="AK40" s="25">
        <f>IF(OR(Apresentação!$E$5='Base de Dados e filtragem'!AK$2,Apresentação!$E$5='Base de Dados e filtragem'!G40),1,0)</f>
        <v>1</v>
      </c>
      <c r="AL40" s="25">
        <f>IF(OR(Apresentação!$E$6='Base de Dados e filtragem'!AL$2,Apresentação!$E$6='Base de Dados e filtragem'!H40),1,0)</f>
        <v>1</v>
      </c>
      <c r="AM40" s="25">
        <f>IF(OR(Apresentação!$I$2='Base de Dados e filtragem'!AM$2,Apresentação!$I$2='Base de Dados e filtragem'!I40),1,0)</f>
        <v>1</v>
      </c>
      <c r="AN40" s="25">
        <f>IF(OR(Apresentação!$I$3='Base de Dados e filtragem'!AN$2,Apresentação!$I$3='Base de Dados e filtragem'!J40),1,0)</f>
        <v>1</v>
      </c>
      <c r="AO40" s="25">
        <f>IF(OR(Apresentação!$I$4='Base de Dados e filtragem'!AO$2,Apresentação!$I$4='Base de Dados e filtragem'!K40),1,0)</f>
        <v>1</v>
      </c>
      <c r="AP40" s="25">
        <f>IF(OR(Apresentação!$I$5='Base de Dados e filtragem'!AP$2,Apresentação!$I$5='Base de Dados e filtragem'!L40),1,0)</f>
        <v>1</v>
      </c>
      <c r="AQ40" s="25">
        <f>IF(OR(Apresentação!$I$6='Base de Dados e filtragem'!AQ$2,Apresentação!$I$6='Base de Dados e filtragem'!M40),1,0)</f>
        <v>1</v>
      </c>
      <c r="AR40" s="25">
        <v>1</v>
      </c>
      <c r="AS40" s="25">
        <v>1</v>
      </c>
      <c r="AT40" s="25">
        <v>1</v>
      </c>
      <c r="AU40" s="25">
        <v>1</v>
      </c>
      <c r="AV40" s="25">
        <v>1</v>
      </c>
      <c r="AW40" s="25">
        <v>1</v>
      </c>
      <c r="AX40" s="25">
        <v>1</v>
      </c>
      <c r="AY40" s="25">
        <v>1</v>
      </c>
      <c r="AZ40" s="25">
        <v>1</v>
      </c>
      <c r="BA40" s="25">
        <v>1</v>
      </c>
      <c r="BB40" s="25">
        <v>1</v>
      </c>
      <c r="BC40" s="25">
        <v>1</v>
      </c>
      <c r="BD40" s="25">
        <v>1</v>
      </c>
    </row>
    <row r="41" spans="27:56" x14ac:dyDescent="0.25">
      <c r="AA41" s="68" t="str">
        <f t="shared" si="1"/>
        <v>Fotos\\.jpg</v>
      </c>
      <c r="AB41" s="53">
        <f t="shared" si="2"/>
        <v>2.4390243902439025E-2</v>
      </c>
      <c r="AC41" s="25">
        <f t="shared" si="3"/>
        <v>41</v>
      </c>
      <c r="AD41" s="51">
        <f t="shared" si="4"/>
        <v>1</v>
      </c>
      <c r="AE41" s="25">
        <v>1</v>
      </c>
      <c r="AF41" s="25">
        <v>1</v>
      </c>
      <c r="AG41" s="25">
        <v>1</v>
      </c>
      <c r="AH41" s="25">
        <v>1</v>
      </c>
      <c r="AI41" s="25">
        <f>IF(OR(Apresentação!$E$3='Base de Dados e filtragem'!AI$2,Apresentação!$E$3='Base de Dados e filtragem'!E41),1,0)</f>
        <v>1</v>
      </c>
      <c r="AJ41" s="25">
        <f>IF(OR(Apresentação!$E$4='Base de Dados e filtragem'!AJ$2,Apresentação!$E$4='Base de Dados e filtragem'!F41),1,0)</f>
        <v>1</v>
      </c>
      <c r="AK41" s="25">
        <f>IF(OR(Apresentação!$E$5='Base de Dados e filtragem'!AK$2,Apresentação!$E$5='Base de Dados e filtragem'!G41),1,0)</f>
        <v>1</v>
      </c>
      <c r="AL41" s="25">
        <f>IF(OR(Apresentação!$E$6='Base de Dados e filtragem'!AL$2,Apresentação!$E$6='Base de Dados e filtragem'!H41),1,0)</f>
        <v>1</v>
      </c>
      <c r="AM41" s="25">
        <f>IF(OR(Apresentação!$I$2='Base de Dados e filtragem'!AM$2,Apresentação!$I$2='Base de Dados e filtragem'!I41),1,0)</f>
        <v>1</v>
      </c>
      <c r="AN41" s="25">
        <f>IF(OR(Apresentação!$I$3='Base de Dados e filtragem'!AN$2,Apresentação!$I$3='Base de Dados e filtragem'!J41),1,0)</f>
        <v>1</v>
      </c>
      <c r="AO41" s="25">
        <f>IF(OR(Apresentação!$I$4='Base de Dados e filtragem'!AO$2,Apresentação!$I$4='Base de Dados e filtragem'!K41),1,0)</f>
        <v>1</v>
      </c>
      <c r="AP41" s="25">
        <f>IF(OR(Apresentação!$I$5='Base de Dados e filtragem'!AP$2,Apresentação!$I$5='Base de Dados e filtragem'!L41),1,0)</f>
        <v>1</v>
      </c>
      <c r="AQ41" s="25">
        <f>IF(OR(Apresentação!$I$6='Base de Dados e filtragem'!AQ$2,Apresentação!$I$6='Base de Dados e filtragem'!M41),1,0)</f>
        <v>1</v>
      </c>
      <c r="AR41" s="25">
        <v>1</v>
      </c>
      <c r="AS41" s="25">
        <v>1</v>
      </c>
      <c r="AT41" s="25">
        <v>1</v>
      </c>
      <c r="AU41" s="25">
        <v>1</v>
      </c>
      <c r="AV41" s="25">
        <v>1</v>
      </c>
      <c r="AW41" s="25">
        <v>1</v>
      </c>
      <c r="AX41" s="25">
        <v>1</v>
      </c>
      <c r="AY41" s="25">
        <v>1</v>
      </c>
      <c r="AZ41" s="25">
        <v>1</v>
      </c>
      <c r="BA41" s="25">
        <v>1</v>
      </c>
      <c r="BB41" s="25">
        <v>1</v>
      </c>
      <c r="BC41" s="25">
        <v>1</v>
      </c>
      <c r="BD41" s="25">
        <v>1</v>
      </c>
    </row>
    <row r="42" spans="27:56" x14ac:dyDescent="0.25">
      <c r="AA42" s="68" t="str">
        <f t="shared" si="1"/>
        <v>Fotos\\.jpg</v>
      </c>
      <c r="AB42" s="53">
        <f t="shared" si="2"/>
        <v>2.3809523809523808E-2</v>
      </c>
      <c r="AC42" s="25">
        <f t="shared" si="3"/>
        <v>42</v>
      </c>
      <c r="AD42" s="51">
        <f t="shared" si="4"/>
        <v>1</v>
      </c>
      <c r="AE42" s="25">
        <v>1</v>
      </c>
      <c r="AF42" s="25">
        <v>1</v>
      </c>
      <c r="AG42" s="25">
        <v>1</v>
      </c>
      <c r="AH42" s="25">
        <v>1</v>
      </c>
      <c r="AI42" s="25">
        <f>IF(OR(Apresentação!$E$3='Base de Dados e filtragem'!AI$2,Apresentação!$E$3='Base de Dados e filtragem'!E42),1,0)</f>
        <v>1</v>
      </c>
      <c r="AJ42" s="25">
        <f>IF(OR(Apresentação!$E$4='Base de Dados e filtragem'!AJ$2,Apresentação!$E$4='Base de Dados e filtragem'!F42),1,0)</f>
        <v>1</v>
      </c>
      <c r="AK42" s="25">
        <f>IF(OR(Apresentação!$E$5='Base de Dados e filtragem'!AK$2,Apresentação!$E$5='Base de Dados e filtragem'!G42),1,0)</f>
        <v>1</v>
      </c>
      <c r="AL42" s="25">
        <f>IF(OR(Apresentação!$E$6='Base de Dados e filtragem'!AL$2,Apresentação!$E$6='Base de Dados e filtragem'!H42),1,0)</f>
        <v>1</v>
      </c>
      <c r="AM42" s="25">
        <f>IF(OR(Apresentação!$I$2='Base de Dados e filtragem'!AM$2,Apresentação!$I$2='Base de Dados e filtragem'!I42),1,0)</f>
        <v>1</v>
      </c>
      <c r="AN42" s="25">
        <f>IF(OR(Apresentação!$I$3='Base de Dados e filtragem'!AN$2,Apresentação!$I$3='Base de Dados e filtragem'!J42),1,0)</f>
        <v>1</v>
      </c>
      <c r="AO42" s="25">
        <f>IF(OR(Apresentação!$I$4='Base de Dados e filtragem'!AO$2,Apresentação!$I$4='Base de Dados e filtragem'!K42),1,0)</f>
        <v>1</v>
      </c>
      <c r="AP42" s="25">
        <f>IF(OR(Apresentação!$I$5='Base de Dados e filtragem'!AP$2,Apresentação!$I$5='Base de Dados e filtragem'!L42),1,0)</f>
        <v>1</v>
      </c>
      <c r="AQ42" s="25">
        <f>IF(OR(Apresentação!$I$6='Base de Dados e filtragem'!AQ$2,Apresentação!$I$6='Base de Dados e filtragem'!M42),1,0)</f>
        <v>1</v>
      </c>
      <c r="AR42" s="25">
        <v>1</v>
      </c>
      <c r="AS42" s="25">
        <v>1</v>
      </c>
      <c r="AT42" s="25">
        <v>1</v>
      </c>
      <c r="AU42" s="25">
        <v>1</v>
      </c>
      <c r="AV42" s="25">
        <v>1</v>
      </c>
      <c r="AW42" s="25">
        <v>1</v>
      </c>
      <c r="AX42" s="25">
        <v>1</v>
      </c>
      <c r="AY42" s="25">
        <v>1</v>
      </c>
      <c r="AZ42" s="25">
        <v>1</v>
      </c>
      <c r="BA42" s="25">
        <v>1</v>
      </c>
      <c r="BB42" s="25">
        <v>1</v>
      </c>
      <c r="BC42" s="25">
        <v>1</v>
      </c>
      <c r="BD42" s="25">
        <v>1</v>
      </c>
    </row>
    <row r="43" spans="27:56" x14ac:dyDescent="0.25">
      <c r="AA43" s="68" t="str">
        <f t="shared" si="1"/>
        <v>Fotos\\.jpg</v>
      </c>
      <c r="AB43" s="53">
        <f t="shared" si="2"/>
        <v>2.3255813953488372E-2</v>
      </c>
      <c r="AC43" s="25">
        <f t="shared" si="3"/>
        <v>43</v>
      </c>
      <c r="AD43" s="51">
        <f t="shared" si="4"/>
        <v>1</v>
      </c>
      <c r="AE43" s="25">
        <v>1</v>
      </c>
      <c r="AF43" s="25">
        <v>1</v>
      </c>
      <c r="AG43" s="25">
        <v>1</v>
      </c>
      <c r="AH43" s="25">
        <v>1</v>
      </c>
      <c r="AI43" s="25">
        <f>IF(OR(Apresentação!$E$3='Base de Dados e filtragem'!AI$2,Apresentação!$E$3='Base de Dados e filtragem'!E43),1,0)</f>
        <v>1</v>
      </c>
      <c r="AJ43" s="25">
        <f>IF(OR(Apresentação!$E$4='Base de Dados e filtragem'!AJ$2,Apresentação!$E$4='Base de Dados e filtragem'!F43),1,0)</f>
        <v>1</v>
      </c>
      <c r="AK43" s="25">
        <f>IF(OR(Apresentação!$E$5='Base de Dados e filtragem'!AK$2,Apresentação!$E$5='Base de Dados e filtragem'!G43),1,0)</f>
        <v>1</v>
      </c>
      <c r="AL43" s="25">
        <f>IF(OR(Apresentação!$E$6='Base de Dados e filtragem'!AL$2,Apresentação!$E$6='Base de Dados e filtragem'!H43),1,0)</f>
        <v>1</v>
      </c>
      <c r="AM43" s="25">
        <f>IF(OR(Apresentação!$I$2='Base de Dados e filtragem'!AM$2,Apresentação!$I$2='Base de Dados e filtragem'!I43),1,0)</f>
        <v>1</v>
      </c>
      <c r="AN43" s="25">
        <f>IF(OR(Apresentação!$I$3='Base de Dados e filtragem'!AN$2,Apresentação!$I$3='Base de Dados e filtragem'!J43),1,0)</f>
        <v>1</v>
      </c>
      <c r="AO43" s="25">
        <f>IF(OR(Apresentação!$I$4='Base de Dados e filtragem'!AO$2,Apresentação!$I$4='Base de Dados e filtragem'!K43),1,0)</f>
        <v>1</v>
      </c>
      <c r="AP43" s="25">
        <f>IF(OR(Apresentação!$I$5='Base de Dados e filtragem'!AP$2,Apresentação!$I$5='Base de Dados e filtragem'!L43),1,0)</f>
        <v>1</v>
      </c>
      <c r="AQ43" s="25">
        <f>IF(OR(Apresentação!$I$6='Base de Dados e filtragem'!AQ$2,Apresentação!$I$6='Base de Dados e filtragem'!M43),1,0)</f>
        <v>1</v>
      </c>
      <c r="AR43" s="25">
        <v>1</v>
      </c>
      <c r="AS43" s="25">
        <v>1</v>
      </c>
      <c r="AT43" s="25">
        <v>1</v>
      </c>
      <c r="AU43" s="25">
        <v>1</v>
      </c>
      <c r="AV43" s="25">
        <v>1</v>
      </c>
      <c r="AW43" s="25">
        <v>1</v>
      </c>
      <c r="AX43" s="25">
        <v>1</v>
      </c>
      <c r="AY43" s="25">
        <v>1</v>
      </c>
      <c r="AZ43" s="25">
        <v>1</v>
      </c>
      <c r="BA43" s="25">
        <v>1</v>
      </c>
      <c r="BB43" s="25">
        <v>1</v>
      </c>
      <c r="BC43" s="25">
        <v>1</v>
      </c>
      <c r="BD43" s="25">
        <v>1</v>
      </c>
    </row>
    <row r="44" spans="27:56" x14ac:dyDescent="0.25">
      <c r="AA44" s="68" t="str">
        <f t="shared" si="1"/>
        <v>Fotos\\.jpg</v>
      </c>
      <c r="AB44" s="53">
        <f t="shared" si="2"/>
        <v>2.2727272727272728E-2</v>
      </c>
      <c r="AC44" s="25">
        <f t="shared" si="3"/>
        <v>44</v>
      </c>
      <c r="AD44" s="51">
        <f t="shared" si="4"/>
        <v>1</v>
      </c>
      <c r="AE44" s="25">
        <v>1</v>
      </c>
      <c r="AF44" s="25">
        <v>1</v>
      </c>
      <c r="AG44" s="25">
        <v>1</v>
      </c>
      <c r="AH44" s="25">
        <v>1</v>
      </c>
      <c r="AI44" s="25">
        <f>IF(OR(Apresentação!$E$3='Base de Dados e filtragem'!AI$2,Apresentação!$E$3='Base de Dados e filtragem'!E44),1,0)</f>
        <v>1</v>
      </c>
      <c r="AJ44" s="25">
        <f>IF(OR(Apresentação!$E$4='Base de Dados e filtragem'!AJ$2,Apresentação!$E$4='Base de Dados e filtragem'!F44),1,0)</f>
        <v>1</v>
      </c>
      <c r="AK44" s="25">
        <f>IF(OR(Apresentação!$E$5='Base de Dados e filtragem'!AK$2,Apresentação!$E$5='Base de Dados e filtragem'!G44),1,0)</f>
        <v>1</v>
      </c>
      <c r="AL44" s="25">
        <f>IF(OR(Apresentação!$E$6='Base de Dados e filtragem'!AL$2,Apresentação!$E$6='Base de Dados e filtragem'!H44),1,0)</f>
        <v>1</v>
      </c>
      <c r="AM44" s="25">
        <f>IF(OR(Apresentação!$I$2='Base de Dados e filtragem'!AM$2,Apresentação!$I$2='Base de Dados e filtragem'!I44),1,0)</f>
        <v>1</v>
      </c>
      <c r="AN44" s="25">
        <f>IF(OR(Apresentação!$I$3='Base de Dados e filtragem'!AN$2,Apresentação!$I$3='Base de Dados e filtragem'!J44),1,0)</f>
        <v>1</v>
      </c>
      <c r="AO44" s="25">
        <f>IF(OR(Apresentação!$I$4='Base de Dados e filtragem'!AO$2,Apresentação!$I$4='Base de Dados e filtragem'!K44),1,0)</f>
        <v>1</v>
      </c>
      <c r="AP44" s="25">
        <f>IF(OR(Apresentação!$I$5='Base de Dados e filtragem'!AP$2,Apresentação!$I$5='Base de Dados e filtragem'!L44),1,0)</f>
        <v>1</v>
      </c>
      <c r="AQ44" s="25">
        <f>IF(OR(Apresentação!$I$6='Base de Dados e filtragem'!AQ$2,Apresentação!$I$6='Base de Dados e filtragem'!M44),1,0)</f>
        <v>1</v>
      </c>
      <c r="AR44" s="25">
        <v>1</v>
      </c>
      <c r="AS44" s="25">
        <v>1</v>
      </c>
      <c r="AT44" s="25">
        <v>1</v>
      </c>
      <c r="AU44" s="25">
        <v>1</v>
      </c>
      <c r="AV44" s="25">
        <v>1</v>
      </c>
      <c r="AW44" s="25">
        <v>1</v>
      </c>
      <c r="AX44" s="25">
        <v>1</v>
      </c>
      <c r="AY44" s="25">
        <v>1</v>
      </c>
      <c r="AZ44" s="25">
        <v>1</v>
      </c>
      <c r="BA44" s="25">
        <v>1</v>
      </c>
      <c r="BB44" s="25">
        <v>1</v>
      </c>
      <c r="BC44" s="25">
        <v>1</v>
      </c>
      <c r="BD44" s="25">
        <v>1</v>
      </c>
    </row>
    <row r="45" spans="27:56" x14ac:dyDescent="0.25">
      <c r="AA45" s="68" t="str">
        <f t="shared" si="1"/>
        <v>Fotos\\.jpg</v>
      </c>
      <c r="AB45" s="53">
        <f t="shared" si="2"/>
        <v>2.2222222222222223E-2</v>
      </c>
      <c r="AC45" s="25">
        <f t="shared" si="3"/>
        <v>45</v>
      </c>
      <c r="AD45" s="51">
        <f t="shared" si="4"/>
        <v>1</v>
      </c>
      <c r="AE45" s="25">
        <v>1</v>
      </c>
      <c r="AF45" s="25">
        <v>1</v>
      </c>
      <c r="AG45" s="25">
        <v>1</v>
      </c>
      <c r="AH45" s="25">
        <v>1</v>
      </c>
      <c r="AI45" s="25">
        <f>IF(OR(Apresentação!$E$3='Base de Dados e filtragem'!AI$2,Apresentação!$E$3='Base de Dados e filtragem'!E45),1,0)</f>
        <v>1</v>
      </c>
      <c r="AJ45" s="25">
        <f>IF(OR(Apresentação!$E$4='Base de Dados e filtragem'!AJ$2,Apresentação!$E$4='Base de Dados e filtragem'!F45),1,0)</f>
        <v>1</v>
      </c>
      <c r="AK45" s="25">
        <f>IF(OR(Apresentação!$E$5='Base de Dados e filtragem'!AK$2,Apresentação!$E$5='Base de Dados e filtragem'!G45),1,0)</f>
        <v>1</v>
      </c>
      <c r="AL45" s="25">
        <f>IF(OR(Apresentação!$E$6='Base de Dados e filtragem'!AL$2,Apresentação!$E$6='Base de Dados e filtragem'!H45),1,0)</f>
        <v>1</v>
      </c>
      <c r="AM45" s="25">
        <f>IF(OR(Apresentação!$I$2='Base de Dados e filtragem'!AM$2,Apresentação!$I$2='Base de Dados e filtragem'!I45),1,0)</f>
        <v>1</v>
      </c>
      <c r="AN45" s="25">
        <f>IF(OR(Apresentação!$I$3='Base de Dados e filtragem'!AN$2,Apresentação!$I$3='Base de Dados e filtragem'!J45),1,0)</f>
        <v>1</v>
      </c>
      <c r="AO45" s="25">
        <f>IF(OR(Apresentação!$I$4='Base de Dados e filtragem'!AO$2,Apresentação!$I$4='Base de Dados e filtragem'!K45),1,0)</f>
        <v>1</v>
      </c>
      <c r="AP45" s="25">
        <f>IF(OR(Apresentação!$I$5='Base de Dados e filtragem'!AP$2,Apresentação!$I$5='Base de Dados e filtragem'!L45),1,0)</f>
        <v>1</v>
      </c>
      <c r="AQ45" s="25">
        <f>IF(OR(Apresentação!$I$6='Base de Dados e filtragem'!AQ$2,Apresentação!$I$6='Base de Dados e filtragem'!M45),1,0)</f>
        <v>1</v>
      </c>
      <c r="AR45" s="25">
        <v>1</v>
      </c>
      <c r="AS45" s="25">
        <v>1</v>
      </c>
      <c r="AT45" s="25">
        <v>1</v>
      </c>
      <c r="AU45" s="25">
        <v>1</v>
      </c>
      <c r="AV45" s="25">
        <v>1</v>
      </c>
      <c r="AW45" s="25">
        <v>1</v>
      </c>
      <c r="AX45" s="25">
        <v>1</v>
      </c>
      <c r="AY45" s="25">
        <v>1</v>
      </c>
      <c r="AZ45" s="25">
        <v>1</v>
      </c>
      <c r="BA45" s="25">
        <v>1</v>
      </c>
      <c r="BB45" s="25">
        <v>1</v>
      </c>
      <c r="BC45" s="25">
        <v>1</v>
      </c>
      <c r="BD45" s="25">
        <v>1</v>
      </c>
    </row>
    <row r="46" spans="27:56" x14ac:dyDescent="0.25">
      <c r="AA46" s="68" t="str">
        <f t="shared" si="1"/>
        <v>Fotos\\.jpg</v>
      </c>
      <c r="AB46" s="53">
        <f t="shared" si="2"/>
        <v>2.1739130434782608E-2</v>
      </c>
      <c r="AC46" s="25">
        <f t="shared" si="3"/>
        <v>46</v>
      </c>
      <c r="AD46" s="51">
        <f t="shared" si="4"/>
        <v>1</v>
      </c>
      <c r="AE46" s="25">
        <v>1</v>
      </c>
      <c r="AF46" s="25">
        <v>1</v>
      </c>
      <c r="AG46" s="25">
        <v>1</v>
      </c>
      <c r="AH46" s="25">
        <v>1</v>
      </c>
      <c r="AI46" s="25">
        <f>IF(OR(Apresentação!$E$3='Base de Dados e filtragem'!AI$2,Apresentação!$E$3='Base de Dados e filtragem'!E46),1,0)</f>
        <v>1</v>
      </c>
      <c r="AJ46" s="25">
        <f>IF(OR(Apresentação!$E$4='Base de Dados e filtragem'!AJ$2,Apresentação!$E$4='Base de Dados e filtragem'!F46),1,0)</f>
        <v>1</v>
      </c>
      <c r="AK46" s="25">
        <f>IF(OR(Apresentação!$E$5='Base de Dados e filtragem'!AK$2,Apresentação!$E$5='Base de Dados e filtragem'!G46),1,0)</f>
        <v>1</v>
      </c>
      <c r="AL46" s="25">
        <f>IF(OR(Apresentação!$E$6='Base de Dados e filtragem'!AL$2,Apresentação!$E$6='Base de Dados e filtragem'!H46),1,0)</f>
        <v>1</v>
      </c>
      <c r="AM46" s="25">
        <f>IF(OR(Apresentação!$I$2='Base de Dados e filtragem'!AM$2,Apresentação!$I$2='Base de Dados e filtragem'!I46),1,0)</f>
        <v>1</v>
      </c>
      <c r="AN46" s="25">
        <f>IF(OR(Apresentação!$I$3='Base de Dados e filtragem'!AN$2,Apresentação!$I$3='Base de Dados e filtragem'!J46),1,0)</f>
        <v>1</v>
      </c>
      <c r="AO46" s="25">
        <f>IF(OR(Apresentação!$I$4='Base de Dados e filtragem'!AO$2,Apresentação!$I$4='Base de Dados e filtragem'!K46),1,0)</f>
        <v>1</v>
      </c>
      <c r="AP46" s="25">
        <f>IF(OR(Apresentação!$I$5='Base de Dados e filtragem'!AP$2,Apresentação!$I$5='Base de Dados e filtragem'!L46),1,0)</f>
        <v>1</v>
      </c>
      <c r="AQ46" s="25">
        <f>IF(OR(Apresentação!$I$6='Base de Dados e filtragem'!AQ$2,Apresentação!$I$6='Base de Dados e filtragem'!M46),1,0)</f>
        <v>1</v>
      </c>
      <c r="AR46" s="25">
        <v>1</v>
      </c>
      <c r="AS46" s="25">
        <v>1</v>
      </c>
      <c r="AT46" s="25">
        <v>1</v>
      </c>
      <c r="AU46" s="25">
        <v>1</v>
      </c>
      <c r="AV46" s="25">
        <v>1</v>
      </c>
      <c r="AW46" s="25">
        <v>1</v>
      </c>
      <c r="AX46" s="25">
        <v>1</v>
      </c>
      <c r="AY46" s="25">
        <v>1</v>
      </c>
      <c r="AZ46" s="25">
        <v>1</v>
      </c>
      <c r="BA46" s="25">
        <v>1</v>
      </c>
      <c r="BB46" s="25">
        <v>1</v>
      </c>
      <c r="BC46" s="25">
        <v>1</v>
      </c>
      <c r="BD46" s="25">
        <v>1</v>
      </c>
    </row>
    <row r="47" spans="27:56" x14ac:dyDescent="0.25">
      <c r="AA47" s="68" t="str">
        <f t="shared" si="1"/>
        <v>Fotos\\.jpg</v>
      </c>
      <c r="AB47" s="53">
        <f t="shared" si="2"/>
        <v>2.1276595744680851E-2</v>
      </c>
      <c r="AC47" s="25">
        <f t="shared" si="3"/>
        <v>47</v>
      </c>
      <c r="AD47" s="51">
        <f t="shared" si="4"/>
        <v>1</v>
      </c>
      <c r="AE47" s="25">
        <v>1</v>
      </c>
      <c r="AF47" s="25">
        <v>1</v>
      </c>
      <c r="AG47" s="25">
        <v>1</v>
      </c>
      <c r="AH47" s="25">
        <v>1</v>
      </c>
      <c r="AI47" s="25">
        <f>IF(OR(Apresentação!$E$3='Base de Dados e filtragem'!AI$2,Apresentação!$E$3='Base de Dados e filtragem'!E47),1,0)</f>
        <v>1</v>
      </c>
      <c r="AJ47" s="25">
        <f>IF(OR(Apresentação!$E$4='Base de Dados e filtragem'!AJ$2,Apresentação!$E$4='Base de Dados e filtragem'!F47),1,0)</f>
        <v>1</v>
      </c>
      <c r="AK47" s="25">
        <f>IF(OR(Apresentação!$E$5='Base de Dados e filtragem'!AK$2,Apresentação!$E$5='Base de Dados e filtragem'!G47),1,0)</f>
        <v>1</v>
      </c>
      <c r="AL47" s="25">
        <f>IF(OR(Apresentação!$E$6='Base de Dados e filtragem'!AL$2,Apresentação!$E$6='Base de Dados e filtragem'!H47),1,0)</f>
        <v>1</v>
      </c>
      <c r="AM47" s="25">
        <f>IF(OR(Apresentação!$I$2='Base de Dados e filtragem'!AM$2,Apresentação!$I$2='Base de Dados e filtragem'!I47),1,0)</f>
        <v>1</v>
      </c>
      <c r="AN47" s="25">
        <f>IF(OR(Apresentação!$I$3='Base de Dados e filtragem'!AN$2,Apresentação!$I$3='Base de Dados e filtragem'!J47),1,0)</f>
        <v>1</v>
      </c>
      <c r="AO47" s="25">
        <f>IF(OR(Apresentação!$I$4='Base de Dados e filtragem'!AO$2,Apresentação!$I$4='Base de Dados e filtragem'!K47),1,0)</f>
        <v>1</v>
      </c>
      <c r="AP47" s="25">
        <f>IF(OR(Apresentação!$I$5='Base de Dados e filtragem'!AP$2,Apresentação!$I$5='Base de Dados e filtragem'!L47),1,0)</f>
        <v>1</v>
      </c>
      <c r="AQ47" s="25">
        <f>IF(OR(Apresentação!$I$6='Base de Dados e filtragem'!AQ$2,Apresentação!$I$6='Base de Dados e filtragem'!M47),1,0)</f>
        <v>1</v>
      </c>
      <c r="AR47" s="25">
        <v>1</v>
      </c>
      <c r="AS47" s="25">
        <v>1</v>
      </c>
      <c r="AT47" s="25">
        <v>1</v>
      </c>
      <c r="AU47" s="25">
        <v>1</v>
      </c>
      <c r="AV47" s="25">
        <v>1</v>
      </c>
      <c r="AW47" s="25">
        <v>1</v>
      </c>
      <c r="AX47" s="25">
        <v>1</v>
      </c>
      <c r="AY47" s="25">
        <v>1</v>
      </c>
      <c r="AZ47" s="25">
        <v>1</v>
      </c>
      <c r="BA47" s="25">
        <v>1</v>
      </c>
      <c r="BB47" s="25">
        <v>1</v>
      </c>
      <c r="BC47" s="25">
        <v>1</v>
      </c>
      <c r="BD47" s="25">
        <v>1</v>
      </c>
    </row>
    <row r="48" spans="27:56" x14ac:dyDescent="0.25">
      <c r="AA48" s="68" t="str">
        <f t="shared" si="1"/>
        <v>Fotos\\.jpg</v>
      </c>
      <c r="AB48" s="53">
        <f t="shared" si="2"/>
        <v>2.0833333333333332E-2</v>
      </c>
      <c r="AC48" s="25">
        <f t="shared" si="3"/>
        <v>48</v>
      </c>
      <c r="AD48" s="51">
        <f t="shared" si="4"/>
        <v>1</v>
      </c>
      <c r="AE48" s="25">
        <v>1</v>
      </c>
      <c r="AF48" s="25">
        <v>1</v>
      </c>
      <c r="AG48" s="25">
        <v>1</v>
      </c>
      <c r="AH48" s="25">
        <v>1</v>
      </c>
      <c r="AI48" s="25">
        <f>IF(OR(Apresentação!$E$3='Base de Dados e filtragem'!AI$2,Apresentação!$E$3='Base de Dados e filtragem'!E48),1,0)</f>
        <v>1</v>
      </c>
      <c r="AJ48" s="25">
        <f>IF(OR(Apresentação!$E$4='Base de Dados e filtragem'!AJ$2,Apresentação!$E$4='Base de Dados e filtragem'!F48),1,0)</f>
        <v>1</v>
      </c>
      <c r="AK48" s="25">
        <f>IF(OR(Apresentação!$E$5='Base de Dados e filtragem'!AK$2,Apresentação!$E$5='Base de Dados e filtragem'!G48),1,0)</f>
        <v>1</v>
      </c>
      <c r="AL48" s="25">
        <f>IF(OR(Apresentação!$E$6='Base de Dados e filtragem'!AL$2,Apresentação!$E$6='Base de Dados e filtragem'!H48),1,0)</f>
        <v>1</v>
      </c>
      <c r="AM48" s="25">
        <f>IF(OR(Apresentação!$I$2='Base de Dados e filtragem'!AM$2,Apresentação!$I$2='Base de Dados e filtragem'!I48),1,0)</f>
        <v>1</v>
      </c>
      <c r="AN48" s="25">
        <f>IF(OR(Apresentação!$I$3='Base de Dados e filtragem'!AN$2,Apresentação!$I$3='Base de Dados e filtragem'!J48),1,0)</f>
        <v>1</v>
      </c>
      <c r="AO48" s="25">
        <f>IF(OR(Apresentação!$I$4='Base de Dados e filtragem'!AO$2,Apresentação!$I$4='Base de Dados e filtragem'!K48),1,0)</f>
        <v>1</v>
      </c>
      <c r="AP48" s="25">
        <f>IF(OR(Apresentação!$I$5='Base de Dados e filtragem'!AP$2,Apresentação!$I$5='Base de Dados e filtragem'!L48),1,0)</f>
        <v>1</v>
      </c>
      <c r="AQ48" s="25">
        <f>IF(OR(Apresentação!$I$6='Base de Dados e filtragem'!AQ$2,Apresentação!$I$6='Base de Dados e filtragem'!M48),1,0)</f>
        <v>1</v>
      </c>
      <c r="AR48" s="25">
        <v>1</v>
      </c>
      <c r="AS48" s="25">
        <v>1</v>
      </c>
      <c r="AT48" s="25">
        <v>1</v>
      </c>
      <c r="AU48" s="25">
        <v>1</v>
      </c>
      <c r="AV48" s="25">
        <v>1</v>
      </c>
      <c r="AW48" s="25">
        <v>1</v>
      </c>
      <c r="AX48" s="25">
        <v>1</v>
      </c>
      <c r="AY48" s="25">
        <v>1</v>
      </c>
      <c r="AZ48" s="25">
        <v>1</v>
      </c>
      <c r="BA48" s="25">
        <v>1</v>
      </c>
      <c r="BB48" s="25">
        <v>1</v>
      </c>
      <c r="BC48" s="25">
        <v>1</v>
      </c>
      <c r="BD48" s="25">
        <v>1</v>
      </c>
    </row>
    <row r="49" spans="27:56" x14ac:dyDescent="0.25">
      <c r="AA49" s="68" t="str">
        <f t="shared" si="1"/>
        <v>Fotos\\.jpg</v>
      </c>
      <c r="AB49" s="53">
        <f t="shared" si="2"/>
        <v>2.0408163265306121E-2</v>
      </c>
      <c r="AC49" s="25">
        <f t="shared" si="3"/>
        <v>49</v>
      </c>
      <c r="AD49" s="51">
        <f t="shared" si="4"/>
        <v>1</v>
      </c>
      <c r="AE49" s="25">
        <v>1</v>
      </c>
      <c r="AF49" s="25">
        <v>1</v>
      </c>
      <c r="AG49" s="25">
        <v>1</v>
      </c>
      <c r="AH49" s="25">
        <v>1</v>
      </c>
      <c r="AI49" s="25">
        <f>IF(OR(Apresentação!$E$3='Base de Dados e filtragem'!AI$2,Apresentação!$E$3='Base de Dados e filtragem'!E49),1,0)</f>
        <v>1</v>
      </c>
      <c r="AJ49" s="25">
        <f>IF(OR(Apresentação!$E$4='Base de Dados e filtragem'!AJ$2,Apresentação!$E$4='Base de Dados e filtragem'!F49),1,0)</f>
        <v>1</v>
      </c>
      <c r="AK49" s="25">
        <f>IF(OR(Apresentação!$E$5='Base de Dados e filtragem'!AK$2,Apresentação!$E$5='Base de Dados e filtragem'!G49),1,0)</f>
        <v>1</v>
      </c>
      <c r="AL49" s="25">
        <f>IF(OR(Apresentação!$E$6='Base de Dados e filtragem'!AL$2,Apresentação!$E$6='Base de Dados e filtragem'!H49),1,0)</f>
        <v>1</v>
      </c>
      <c r="AM49" s="25">
        <f>IF(OR(Apresentação!$I$2='Base de Dados e filtragem'!AM$2,Apresentação!$I$2='Base de Dados e filtragem'!I49),1,0)</f>
        <v>1</v>
      </c>
      <c r="AN49" s="25">
        <f>IF(OR(Apresentação!$I$3='Base de Dados e filtragem'!AN$2,Apresentação!$I$3='Base de Dados e filtragem'!J49),1,0)</f>
        <v>1</v>
      </c>
      <c r="AO49" s="25">
        <f>IF(OR(Apresentação!$I$4='Base de Dados e filtragem'!AO$2,Apresentação!$I$4='Base de Dados e filtragem'!K49),1,0)</f>
        <v>1</v>
      </c>
      <c r="AP49" s="25">
        <f>IF(OR(Apresentação!$I$5='Base de Dados e filtragem'!AP$2,Apresentação!$I$5='Base de Dados e filtragem'!L49),1,0)</f>
        <v>1</v>
      </c>
      <c r="AQ49" s="25">
        <f>IF(OR(Apresentação!$I$6='Base de Dados e filtragem'!AQ$2,Apresentação!$I$6='Base de Dados e filtragem'!M49),1,0)</f>
        <v>1</v>
      </c>
      <c r="AR49" s="25">
        <v>1</v>
      </c>
      <c r="AS49" s="25">
        <v>1</v>
      </c>
      <c r="AT49" s="25">
        <v>1</v>
      </c>
      <c r="AU49" s="25">
        <v>1</v>
      </c>
      <c r="AV49" s="25">
        <v>1</v>
      </c>
      <c r="AW49" s="25">
        <v>1</v>
      </c>
      <c r="AX49" s="25">
        <v>1</v>
      </c>
      <c r="AY49" s="25">
        <v>1</v>
      </c>
      <c r="AZ49" s="25">
        <v>1</v>
      </c>
      <c r="BA49" s="25">
        <v>1</v>
      </c>
      <c r="BB49" s="25">
        <v>1</v>
      </c>
      <c r="BC49" s="25">
        <v>1</v>
      </c>
      <c r="BD49" s="25">
        <v>1</v>
      </c>
    </row>
    <row r="50" spans="27:56" x14ac:dyDescent="0.25">
      <c r="AA50" s="68" t="str">
        <f t="shared" si="1"/>
        <v>Fotos\\.jpg</v>
      </c>
      <c r="AB50" s="53">
        <f t="shared" si="2"/>
        <v>0.02</v>
      </c>
      <c r="AC50" s="25">
        <f t="shared" si="3"/>
        <v>50</v>
      </c>
      <c r="AD50" s="51">
        <f t="shared" si="4"/>
        <v>1</v>
      </c>
      <c r="AE50" s="25">
        <v>1</v>
      </c>
      <c r="AF50" s="25">
        <v>1</v>
      </c>
      <c r="AG50" s="25">
        <v>1</v>
      </c>
      <c r="AH50" s="25">
        <v>1</v>
      </c>
      <c r="AI50" s="25">
        <f>IF(OR(Apresentação!$E$3='Base de Dados e filtragem'!AI$2,Apresentação!$E$3='Base de Dados e filtragem'!E50),1,0)</f>
        <v>1</v>
      </c>
      <c r="AJ50" s="25">
        <f>IF(OR(Apresentação!$E$4='Base de Dados e filtragem'!AJ$2,Apresentação!$E$4='Base de Dados e filtragem'!F50),1,0)</f>
        <v>1</v>
      </c>
      <c r="AK50" s="25">
        <f>IF(OR(Apresentação!$E$5='Base de Dados e filtragem'!AK$2,Apresentação!$E$5='Base de Dados e filtragem'!G50),1,0)</f>
        <v>1</v>
      </c>
      <c r="AL50" s="25">
        <f>IF(OR(Apresentação!$E$6='Base de Dados e filtragem'!AL$2,Apresentação!$E$6='Base de Dados e filtragem'!H50),1,0)</f>
        <v>1</v>
      </c>
      <c r="AM50" s="25">
        <f>IF(OR(Apresentação!$I$2='Base de Dados e filtragem'!AM$2,Apresentação!$I$2='Base de Dados e filtragem'!I50),1,0)</f>
        <v>1</v>
      </c>
      <c r="AN50" s="25">
        <f>IF(OR(Apresentação!$I$3='Base de Dados e filtragem'!AN$2,Apresentação!$I$3='Base de Dados e filtragem'!J50),1,0)</f>
        <v>1</v>
      </c>
      <c r="AO50" s="25">
        <f>IF(OR(Apresentação!$I$4='Base de Dados e filtragem'!AO$2,Apresentação!$I$4='Base de Dados e filtragem'!K50),1,0)</f>
        <v>1</v>
      </c>
      <c r="AP50" s="25">
        <f>IF(OR(Apresentação!$I$5='Base de Dados e filtragem'!AP$2,Apresentação!$I$5='Base de Dados e filtragem'!L50),1,0)</f>
        <v>1</v>
      </c>
      <c r="AQ50" s="25">
        <f>IF(OR(Apresentação!$I$6='Base de Dados e filtragem'!AQ$2,Apresentação!$I$6='Base de Dados e filtragem'!M50),1,0)</f>
        <v>1</v>
      </c>
      <c r="AR50" s="25">
        <v>1</v>
      </c>
      <c r="AS50" s="25">
        <v>1</v>
      </c>
      <c r="AT50" s="25">
        <v>1</v>
      </c>
      <c r="AU50" s="25">
        <v>1</v>
      </c>
      <c r="AV50" s="25">
        <v>1</v>
      </c>
      <c r="AW50" s="25">
        <v>1</v>
      </c>
      <c r="AX50" s="25">
        <v>1</v>
      </c>
      <c r="AY50" s="25">
        <v>1</v>
      </c>
      <c r="AZ50" s="25">
        <v>1</v>
      </c>
      <c r="BA50" s="25">
        <v>1</v>
      </c>
      <c r="BB50" s="25">
        <v>1</v>
      </c>
      <c r="BC50" s="25">
        <v>1</v>
      </c>
      <c r="BD50" s="25">
        <v>1</v>
      </c>
    </row>
    <row r="51" spans="27:56" x14ac:dyDescent="0.25">
      <c r="AA51" s="68" t="str">
        <f t="shared" si="1"/>
        <v>Fotos\\.jpg</v>
      </c>
      <c r="AB51" s="53">
        <f t="shared" si="2"/>
        <v>1.9607843137254902E-2</v>
      </c>
      <c r="AC51" s="25">
        <f t="shared" si="3"/>
        <v>51</v>
      </c>
      <c r="AD51" s="51">
        <f t="shared" si="4"/>
        <v>1</v>
      </c>
      <c r="AE51" s="25">
        <v>1</v>
      </c>
      <c r="AF51" s="25">
        <v>1</v>
      </c>
      <c r="AG51" s="25">
        <v>1</v>
      </c>
      <c r="AH51" s="25">
        <v>1</v>
      </c>
      <c r="AI51" s="25">
        <f>IF(OR(Apresentação!$E$3='Base de Dados e filtragem'!AI$2,Apresentação!$E$3='Base de Dados e filtragem'!E51),1,0)</f>
        <v>1</v>
      </c>
      <c r="AJ51" s="25">
        <f>IF(OR(Apresentação!$E$4='Base de Dados e filtragem'!AJ$2,Apresentação!$E$4='Base de Dados e filtragem'!F51),1,0)</f>
        <v>1</v>
      </c>
      <c r="AK51" s="25">
        <f>IF(OR(Apresentação!$E$5='Base de Dados e filtragem'!AK$2,Apresentação!$E$5='Base de Dados e filtragem'!G51),1,0)</f>
        <v>1</v>
      </c>
      <c r="AL51" s="25">
        <f>IF(OR(Apresentação!$E$6='Base de Dados e filtragem'!AL$2,Apresentação!$E$6='Base de Dados e filtragem'!H51),1,0)</f>
        <v>1</v>
      </c>
      <c r="AM51" s="25">
        <f>IF(OR(Apresentação!$I$2='Base de Dados e filtragem'!AM$2,Apresentação!$I$2='Base de Dados e filtragem'!I51),1,0)</f>
        <v>1</v>
      </c>
      <c r="AN51" s="25">
        <f>IF(OR(Apresentação!$I$3='Base de Dados e filtragem'!AN$2,Apresentação!$I$3='Base de Dados e filtragem'!J51),1,0)</f>
        <v>1</v>
      </c>
      <c r="AO51" s="25">
        <f>IF(OR(Apresentação!$I$4='Base de Dados e filtragem'!AO$2,Apresentação!$I$4='Base de Dados e filtragem'!K51),1,0)</f>
        <v>1</v>
      </c>
      <c r="AP51" s="25">
        <f>IF(OR(Apresentação!$I$5='Base de Dados e filtragem'!AP$2,Apresentação!$I$5='Base de Dados e filtragem'!L51),1,0)</f>
        <v>1</v>
      </c>
      <c r="AQ51" s="25">
        <f>IF(OR(Apresentação!$I$6='Base de Dados e filtragem'!AQ$2,Apresentação!$I$6='Base de Dados e filtragem'!M51),1,0)</f>
        <v>1</v>
      </c>
      <c r="AR51" s="25">
        <v>1</v>
      </c>
      <c r="AS51" s="25">
        <v>1</v>
      </c>
      <c r="AT51" s="25">
        <v>1</v>
      </c>
      <c r="AU51" s="25">
        <v>1</v>
      </c>
      <c r="AV51" s="25">
        <v>1</v>
      </c>
      <c r="AW51" s="25">
        <v>1</v>
      </c>
      <c r="AX51" s="25">
        <v>1</v>
      </c>
      <c r="AY51" s="25">
        <v>1</v>
      </c>
      <c r="AZ51" s="25">
        <v>1</v>
      </c>
      <c r="BA51" s="25">
        <v>1</v>
      </c>
      <c r="BB51" s="25">
        <v>1</v>
      </c>
      <c r="BC51" s="25">
        <v>1</v>
      </c>
      <c r="BD51" s="25">
        <v>1</v>
      </c>
    </row>
    <row r="52" spans="27:56" x14ac:dyDescent="0.25">
      <c r="AA52" s="68" t="str">
        <f t="shared" si="1"/>
        <v>Fotos\\.jpg</v>
      </c>
      <c r="AB52" s="53">
        <f t="shared" si="2"/>
        <v>1.9230769230769232E-2</v>
      </c>
      <c r="AC52" s="25">
        <f t="shared" si="3"/>
        <v>52</v>
      </c>
      <c r="AD52" s="51">
        <f t="shared" si="4"/>
        <v>1</v>
      </c>
      <c r="AE52" s="25">
        <v>1</v>
      </c>
      <c r="AF52" s="25">
        <v>1</v>
      </c>
      <c r="AG52" s="25">
        <v>1</v>
      </c>
      <c r="AH52" s="25">
        <v>1</v>
      </c>
      <c r="AI52" s="25">
        <f>IF(OR(Apresentação!$E$3='Base de Dados e filtragem'!AI$2,Apresentação!$E$3='Base de Dados e filtragem'!E52),1,0)</f>
        <v>1</v>
      </c>
      <c r="AJ52" s="25">
        <f>IF(OR(Apresentação!$E$4='Base de Dados e filtragem'!AJ$2,Apresentação!$E$4='Base de Dados e filtragem'!F52),1,0)</f>
        <v>1</v>
      </c>
      <c r="AK52" s="25">
        <f>IF(OR(Apresentação!$E$5='Base de Dados e filtragem'!AK$2,Apresentação!$E$5='Base de Dados e filtragem'!G52),1,0)</f>
        <v>1</v>
      </c>
      <c r="AL52" s="25">
        <f>IF(OR(Apresentação!$E$6='Base de Dados e filtragem'!AL$2,Apresentação!$E$6='Base de Dados e filtragem'!H52),1,0)</f>
        <v>1</v>
      </c>
      <c r="AM52" s="25">
        <f>IF(OR(Apresentação!$I$2='Base de Dados e filtragem'!AM$2,Apresentação!$I$2='Base de Dados e filtragem'!I52),1,0)</f>
        <v>1</v>
      </c>
      <c r="AN52" s="25">
        <f>IF(OR(Apresentação!$I$3='Base de Dados e filtragem'!AN$2,Apresentação!$I$3='Base de Dados e filtragem'!J52),1,0)</f>
        <v>1</v>
      </c>
      <c r="AO52" s="25">
        <f>IF(OR(Apresentação!$I$4='Base de Dados e filtragem'!AO$2,Apresentação!$I$4='Base de Dados e filtragem'!K52),1,0)</f>
        <v>1</v>
      </c>
      <c r="AP52" s="25">
        <f>IF(OR(Apresentação!$I$5='Base de Dados e filtragem'!AP$2,Apresentação!$I$5='Base de Dados e filtragem'!L52),1,0)</f>
        <v>1</v>
      </c>
      <c r="AQ52" s="25">
        <f>IF(OR(Apresentação!$I$6='Base de Dados e filtragem'!AQ$2,Apresentação!$I$6='Base de Dados e filtragem'!M52),1,0)</f>
        <v>1</v>
      </c>
      <c r="AR52" s="25">
        <v>1</v>
      </c>
      <c r="AS52" s="25">
        <v>1</v>
      </c>
      <c r="AT52" s="25">
        <v>1</v>
      </c>
      <c r="AU52" s="25">
        <v>1</v>
      </c>
      <c r="AV52" s="25">
        <v>1</v>
      </c>
      <c r="AW52" s="25">
        <v>1</v>
      </c>
      <c r="AX52" s="25">
        <v>1</v>
      </c>
      <c r="AY52" s="25">
        <v>1</v>
      </c>
      <c r="AZ52" s="25">
        <v>1</v>
      </c>
      <c r="BA52" s="25">
        <v>1</v>
      </c>
      <c r="BB52" s="25">
        <v>1</v>
      </c>
      <c r="BC52" s="25">
        <v>1</v>
      </c>
      <c r="BD52" s="25">
        <v>1</v>
      </c>
    </row>
    <row r="53" spans="27:56" x14ac:dyDescent="0.25">
      <c r="AA53" s="68" t="str">
        <f t="shared" si="1"/>
        <v>Fotos\\.jpg</v>
      </c>
      <c r="AB53" s="53">
        <f t="shared" si="2"/>
        <v>1.8867924528301886E-2</v>
      </c>
      <c r="AC53" s="25">
        <f t="shared" si="3"/>
        <v>53</v>
      </c>
      <c r="AD53" s="51">
        <f t="shared" si="4"/>
        <v>1</v>
      </c>
      <c r="AE53" s="25">
        <v>1</v>
      </c>
      <c r="AF53" s="25">
        <v>1</v>
      </c>
      <c r="AG53" s="25">
        <v>1</v>
      </c>
      <c r="AH53" s="25">
        <v>1</v>
      </c>
      <c r="AI53" s="25">
        <f>IF(OR(Apresentação!$E$3='Base de Dados e filtragem'!AI$2,Apresentação!$E$3='Base de Dados e filtragem'!E53),1,0)</f>
        <v>1</v>
      </c>
      <c r="AJ53" s="25">
        <f>IF(OR(Apresentação!$E$4='Base de Dados e filtragem'!AJ$2,Apresentação!$E$4='Base de Dados e filtragem'!F53),1,0)</f>
        <v>1</v>
      </c>
      <c r="AK53" s="25">
        <f>IF(OR(Apresentação!$E$5='Base de Dados e filtragem'!AK$2,Apresentação!$E$5='Base de Dados e filtragem'!G53),1,0)</f>
        <v>1</v>
      </c>
      <c r="AL53" s="25">
        <f>IF(OR(Apresentação!$E$6='Base de Dados e filtragem'!AL$2,Apresentação!$E$6='Base de Dados e filtragem'!H53),1,0)</f>
        <v>1</v>
      </c>
      <c r="AM53" s="25">
        <f>IF(OR(Apresentação!$I$2='Base de Dados e filtragem'!AM$2,Apresentação!$I$2='Base de Dados e filtragem'!I53),1,0)</f>
        <v>1</v>
      </c>
      <c r="AN53" s="25">
        <f>IF(OR(Apresentação!$I$3='Base de Dados e filtragem'!AN$2,Apresentação!$I$3='Base de Dados e filtragem'!J53),1,0)</f>
        <v>1</v>
      </c>
      <c r="AO53" s="25">
        <f>IF(OR(Apresentação!$I$4='Base de Dados e filtragem'!AO$2,Apresentação!$I$4='Base de Dados e filtragem'!K53),1,0)</f>
        <v>1</v>
      </c>
      <c r="AP53" s="25">
        <f>IF(OR(Apresentação!$I$5='Base de Dados e filtragem'!AP$2,Apresentação!$I$5='Base de Dados e filtragem'!L53),1,0)</f>
        <v>1</v>
      </c>
      <c r="AQ53" s="25">
        <f>IF(OR(Apresentação!$I$6='Base de Dados e filtragem'!AQ$2,Apresentação!$I$6='Base de Dados e filtragem'!M53),1,0)</f>
        <v>1</v>
      </c>
      <c r="AR53" s="25">
        <v>1</v>
      </c>
      <c r="AS53" s="25">
        <v>1</v>
      </c>
      <c r="AT53" s="25">
        <v>1</v>
      </c>
      <c r="AU53" s="25">
        <v>1</v>
      </c>
      <c r="AV53" s="25">
        <v>1</v>
      </c>
      <c r="AW53" s="25">
        <v>1</v>
      </c>
      <c r="AX53" s="25">
        <v>1</v>
      </c>
      <c r="AY53" s="25">
        <v>1</v>
      </c>
      <c r="AZ53" s="25">
        <v>1</v>
      </c>
      <c r="BA53" s="25">
        <v>1</v>
      </c>
      <c r="BB53" s="25">
        <v>1</v>
      </c>
      <c r="BC53" s="25">
        <v>1</v>
      </c>
      <c r="BD53" s="25">
        <v>1</v>
      </c>
    </row>
    <row r="54" spans="27:56" x14ac:dyDescent="0.25">
      <c r="AA54" s="68" t="str">
        <f t="shared" si="1"/>
        <v>Fotos\\.jpg</v>
      </c>
      <c r="AB54" s="53">
        <f t="shared" si="2"/>
        <v>1.8518518518518517E-2</v>
      </c>
      <c r="AC54" s="25">
        <f t="shared" si="3"/>
        <v>54</v>
      </c>
      <c r="AD54" s="51">
        <f t="shared" si="4"/>
        <v>1</v>
      </c>
      <c r="AE54" s="25">
        <v>1</v>
      </c>
      <c r="AF54" s="25">
        <v>1</v>
      </c>
      <c r="AG54" s="25">
        <v>1</v>
      </c>
      <c r="AH54" s="25">
        <v>1</v>
      </c>
      <c r="AI54" s="25">
        <f>IF(OR(Apresentação!$E$3='Base de Dados e filtragem'!AI$2,Apresentação!$E$3='Base de Dados e filtragem'!E54),1,0)</f>
        <v>1</v>
      </c>
      <c r="AJ54" s="25">
        <f>IF(OR(Apresentação!$E$4='Base de Dados e filtragem'!AJ$2,Apresentação!$E$4='Base de Dados e filtragem'!F54),1,0)</f>
        <v>1</v>
      </c>
      <c r="AK54" s="25">
        <f>IF(OR(Apresentação!$E$5='Base de Dados e filtragem'!AK$2,Apresentação!$E$5='Base de Dados e filtragem'!G54),1,0)</f>
        <v>1</v>
      </c>
      <c r="AL54" s="25">
        <f>IF(OR(Apresentação!$E$6='Base de Dados e filtragem'!AL$2,Apresentação!$E$6='Base de Dados e filtragem'!H54),1,0)</f>
        <v>1</v>
      </c>
      <c r="AM54" s="25">
        <f>IF(OR(Apresentação!$I$2='Base de Dados e filtragem'!AM$2,Apresentação!$I$2='Base de Dados e filtragem'!I54),1,0)</f>
        <v>1</v>
      </c>
      <c r="AN54" s="25">
        <f>IF(OR(Apresentação!$I$3='Base de Dados e filtragem'!AN$2,Apresentação!$I$3='Base de Dados e filtragem'!J54),1,0)</f>
        <v>1</v>
      </c>
      <c r="AO54" s="25">
        <f>IF(OR(Apresentação!$I$4='Base de Dados e filtragem'!AO$2,Apresentação!$I$4='Base de Dados e filtragem'!K54),1,0)</f>
        <v>1</v>
      </c>
      <c r="AP54" s="25">
        <f>IF(OR(Apresentação!$I$5='Base de Dados e filtragem'!AP$2,Apresentação!$I$5='Base de Dados e filtragem'!L54),1,0)</f>
        <v>1</v>
      </c>
      <c r="AQ54" s="25">
        <f>IF(OR(Apresentação!$I$6='Base de Dados e filtragem'!AQ$2,Apresentação!$I$6='Base de Dados e filtragem'!M54),1,0)</f>
        <v>1</v>
      </c>
      <c r="AR54" s="25">
        <v>1</v>
      </c>
      <c r="AS54" s="25">
        <v>1</v>
      </c>
      <c r="AT54" s="25">
        <v>1</v>
      </c>
      <c r="AU54" s="25">
        <v>1</v>
      </c>
      <c r="AV54" s="25">
        <v>1</v>
      </c>
      <c r="AW54" s="25">
        <v>1</v>
      </c>
      <c r="AX54" s="25">
        <v>1</v>
      </c>
      <c r="AY54" s="25">
        <v>1</v>
      </c>
      <c r="AZ54" s="25">
        <v>1</v>
      </c>
      <c r="BA54" s="25">
        <v>1</v>
      </c>
      <c r="BB54" s="25">
        <v>1</v>
      </c>
      <c r="BC54" s="25">
        <v>1</v>
      </c>
      <c r="BD54" s="25">
        <v>1</v>
      </c>
    </row>
    <row r="55" spans="27:56" x14ac:dyDescent="0.25">
      <c r="AA55" s="68" t="str">
        <f t="shared" si="1"/>
        <v>Fotos\\.jpg</v>
      </c>
      <c r="AB55" s="53">
        <f t="shared" si="2"/>
        <v>1.8181818181818181E-2</v>
      </c>
      <c r="AC55" s="25">
        <f t="shared" si="3"/>
        <v>55</v>
      </c>
      <c r="AD55" s="51">
        <f t="shared" si="4"/>
        <v>1</v>
      </c>
      <c r="AE55" s="25">
        <v>1</v>
      </c>
      <c r="AF55" s="25">
        <v>1</v>
      </c>
      <c r="AG55" s="25">
        <v>1</v>
      </c>
      <c r="AH55" s="25">
        <v>1</v>
      </c>
      <c r="AI55" s="25">
        <f>IF(OR(Apresentação!$E$3='Base de Dados e filtragem'!AI$2,Apresentação!$E$3='Base de Dados e filtragem'!E55),1,0)</f>
        <v>1</v>
      </c>
      <c r="AJ55" s="25">
        <f>IF(OR(Apresentação!$E$4='Base de Dados e filtragem'!AJ$2,Apresentação!$E$4='Base de Dados e filtragem'!F55),1,0)</f>
        <v>1</v>
      </c>
      <c r="AK55" s="25">
        <f>IF(OR(Apresentação!$E$5='Base de Dados e filtragem'!AK$2,Apresentação!$E$5='Base de Dados e filtragem'!G55),1,0)</f>
        <v>1</v>
      </c>
      <c r="AL55" s="25">
        <f>IF(OR(Apresentação!$E$6='Base de Dados e filtragem'!AL$2,Apresentação!$E$6='Base de Dados e filtragem'!H55),1,0)</f>
        <v>1</v>
      </c>
      <c r="AM55" s="25">
        <f>IF(OR(Apresentação!$I$2='Base de Dados e filtragem'!AM$2,Apresentação!$I$2='Base de Dados e filtragem'!I55),1,0)</f>
        <v>1</v>
      </c>
      <c r="AN55" s="25">
        <f>IF(OR(Apresentação!$I$3='Base de Dados e filtragem'!AN$2,Apresentação!$I$3='Base de Dados e filtragem'!J55),1,0)</f>
        <v>1</v>
      </c>
      <c r="AO55" s="25">
        <f>IF(OR(Apresentação!$I$4='Base de Dados e filtragem'!AO$2,Apresentação!$I$4='Base de Dados e filtragem'!K55),1,0)</f>
        <v>1</v>
      </c>
      <c r="AP55" s="25">
        <f>IF(OR(Apresentação!$I$5='Base de Dados e filtragem'!AP$2,Apresentação!$I$5='Base de Dados e filtragem'!L55),1,0)</f>
        <v>1</v>
      </c>
      <c r="AQ55" s="25">
        <f>IF(OR(Apresentação!$I$6='Base de Dados e filtragem'!AQ$2,Apresentação!$I$6='Base de Dados e filtragem'!M55),1,0)</f>
        <v>1</v>
      </c>
      <c r="AR55" s="25">
        <v>1</v>
      </c>
      <c r="AS55" s="25">
        <v>1</v>
      </c>
      <c r="AT55" s="25">
        <v>1</v>
      </c>
      <c r="AU55" s="25">
        <v>1</v>
      </c>
      <c r="AV55" s="25">
        <v>1</v>
      </c>
      <c r="AW55" s="25">
        <v>1</v>
      </c>
      <c r="AX55" s="25">
        <v>1</v>
      </c>
      <c r="AY55" s="25">
        <v>1</v>
      </c>
      <c r="AZ55" s="25">
        <v>1</v>
      </c>
      <c r="BA55" s="25">
        <v>1</v>
      </c>
      <c r="BB55" s="25">
        <v>1</v>
      </c>
      <c r="BC55" s="25">
        <v>1</v>
      </c>
      <c r="BD55" s="25">
        <v>1</v>
      </c>
    </row>
    <row r="56" spans="27:56" x14ac:dyDescent="0.25">
      <c r="AA56" s="68" t="str">
        <f t="shared" si="1"/>
        <v>Fotos\\.jpg</v>
      </c>
      <c r="AB56" s="53">
        <f t="shared" si="2"/>
        <v>1.7857142857142856E-2</v>
      </c>
      <c r="AC56" s="25">
        <f t="shared" si="3"/>
        <v>56</v>
      </c>
      <c r="AD56" s="51">
        <f t="shared" si="4"/>
        <v>1</v>
      </c>
      <c r="AE56" s="25">
        <v>1</v>
      </c>
      <c r="AF56" s="25">
        <v>1</v>
      </c>
      <c r="AG56" s="25">
        <v>1</v>
      </c>
      <c r="AH56" s="25">
        <v>1</v>
      </c>
      <c r="AI56" s="25">
        <f>IF(OR(Apresentação!$E$3='Base de Dados e filtragem'!AI$2,Apresentação!$E$3='Base de Dados e filtragem'!E56),1,0)</f>
        <v>1</v>
      </c>
      <c r="AJ56" s="25">
        <f>IF(OR(Apresentação!$E$4='Base de Dados e filtragem'!AJ$2,Apresentação!$E$4='Base de Dados e filtragem'!F56),1,0)</f>
        <v>1</v>
      </c>
      <c r="AK56" s="25">
        <f>IF(OR(Apresentação!$E$5='Base de Dados e filtragem'!AK$2,Apresentação!$E$5='Base de Dados e filtragem'!G56),1,0)</f>
        <v>1</v>
      </c>
      <c r="AL56" s="25">
        <f>IF(OR(Apresentação!$E$6='Base de Dados e filtragem'!AL$2,Apresentação!$E$6='Base de Dados e filtragem'!H56),1,0)</f>
        <v>1</v>
      </c>
      <c r="AM56" s="25">
        <f>IF(OR(Apresentação!$I$2='Base de Dados e filtragem'!AM$2,Apresentação!$I$2='Base de Dados e filtragem'!I56),1,0)</f>
        <v>1</v>
      </c>
      <c r="AN56" s="25">
        <f>IF(OR(Apresentação!$I$3='Base de Dados e filtragem'!AN$2,Apresentação!$I$3='Base de Dados e filtragem'!J56),1,0)</f>
        <v>1</v>
      </c>
      <c r="AO56" s="25">
        <f>IF(OR(Apresentação!$I$4='Base de Dados e filtragem'!AO$2,Apresentação!$I$4='Base de Dados e filtragem'!K56),1,0)</f>
        <v>1</v>
      </c>
      <c r="AP56" s="25">
        <f>IF(OR(Apresentação!$I$5='Base de Dados e filtragem'!AP$2,Apresentação!$I$5='Base de Dados e filtragem'!L56),1,0)</f>
        <v>1</v>
      </c>
      <c r="AQ56" s="25">
        <f>IF(OR(Apresentação!$I$6='Base de Dados e filtragem'!AQ$2,Apresentação!$I$6='Base de Dados e filtragem'!M56),1,0)</f>
        <v>1</v>
      </c>
      <c r="AR56" s="25">
        <v>1</v>
      </c>
      <c r="AS56" s="25">
        <v>1</v>
      </c>
      <c r="AT56" s="25">
        <v>1</v>
      </c>
      <c r="AU56" s="25">
        <v>1</v>
      </c>
      <c r="AV56" s="25">
        <v>1</v>
      </c>
      <c r="AW56" s="25">
        <v>1</v>
      </c>
      <c r="AX56" s="25">
        <v>1</v>
      </c>
      <c r="AY56" s="25">
        <v>1</v>
      </c>
      <c r="AZ56" s="25">
        <v>1</v>
      </c>
      <c r="BA56" s="25">
        <v>1</v>
      </c>
      <c r="BB56" s="25">
        <v>1</v>
      </c>
      <c r="BC56" s="25">
        <v>1</v>
      </c>
      <c r="BD56" s="25">
        <v>1</v>
      </c>
    </row>
    <row r="57" spans="27:56" x14ac:dyDescent="0.25">
      <c r="AA57" s="68" t="str">
        <f t="shared" si="1"/>
        <v>Fotos\\.jpg</v>
      </c>
      <c r="AB57" s="53">
        <f t="shared" si="2"/>
        <v>1.7543859649122806E-2</v>
      </c>
      <c r="AC57" s="25">
        <f t="shared" si="3"/>
        <v>57</v>
      </c>
      <c r="AD57" s="51">
        <f t="shared" si="4"/>
        <v>1</v>
      </c>
      <c r="AE57" s="25">
        <v>1</v>
      </c>
      <c r="AF57" s="25">
        <v>1</v>
      </c>
      <c r="AG57" s="25">
        <v>1</v>
      </c>
      <c r="AH57" s="25">
        <v>1</v>
      </c>
      <c r="AI57" s="25">
        <f>IF(OR(Apresentação!$E$3='Base de Dados e filtragem'!AI$2,Apresentação!$E$3='Base de Dados e filtragem'!E57),1,0)</f>
        <v>1</v>
      </c>
      <c r="AJ57" s="25">
        <f>IF(OR(Apresentação!$E$4='Base de Dados e filtragem'!AJ$2,Apresentação!$E$4='Base de Dados e filtragem'!F57),1,0)</f>
        <v>1</v>
      </c>
      <c r="AK57" s="25">
        <f>IF(OR(Apresentação!$E$5='Base de Dados e filtragem'!AK$2,Apresentação!$E$5='Base de Dados e filtragem'!G57),1,0)</f>
        <v>1</v>
      </c>
      <c r="AL57" s="25">
        <f>IF(OR(Apresentação!$E$6='Base de Dados e filtragem'!AL$2,Apresentação!$E$6='Base de Dados e filtragem'!H57),1,0)</f>
        <v>1</v>
      </c>
      <c r="AM57" s="25">
        <f>IF(OR(Apresentação!$I$2='Base de Dados e filtragem'!AM$2,Apresentação!$I$2='Base de Dados e filtragem'!I57),1,0)</f>
        <v>1</v>
      </c>
      <c r="AN57" s="25">
        <f>IF(OR(Apresentação!$I$3='Base de Dados e filtragem'!AN$2,Apresentação!$I$3='Base de Dados e filtragem'!J57),1,0)</f>
        <v>1</v>
      </c>
      <c r="AO57" s="25">
        <f>IF(OR(Apresentação!$I$4='Base de Dados e filtragem'!AO$2,Apresentação!$I$4='Base de Dados e filtragem'!K57),1,0)</f>
        <v>1</v>
      </c>
      <c r="AP57" s="25">
        <f>IF(OR(Apresentação!$I$5='Base de Dados e filtragem'!AP$2,Apresentação!$I$5='Base de Dados e filtragem'!L57),1,0)</f>
        <v>1</v>
      </c>
      <c r="AQ57" s="25">
        <f>IF(OR(Apresentação!$I$6='Base de Dados e filtragem'!AQ$2,Apresentação!$I$6='Base de Dados e filtragem'!M57),1,0)</f>
        <v>1</v>
      </c>
      <c r="AR57" s="25">
        <v>1</v>
      </c>
      <c r="AS57" s="25">
        <v>1</v>
      </c>
      <c r="AT57" s="25">
        <v>1</v>
      </c>
      <c r="AU57" s="25">
        <v>1</v>
      </c>
      <c r="AV57" s="25">
        <v>1</v>
      </c>
      <c r="AW57" s="25">
        <v>1</v>
      </c>
      <c r="AX57" s="25">
        <v>1</v>
      </c>
      <c r="AY57" s="25">
        <v>1</v>
      </c>
      <c r="AZ57" s="25">
        <v>1</v>
      </c>
      <c r="BA57" s="25">
        <v>1</v>
      </c>
      <c r="BB57" s="25">
        <v>1</v>
      </c>
      <c r="BC57" s="25">
        <v>1</v>
      </c>
      <c r="BD57" s="25">
        <v>1</v>
      </c>
    </row>
    <row r="58" spans="27:56" x14ac:dyDescent="0.25">
      <c r="AA58" s="68" t="str">
        <f t="shared" si="1"/>
        <v>Fotos\\.jpg</v>
      </c>
      <c r="AB58" s="53">
        <f t="shared" si="2"/>
        <v>1.7241379310344827E-2</v>
      </c>
      <c r="AC58" s="25">
        <f t="shared" si="3"/>
        <v>58</v>
      </c>
      <c r="AD58" s="51">
        <f t="shared" si="4"/>
        <v>1</v>
      </c>
      <c r="AE58" s="25">
        <v>1</v>
      </c>
      <c r="AF58" s="25">
        <v>1</v>
      </c>
      <c r="AG58" s="25">
        <v>1</v>
      </c>
      <c r="AH58" s="25">
        <v>1</v>
      </c>
      <c r="AI58" s="25">
        <f>IF(OR(Apresentação!$E$3='Base de Dados e filtragem'!AI$2,Apresentação!$E$3='Base de Dados e filtragem'!E58),1,0)</f>
        <v>1</v>
      </c>
      <c r="AJ58" s="25">
        <f>IF(OR(Apresentação!$E$4='Base de Dados e filtragem'!AJ$2,Apresentação!$E$4='Base de Dados e filtragem'!F58),1,0)</f>
        <v>1</v>
      </c>
      <c r="AK58" s="25">
        <f>IF(OR(Apresentação!$E$5='Base de Dados e filtragem'!AK$2,Apresentação!$E$5='Base de Dados e filtragem'!G58),1,0)</f>
        <v>1</v>
      </c>
      <c r="AL58" s="25">
        <f>IF(OR(Apresentação!$E$6='Base de Dados e filtragem'!AL$2,Apresentação!$E$6='Base de Dados e filtragem'!H58),1,0)</f>
        <v>1</v>
      </c>
      <c r="AM58" s="25">
        <f>IF(OR(Apresentação!$I$2='Base de Dados e filtragem'!AM$2,Apresentação!$I$2='Base de Dados e filtragem'!I58),1,0)</f>
        <v>1</v>
      </c>
      <c r="AN58" s="25">
        <f>IF(OR(Apresentação!$I$3='Base de Dados e filtragem'!AN$2,Apresentação!$I$3='Base de Dados e filtragem'!J58),1,0)</f>
        <v>1</v>
      </c>
      <c r="AO58" s="25">
        <f>IF(OR(Apresentação!$I$4='Base de Dados e filtragem'!AO$2,Apresentação!$I$4='Base de Dados e filtragem'!K58),1,0)</f>
        <v>1</v>
      </c>
      <c r="AP58" s="25">
        <f>IF(OR(Apresentação!$I$5='Base de Dados e filtragem'!AP$2,Apresentação!$I$5='Base de Dados e filtragem'!L58),1,0)</f>
        <v>1</v>
      </c>
      <c r="AQ58" s="25">
        <f>IF(OR(Apresentação!$I$6='Base de Dados e filtragem'!AQ$2,Apresentação!$I$6='Base de Dados e filtragem'!M58),1,0)</f>
        <v>1</v>
      </c>
      <c r="AR58" s="25">
        <v>1</v>
      </c>
      <c r="AS58" s="25">
        <v>1</v>
      </c>
      <c r="AT58" s="25">
        <v>1</v>
      </c>
      <c r="AU58" s="25">
        <v>1</v>
      </c>
      <c r="AV58" s="25">
        <v>1</v>
      </c>
      <c r="AW58" s="25">
        <v>1</v>
      </c>
      <c r="AX58" s="25">
        <v>1</v>
      </c>
      <c r="AY58" s="25">
        <v>1</v>
      </c>
      <c r="AZ58" s="25">
        <v>1</v>
      </c>
      <c r="BA58" s="25">
        <v>1</v>
      </c>
      <c r="BB58" s="25">
        <v>1</v>
      </c>
      <c r="BC58" s="25">
        <v>1</v>
      </c>
      <c r="BD58" s="25">
        <v>1</v>
      </c>
    </row>
    <row r="59" spans="27:56" x14ac:dyDescent="0.25">
      <c r="AA59" s="68" t="str">
        <f t="shared" si="1"/>
        <v>Fotos\\.jpg</v>
      </c>
      <c r="AB59" s="53">
        <f t="shared" si="2"/>
        <v>1.6949152542372881E-2</v>
      </c>
      <c r="AC59" s="25">
        <f t="shared" si="3"/>
        <v>59</v>
      </c>
      <c r="AD59" s="51">
        <f t="shared" si="4"/>
        <v>1</v>
      </c>
      <c r="AE59" s="25">
        <v>1</v>
      </c>
      <c r="AF59" s="25">
        <v>1</v>
      </c>
      <c r="AG59" s="25">
        <v>1</v>
      </c>
      <c r="AH59" s="25">
        <v>1</v>
      </c>
      <c r="AI59" s="25">
        <f>IF(OR(Apresentação!$E$3='Base de Dados e filtragem'!AI$2,Apresentação!$E$3='Base de Dados e filtragem'!E59),1,0)</f>
        <v>1</v>
      </c>
      <c r="AJ59" s="25">
        <f>IF(OR(Apresentação!$E$4='Base de Dados e filtragem'!AJ$2,Apresentação!$E$4='Base de Dados e filtragem'!F59),1,0)</f>
        <v>1</v>
      </c>
      <c r="AK59" s="25">
        <f>IF(OR(Apresentação!$E$5='Base de Dados e filtragem'!AK$2,Apresentação!$E$5='Base de Dados e filtragem'!G59),1,0)</f>
        <v>1</v>
      </c>
      <c r="AL59" s="25">
        <f>IF(OR(Apresentação!$E$6='Base de Dados e filtragem'!AL$2,Apresentação!$E$6='Base de Dados e filtragem'!H59),1,0)</f>
        <v>1</v>
      </c>
      <c r="AM59" s="25">
        <f>IF(OR(Apresentação!$I$2='Base de Dados e filtragem'!AM$2,Apresentação!$I$2='Base de Dados e filtragem'!I59),1,0)</f>
        <v>1</v>
      </c>
      <c r="AN59" s="25">
        <f>IF(OR(Apresentação!$I$3='Base de Dados e filtragem'!AN$2,Apresentação!$I$3='Base de Dados e filtragem'!J59),1,0)</f>
        <v>1</v>
      </c>
      <c r="AO59" s="25">
        <f>IF(OR(Apresentação!$I$4='Base de Dados e filtragem'!AO$2,Apresentação!$I$4='Base de Dados e filtragem'!K59),1,0)</f>
        <v>1</v>
      </c>
      <c r="AP59" s="25">
        <f>IF(OR(Apresentação!$I$5='Base de Dados e filtragem'!AP$2,Apresentação!$I$5='Base de Dados e filtragem'!L59),1,0)</f>
        <v>1</v>
      </c>
      <c r="AQ59" s="25">
        <f>IF(OR(Apresentação!$I$6='Base de Dados e filtragem'!AQ$2,Apresentação!$I$6='Base de Dados e filtragem'!M59),1,0)</f>
        <v>1</v>
      </c>
      <c r="AR59" s="25">
        <v>1</v>
      </c>
      <c r="AS59" s="25">
        <v>1</v>
      </c>
      <c r="AT59" s="25">
        <v>1</v>
      </c>
      <c r="AU59" s="25">
        <v>1</v>
      </c>
      <c r="AV59" s="25">
        <v>1</v>
      </c>
      <c r="AW59" s="25">
        <v>1</v>
      </c>
      <c r="AX59" s="25">
        <v>1</v>
      </c>
      <c r="AY59" s="25">
        <v>1</v>
      </c>
      <c r="AZ59" s="25">
        <v>1</v>
      </c>
      <c r="BA59" s="25">
        <v>1</v>
      </c>
      <c r="BB59" s="25">
        <v>1</v>
      </c>
      <c r="BC59" s="25">
        <v>1</v>
      </c>
      <c r="BD59" s="25">
        <v>1</v>
      </c>
    </row>
    <row r="60" spans="27:56" x14ac:dyDescent="0.25">
      <c r="AA60" s="68" t="str">
        <f t="shared" si="1"/>
        <v>Fotos\\.jpg</v>
      </c>
      <c r="AB60" s="53">
        <f t="shared" si="2"/>
        <v>1.6666666666666666E-2</v>
      </c>
      <c r="AC60" s="25">
        <f t="shared" si="3"/>
        <v>60</v>
      </c>
      <c r="AD60" s="51">
        <f t="shared" si="4"/>
        <v>1</v>
      </c>
      <c r="AE60" s="25">
        <v>1</v>
      </c>
      <c r="AF60" s="25">
        <v>1</v>
      </c>
      <c r="AG60" s="25">
        <v>1</v>
      </c>
      <c r="AH60" s="25">
        <v>1</v>
      </c>
      <c r="AI60" s="25">
        <f>IF(OR(Apresentação!$E$3='Base de Dados e filtragem'!AI$2,Apresentação!$E$3='Base de Dados e filtragem'!E60),1,0)</f>
        <v>1</v>
      </c>
      <c r="AJ60" s="25">
        <f>IF(OR(Apresentação!$E$4='Base de Dados e filtragem'!AJ$2,Apresentação!$E$4='Base de Dados e filtragem'!F60),1,0)</f>
        <v>1</v>
      </c>
      <c r="AK60" s="25">
        <f>IF(OR(Apresentação!$E$5='Base de Dados e filtragem'!AK$2,Apresentação!$E$5='Base de Dados e filtragem'!G60),1,0)</f>
        <v>1</v>
      </c>
      <c r="AL60" s="25">
        <f>IF(OR(Apresentação!$E$6='Base de Dados e filtragem'!AL$2,Apresentação!$E$6='Base de Dados e filtragem'!H60),1,0)</f>
        <v>1</v>
      </c>
      <c r="AM60" s="25">
        <f>IF(OR(Apresentação!$I$2='Base de Dados e filtragem'!AM$2,Apresentação!$I$2='Base de Dados e filtragem'!I60),1,0)</f>
        <v>1</v>
      </c>
      <c r="AN60" s="25">
        <f>IF(OR(Apresentação!$I$3='Base de Dados e filtragem'!AN$2,Apresentação!$I$3='Base de Dados e filtragem'!J60),1,0)</f>
        <v>1</v>
      </c>
      <c r="AO60" s="25">
        <f>IF(OR(Apresentação!$I$4='Base de Dados e filtragem'!AO$2,Apresentação!$I$4='Base de Dados e filtragem'!K60),1,0)</f>
        <v>1</v>
      </c>
      <c r="AP60" s="25">
        <f>IF(OR(Apresentação!$I$5='Base de Dados e filtragem'!AP$2,Apresentação!$I$5='Base de Dados e filtragem'!L60),1,0)</f>
        <v>1</v>
      </c>
      <c r="AQ60" s="25">
        <f>IF(OR(Apresentação!$I$6='Base de Dados e filtragem'!AQ$2,Apresentação!$I$6='Base de Dados e filtragem'!M60),1,0)</f>
        <v>1</v>
      </c>
      <c r="AR60" s="25">
        <v>1</v>
      </c>
      <c r="AS60" s="25">
        <v>1</v>
      </c>
      <c r="AT60" s="25">
        <v>1</v>
      </c>
      <c r="AU60" s="25">
        <v>1</v>
      </c>
      <c r="AV60" s="25">
        <v>1</v>
      </c>
      <c r="AW60" s="25">
        <v>1</v>
      </c>
      <c r="AX60" s="25">
        <v>1</v>
      </c>
      <c r="AY60" s="25">
        <v>1</v>
      </c>
      <c r="AZ60" s="25">
        <v>1</v>
      </c>
      <c r="BA60" s="25">
        <v>1</v>
      </c>
      <c r="BB60" s="25">
        <v>1</v>
      </c>
      <c r="BC60" s="25">
        <v>1</v>
      </c>
      <c r="BD60" s="25">
        <v>1</v>
      </c>
    </row>
    <row r="61" spans="27:56" x14ac:dyDescent="0.25">
      <c r="AA61" s="68" t="str">
        <f t="shared" si="1"/>
        <v>Fotos\\.jpg</v>
      </c>
      <c r="AB61" s="53">
        <f t="shared" si="2"/>
        <v>1.6393442622950821E-2</v>
      </c>
      <c r="AC61" s="25">
        <f t="shared" si="3"/>
        <v>61</v>
      </c>
      <c r="AD61" s="51">
        <f t="shared" si="4"/>
        <v>1</v>
      </c>
      <c r="AE61" s="25">
        <v>1</v>
      </c>
      <c r="AF61" s="25">
        <v>1</v>
      </c>
      <c r="AG61" s="25">
        <v>1</v>
      </c>
      <c r="AH61" s="25">
        <v>1</v>
      </c>
      <c r="AI61" s="25">
        <f>IF(OR(Apresentação!$E$3='Base de Dados e filtragem'!AI$2,Apresentação!$E$3='Base de Dados e filtragem'!E61),1,0)</f>
        <v>1</v>
      </c>
      <c r="AJ61" s="25">
        <f>IF(OR(Apresentação!$E$4='Base de Dados e filtragem'!AJ$2,Apresentação!$E$4='Base de Dados e filtragem'!F61),1,0)</f>
        <v>1</v>
      </c>
      <c r="AK61" s="25">
        <f>IF(OR(Apresentação!$E$5='Base de Dados e filtragem'!AK$2,Apresentação!$E$5='Base de Dados e filtragem'!G61),1,0)</f>
        <v>1</v>
      </c>
      <c r="AL61" s="25">
        <f>IF(OR(Apresentação!$E$6='Base de Dados e filtragem'!AL$2,Apresentação!$E$6='Base de Dados e filtragem'!H61),1,0)</f>
        <v>1</v>
      </c>
      <c r="AM61" s="25">
        <f>IF(OR(Apresentação!$I$2='Base de Dados e filtragem'!AM$2,Apresentação!$I$2='Base de Dados e filtragem'!I61),1,0)</f>
        <v>1</v>
      </c>
      <c r="AN61" s="25">
        <f>IF(OR(Apresentação!$I$3='Base de Dados e filtragem'!AN$2,Apresentação!$I$3='Base de Dados e filtragem'!J61),1,0)</f>
        <v>1</v>
      </c>
      <c r="AO61" s="25">
        <f>IF(OR(Apresentação!$I$4='Base de Dados e filtragem'!AO$2,Apresentação!$I$4='Base de Dados e filtragem'!K61),1,0)</f>
        <v>1</v>
      </c>
      <c r="AP61" s="25">
        <f>IF(OR(Apresentação!$I$5='Base de Dados e filtragem'!AP$2,Apresentação!$I$5='Base de Dados e filtragem'!L61),1,0)</f>
        <v>1</v>
      </c>
      <c r="AQ61" s="25">
        <f>IF(OR(Apresentação!$I$6='Base de Dados e filtragem'!AQ$2,Apresentação!$I$6='Base de Dados e filtragem'!M61),1,0)</f>
        <v>1</v>
      </c>
      <c r="AR61" s="25">
        <v>1</v>
      </c>
      <c r="AS61" s="25">
        <v>1</v>
      </c>
      <c r="AT61" s="25">
        <v>1</v>
      </c>
      <c r="AU61" s="25">
        <v>1</v>
      </c>
      <c r="AV61" s="25">
        <v>1</v>
      </c>
      <c r="AW61" s="25">
        <v>1</v>
      </c>
      <c r="AX61" s="25">
        <v>1</v>
      </c>
      <c r="AY61" s="25">
        <v>1</v>
      </c>
      <c r="AZ61" s="25">
        <v>1</v>
      </c>
      <c r="BA61" s="25">
        <v>1</v>
      </c>
      <c r="BB61" s="25">
        <v>1</v>
      </c>
      <c r="BC61" s="25">
        <v>1</v>
      </c>
      <c r="BD61" s="25">
        <v>1</v>
      </c>
    </row>
    <row r="62" spans="27:56" x14ac:dyDescent="0.25">
      <c r="AA62" s="68" t="str">
        <f t="shared" si="1"/>
        <v>Fotos\\.jpg</v>
      </c>
      <c r="AB62" s="53">
        <f t="shared" si="2"/>
        <v>1.6129032258064516E-2</v>
      </c>
      <c r="AC62" s="25">
        <f t="shared" si="3"/>
        <v>62</v>
      </c>
      <c r="AD62" s="51">
        <f t="shared" si="4"/>
        <v>1</v>
      </c>
      <c r="AE62" s="25">
        <v>1</v>
      </c>
      <c r="AF62" s="25">
        <v>1</v>
      </c>
      <c r="AG62" s="25">
        <v>1</v>
      </c>
      <c r="AH62" s="25">
        <v>1</v>
      </c>
      <c r="AI62" s="25">
        <f>IF(OR(Apresentação!$E$3='Base de Dados e filtragem'!AI$2,Apresentação!$E$3='Base de Dados e filtragem'!E62),1,0)</f>
        <v>1</v>
      </c>
      <c r="AJ62" s="25">
        <f>IF(OR(Apresentação!$E$4='Base de Dados e filtragem'!AJ$2,Apresentação!$E$4='Base de Dados e filtragem'!F62),1,0)</f>
        <v>1</v>
      </c>
      <c r="AK62" s="25">
        <f>IF(OR(Apresentação!$E$5='Base de Dados e filtragem'!AK$2,Apresentação!$E$5='Base de Dados e filtragem'!G62),1,0)</f>
        <v>1</v>
      </c>
      <c r="AL62" s="25">
        <f>IF(OR(Apresentação!$E$6='Base de Dados e filtragem'!AL$2,Apresentação!$E$6='Base de Dados e filtragem'!H62),1,0)</f>
        <v>1</v>
      </c>
      <c r="AM62" s="25">
        <f>IF(OR(Apresentação!$I$2='Base de Dados e filtragem'!AM$2,Apresentação!$I$2='Base de Dados e filtragem'!I62),1,0)</f>
        <v>1</v>
      </c>
      <c r="AN62" s="25">
        <f>IF(OR(Apresentação!$I$3='Base de Dados e filtragem'!AN$2,Apresentação!$I$3='Base de Dados e filtragem'!J62),1,0)</f>
        <v>1</v>
      </c>
      <c r="AO62" s="25">
        <f>IF(OR(Apresentação!$I$4='Base de Dados e filtragem'!AO$2,Apresentação!$I$4='Base de Dados e filtragem'!K62),1,0)</f>
        <v>1</v>
      </c>
      <c r="AP62" s="25">
        <f>IF(OR(Apresentação!$I$5='Base de Dados e filtragem'!AP$2,Apresentação!$I$5='Base de Dados e filtragem'!L62),1,0)</f>
        <v>1</v>
      </c>
      <c r="AQ62" s="25">
        <f>IF(OR(Apresentação!$I$6='Base de Dados e filtragem'!AQ$2,Apresentação!$I$6='Base de Dados e filtragem'!M62),1,0)</f>
        <v>1</v>
      </c>
      <c r="AR62" s="25">
        <v>1</v>
      </c>
      <c r="AS62" s="25">
        <v>1</v>
      </c>
      <c r="AT62" s="25">
        <v>1</v>
      </c>
      <c r="AU62" s="25">
        <v>1</v>
      </c>
      <c r="AV62" s="25">
        <v>1</v>
      </c>
      <c r="AW62" s="25">
        <v>1</v>
      </c>
      <c r="AX62" s="25">
        <v>1</v>
      </c>
      <c r="AY62" s="25">
        <v>1</v>
      </c>
      <c r="AZ62" s="25">
        <v>1</v>
      </c>
      <c r="BA62" s="25">
        <v>1</v>
      </c>
      <c r="BB62" s="25">
        <v>1</v>
      </c>
      <c r="BC62" s="25">
        <v>1</v>
      </c>
      <c r="BD62" s="25">
        <v>1</v>
      </c>
    </row>
    <row r="63" spans="27:56" x14ac:dyDescent="0.25">
      <c r="AA63" s="68" t="str">
        <f t="shared" si="1"/>
        <v>Fotos\\.jpg</v>
      </c>
      <c r="AB63" s="53">
        <f t="shared" si="2"/>
        <v>1.5873015873015872E-2</v>
      </c>
      <c r="AC63" s="25">
        <f t="shared" si="3"/>
        <v>63</v>
      </c>
      <c r="AD63" s="51">
        <f t="shared" si="4"/>
        <v>1</v>
      </c>
      <c r="AE63" s="25">
        <v>1</v>
      </c>
      <c r="AF63" s="25">
        <v>1</v>
      </c>
      <c r="AG63" s="25">
        <v>1</v>
      </c>
      <c r="AH63" s="25">
        <v>1</v>
      </c>
      <c r="AI63" s="25">
        <f>IF(OR(Apresentação!$E$3='Base de Dados e filtragem'!AI$2,Apresentação!$E$3='Base de Dados e filtragem'!E63),1,0)</f>
        <v>1</v>
      </c>
      <c r="AJ63" s="25">
        <f>IF(OR(Apresentação!$E$4='Base de Dados e filtragem'!AJ$2,Apresentação!$E$4='Base de Dados e filtragem'!F63),1,0)</f>
        <v>1</v>
      </c>
      <c r="AK63" s="25">
        <f>IF(OR(Apresentação!$E$5='Base de Dados e filtragem'!AK$2,Apresentação!$E$5='Base de Dados e filtragem'!G63),1,0)</f>
        <v>1</v>
      </c>
      <c r="AL63" s="25">
        <f>IF(OR(Apresentação!$E$6='Base de Dados e filtragem'!AL$2,Apresentação!$E$6='Base de Dados e filtragem'!H63),1,0)</f>
        <v>1</v>
      </c>
      <c r="AM63" s="25">
        <f>IF(OR(Apresentação!$I$2='Base de Dados e filtragem'!AM$2,Apresentação!$I$2='Base de Dados e filtragem'!I63),1,0)</f>
        <v>1</v>
      </c>
      <c r="AN63" s="25">
        <f>IF(OR(Apresentação!$I$3='Base de Dados e filtragem'!AN$2,Apresentação!$I$3='Base de Dados e filtragem'!J63),1,0)</f>
        <v>1</v>
      </c>
      <c r="AO63" s="25">
        <f>IF(OR(Apresentação!$I$4='Base de Dados e filtragem'!AO$2,Apresentação!$I$4='Base de Dados e filtragem'!K63),1,0)</f>
        <v>1</v>
      </c>
      <c r="AP63" s="25">
        <f>IF(OR(Apresentação!$I$5='Base de Dados e filtragem'!AP$2,Apresentação!$I$5='Base de Dados e filtragem'!L63),1,0)</f>
        <v>1</v>
      </c>
      <c r="AQ63" s="25">
        <f>IF(OR(Apresentação!$I$6='Base de Dados e filtragem'!AQ$2,Apresentação!$I$6='Base de Dados e filtragem'!M63),1,0)</f>
        <v>1</v>
      </c>
      <c r="AR63" s="25">
        <v>1</v>
      </c>
      <c r="AS63" s="25">
        <v>1</v>
      </c>
      <c r="AT63" s="25">
        <v>1</v>
      </c>
      <c r="AU63" s="25">
        <v>1</v>
      </c>
      <c r="AV63" s="25">
        <v>1</v>
      </c>
      <c r="AW63" s="25">
        <v>1</v>
      </c>
      <c r="AX63" s="25">
        <v>1</v>
      </c>
      <c r="AY63" s="25">
        <v>1</v>
      </c>
      <c r="AZ63" s="25">
        <v>1</v>
      </c>
      <c r="BA63" s="25">
        <v>1</v>
      </c>
      <c r="BB63" s="25">
        <v>1</v>
      </c>
      <c r="BC63" s="25">
        <v>1</v>
      </c>
      <c r="BD63" s="25">
        <v>1</v>
      </c>
    </row>
    <row r="64" spans="27:56" x14ac:dyDescent="0.25">
      <c r="AA64" s="68" t="str">
        <f t="shared" si="1"/>
        <v>Fotos\\.jpg</v>
      </c>
      <c r="AB64" s="53">
        <f t="shared" si="2"/>
        <v>1.5625E-2</v>
      </c>
      <c r="AC64" s="25">
        <f t="shared" si="3"/>
        <v>64</v>
      </c>
      <c r="AD64" s="51">
        <f t="shared" si="4"/>
        <v>1</v>
      </c>
      <c r="AE64" s="25">
        <v>1</v>
      </c>
      <c r="AF64" s="25">
        <v>1</v>
      </c>
      <c r="AG64" s="25">
        <v>1</v>
      </c>
      <c r="AH64" s="25">
        <v>1</v>
      </c>
      <c r="AI64" s="25">
        <f>IF(OR(Apresentação!$E$3='Base de Dados e filtragem'!AI$2,Apresentação!$E$3='Base de Dados e filtragem'!E64),1,0)</f>
        <v>1</v>
      </c>
      <c r="AJ64" s="25">
        <f>IF(OR(Apresentação!$E$4='Base de Dados e filtragem'!AJ$2,Apresentação!$E$4='Base de Dados e filtragem'!F64),1,0)</f>
        <v>1</v>
      </c>
      <c r="AK64" s="25">
        <f>IF(OR(Apresentação!$E$5='Base de Dados e filtragem'!AK$2,Apresentação!$E$5='Base de Dados e filtragem'!G64),1,0)</f>
        <v>1</v>
      </c>
      <c r="AL64" s="25">
        <f>IF(OR(Apresentação!$E$6='Base de Dados e filtragem'!AL$2,Apresentação!$E$6='Base de Dados e filtragem'!H64),1,0)</f>
        <v>1</v>
      </c>
      <c r="AM64" s="25">
        <f>IF(OR(Apresentação!$I$2='Base de Dados e filtragem'!AM$2,Apresentação!$I$2='Base de Dados e filtragem'!I64),1,0)</f>
        <v>1</v>
      </c>
      <c r="AN64" s="25">
        <f>IF(OR(Apresentação!$I$3='Base de Dados e filtragem'!AN$2,Apresentação!$I$3='Base de Dados e filtragem'!J64),1,0)</f>
        <v>1</v>
      </c>
      <c r="AO64" s="25">
        <f>IF(OR(Apresentação!$I$4='Base de Dados e filtragem'!AO$2,Apresentação!$I$4='Base de Dados e filtragem'!K64),1,0)</f>
        <v>1</v>
      </c>
      <c r="AP64" s="25">
        <f>IF(OR(Apresentação!$I$5='Base de Dados e filtragem'!AP$2,Apresentação!$I$5='Base de Dados e filtragem'!L64),1,0)</f>
        <v>1</v>
      </c>
      <c r="AQ64" s="25">
        <f>IF(OR(Apresentação!$I$6='Base de Dados e filtragem'!AQ$2,Apresentação!$I$6='Base de Dados e filtragem'!M64),1,0)</f>
        <v>1</v>
      </c>
      <c r="AR64" s="25">
        <v>1</v>
      </c>
      <c r="AS64" s="25">
        <v>1</v>
      </c>
      <c r="AT64" s="25">
        <v>1</v>
      </c>
      <c r="AU64" s="25">
        <v>1</v>
      </c>
      <c r="AV64" s="25">
        <v>1</v>
      </c>
      <c r="AW64" s="25">
        <v>1</v>
      </c>
      <c r="AX64" s="25">
        <v>1</v>
      </c>
      <c r="AY64" s="25">
        <v>1</v>
      </c>
      <c r="AZ64" s="25">
        <v>1</v>
      </c>
      <c r="BA64" s="25">
        <v>1</v>
      </c>
      <c r="BB64" s="25">
        <v>1</v>
      </c>
      <c r="BC64" s="25">
        <v>1</v>
      </c>
      <c r="BD64" s="25">
        <v>1</v>
      </c>
    </row>
    <row r="65" spans="27:56" x14ac:dyDescent="0.25">
      <c r="AA65" s="68" t="str">
        <f t="shared" si="1"/>
        <v>Fotos\\.jpg</v>
      </c>
      <c r="AB65" s="53">
        <f t="shared" si="2"/>
        <v>1.5384615384615385E-2</v>
      </c>
      <c r="AC65" s="25">
        <f t="shared" si="3"/>
        <v>65</v>
      </c>
      <c r="AD65" s="51">
        <f t="shared" si="4"/>
        <v>1</v>
      </c>
      <c r="AE65" s="25">
        <v>1</v>
      </c>
      <c r="AF65" s="25">
        <v>1</v>
      </c>
      <c r="AG65" s="25">
        <v>1</v>
      </c>
      <c r="AH65" s="25">
        <v>1</v>
      </c>
      <c r="AI65" s="25">
        <f>IF(OR(Apresentação!$E$3='Base de Dados e filtragem'!AI$2,Apresentação!$E$3='Base de Dados e filtragem'!E65),1,0)</f>
        <v>1</v>
      </c>
      <c r="AJ65" s="25">
        <f>IF(OR(Apresentação!$E$4='Base de Dados e filtragem'!AJ$2,Apresentação!$E$4='Base de Dados e filtragem'!F65),1,0)</f>
        <v>1</v>
      </c>
      <c r="AK65" s="25">
        <f>IF(OR(Apresentação!$E$5='Base de Dados e filtragem'!AK$2,Apresentação!$E$5='Base de Dados e filtragem'!G65),1,0)</f>
        <v>1</v>
      </c>
      <c r="AL65" s="25">
        <f>IF(OR(Apresentação!$E$6='Base de Dados e filtragem'!AL$2,Apresentação!$E$6='Base de Dados e filtragem'!H65),1,0)</f>
        <v>1</v>
      </c>
      <c r="AM65" s="25">
        <f>IF(OR(Apresentação!$I$2='Base de Dados e filtragem'!AM$2,Apresentação!$I$2='Base de Dados e filtragem'!I65),1,0)</f>
        <v>1</v>
      </c>
      <c r="AN65" s="25">
        <f>IF(OR(Apresentação!$I$3='Base de Dados e filtragem'!AN$2,Apresentação!$I$3='Base de Dados e filtragem'!J65),1,0)</f>
        <v>1</v>
      </c>
      <c r="AO65" s="25">
        <f>IF(OR(Apresentação!$I$4='Base de Dados e filtragem'!AO$2,Apresentação!$I$4='Base de Dados e filtragem'!K65),1,0)</f>
        <v>1</v>
      </c>
      <c r="AP65" s="25">
        <f>IF(OR(Apresentação!$I$5='Base de Dados e filtragem'!AP$2,Apresentação!$I$5='Base de Dados e filtragem'!L65),1,0)</f>
        <v>1</v>
      </c>
      <c r="AQ65" s="25">
        <f>IF(OR(Apresentação!$I$6='Base de Dados e filtragem'!AQ$2,Apresentação!$I$6='Base de Dados e filtragem'!M65),1,0)</f>
        <v>1</v>
      </c>
      <c r="AR65" s="25">
        <v>1</v>
      </c>
      <c r="AS65" s="25">
        <v>1</v>
      </c>
      <c r="AT65" s="25">
        <v>1</v>
      </c>
      <c r="AU65" s="25">
        <v>1</v>
      </c>
      <c r="AV65" s="25">
        <v>1</v>
      </c>
      <c r="AW65" s="25">
        <v>1</v>
      </c>
      <c r="AX65" s="25">
        <v>1</v>
      </c>
      <c r="AY65" s="25">
        <v>1</v>
      </c>
      <c r="AZ65" s="25">
        <v>1</v>
      </c>
      <c r="BA65" s="25">
        <v>1</v>
      </c>
      <c r="BB65" s="25">
        <v>1</v>
      </c>
      <c r="BC65" s="25">
        <v>1</v>
      </c>
      <c r="BD65" s="25">
        <v>1</v>
      </c>
    </row>
    <row r="66" spans="27:56" x14ac:dyDescent="0.25">
      <c r="AA66" s="68" t="str">
        <f t="shared" si="1"/>
        <v>Fotos\\.jpg</v>
      </c>
      <c r="AB66" s="53">
        <f t="shared" si="2"/>
        <v>1.5151515151515152E-2</v>
      </c>
      <c r="AC66" s="25">
        <f t="shared" si="3"/>
        <v>66</v>
      </c>
      <c r="AD66" s="51">
        <f t="shared" si="4"/>
        <v>1</v>
      </c>
      <c r="AE66" s="25">
        <v>1</v>
      </c>
      <c r="AF66" s="25">
        <v>1</v>
      </c>
      <c r="AG66" s="25">
        <v>1</v>
      </c>
      <c r="AH66" s="25">
        <v>1</v>
      </c>
      <c r="AI66" s="25">
        <f>IF(OR(Apresentação!$E$3='Base de Dados e filtragem'!AI$2,Apresentação!$E$3='Base de Dados e filtragem'!E66),1,0)</f>
        <v>1</v>
      </c>
      <c r="AJ66" s="25">
        <f>IF(OR(Apresentação!$E$4='Base de Dados e filtragem'!AJ$2,Apresentação!$E$4='Base de Dados e filtragem'!F66),1,0)</f>
        <v>1</v>
      </c>
      <c r="AK66" s="25">
        <f>IF(OR(Apresentação!$E$5='Base de Dados e filtragem'!AK$2,Apresentação!$E$5='Base de Dados e filtragem'!G66),1,0)</f>
        <v>1</v>
      </c>
      <c r="AL66" s="25">
        <f>IF(OR(Apresentação!$E$6='Base de Dados e filtragem'!AL$2,Apresentação!$E$6='Base de Dados e filtragem'!H66),1,0)</f>
        <v>1</v>
      </c>
      <c r="AM66" s="25">
        <f>IF(OR(Apresentação!$I$2='Base de Dados e filtragem'!AM$2,Apresentação!$I$2='Base de Dados e filtragem'!I66),1,0)</f>
        <v>1</v>
      </c>
      <c r="AN66" s="25">
        <f>IF(OR(Apresentação!$I$3='Base de Dados e filtragem'!AN$2,Apresentação!$I$3='Base de Dados e filtragem'!J66),1,0)</f>
        <v>1</v>
      </c>
      <c r="AO66" s="25">
        <f>IF(OR(Apresentação!$I$4='Base de Dados e filtragem'!AO$2,Apresentação!$I$4='Base de Dados e filtragem'!K66),1,0)</f>
        <v>1</v>
      </c>
      <c r="AP66" s="25">
        <f>IF(OR(Apresentação!$I$5='Base de Dados e filtragem'!AP$2,Apresentação!$I$5='Base de Dados e filtragem'!L66),1,0)</f>
        <v>1</v>
      </c>
      <c r="AQ66" s="25">
        <f>IF(OR(Apresentação!$I$6='Base de Dados e filtragem'!AQ$2,Apresentação!$I$6='Base de Dados e filtragem'!M66),1,0)</f>
        <v>1</v>
      </c>
      <c r="AR66" s="25">
        <v>1</v>
      </c>
      <c r="AS66" s="25">
        <v>1</v>
      </c>
      <c r="AT66" s="25">
        <v>1</v>
      </c>
      <c r="AU66" s="25">
        <v>1</v>
      </c>
      <c r="AV66" s="25">
        <v>1</v>
      </c>
      <c r="AW66" s="25">
        <v>1</v>
      </c>
      <c r="AX66" s="25">
        <v>1</v>
      </c>
      <c r="AY66" s="25">
        <v>1</v>
      </c>
      <c r="AZ66" s="25">
        <v>1</v>
      </c>
      <c r="BA66" s="25">
        <v>1</v>
      </c>
      <c r="BB66" s="25">
        <v>1</v>
      </c>
      <c r="BC66" s="25">
        <v>1</v>
      </c>
      <c r="BD66" s="25">
        <v>1</v>
      </c>
    </row>
    <row r="67" spans="27:56" x14ac:dyDescent="0.25">
      <c r="AA67" s="68" t="str">
        <f t="shared" si="1"/>
        <v>Fotos\\.jpg</v>
      </c>
      <c r="AB67" s="53">
        <f t="shared" si="2"/>
        <v>1.4925373134328358E-2</v>
      </c>
      <c r="AC67" s="25">
        <f t="shared" si="3"/>
        <v>67</v>
      </c>
      <c r="AD67" s="51">
        <f t="shared" si="4"/>
        <v>1</v>
      </c>
      <c r="AE67" s="25">
        <v>1</v>
      </c>
      <c r="AF67" s="25">
        <v>1</v>
      </c>
      <c r="AG67" s="25">
        <v>1</v>
      </c>
      <c r="AH67" s="25">
        <v>1</v>
      </c>
      <c r="AI67" s="25">
        <f>IF(OR(Apresentação!$E$3='Base de Dados e filtragem'!AI$2,Apresentação!$E$3='Base de Dados e filtragem'!E67),1,0)</f>
        <v>1</v>
      </c>
      <c r="AJ67" s="25">
        <f>IF(OR(Apresentação!$E$4='Base de Dados e filtragem'!AJ$2,Apresentação!$E$4='Base de Dados e filtragem'!F67),1,0)</f>
        <v>1</v>
      </c>
      <c r="AK67" s="25">
        <f>IF(OR(Apresentação!$E$5='Base de Dados e filtragem'!AK$2,Apresentação!$E$5='Base de Dados e filtragem'!G67),1,0)</f>
        <v>1</v>
      </c>
      <c r="AL67" s="25">
        <f>IF(OR(Apresentação!$E$6='Base de Dados e filtragem'!AL$2,Apresentação!$E$6='Base de Dados e filtragem'!H67),1,0)</f>
        <v>1</v>
      </c>
      <c r="AM67" s="25">
        <f>IF(OR(Apresentação!$I$2='Base de Dados e filtragem'!AM$2,Apresentação!$I$2='Base de Dados e filtragem'!I67),1,0)</f>
        <v>1</v>
      </c>
      <c r="AN67" s="25">
        <f>IF(OR(Apresentação!$I$3='Base de Dados e filtragem'!AN$2,Apresentação!$I$3='Base de Dados e filtragem'!J67),1,0)</f>
        <v>1</v>
      </c>
      <c r="AO67" s="25">
        <f>IF(OR(Apresentação!$I$4='Base de Dados e filtragem'!AO$2,Apresentação!$I$4='Base de Dados e filtragem'!K67),1,0)</f>
        <v>1</v>
      </c>
      <c r="AP67" s="25">
        <f>IF(OR(Apresentação!$I$5='Base de Dados e filtragem'!AP$2,Apresentação!$I$5='Base de Dados e filtragem'!L67),1,0)</f>
        <v>1</v>
      </c>
      <c r="AQ67" s="25">
        <f>IF(OR(Apresentação!$I$6='Base de Dados e filtragem'!AQ$2,Apresentação!$I$6='Base de Dados e filtragem'!M67),1,0)</f>
        <v>1</v>
      </c>
      <c r="AR67" s="25">
        <v>1</v>
      </c>
      <c r="AS67" s="25">
        <v>1</v>
      </c>
      <c r="AT67" s="25">
        <v>1</v>
      </c>
      <c r="AU67" s="25">
        <v>1</v>
      </c>
      <c r="AV67" s="25">
        <v>1</v>
      </c>
      <c r="AW67" s="25">
        <v>1</v>
      </c>
      <c r="AX67" s="25">
        <v>1</v>
      </c>
      <c r="AY67" s="25">
        <v>1</v>
      </c>
      <c r="AZ67" s="25">
        <v>1</v>
      </c>
      <c r="BA67" s="25">
        <v>1</v>
      </c>
      <c r="BB67" s="25">
        <v>1</v>
      </c>
      <c r="BC67" s="25">
        <v>1</v>
      </c>
      <c r="BD67" s="25">
        <v>1</v>
      </c>
    </row>
    <row r="68" spans="27:56" x14ac:dyDescent="0.25">
      <c r="AA68" s="68" t="str">
        <f t="shared" ref="AA68:AA131" si="5">"Fotos\"&amp;I68&amp;"\"&amp;A68&amp;".jpg"</f>
        <v>Fotos\\.jpg</v>
      </c>
      <c r="AB68" s="53">
        <f t="shared" ref="AB68:AB131" si="6">AD68/AC68</f>
        <v>1.4705882352941176E-2</v>
      </c>
      <c r="AC68" s="25">
        <f t="shared" ref="AC68:AC131" si="7">AC67+1</f>
        <v>68</v>
      </c>
      <c r="AD68" s="51">
        <f t="shared" ref="AD68:AD131" si="8">PRODUCT(AE68:BD68)</f>
        <v>1</v>
      </c>
      <c r="AE68" s="25">
        <v>1</v>
      </c>
      <c r="AF68" s="25">
        <v>1</v>
      </c>
      <c r="AG68" s="25">
        <v>1</v>
      </c>
      <c r="AH68" s="25">
        <v>1</v>
      </c>
      <c r="AI68" s="25">
        <f>IF(OR(Apresentação!$E$3='Base de Dados e filtragem'!AI$2,Apresentação!$E$3='Base de Dados e filtragem'!E68),1,0)</f>
        <v>1</v>
      </c>
      <c r="AJ68" s="25">
        <f>IF(OR(Apresentação!$E$4='Base de Dados e filtragem'!AJ$2,Apresentação!$E$4='Base de Dados e filtragem'!F68),1,0)</f>
        <v>1</v>
      </c>
      <c r="AK68" s="25">
        <f>IF(OR(Apresentação!$E$5='Base de Dados e filtragem'!AK$2,Apresentação!$E$5='Base de Dados e filtragem'!G68),1,0)</f>
        <v>1</v>
      </c>
      <c r="AL68" s="25">
        <f>IF(OR(Apresentação!$E$6='Base de Dados e filtragem'!AL$2,Apresentação!$E$6='Base de Dados e filtragem'!H68),1,0)</f>
        <v>1</v>
      </c>
      <c r="AM68" s="25">
        <f>IF(OR(Apresentação!$I$2='Base de Dados e filtragem'!AM$2,Apresentação!$I$2='Base de Dados e filtragem'!I68),1,0)</f>
        <v>1</v>
      </c>
      <c r="AN68" s="25">
        <f>IF(OR(Apresentação!$I$3='Base de Dados e filtragem'!AN$2,Apresentação!$I$3='Base de Dados e filtragem'!J68),1,0)</f>
        <v>1</v>
      </c>
      <c r="AO68" s="25">
        <f>IF(OR(Apresentação!$I$4='Base de Dados e filtragem'!AO$2,Apresentação!$I$4='Base de Dados e filtragem'!K68),1,0)</f>
        <v>1</v>
      </c>
      <c r="AP68" s="25">
        <f>IF(OR(Apresentação!$I$5='Base de Dados e filtragem'!AP$2,Apresentação!$I$5='Base de Dados e filtragem'!L68),1,0)</f>
        <v>1</v>
      </c>
      <c r="AQ68" s="25">
        <f>IF(OR(Apresentação!$I$6='Base de Dados e filtragem'!AQ$2,Apresentação!$I$6='Base de Dados e filtragem'!M68),1,0)</f>
        <v>1</v>
      </c>
      <c r="AR68" s="25">
        <v>1</v>
      </c>
      <c r="AS68" s="25">
        <v>1</v>
      </c>
      <c r="AT68" s="25">
        <v>1</v>
      </c>
      <c r="AU68" s="25">
        <v>1</v>
      </c>
      <c r="AV68" s="25">
        <v>1</v>
      </c>
      <c r="AW68" s="25">
        <v>1</v>
      </c>
      <c r="AX68" s="25">
        <v>1</v>
      </c>
      <c r="AY68" s="25">
        <v>1</v>
      </c>
      <c r="AZ68" s="25">
        <v>1</v>
      </c>
      <c r="BA68" s="25">
        <v>1</v>
      </c>
      <c r="BB68" s="25">
        <v>1</v>
      </c>
      <c r="BC68" s="25">
        <v>1</v>
      </c>
      <c r="BD68" s="25">
        <v>1</v>
      </c>
    </row>
    <row r="69" spans="27:56" x14ac:dyDescent="0.25">
      <c r="AA69" s="68" t="str">
        <f t="shared" si="5"/>
        <v>Fotos\\.jpg</v>
      </c>
      <c r="AB69" s="53">
        <f t="shared" si="6"/>
        <v>1.4492753623188406E-2</v>
      </c>
      <c r="AC69" s="25">
        <f t="shared" si="7"/>
        <v>69</v>
      </c>
      <c r="AD69" s="51">
        <f t="shared" si="8"/>
        <v>1</v>
      </c>
      <c r="AE69" s="25">
        <v>1</v>
      </c>
      <c r="AF69" s="25">
        <v>1</v>
      </c>
      <c r="AG69" s="25">
        <v>1</v>
      </c>
      <c r="AH69" s="25">
        <v>1</v>
      </c>
      <c r="AI69" s="25">
        <f>IF(OR(Apresentação!$E$3='Base de Dados e filtragem'!AI$2,Apresentação!$E$3='Base de Dados e filtragem'!E69),1,0)</f>
        <v>1</v>
      </c>
      <c r="AJ69" s="25">
        <f>IF(OR(Apresentação!$E$4='Base de Dados e filtragem'!AJ$2,Apresentação!$E$4='Base de Dados e filtragem'!F69),1,0)</f>
        <v>1</v>
      </c>
      <c r="AK69" s="25">
        <f>IF(OR(Apresentação!$E$5='Base de Dados e filtragem'!AK$2,Apresentação!$E$5='Base de Dados e filtragem'!G69),1,0)</f>
        <v>1</v>
      </c>
      <c r="AL69" s="25">
        <f>IF(OR(Apresentação!$E$6='Base de Dados e filtragem'!AL$2,Apresentação!$E$6='Base de Dados e filtragem'!H69),1,0)</f>
        <v>1</v>
      </c>
      <c r="AM69" s="25">
        <f>IF(OR(Apresentação!$I$2='Base de Dados e filtragem'!AM$2,Apresentação!$I$2='Base de Dados e filtragem'!I69),1,0)</f>
        <v>1</v>
      </c>
      <c r="AN69" s="25">
        <f>IF(OR(Apresentação!$I$3='Base de Dados e filtragem'!AN$2,Apresentação!$I$3='Base de Dados e filtragem'!J69),1,0)</f>
        <v>1</v>
      </c>
      <c r="AO69" s="25">
        <f>IF(OR(Apresentação!$I$4='Base de Dados e filtragem'!AO$2,Apresentação!$I$4='Base de Dados e filtragem'!K69),1,0)</f>
        <v>1</v>
      </c>
      <c r="AP69" s="25">
        <f>IF(OR(Apresentação!$I$5='Base de Dados e filtragem'!AP$2,Apresentação!$I$5='Base de Dados e filtragem'!L69),1,0)</f>
        <v>1</v>
      </c>
      <c r="AQ69" s="25">
        <f>IF(OR(Apresentação!$I$6='Base de Dados e filtragem'!AQ$2,Apresentação!$I$6='Base de Dados e filtragem'!M69),1,0)</f>
        <v>1</v>
      </c>
      <c r="AR69" s="25">
        <v>1</v>
      </c>
      <c r="AS69" s="25">
        <v>1</v>
      </c>
      <c r="AT69" s="25">
        <v>1</v>
      </c>
      <c r="AU69" s="25">
        <v>1</v>
      </c>
      <c r="AV69" s="25">
        <v>1</v>
      </c>
      <c r="AW69" s="25">
        <v>1</v>
      </c>
      <c r="AX69" s="25">
        <v>1</v>
      </c>
      <c r="AY69" s="25">
        <v>1</v>
      </c>
      <c r="AZ69" s="25">
        <v>1</v>
      </c>
      <c r="BA69" s="25">
        <v>1</v>
      </c>
      <c r="BB69" s="25">
        <v>1</v>
      </c>
      <c r="BC69" s="25">
        <v>1</v>
      </c>
      <c r="BD69" s="25">
        <v>1</v>
      </c>
    </row>
    <row r="70" spans="27:56" x14ac:dyDescent="0.25">
      <c r="AA70" s="68" t="str">
        <f t="shared" si="5"/>
        <v>Fotos\\.jpg</v>
      </c>
      <c r="AB70" s="53">
        <f t="shared" si="6"/>
        <v>1.4285714285714285E-2</v>
      </c>
      <c r="AC70" s="25">
        <f t="shared" si="7"/>
        <v>70</v>
      </c>
      <c r="AD70" s="51">
        <f t="shared" si="8"/>
        <v>1</v>
      </c>
      <c r="AE70" s="25">
        <v>1</v>
      </c>
      <c r="AF70" s="25">
        <v>1</v>
      </c>
      <c r="AG70" s="25">
        <v>1</v>
      </c>
      <c r="AH70" s="25">
        <v>1</v>
      </c>
      <c r="AI70" s="25">
        <f>IF(OR(Apresentação!$E$3='Base de Dados e filtragem'!AI$2,Apresentação!$E$3='Base de Dados e filtragem'!E70),1,0)</f>
        <v>1</v>
      </c>
      <c r="AJ70" s="25">
        <f>IF(OR(Apresentação!$E$4='Base de Dados e filtragem'!AJ$2,Apresentação!$E$4='Base de Dados e filtragem'!F70),1,0)</f>
        <v>1</v>
      </c>
      <c r="AK70" s="25">
        <f>IF(OR(Apresentação!$E$5='Base de Dados e filtragem'!AK$2,Apresentação!$E$5='Base de Dados e filtragem'!G70),1,0)</f>
        <v>1</v>
      </c>
      <c r="AL70" s="25">
        <f>IF(OR(Apresentação!$E$6='Base de Dados e filtragem'!AL$2,Apresentação!$E$6='Base de Dados e filtragem'!H70),1,0)</f>
        <v>1</v>
      </c>
      <c r="AM70" s="25">
        <f>IF(OR(Apresentação!$I$2='Base de Dados e filtragem'!AM$2,Apresentação!$I$2='Base de Dados e filtragem'!I70),1,0)</f>
        <v>1</v>
      </c>
      <c r="AN70" s="25">
        <f>IF(OR(Apresentação!$I$3='Base de Dados e filtragem'!AN$2,Apresentação!$I$3='Base de Dados e filtragem'!J70),1,0)</f>
        <v>1</v>
      </c>
      <c r="AO70" s="25">
        <f>IF(OR(Apresentação!$I$4='Base de Dados e filtragem'!AO$2,Apresentação!$I$4='Base de Dados e filtragem'!K70),1,0)</f>
        <v>1</v>
      </c>
      <c r="AP70" s="25">
        <f>IF(OR(Apresentação!$I$5='Base de Dados e filtragem'!AP$2,Apresentação!$I$5='Base de Dados e filtragem'!L70),1,0)</f>
        <v>1</v>
      </c>
      <c r="AQ70" s="25">
        <f>IF(OR(Apresentação!$I$6='Base de Dados e filtragem'!AQ$2,Apresentação!$I$6='Base de Dados e filtragem'!M70),1,0)</f>
        <v>1</v>
      </c>
      <c r="AR70" s="25">
        <v>1</v>
      </c>
      <c r="AS70" s="25">
        <v>1</v>
      </c>
      <c r="AT70" s="25">
        <v>1</v>
      </c>
      <c r="AU70" s="25">
        <v>1</v>
      </c>
      <c r="AV70" s="25">
        <v>1</v>
      </c>
      <c r="AW70" s="25">
        <v>1</v>
      </c>
      <c r="AX70" s="25">
        <v>1</v>
      </c>
      <c r="AY70" s="25">
        <v>1</v>
      </c>
      <c r="AZ70" s="25">
        <v>1</v>
      </c>
      <c r="BA70" s="25">
        <v>1</v>
      </c>
      <c r="BB70" s="25">
        <v>1</v>
      </c>
      <c r="BC70" s="25">
        <v>1</v>
      </c>
      <c r="BD70" s="25">
        <v>1</v>
      </c>
    </row>
    <row r="71" spans="27:56" x14ac:dyDescent="0.25">
      <c r="AA71" s="68" t="str">
        <f t="shared" si="5"/>
        <v>Fotos\\.jpg</v>
      </c>
      <c r="AB71" s="53">
        <f t="shared" si="6"/>
        <v>1.4084507042253521E-2</v>
      </c>
      <c r="AC71" s="25">
        <f t="shared" si="7"/>
        <v>71</v>
      </c>
      <c r="AD71" s="51">
        <f t="shared" si="8"/>
        <v>1</v>
      </c>
      <c r="AE71" s="25">
        <v>1</v>
      </c>
      <c r="AF71" s="25">
        <v>1</v>
      </c>
      <c r="AG71" s="25">
        <v>1</v>
      </c>
      <c r="AH71" s="25">
        <v>1</v>
      </c>
      <c r="AI71" s="25">
        <f>IF(OR(Apresentação!$E$3='Base de Dados e filtragem'!AI$2,Apresentação!$E$3='Base de Dados e filtragem'!E71),1,0)</f>
        <v>1</v>
      </c>
      <c r="AJ71" s="25">
        <f>IF(OR(Apresentação!$E$4='Base de Dados e filtragem'!AJ$2,Apresentação!$E$4='Base de Dados e filtragem'!F71),1,0)</f>
        <v>1</v>
      </c>
      <c r="AK71" s="25">
        <f>IF(OR(Apresentação!$E$5='Base de Dados e filtragem'!AK$2,Apresentação!$E$5='Base de Dados e filtragem'!G71),1,0)</f>
        <v>1</v>
      </c>
      <c r="AL71" s="25">
        <f>IF(OR(Apresentação!$E$6='Base de Dados e filtragem'!AL$2,Apresentação!$E$6='Base de Dados e filtragem'!H71),1,0)</f>
        <v>1</v>
      </c>
      <c r="AM71" s="25">
        <f>IF(OR(Apresentação!$I$2='Base de Dados e filtragem'!AM$2,Apresentação!$I$2='Base de Dados e filtragem'!I71),1,0)</f>
        <v>1</v>
      </c>
      <c r="AN71" s="25">
        <f>IF(OR(Apresentação!$I$3='Base de Dados e filtragem'!AN$2,Apresentação!$I$3='Base de Dados e filtragem'!J71),1,0)</f>
        <v>1</v>
      </c>
      <c r="AO71" s="25">
        <f>IF(OR(Apresentação!$I$4='Base de Dados e filtragem'!AO$2,Apresentação!$I$4='Base de Dados e filtragem'!K71),1,0)</f>
        <v>1</v>
      </c>
      <c r="AP71" s="25">
        <f>IF(OR(Apresentação!$I$5='Base de Dados e filtragem'!AP$2,Apresentação!$I$5='Base de Dados e filtragem'!L71),1,0)</f>
        <v>1</v>
      </c>
      <c r="AQ71" s="25">
        <f>IF(OR(Apresentação!$I$6='Base de Dados e filtragem'!AQ$2,Apresentação!$I$6='Base de Dados e filtragem'!M71),1,0)</f>
        <v>1</v>
      </c>
      <c r="AR71" s="25">
        <v>1</v>
      </c>
      <c r="AS71" s="25">
        <v>1</v>
      </c>
      <c r="AT71" s="25">
        <v>1</v>
      </c>
      <c r="AU71" s="25">
        <v>1</v>
      </c>
      <c r="AV71" s="25">
        <v>1</v>
      </c>
      <c r="AW71" s="25">
        <v>1</v>
      </c>
      <c r="AX71" s="25">
        <v>1</v>
      </c>
      <c r="AY71" s="25">
        <v>1</v>
      </c>
      <c r="AZ71" s="25">
        <v>1</v>
      </c>
      <c r="BA71" s="25">
        <v>1</v>
      </c>
      <c r="BB71" s="25">
        <v>1</v>
      </c>
      <c r="BC71" s="25">
        <v>1</v>
      </c>
      <c r="BD71" s="25">
        <v>1</v>
      </c>
    </row>
    <row r="72" spans="27:56" x14ac:dyDescent="0.25">
      <c r="AA72" s="68" t="str">
        <f t="shared" si="5"/>
        <v>Fotos\\.jpg</v>
      </c>
      <c r="AB72" s="53">
        <f t="shared" si="6"/>
        <v>1.3888888888888888E-2</v>
      </c>
      <c r="AC72" s="25">
        <f t="shared" si="7"/>
        <v>72</v>
      </c>
      <c r="AD72" s="51">
        <f t="shared" si="8"/>
        <v>1</v>
      </c>
      <c r="AE72" s="25">
        <v>1</v>
      </c>
      <c r="AF72" s="25">
        <v>1</v>
      </c>
      <c r="AG72" s="25">
        <v>1</v>
      </c>
      <c r="AH72" s="25">
        <v>1</v>
      </c>
      <c r="AI72" s="25">
        <f>IF(OR(Apresentação!$E$3='Base de Dados e filtragem'!AI$2,Apresentação!$E$3='Base de Dados e filtragem'!E72),1,0)</f>
        <v>1</v>
      </c>
      <c r="AJ72" s="25">
        <f>IF(OR(Apresentação!$E$4='Base de Dados e filtragem'!AJ$2,Apresentação!$E$4='Base de Dados e filtragem'!F72),1,0)</f>
        <v>1</v>
      </c>
      <c r="AK72" s="25">
        <f>IF(OR(Apresentação!$E$5='Base de Dados e filtragem'!AK$2,Apresentação!$E$5='Base de Dados e filtragem'!G72),1,0)</f>
        <v>1</v>
      </c>
      <c r="AL72" s="25">
        <f>IF(OR(Apresentação!$E$6='Base de Dados e filtragem'!AL$2,Apresentação!$E$6='Base de Dados e filtragem'!H72),1,0)</f>
        <v>1</v>
      </c>
      <c r="AM72" s="25">
        <f>IF(OR(Apresentação!$I$2='Base de Dados e filtragem'!AM$2,Apresentação!$I$2='Base de Dados e filtragem'!I72),1,0)</f>
        <v>1</v>
      </c>
      <c r="AN72" s="25">
        <f>IF(OR(Apresentação!$I$3='Base de Dados e filtragem'!AN$2,Apresentação!$I$3='Base de Dados e filtragem'!J72),1,0)</f>
        <v>1</v>
      </c>
      <c r="AO72" s="25">
        <f>IF(OR(Apresentação!$I$4='Base de Dados e filtragem'!AO$2,Apresentação!$I$4='Base de Dados e filtragem'!K72),1,0)</f>
        <v>1</v>
      </c>
      <c r="AP72" s="25">
        <f>IF(OR(Apresentação!$I$5='Base de Dados e filtragem'!AP$2,Apresentação!$I$5='Base de Dados e filtragem'!L72),1,0)</f>
        <v>1</v>
      </c>
      <c r="AQ72" s="25">
        <f>IF(OR(Apresentação!$I$6='Base de Dados e filtragem'!AQ$2,Apresentação!$I$6='Base de Dados e filtragem'!M72),1,0)</f>
        <v>1</v>
      </c>
      <c r="AR72" s="25">
        <v>1</v>
      </c>
      <c r="AS72" s="25">
        <v>1</v>
      </c>
      <c r="AT72" s="25">
        <v>1</v>
      </c>
      <c r="AU72" s="25">
        <v>1</v>
      </c>
      <c r="AV72" s="25">
        <v>1</v>
      </c>
      <c r="AW72" s="25">
        <v>1</v>
      </c>
      <c r="AX72" s="25">
        <v>1</v>
      </c>
      <c r="AY72" s="25">
        <v>1</v>
      </c>
      <c r="AZ72" s="25">
        <v>1</v>
      </c>
      <c r="BA72" s="25">
        <v>1</v>
      </c>
      <c r="BB72" s="25">
        <v>1</v>
      </c>
      <c r="BC72" s="25">
        <v>1</v>
      </c>
      <c r="BD72" s="25">
        <v>1</v>
      </c>
    </row>
    <row r="73" spans="27:56" x14ac:dyDescent="0.25">
      <c r="AA73" s="68" t="str">
        <f t="shared" si="5"/>
        <v>Fotos\\.jpg</v>
      </c>
      <c r="AB73" s="53">
        <f t="shared" si="6"/>
        <v>1.3698630136986301E-2</v>
      </c>
      <c r="AC73" s="25">
        <f t="shared" si="7"/>
        <v>73</v>
      </c>
      <c r="AD73" s="51">
        <f t="shared" si="8"/>
        <v>1</v>
      </c>
      <c r="AE73" s="25">
        <v>1</v>
      </c>
      <c r="AF73" s="25">
        <v>1</v>
      </c>
      <c r="AG73" s="25">
        <v>1</v>
      </c>
      <c r="AH73" s="25">
        <v>1</v>
      </c>
      <c r="AI73" s="25">
        <f>IF(OR(Apresentação!$E$3='Base de Dados e filtragem'!AI$2,Apresentação!$E$3='Base de Dados e filtragem'!E73),1,0)</f>
        <v>1</v>
      </c>
      <c r="AJ73" s="25">
        <f>IF(OR(Apresentação!$E$4='Base de Dados e filtragem'!AJ$2,Apresentação!$E$4='Base de Dados e filtragem'!F73),1,0)</f>
        <v>1</v>
      </c>
      <c r="AK73" s="25">
        <f>IF(OR(Apresentação!$E$5='Base de Dados e filtragem'!AK$2,Apresentação!$E$5='Base de Dados e filtragem'!G73),1,0)</f>
        <v>1</v>
      </c>
      <c r="AL73" s="25">
        <f>IF(OR(Apresentação!$E$6='Base de Dados e filtragem'!AL$2,Apresentação!$E$6='Base de Dados e filtragem'!H73),1,0)</f>
        <v>1</v>
      </c>
      <c r="AM73" s="25">
        <f>IF(OR(Apresentação!$I$2='Base de Dados e filtragem'!AM$2,Apresentação!$I$2='Base de Dados e filtragem'!I73),1,0)</f>
        <v>1</v>
      </c>
      <c r="AN73" s="25">
        <f>IF(OR(Apresentação!$I$3='Base de Dados e filtragem'!AN$2,Apresentação!$I$3='Base de Dados e filtragem'!J73),1,0)</f>
        <v>1</v>
      </c>
      <c r="AO73" s="25">
        <f>IF(OR(Apresentação!$I$4='Base de Dados e filtragem'!AO$2,Apresentação!$I$4='Base de Dados e filtragem'!K73),1,0)</f>
        <v>1</v>
      </c>
      <c r="AP73" s="25">
        <f>IF(OR(Apresentação!$I$5='Base de Dados e filtragem'!AP$2,Apresentação!$I$5='Base de Dados e filtragem'!L73),1,0)</f>
        <v>1</v>
      </c>
      <c r="AQ73" s="25">
        <f>IF(OR(Apresentação!$I$6='Base de Dados e filtragem'!AQ$2,Apresentação!$I$6='Base de Dados e filtragem'!M73),1,0)</f>
        <v>1</v>
      </c>
      <c r="AR73" s="25">
        <v>1</v>
      </c>
      <c r="AS73" s="25">
        <v>1</v>
      </c>
      <c r="AT73" s="25">
        <v>1</v>
      </c>
      <c r="AU73" s="25">
        <v>1</v>
      </c>
      <c r="AV73" s="25">
        <v>1</v>
      </c>
      <c r="AW73" s="25">
        <v>1</v>
      </c>
      <c r="AX73" s="25">
        <v>1</v>
      </c>
      <c r="AY73" s="25">
        <v>1</v>
      </c>
      <c r="AZ73" s="25">
        <v>1</v>
      </c>
      <c r="BA73" s="25">
        <v>1</v>
      </c>
      <c r="BB73" s="25">
        <v>1</v>
      </c>
      <c r="BC73" s="25">
        <v>1</v>
      </c>
      <c r="BD73" s="25">
        <v>1</v>
      </c>
    </row>
    <row r="74" spans="27:56" x14ac:dyDescent="0.25">
      <c r="AA74" s="68" t="str">
        <f t="shared" si="5"/>
        <v>Fotos\\.jpg</v>
      </c>
      <c r="AB74" s="53">
        <f t="shared" si="6"/>
        <v>1.3513513513513514E-2</v>
      </c>
      <c r="AC74" s="25">
        <f t="shared" si="7"/>
        <v>74</v>
      </c>
      <c r="AD74" s="51">
        <f t="shared" si="8"/>
        <v>1</v>
      </c>
      <c r="AE74" s="25">
        <v>1</v>
      </c>
      <c r="AF74" s="25">
        <v>1</v>
      </c>
      <c r="AG74" s="25">
        <v>1</v>
      </c>
      <c r="AH74" s="25">
        <v>1</v>
      </c>
      <c r="AI74" s="25">
        <f>IF(OR(Apresentação!$E$3='Base de Dados e filtragem'!AI$2,Apresentação!$E$3='Base de Dados e filtragem'!E74),1,0)</f>
        <v>1</v>
      </c>
      <c r="AJ74" s="25">
        <f>IF(OR(Apresentação!$E$4='Base de Dados e filtragem'!AJ$2,Apresentação!$E$4='Base de Dados e filtragem'!F74),1,0)</f>
        <v>1</v>
      </c>
      <c r="AK74" s="25">
        <f>IF(OR(Apresentação!$E$5='Base de Dados e filtragem'!AK$2,Apresentação!$E$5='Base de Dados e filtragem'!G74),1,0)</f>
        <v>1</v>
      </c>
      <c r="AL74" s="25">
        <f>IF(OR(Apresentação!$E$6='Base de Dados e filtragem'!AL$2,Apresentação!$E$6='Base de Dados e filtragem'!H74),1,0)</f>
        <v>1</v>
      </c>
      <c r="AM74" s="25">
        <f>IF(OR(Apresentação!$I$2='Base de Dados e filtragem'!AM$2,Apresentação!$I$2='Base de Dados e filtragem'!I74),1,0)</f>
        <v>1</v>
      </c>
      <c r="AN74" s="25">
        <f>IF(OR(Apresentação!$I$3='Base de Dados e filtragem'!AN$2,Apresentação!$I$3='Base de Dados e filtragem'!J74),1,0)</f>
        <v>1</v>
      </c>
      <c r="AO74" s="25">
        <f>IF(OR(Apresentação!$I$4='Base de Dados e filtragem'!AO$2,Apresentação!$I$4='Base de Dados e filtragem'!K74),1,0)</f>
        <v>1</v>
      </c>
      <c r="AP74" s="25">
        <f>IF(OR(Apresentação!$I$5='Base de Dados e filtragem'!AP$2,Apresentação!$I$5='Base de Dados e filtragem'!L74),1,0)</f>
        <v>1</v>
      </c>
      <c r="AQ74" s="25">
        <f>IF(OR(Apresentação!$I$6='Base de Dados e filtragem'!AQ$2,Apresentação!$I$6='Base de Dados e filtragem'!M74),1,0)</f>
        <v>1</v>
      </c>
      <c r="AR74" s="25">
        <v>1</v>
      </c>
      <c r="AS74" s="25">
        <v>1</v>
      </c>
      <c r="AT74" s="25">
        <v>1</v>
      </c>
      <c r="AU74" s="25">
        <v>1</v>
      </c>
      <c r="AV74" s="25">
        <v>1</v>
      </c>
      <c r="AW74" s="25">
        <v>1</v>
      </c>
      <c r="AX74" s="25">
        <v>1</v>
      </c>
      <c r="AY74" s="25">
        <v>1</v>
      </c>
      <c r="AZ74" s="25">
        <v>1</v>
      </c>
      <c r="BA74" s="25">
        <v>1</v>
      </c>
      <c r="BB74" s="25">
        <v>1</v>
      </c>
      <c r="BC74" s="25">
        <v>1</v>
      </c>
      <c r="BD74" s="25">
        <v>1</v>
      </c>
    </row>
    <row r="75" spans="27:56" x14ac:dyDescent="0.25">
      <c r="AA75" s="68" t="str">
        <f t="shared" si="5"/>
        <v>Fotos\\.jpg</v>
      </c>
      <c r="AB75" s="53">
        <f t="shared" si="6"/>
        <v>1.3333333333333334E-2</v>
      </c>
      <c r="AC75" s="25">
        <f t="shared" si="7"/>
        <v>75</v>
      </c>
      <c r="AD75" s="51">
        <f t="shared" si="8"/>
        <v>1</v>
      </c>
      <c r="AE75" s="25">
        <v>1</v>
      </c>
      <c r="AF75" s="25">
        <v>1</v>
      </c>
      <c r="AG75" s="25">
        <v>1</v>
      </c>
      <c r="AH75" s="25">
        <v>1</v>
      </c>
      <c r="AI75" s="25">
        <f>IF(OR(Apresentação!$E$3='Base de Dados e filtragem'!AI$2,Apresentação!$E$3='Base de Dados e filtragem'!E75),1,0)</f>
        <v>1</v>
      </c>
      <c r="AJ75" s="25">
        <f>IF(OR(Apresentação!$E$4='Base de Dados e filtragem'!AJ$2,Apresentação!$E$4='Base de Dados e filtragem'!F75),1,0)</f>
        <v>1</v>
      </c>
      <c r="AK75" s="25">
        <f>IF(OR(Apresentação!$E$5='Base de Dados e filtragem'!AK$2,Apresentação!$E$5='Base de Dados e filtragem'!G75),1,0)</f>
        <v>1</v>
      </c>
      <c r="AL75" s="25">
        <f>IF(OR(Apresentação!$E$6='Base de Dados e filtragem'!AL$2,Apresentação!$E$6='Base de Dados e filtragem'!H75),1,0)</f>
        <v>1</v>
      </c>
      <c r="AM75" s="25">
        <f>IF(OR(Apresentação!$I$2='Base de Dados e filtragem'!AM$2,Apresentação!$I$2='Base de Dados e filtragem'!I75),1,0)</f>
        <v>1</v>
      </c>
      <c r="AN75" s="25">
        <f>IF(OR(Apresentação!$I$3='Base de Dados e filtragem'!AN$2,Apresentação!$I$3='Base de Dados e filtragem'!J75),1,0)</f>
        <v>1</v>
      </c>
      <c r="AO75" s="25">
        <f>IF(OR(Apresentação!$I$4='Base de Dados e filtragem'!AO$2,Apresentação!$I$4='Base de Dados e filtragem'!K75),1,0)</f>
        <v>1</v>
      </c>
      <c r="AP75" s="25">
        <f>IF(OR(Apresentação!$I$5='Base de Dados e filtragem'!AP$2,Apresentação!$I$5='Base de Dados e filtragem'!L75),1,0)</f>
        <v>1</v>
      </c>
      <c r="AQ75" s="25">
        <f>IF(OR(Apresentação!$I$6='Base de Dados e filtragem'!AQ$2,Apresentação!$I$6='Base de Dados e filtragem'!M75),1,0)</f>
        <v>1</v>
      </c>
      <c r="AR75" s="25">
        <v>1</v>
      </c>
      <c r="AS75" s="25">
        <v>1</v>
      </c>
      <c r="AT75" s="25">
        <v>1</v>
      </c>
      <c r="AU75" s="25">
        <v>1</v>
      </c>
      <c r="AV75" s="25">
        <v>1</v>
      </c>
      <c r="AW75" s="25">
        <v>1</v>
      </c>
      <c r="AX75" s="25">
        <v>1</v>
      </c>
      <c r="AY75" s="25">
        <v>1</v>
      </c>
      <c r="AZ75" s="25">
        <v>1</v>
      </c>
      <c r="BA75" s="25">
        <v>1</v>
      </c>
      <c r="BB75" s="25">
        <v>1</v>
      </c>
      <c r="BC75" s="25">
        <v>1</v>
      </c>
      <c r="BD75" s="25">
        <v>1</v>
      </c>
    </row>
    <row r="76" spans="27:56" x14ac:dyDescent="0.25">
      <c r="AA76" s="68" t="str">
        <f t="shared" si="5"/>
        <v>Fotos\\.jpg</v>
      </c>
      <c r="AB76" s="53">
        <f t="shared" si="6"/>
        <v>1.3157894736842105E-2</v>
      </c>
      <c r="AC76" s="25">
        <f t="shared" si="7"/>
        <v>76</v>
      </c>
      <c r="AD76" s="51">
        <f t="shared" si="8"/>
        <v>1</v>
      </c>
      <c r="AE76" s="25">
        <v>1</v>
      </c>
      <c r="AF76" s="25">
        <v>1</v>
      </c>
      <c r="AG76" s="25">
        <v>1</v>
      </c>
      <c r="AH76" s="25">
        <v>1</v>
      </c>
      <c r="AI76" s="25">
        <f>IF(OR(Apresentação!$E$3='Base de Dados e filtragem'!AI$2,Apresentação!$E$3='Base de Dados e filtragem'!E76),1,0)</f>
        <v>1</v>
      </c>
      <c r="AJ76" s="25">
        <f>IF(OR(Apresentação!$E$4='Base de Dados e filtragem'!AJ$2,Apresentação!$E$4='Base de Dados e filtragem'!F76),1,0)</f>
        <v>1</v>
      </c>
      <c r="AK76" s="25">
        <f>IF(OR(Apresentação!$E$5='Base de Dados e filtragem'!AK$2,Apresentação!$E$5='Base de Dados e filtragem'!G76),1,0)</f>
        <v>1</v>
      </c>
      <c r="AL76" s="25">
        <f>IF(OR(Apresentação!$E$6='Base de Dados e filtragem'!AL$2,Apresentação!$E$6='Base de Dados e filtragem'!H76),1,0)</f>
        <v>1</v>
      </c>
      <c r="AM76" s="25">
        <f>IF(OR(Apresentação!$I$2='Base de Dados e filtragem'!AM$2,Apresentação!$I$2='Base de Dados e filtragem'!I76),1,0)</f>
        <v>1</v>
      </c>
      <c r="AN76" s="25">
        <f>IF(OR(Apresentação!$I$3='Base de Dados e filtragem'!AN$2,Apresentação!$I$3='Base de Dados e filtragem'!J76),1,0)</f>
        <v>1</v>
      </c>
      <c r="AO76" s="25">
        <f>IF(OR(Apresentação!$I$4='Base de Dados e filtragem'!AO$2,Apresentação!$I$4='Base de Dados e filtragem'!K76),1,0)</f>
        <v>1</v>
      </c>
      <c r="AP76" s="25">
        <f>IF(OR(Apresentação!$I$5='Base de Dados e filtragem'!AP$2,Apresentação!$I$5='Base de Dados e filtragem'!L76),1,0)</f>
        <v>1</v>
      </c>
      <c r="AQ76" s="25">
        <f>IF(OR(Apresentação!$I$6='Base de Dados e filtragem'!AQ$2,Apresentação!$I$6='Base de Dados e filtragem'!M76),1,0)</f>
        <v>1</v>
      </c>
      <c r="AR76" s="25">
        <v>1</v>
      </c>
      <c r="AS76" s="25">
        <v>1</v>
      </c>
      <c r="AT76" s="25">
        <v>1</v>
      </c>
      <c r="AU76" s="25">
        <v>1</v>
      </c>
      <c r="AV76" s="25">
        <v>1</v>
      </c>
      <c r="AW76" s="25">
        <v>1</v>
      </c>
      <c r="AX76" s="25">
        <v>1</v>
      </c>
      <c r="AY76" s="25">
        <v>1</v>
      </c>
      <c r="AZ76" s="25">
        <v>1</v>
      </c>
      <c r="BA76" s="25">
        <v>1</v>
      </c>
      <c r="BB76" s="25">
        <v>1</v>
      </c>
      <c r="BC76" s="25">
        <v>1</v>
      </c>
      <c r="BD76" s="25">
        <v>1</v>
      </c>
    </row>
    <row r="77" spans="27:56" x14ac:dyDescent="0.25">
      <c r="AA77" s="68" t="str">
        <f t="shared" si="5"/>
        <v>Fotos\\.jpg</v>
      </c>
      <c r="AB77" s="53">
        <f t="shared" si="6"/>
        <v>1.2987012987012988E-2</v>
      </c>
      <c r="AC77" s="25">
        <f t="shared" si="7"/>
        <v>77</v>
      </c>
      <c r="AD77" s="51">
        <f t="shared" si="8"/>
        <v>1</v>
      </c>
      <c r="AE77" s="25">
        <v>1</v>
      </c>
      <c r="AF77" s="25">
        <v>1</v>
      </c>
      <c r="AG77" s="25">
        <v>1</v>
      </c>
      <c r="AH77" s="25">
        <v>1</v>
      </c>
      <c r="AI77" s="25">
        <f>IF(OR(Apresentação!$E$3='Base de Dados e filtragem'!AI$2,Apresentação!$E$3='Base de Dados e filtragem'!E77),1,0)</f>
        <v>1</v>
      </c>
      <c r="AJ77" s="25">
        <f>IF(OR(Apresentação!$E$4='Base de Dados e filtragem'!AJ$2,Apresentação!$E$4='Base de Dados e filtragem'!F77),1,0)</f>
        <v>1</v>
      </c>
      <c r="AK77" s="25">
        <f>IF(OR(Apresentação!$E$5='Base de Dados e filtragem'!AK$2,Apresentação!$E$5='Base de Dados e filtragem'!G77),1,0)</f>
        <v>1</v>
      </c>
      <c r="AL77" s="25">
        <f>IF(OR(Apresentação!$E$6='Base de Dados e filtragem'!AL$2,Apresentação!$E$6='Base de Dados e filtragem'!H77),1,0)</f>
        <v>1</v>
      </c>
      <c r="AM77" s="25">
        <f>IF(OR(Apresentação!$I$2='Base de Dados e filtragem'!AM$2,Apresentação!$I$2='Base de Dados e filtragem'!I77),1,0)</f>
        <v>1</v>
      </c>
      <c r="AN77" s="25">
        <f>IF(OR(Apresentação!$I$3='Base de Dados e filtragem'!AN$2,Apresentação!$I$3='Base de Dados e filtragem'!J77),1,0)</f>
        <v>1</v>
      </c>
      <c r="AO77" s="25">
        <f>IF(OR(Apresentação!$I$4='Base de Dados e filtragem'!AO$2,Apresentação!$I$4='Base de Dados e filtragem'!K77),1,0)</f>
        <v>1</v>
      </c>
      <c r="AP77" s="25">
        <f>IF(OR(Apresentação!$I$5='Base de Dados e filtragem'!AP$2,Apresentação!$I$5='Base de Dados e filtragem'!L77),1,0)</f>
        <v>1</v>
      </c>
      <c r="AQ77" s="25">
        <f>IF(OR(Apresentação!$I$6='Base de Dados e filtragem'!AQ$2,Apresentação!$I$6='Base de Dados e filtragem'!M77),1,0)</f>
        <v>1</v>
      </c>
      <c r="AR77" s="25">
        <v>1</v>
      </c>
      <c r="AS77" s="25">
        <v>1</v>
      </c>
      <c r="AT77" s="25">
        <v>1</v>
      </c>
      <c r="AU77" s="25">
        <v>1</v>
      </c>
      <c r="AV77" s="25">
        <v>1</v>
      </c>
      <c r="AW77" s="25">
        <v>1</v>
      </c>
      <c r="AX77" s="25">
        <v>1</v>
      </c>
      <c r="AY77" s="25">
        <v>1</v>
      </c>
      <c r="AZ77" s="25">
        <v>1</v>
      </c>
      <c r="BA77" s="25">
        <v>1</v>
      </c>
      <c r="BB77" s="25">
        <v>1</v>
      </c>
      <c r="BC77" s="25">
        <v>1</v>
      </c>
      <c r="BD77" s="25">
        <v>1</v>
      </c>
    </row>
    <row r="78" spans="27:56" x14ac:dyDescent="0.25">
      <c r="AA78" s="68" t="str">
        <f t="shared" si="5"/>
        <v>Fotos\\.jpg</v>
      </c>
      <c r="AB78" s="53">
        <f t="shared" si="6"/>
        <v>1.282051282051282E-2</v>
      </c>
      <c r="AC78" s="25">
        <f t="shared" si="7"/>
        <v>78</v>
      </c>
      <c r="AD78" s="51">
        <f t="shared" si="8"/>
        <v>1</v>
      </c>
      <c r="AE78" s="25">
        <v>1</v>
      </c>
      <c r="AF78" s="25">
        <v>1</v>
      </c>
      <c r="AG78" s="25">
        <v>1</v>
      </c>
      <c r="AH78" s="25">
        <v>1</v>
      </c>
      <c r="AI78" s="25">
        <f>IF(OR(Apresentação!$E$3='Base de Dados e filtragem'!AI$2,Apresentação!$E$3='Base de Dados e filtragem'!E78),1,0)</f>
        <v>1</v>
      </c>
      <c r="AJ78" s="25">
        <f>IF(OR(Apresentação!$E$4='Base de Dados e filtragem'!AJ$2,Apresentação!$E$4='Base de Dados e filtragem'!F78),1,0)</f>
        <v>1</v>
      </c>
      <c r="AK78" s="25">
        <f>IF(OR(Apresentação!$E$5='Base de Dados e filtragem'!AK$2,Apresentação!$E$5='Base de Dados e filtragem'!G78),1,0)</f>
        <v>1</v>
      </c>
      <c r="AL78" s="25">
        <f>IF(OR(Apresentação!$E$6='Base de Dados e filtragem'!AL$2,Apresentação!$E$6='Base de Dados e filtragem'!H78),1,0)</f>
        <v>1</v>
      </c>
      <c r="AM78" s="25">
        <f>IF(OR(Apresentação!$I$2='Base de Dados e filtragem'!AM$2,Apresentação!$I$2='Base de Dados e filtragem'!I78),1,0)</f>
        <v>1</v>
      </c>
      <c r="AN78" s="25">
        <f>IF(OR(Apresentação!$I$3='Base de Dados e filtragem'!AN$2,Apresentação!$I$3='Base de Dados e filtragem'!J78),1,0)</f>
        <v>1</v>
      </c>
      <c r="AO78" s="25">
        <f>IF(OR(Apresentação!$I$4='Base de Dados e filtragem'!AO$2,Apresentação!$I$4='Base de Dados e filtragem'!K78),1,0)</f>
        <v>1</v>
      </c>
      <c r="AP78" s="25">
        <f>IF(OR(Apresentação!$I$5='Base de Dados e filtragem'!AP$2,Apresentação!$I$5='Base de Dados e filtragem'!L78),1,0)</f>
        <v>1</v>
      </c>
      <c r="AQ78" s="25">
        <f>IF(OR(Apresentação!$I$6='Base de Dados e filtragem'!AQ$2,Apresentação!$I$6='Base de Dados e filtragem'!M78),1,0)</f>
        <v>1</v>
      </c>
      <c r="AR78" s="25">
        <v>1</v>
      </c>
      <c r="AS78" s="25">
        <v>1</v>
      </c>
      <c r="AT78" s="25">
        <v>1</v>
      </c>
      <c r="AU78" s="25">
        <v>1</v>
      </c>
      <c r="AV78" s="25">
        <v>1</v>
      </c>
      <c r="AW78" s="25">
        <v>1</v>
      </c>
      <c r="AX78" s="25">
        <v>1</v>
      </c>
      <c r="AY78" s="25">
        <v>1</v>
      </c>
      <c r="AZ78" s="25">
        <v>1</v>
      </c>
      <c r="BA78" s="25">
        <v>1</v>
      </c>
      <c r="BB78" s="25">
        <v>1</v>
      </c>
      <c r="BC78" s="25">
        <v>1</v>
      </c>
      <c r="BD78" s="25">
        <v>1</v>
      </c>
    </row>
    <row r="79" spans="27:56" x14ac:dyDescent="0.25">
      <c r="AA79" s="68" t="str">
        <f t="shared" si="5"/>
        <v>Fotos\\.jpg</v>
      </c>
      <c r="AB79" s="53">
        <f t="shared" si="6"/>
        <v>1.2658227848101266E-2</v>
      </c>
      <c r="AC79" s="25">
        <f t="shared" si="7"/>
        <v>79</v>
      </c>
      <c r="AD79" s="51">
        <f t="shared" si="8"/>
        <v>1</v>
      </c>
      <c r="AE79" s="25">
        <v>1</v>
      </c>
      <c r="AF79" s="25">
        <v>1</v>
      </c>
      <c r="AG79" s="25">
        <v>1</v>
      </c>
      <c r="AH79" s="25">
        <v>1</v>
      </c>
      <c r="AI79" s="25">
        <f>IF(OR(Apresentação!$E$3='Base de Dados e filtragem'!AI$2,Apresentação!$E$3='Base de Dados e filtragem'!E79),1,0)</f>
        <v>1</v>
      </c>
      <c r="AJ79" s="25">
        <f>IF(OR(Apresentação!$E$4='Base de Dados e filtragem'!AJ$2,Apresentação!$E$4='Base de Dados e filtragem'!F79),1,0)</f>
        <v>1</v>
      </c>
      <c r="AK79" s="25">
        <f>IF(OR(Apresentação!$E$5='Base de Dados e filtragem'!AK$2,Apresentação!$E$5='Base de Dados e filtragem'!G79),1,0)</f>
        <v>1</v>
      </c>
      <c r="AL79" s="25">
        <f>IF(OR(Apresentação!$E$6='Base de Dados e filtragem'!AL$2,Apresentação!$E$6='Base de Dados e filtragem'!H79),1,0)</f>
        <v>1</v>
      </c>
      <c r="AM79" s="25">
        <f>IF(OR(Apresentação!$I$2='Base de Dados e filtragem'!AM$2,Apresentação!$I$2='Base de Dados e filtragem'!I79),1,0)</f>
        <v>1</v>
      </c>
      <c r="AN79" s="25">
        <f>IF(OR(Apresentação!$I$3='Base de Dados e filtragem'!AN$2,Apresentação!$I$3='Base de Dados e filtragem'!J79),1,0)</f>
        <v>1</v>
      </c>
      <c r="AO79" s="25">
        <f>IF(OR(Apresentação!$I$4='Base de Dados e filtragem'!AO$2,Apresentação!$I$4='Base de Dados e filtragem'!K79),1,0)</f>
        <v>1</v>
      </c>
      <c r="AP79" s="25">
        <f>IF(OR(Apresentação!$I$5='Base de Dados e filtragem'!AP$2,Apresentação!$I$5='Base de Dados e filtragem'!L79),1,0)</f>
        <v>1</v>
      </c>
      <c r="AQ79" s="25">
        <f>IF(OR(Apresentação!$I$6='Base de Dados e filtragem'!AQ$2,Apresentação!$I$6='Base de Dados e filtragem'!M79),1,0)</f>
        <v>1</v>
      </c>
      <c r="AR79" s="25">
        <v>1</v>
      </c>
      <c r="AS79" s="25">
        <v>1</v>
      </c>
      <c r="AT79" s="25">
        <v>1</v>
      </c>
      <c r="AU79" s="25">
        <v>1</v>
      </c>
      <c r="AV79" s="25">
        <v>1</v>
      </c>
      <c r="AW79" s="25">
        <v>1</v>
      </c>
      <c r="AX79" s="25">
        <v>1</v>
      </c>
      <c r="AY79" s="25">
        <v>1</v>
      </c>
      <c r="AZ79" s="25">
        <v>1</v>
      </c>
      <c r="BA79" s="25">
        <v>1</v>
      </c>
      <c r="BB79" s="25">
        <v>1</v>
      </c>
      <c r="BC79" s="25">
        <v>1</v>
      </c>
      <c r="BD79" s="25">
        <v>1</v>
      </c>
    </row>
    <row r="80" spans="27:56" x14ac:dyDescent="0.25">
      <c r="AA80" s="68" t="str">
        <f t="shared" si="5"/>
        <v>Fotos\\.jpg</v>
      </c>
      <c r="AB80" s="53">
        <f t="shared" si="6"/>
        <v>1.2500000000000001E-2</v>
      </c>
      <c r="AC80" s="25">
        <f t="shared" si="7"/>
        <v>80</v>
      </c>
      <c r="AD80" s="51">
        <f t="shared" si="8"/>
        <v>1</v>
      </c>
      <c r="AE80" s="25">
        <v>1</v>
      </c>
      <c r="AF80" s="25">
        <v>1</v>
      </c>
      <c r="AG80" s="25">
        <v>1</v>
      </c>
      <c r="AH80" s="25">
        <v>1</v>
      </c>
      <c r="AI80" s="25">
        <f>IF(OR(Apresentação!$E$3='Base de Dados e filtragem'!AI$2,Apresentação!$E$3='Base de Dados e filtragem'!E80),1,0)</f>
        <v>1</v>
      </c>
      <c r="AJ80" s="25">
        <f>IF(OR(Apresentação!$E$4='Base de Dados e filtragem'!AJ$2,Apresentação!$E$4='Base de Dados e filtragem'!F80),1,0)</f>
        <v>1</v>
      </c>
      <c r="AK80" s="25">
        <f>IF(OR(Apresentação!$E$5='Base de Dados e filtragem'!AK$2,Apresentação!$E$5='Base de Dados e filtragem'!G80),1,0)</f>
        <v>1</v>
      </c>
      <c r="AL80" s="25">
        <f>IF(OR(Apresentação!$E$6='Base de Dados e filtragem'!AL$2,Apresentação!$E$6='Base de Dados e filtragem'!H80),1,0)</f>
        <v>1</v>
      </c>
      <c r="AM80" s="25">
        <f>IF(OR(Apresentação!$I$2='Base de Dados e filtragem'!AM$2,Apresentação!$I$2='Base de Dados e filtragem'!I80),1,0)</f>
        <v>1</v>
      </c>
      <c r="AN80" s="25">
        <f>IF(OR(Apresentação!$I$3='Base de Dados e filtragem'!AN$2,Apresentação!$I$3='Base de Dados e filtragem'!J80),1,0)</f>
        <v>1</v>
      </c>
      <c r="AO80" s="25">
        <f>IF(OR(Apresentação!$I$4='Base de Dados e filtragem'!AO$2,Apresentação!$I$4='Base de Dados e filtragem'!K80),1,0)</f>
        <v>1</v>
      </c>
      <c r="AP80" s="25">
        <f>IF(OR(Apresentação!$I$5='Base de Dados e filtragem'!AP$2,Apresentação!$I$5='Base de Dados e filtragem'!L80),1,0)</f>
        <v>1</v>
      </c>
      <c r="AQ80" s="25">
        <f>IF(OR(Apresentação!$I$6='Base de Dados e filtragem'!AQ$2,Apresentação!$I$6='Base de Dados e filtragem'!M80),1,0)</f>
        <v>1</v>
      </c>
      <c r="AR80" s="25">
        <v>1</v>
      </c>
      <c r="AS80" s="25">
        <v>1</v>
      </c>
      <c r="AT80" s="25">
        <v>1</v>
      </c>
      <c r="AU80" s="25">
        <v>1</v>
      </c>
      <c r="AV80" s="25">
        <v>1</v>
      </c>
      <c r="AW80" s="25">
        <v>1</v>
      </c>
      <c r="AX80" s="25">
        <v>1</v>
      </c>
      <c r="AY80" s="25">
        <v>1</v>
      </c>
      <c r="AZ80" s="25">
        <v>1</v>
      </c>
      <c r="BA80" s="25">
        <v>1</v>
      </c>
      <c r="BB80" s="25">
        <v>1</v>
      </c>
      <c r="BC80" s="25">
        <v>1</v>
      </c>
      <c r="BD80" s="25">
        <v>1</v>
      </c>
    </row>
    <row r="81" spans="27:56" x14ac:dyDescent="0.25">
      <c r="AA81" s="68" t="str">
        <f t="shared" si="5"/>
        <v>Fotos\\.jpg</v>
      </c>
      <c r="AB81" s="53">
        <f t="shared" si="6"/>
        <v>1.2345679012345678E-2</v>
      </c>
      <c r="AC81" s="25">
        <f t="shared" si="7"/>
        <v>81</v>
      </c>
      <c r="AD81" s="51">
        <f t="shared" si="8"/>
        <v>1</v>
      </c>
      <c r="AE81" s="25">
        <v>1</v>
      </c>
      <c r="AF81" s="25">
        <v>1</v>
      </c>
      <c r="AG81" s="25">
        <v>1</v>
      </c>
      <c r="AH81" s="25">
        <v>1</v>
      </c>
      <c r="AI81" s="25">
        <f>IF(OR(Apresentação!$E$3='Base de Dados e filtragem'!AI$2,Apresentação!$E$3='Base de Dados e filtragem'!E81),1,0)</f>
        <v>1</v>
      </c>
      <c r="AJ81" s="25">
        <f>IF(OR(Apresentação!$E$4='Base de Dados e filtragem'!AJ$2,Apresentação!$E$4='Base de Dados e filtragem'!F81),1,0)</f>
        <v>1</v>
      </c>
      <c r="AK81" s="25">
        <f>IF(OR(Apresentação!$E$5='Base de Dados e filtragem'!AK$2,Apresentação!$E$5='Base de Dados e filtragem'!G81),1,0)</f>
        <v>1</v>
      </c>
      <c r="AL81" s="25">
        <f>IF(OR(Apresentação!$E$6='Base de Dados e filtragem'!AL$2,Apresentação!$E$6='Base de Dados e filtragem'!H81),1,0)</f>
        <v>1</v>
      </c>
      <c r="AM81" s="25">
        <f>IF(OR(Apresentação!$I$2='Base de Dados e filtragem'!AM$2,Apresentação!$I$2='Base de Dados e filtragem'!I81),1,0)</f>
        <v>1</v>
      </c>
      <c r="AN81" s="25">
        <f>IF(OR(Apresentação!$I$3='Base de Dados e filtragem'!AN$2,Apresentação!$I$3='Base de Dados e filtragem'!J81),1,0)</f>
        <v>1</v>
      </c>
      <c r="AO81" s="25">
        <f>IF(OR(Apresentação!$I$4='Base de Dados e filtragem'!AO$2,Apresentação!$I$4='Base de Dados e filtragem'!K81),1,0)</f>
        <v>1</v>
      </c>
      <c r="AP81" s="25">
        <f>IF(OR(Apresentação!$I$5='Base de Dados e filtragem'!AP$2,Apresentação!$I$5='Base de Dados e filtragem'!L81),1,0)</f>
        <v>1</v>
      </c>
      <c r="AQ81" s="25">
        <f>IF(OR(Apresentação!$I$6='Base de Dados e filtragem'!AQ$2,Apresentação!$I$6='Base de Dados e filtragem'!M81),1,0)</f>
        <v>1</v>
      </c>
      <c r="AR81" s="25">
        <v>1</v>
      </c>
      <c r="AS81" s="25">
        <v>1</v>
      </c>
      <c r="AT81" s="25">
        <v>1</v>
      </c>
      <c r="AU81" s="25">
        <v>1</v>
      </c>
      <c r="AV81" s="25">
        <v>1</v>
      </c>
      <c r="AW81" s="25">
        <v>1</v>
      </c>
      <c r="AX81" s="25">
        <v>1</v>
      </c>
      <c r="AY81" s="25">
        <v>1</v>
      </c>
      <c r="AZ81" s="25">
        <v>1</v>
      </c>
      <c r="BA81" s="25">
        <v>1</v>
      </c>
      <c r="BB81" s="25">
        <v>1</v>
      </c>
      <c r="BC81" s="25">
        <v>1</v>
      </c>
      <c r="BD81" s="25">
        <v>1</v>
      </c>
    </row>
    <row r="82" spans="27:56" x14ac:dyDescent="0.25">
      <c r="AA82" s="68" t="str">
        <f t="shared" si="5"/>
        <v>Fotos\\.jpg</v>
      </c>
      <c r="AB82" s="53">
        <f t="shared" si="6"/>
        <v>1.2195121951219513E-2</v>
      </c>
      <c r="AC82" s="25">
        <f t="shared" si="7"/>
        <v>82</v>
      </c>
      <c r="AD82" s="51">
        <f t="shared" si="8"/>
        <v>1</v>
      </c>
      <c r="AE82" s="25">
        <v>1</v>
      </c>
      <c r="AF82" s="25">
        <v>1</v>
      </c>
      <c r="AG82" s="25">
        <v>1</v>
      </c>
      <c r="AH82" s="25">
        <v>1</v>
      </c>
      <c r="AI82" s="25">
        <f>IF(OR(Apresentação!$E$3='Base de Dados e filtragem'!AI$2,Apresentação!$E$3='Base de Dados e filtragem'!E82),1,0)</f>
        <v>1</v>
      </c>
      <c r="AJ82" s="25">
        <f>IF(OR(Apresentação!$E$4='Base de Dados e filtragem'!AJ$2,Apresentação!$E$4='Base de Dados e filtragem'!F82),1,0)</f>
        <v>1</v>
      </c>
      <c r="AK82" s="25">
        <f>IF(OR(Apresentação!$E$5='Base de Dados e filtragem'!AK$2,Apresentação!$E$5='Base de Dados e filtragem'!G82),1,0)</f>
        <v>1</v>
      </c>
      <c r="AL82" s="25">
        <f>IF(OR(Apresentação!$E$6='Base de Dados e filtragem'!AL$2,Apresentação!$E$6='Base de Dados e filtragem'!H82),1,0)</f>
        <v>1</v>
      </c>
      <c r="AM82" s="25">
        <f>IF(OR(Apresentação!$I$2='Base de Dados e filtragem'!AM$2,Apresentação!$I$2='Base de Dados e filtragem'!I82),1,0)</f>
        <v>1</v>
      </c>
      <c r="AN82" s="25">
        <f>IF(OR(Apresentação!$I$3='Base de Dados e filtragem'!AN$2,Apresentação!$I$3='Base de Dados e filtragem'!J82),1,0)</f>
        <v>1</v>
      </c>
      <c r="AO82" s="25">
        <f>IF(OR(Apresentação!$I$4='Base de Dados e filtragem'!AO$2,Apresentação!$I$4='Base de Dados e filtragem'!K82),1,0)</f>
        <v>1</v>
      </c>
      <c r="AP82" s="25">
        <f>IF(OR(Apresentação!$I$5='Base de Dados e filtragem'!AP$2,Apresentação!$I$5='Base de Dados e filtragem'!L82),1,0)</f>
        <v>1</v>
      </c>
      <c r="AQ82" s="25">
        <f>IF(OR(Apresentação!$I$6='Base de Dados e filtragem'!AQ$2,Apresentação!$I$6='Base de Dados e filtragem'!M82),1,0)</f>
        <v>1</v>
      </c>
      <c r="AR82" s="25">
        <v>1</v>
      </c>
      <c r="AS82" s="25">
        <v>1</v>
      </c>
      <c r="AT82" s="25">
        <v>1</v>
      </c>
      <c r="AU82" s="25">
        <v>1</v>
      </c>
      <c r="AV82" s="25">
        <v>1</v>
      </c>
      <c r="AW82" s="25">
        <v>1</v>
      </c>
      <c r="AX82" s="25">
        <v>1</v>
      </c>
      <c r="AY82" s="25">
        <v>1</v>
      </c>
      <c r="AZ82" s="25">
        <v>1</v>
      </c>
      <c r="BA82" s="25">
        <v>1</v>
      </c>
      <c r="BB82" s="25">
        <v>1</v>
      </c>
      <c r="BC82" s="25">
        <v>1</v>
      </c>
      <c r="BD82" s="25">
        <v>1</v>
      </c>
    </row>
    <row r="83" spans="27:56" x14ac:dyDescent="0.25">
      <c r="AA83" s="68" t="str">
        <f t="shared" si="5"/>
        <v>Fotos\\.jpg</v>
      </c>
      <c r="AB83" s="53">
        <f t="shared" si="6"/>
        <v>1.2048192771084338E-2</v>
      </c>
      <c r="AC83" s="25">
        <f t="shared" si="7"/>
        <v>83</v>
      </c>
      <c r="AD83" s="51">
        <f t="shared" si="8"/>
        <v>1</v>
      </c>
      <c r="AE83" s="25">
        <v>1</v>
      </c>
      <c r="AF83" s="25">
        <v>1</v>
      </c>
      <c r="AG83" s="25">
        <v>1</v>
      </c>
      <c r="AH83" s="25">
        <v>1</v>
      </c>
      <c r="AI83" s="25">
        <f>IF(OR(Apresentação!$E$3='Base de Dados e filtragem'!AI$2,Apresentação!$E$3='Base de Dados e filtragem'!E83),1,0)</f>
        <v>1</v>
      </c>
      <c r="AJ83" s="25">
        <f>IF(OR(Apresentação!$E$4='Base de Dados e filtragem'!AJ$2,Apresentação!$E$4='Base de Dados e filtragem'!F83),1,0)</f>
        <v>1</v>
      </c>
      <c r="AK83" s="25">
        <f>IF(OR(Apresentação!$E$5='Base de Dados e filtragem'!AK$2,Apresentação!$E$5='Base de Dados e filtragem'!G83),1,0)</f>
        <v>1</v>
      </c>
      <c r="AL83" s="25">
        <f>IF(OR(Apresentação!$E$6='Base de Dados e filtragem'!AL$2,Apresentação!$E$6='Base de Dados e filtragem'!H83),1,0)</f>
        <v>1</v>
      </c>
      <c r="AM83" s="25">
        <f>IF(OR(Apresentação!$I$2='Base de Dados e filtragem'!AM$2,Apresentação!$I$2='Base de Dados e filtragem'!I83),1,0)</f>
        <v>1</v>
      </c>
      <c r="AN83" s="25">
        <f>IF(OR(Apresentação!$I$3='Base de Dados e filtragem'!AN$2,Apresentação!$I$3='Base de Dados e filtragem'!J83),1,0)</f>
        <v>1</v>
      </c>
      <c r="AO83" s="25">
        <f>IF(OR(Apresentação!$I$4='Base de Dados e filtragem'!AO$2,Apresentação!$I$4='Base de Dados e filtragem'!K83),1,0)</f>
        <v>1</v>
      </c>
      <c r="AP83" s="25">
        <f>IF(OR(Apresentação!$I$5='Base de Dados e filtragem'!AP$2,Apresentação!$I$5='Base de Dados e filtragem'!L83),1,0)</f>
        <v>1</v>
      </c>
      <c r="AQ83" s="25">
        <f>IF(OR(Apresentação!$I$6='Base de Dados e filtragem'!AQ$2,Apresentação!$I$6='Base de Dados e filtragem'!M83),1,0)</f>
        <v>1</v>
      </c>
      <c r="AR83" s="25">
        <v>1</v>
      </c>
      <c r="AS83" s="25">
        <v>1</v>
      </c>
      <c r="AT83" s="25">
        <v>1</v>
      </c>
      <c r="AU83" s="25">
        <v>1</v>
      </c>
      <c r="AV83" s="25">
        <v>1</v>
      </c>
      <c r="AW83" s="25">
        <v>1</v>
      </c>
      <c r="AX83" s="25">
        <v>1</v>
      </c>
      <c r="AY83" s="25">
        <v>1</v>
      </c>
      <c r="AZ83" s="25">
        <v>1</v>
      </c>
      <c r="BA83" s="25">
        <v>1</v>
      </c>
      <c r="BB83" s="25">
        <v>1</v>
      </c>
      <c r="BC83" s="25">
        <v>1</v>
      </c>
      <c r="BD83" s="25">
        <v>1</v>
      </c>
    </row>
    <row r="84" spans="27:56" x14ac:dyDescent="0.25">
      <c r="AA84" s="68" t="str">
        <f t="shared" si="5"/>
        <v>Fotos\\.jpg</v>
      </c>
      <c r="AB84" s="53">
        <f t="shared" si="6"/>
        <v>1.1904761904761904E-2</v>
      </c>
      <c r="AC84" s="25">
        <f t="shared" si="7"/>
        <v>84</v>
      </c>
      <c r="AD84" s="51">
        <f t="shared" si="8"/>
        <v>1</v>
      </c>
      <c r="AE84" s="25">
        <v>1</v>
      </c>
      <c r="AF84" s="25">
        <v>1</v>
      </c>
      <c r="AG84" s="25">
        <v>1</v>
      </c>
      <c r="AH84" s="25">
        <v>1</v>
      </c>
      <c r="AI84" s="25">
        <f>IF(OR(Apresentação!$E$3='Base de Dados e filtragem'!AI$2,Apresentação!$E$3='Base de Dados e filtragem'!E84),1,0)</f>
        <v>1</v>
      </c>
      <c r="AJ84" s="25">
        <f>IF(OR(Apresentação!$E$4='Base de Dados e filtragem'!AJ$2,Apresentação!$E$4='Base de Dados e filtragem'!F84),1,0)</f>
        <v>1</v>
      </c>
      <c r="AK84" s="25">
        <f>IF(OR(Apresentação!$E$5='Base de Dados e filtragem'!AK$2,Apresentação!$E$5='Base de Dados e filtragem'!G84),1,0)</f>
        <v>1</v>
      </c>
      <c r="AL84" s="25">
        <f>IF(OR(Apresentação!$E$6='Base de Dados e filtragem'!AL$2,Apresentação!$E$6='Base de Dados e filtragem'!H84),1,0)</f>
        <v>1</v>
      </c>
      <c r="AM84" s="25">
        <f>IF(OR(Apresentação!$I$2='Base de Dados e filtragem'!AM$2,Apresentação!$I$2='Base de Dados e filtragem'!I84),1,0)</f>
        <v>1</v>
      </c>
      <c r="AN84" s="25">
        <f>IF(OR(Apresentação!$I$3='Base de Dados e filtragem'!AN$2,Apresentação!$I$3='Base de Dados e filtragem'!J84),1,0)</f>
        <v>1</v>
      </c>
      <c r="AO84" s="25">
        <f>IF(OR(Apresentação!$I$4='Base de Dados e filtragem'!AO$2,Apresentação!$I$4='Base de Dados e filtragem'!K84),1,0)</f>
        <v>1</v>
      </c>
      <c r="AP84" s="25">
        <f>IF(OR(Apresentação!$I$5='Base de Dados e filtragem'!AP$2,Apresentação!$I$5='Base de Dados e filtragem'!L84),1,0)</f>
        <v>1</v>
      </c>
      <c r="AQ84" s="25">
        <f>IF(OR(Apresentação!$I$6='Base de Dados e filtragem'!AQ$2,Apresentação!$I$6='Base de Dados e filtragem'!M84),1,0)</f>
        <v>1</v>
      </c>
      <c r="AR84" s="25">
        <v>1</v>
      </c>
      <c r="AS84" s="25">
        <v>1</v>
      </c>
      <c r="AT84" s="25">
        <v>1</v>
      </c>
      <c r="AU84" s="25">
        <v>1</v>
      </c>
      <c r="AV84" s="25">
        <v>1</v>
      </c>
      <c r="AW84" s="25">
        <v>1</v>
      </c>
      <c r="AX84" s="25">
        <v>1</v>
      </c>
      <c r="AY84" s="25">
        <v>1</v>
      </c>
      <c r="AZ84" s="25">
        <v>1</v>
      </c>
      <c r="BA84" s="25">
        <v>1</v>
      </c>
      <c r="BB84" s="25">
        <v>1</v>
      </c>
      <c r="BC84" s="25">
        <v>1</v>
      </c>
      <c r="BD84" s="25">
        <v>1</v>
      </c>
    </row>
    <row r="85" spans="27:56" x14ac:dyDescent="0.25">
      <c r="AA85" s="68" t="str">
        <f t="shared" si="5"/>
        <v>Fotos\\.jpg</v>
      </c>
      <c r="AB85" s="53">
        <f t="shared" si="6"/>
        <v>1.1764705882352941E-2</v>
      </c>
      <c r="AC85" s="25">
        <f t="shared" si="7"/>
        <v>85</v>
      </c>
      <c r="AD85" s="51">
        <f t="shared" si="8"/>
        <v>1</v>
      </c>
      <c r="AE85" s="25">
        <v>1</v>
      </c>
      <c r="AF85" s="25">
        <v>1</v>
      </c>
      <c r="AG85" s="25">
        <v>1</v>
      </c>
      <c r="AH85" s="25">
        <v>1</v>
      </c>
      <c r="AI85" s="25">
        <f>IF(OR(Apresentação!$E$3='Base de Dados e filtragem'!AI$2,Apresentação!$E$3='Base de Dados e filtragem'!E85),1,0)</f>
        <v>1</v>
      </c>
      <c r="AJ85" s="25">
        <f>IF(OR(Apresentação!$E$4='Base de Dados e filtragem'!AJ$2,Apresentação!$E$4='Base de Dados e filtragem'!F85),1,0)</f>
        <v>1</v>
      </c>
      <c r="AK85" s="25">
        <f>IF(OR(Apresentação!$E$5='Base de Dados e filtragem'!AK$2,Apresentação!$E$5='Base de Dados e filtragem'!G85),1,0)</f>
        <v>1</v>
      </c>
      <c r="AL85" s="25">
        <f>IF(OR(Apresentação!$E$6='Base de Dados e filtragem'!AL$2,Apresentação!$E$6='Base de Dados e filtragem'!H85),1,0)</f>
        <v>1</v>
      </c>
      <c r="AM85" s="25">
        <f>IF(OR(Apresentação!$I$2='Base de Dados e filtragem'!AM$2,Apresentação!$I$2='Base de Dados e filtragem'!I85),1,0)</f>
        <v>1</v>
      </c>
      <c r="AN85" s="25">
        <f>IF(OR(Apresentação!$I$3='Base de Dados e filtragem'!AN$2,Apresentação!$I$3='Base de Dados e filtragem'!J85),1,0)</f>
        <v>1</v>
      </c>
      <c r="AO85" s="25">
        <f>IF(OR(Apresentação!$I$4='Base de Dados e filtragem'!AO$2,Apresentação!$I$4='Base de Dados e filtragem'!K85),1,0)</f>
        <v>1</v>
      </c>
      <c r="AP85" s="25">
        <f>IF(OR(Apresentação!$I$5='Base de Dados e filtragem'!AP$2,Apresentação!$I$5='Base de Dados e filtragem'!L85),1,0)</f>
        <v>1</v>
      </c>
      <c r="AQ85" s="25">
        <f>IF(OR(Apresentação!$I$6='Base de Dados e filtragem'!AQ$2,Apresentação!$I$6='Base de Dados e filtragem'!M85),1,0)</f>
        <v>1</v>
      </c>
      <c r="AR85" s="25">
        <v>1</v>
      </c>
      <c r="AS85" s="25">
        <v>1</v>
      </c>
      <c r="AT85" s="25">
        <v>1</v>
      </c>
      <c r="AU85" s="25">
        <v>1</v>
      </c>
      <c r="AV85" s="25">
        <v>1</v>
      </c>
      <c r="AW85" s="25">
        <v>1</v>
      </c>
      <c r="AX85" s="25">
        <v>1</v>
      </c>
      <c r="AY85" s="25">
        <v>1</v>
      </c>
      <c r="AZ85" s="25">
        <v>1</v>
      </c>
      <c r="BA85" s="25">
        <v>1</v>
      </c>
      <c r="BB85" s="25">
        <v>1</v>
      </c>
      <c r="BC85" s="25">
        <v>1</v>
      </c>
      <c r="BD85" s="25">
        <v>1</v>
      </c>
    </row>
    <row r="86" spans="27:56" x14ac:dyDescent="0.25">
      <c r="AA86" s="68" t="str">
        <f t="shared" si="5"/>
        <v>Fotos\\.jpg</v>
      </c>
      <c r="AB86" s="53">
        <f t="shared" si="6"/>
        <v>1.1627906976744186E-2</v>
      </c>
      <c r="AC86" s="25">
        <f t="shared" si="7"/>
        <v>86</v>
      </c>
      <c r="AD86" s="51">
        <f t="shared" si="8"/>
        <v>1</v>
      </c>
      <c r="AE86" s="25">
        <v>1</v>
      </c>
      <c r="AF86" s="25">
        <v>1</v>
      </c>
      <c r="AG86" s="25">
        <v>1</v>
      </c>
      <c r="AH86" s="25">
        <v>1</v>
      </c>
      <c r="AI86" s="25">
        <f>IF(OR(Apresentação!$E$3='Base de Dados e filtragem'!AI$2,Apresentação!$E$3='Base de Dados e filtragem'!E86),1,0)</f>
        <v>1</v>
      </c>
      <c r="AJ86" s="25">
        <f>IF(OR(Apresentação!$E$4='Base de Dados e filtragem'!AJ$2,Apresentação!$E$4='Base de Dados e filtragem'!F86),1,0)</f>
        <v>1</v>
      </c>
      <c r="AK86" s="25">
        <f>IF(OR(Apresentação!$E$5='Base de Dados e filtragem'!AK$2,Apresentação!$E$5='Base de Dados e filtragem'!G86),1,0)</f>
        <v>1</v>
      </c>
      <c r="AL86" s="25">
        <f>IF(OR(Apresentação!$E$6='Base de Dados e filtragem'!AL$2,Apresentação!$E$6='Base de Dados e filtragem'!H86),1,0)</f>
        <v>1</v>
      </c>
      <c r="AM86" s="25">
        <f>IF(OR(Apresentação!$I$2='Base de Dados e filtragem'!AM$2,Apresentação!$I$2='Base de Dados e filtragem'!I86),1,0)</f>
        <v>1</v>
      </c>
      <c r="AN86" s="25">
        <f>IF(OR(Apresentação!$I$3='Base de Dados e filtragem'!AN$2,Apresentação!$I$3='Base de Dados e filtragem'!J86),1,0)</f>
        <v>1</v>
      </c>
      <c r="AO86" s="25">
        <f>IF(OR(Apresentação!$I$4='Base de Dados e filtragem'!AO$2,Apresentação!$I$4='Base de Dados e filtragem'!K86),1,0)</f>
        <v>1</v>
      </c>
      <c r="AP86" s="25">
        <f>IF(OR(Apresentação!$I$5='Base de Dados e filtragem'!AP$2,Apresentação!$I$5='Base de Dados e filtragem'!L86),1,0)</f>
        <v>1</v>
      </c>
      <c r="AQ86" s="25">
        <f>IF(OR(Apresentação!$I$6='Base de Dados e filtragem'!AQ$2,Apresentação!$I$6='Base de Dados e filtragem'!M86),1,0)</f>
        <v>1</v>
      </c>
      <c r="AR86" s="25">
        <v>1</v>
      </c>
      <c r="AS86" s="25">
        <v>1</v>
      </c>
      <c r="AT86" s="25">
        <v>1</v>
      </c>
      <c r="AU86" s="25">
        <v>1</v>
      </c>
      <c r="AV86" s="25">
        <v>1</v>
      </c>
      <c r="AW86" s="25">
        <v>1</v>
      </c>
      <c r="AX86" s="25">
        <v>1</v>
      </c>
      <c r="AY86" s="25">
        <v>1</v>
      </c>
      <c r="AZ86" s="25">
        <v>1</v>
      </c>
      <c r="BA86" s="25">
        <v>1</v>
      </c>
      <c r="BB86" s="25">
        <v>1</v>
      </c>
      <c r="BC86" s="25">
        <v>1</v>
      </c>
      <c r="BD86" s="25">
        <v>1</v>
      </c>
    </row>
    <row r="87" spans="27:56" x14ac:dyDescent="0.25">
      <c r="AA87" s="68" t="str">
        <f t="shared" si="5"/>
        <v>Fotos\\.jpg</v>
      </c>
      <c r="AB87" s="53">
        <f t="shared" si="6"/>
        <v>1.1494252873563218E-2</v>
      </c>
      <c r="AC87" s="25">
        <f t="shared" si="7"/>
        <v>87</v>
      </c>
      <c r="AD87" s="51">
        <f t="shared" si="8"/>
        <v>1</v>
      </c>
      <c r="AE87" s="25">
        <v>1</v>
      </c>
      <c r="AF87" s="25">
        <v>1</v>
      </c>
      <c r="AG87" s="25">
        <v>1</v>
      </c>
      <c r="AH87" s="25">
        <v>1</v>
      </c>
      <c r="AI87" s="25">
        <f>IF(OR(Apresentação!$E$3='Base de Dados e filtragem'!AI$2,Apresentação!$E$3='Base de Dados e filtragem'!E87),1,0)</f>
        <v>1</v>
      </c>
      <c r="AJ87" s="25">
        <f>IF(OR(Apresentação!$E$4='Base de Dados e filtragem'!AJ$2,Apresentação!$E$4='Base de Dados e filtragem'!F87),1,0)</f>
        <v>1</v>
      </c>
      <c r="AK87" s="25">
        <f>IF(OR(Apresentação!$E$5='Base de Dados e filtragem'!AK$2,Apresentação!$E$5='Base de Dados e filtragem'!G87),1,0)</f>
        <v>1</v>
      </c>
      <c r="AL87" s="25">
        <f>IF(OR(Apresentação!$E$6='Base de Dados e filtragem'!AL$2,Apresentação!$E$6='Base de Dados e filtragem'!H87),1,0)</f>
        <v>1</v>
      </c>
      <c r="AM87" s="25">
        <f>IF(OR(Apresentação!$I$2='Base de Dados e filtragem'!AM$2,Apresentação!$I$2='Base de Dados e filtragem'!I87),1,0)</f>
        <v>1</v>
      </c>
      <c r="AN87" s="25">
        <f>IF(OR(Apresentação!$I$3='Base de Dados e filtragem'!AN$2,Apresentação!$I$3='Base de Dados e filtragem'!J87),1,0)</f>
        <v>1</v>
      </c>
      <c r="AO87" s="25">
        <f>IF(OR(Apresentação!$I$4='Base de Dados e filtragem'!AO$2,Apresentação!$I$4='Base de Dados e filtragem'!K87),1,0)</f>
        <v>1</v>
      </c>
      <c r="AP87" s="25">
        <f>IF(OR(Apresentação!$I$5='Base de Dados e filtragem'!AP$2,Apresentação!$I$5='Base de Dados e filtragem'!L87),1,0)</f>
        <v>1</v>
      </c>
      <c r="AQ87" s="25">
        <f>IF(OR(Apresentação!$I$6='Base de Dados e filtragem'!AQ$2,Apresentação!$I$6='Base de Dados e filtragem'!M87),1,0)</f>
        <v>1</v>
      </c>
      <c r="AR87" s="25">
        <v>1</v>
      </c>
      <c r="AS87" s="25">
        <v>1</v>
      </c>
      <c r="AT87" s="25">
        <v>1</v>
      </c>
      <c r="AU87" s="25">
        <v>1</v>
      </c>
      <c r="AV87" s="25">
        <v>1</v>
      </c>
      <c r="AW87" s="25">
        <v>1</v>
      </c>
      <c r="AX87" s="25">
        <v>1</v>
      </c>
      <c r="AY87" s="25">
        <v>1</v>
      </c>
      <c r="AZ87" s="25">
        <v>1</v>
      </c>
      <c r="BA87" s="25">
        <v>1</v>
      </c>
      <c r="BB87" s="25">
        <v>1</v>
      </c>
      <c r="BC87" s="25">
        <v>1</v>
      </c>
      <c r="BD87" s="25">
        <v>1</v>
      </c>
    </row>
    <row r="88" spans="27:56" x14ac:dyDescent="0.25">
      <c r="AA88" s="68" t="str">
        <f t="shared" si="5"/>
        <v>Fotos\\.jpg</v>
      </c>
      <c r="AB88" s="53">
        <f t="shared" si="6"/>
        <v>1.1363636363636364E-2</v>
      </c>
      <c r="AC88" s="25">
        <f t="shared" si="7"/>
        <v>88</v>
      </c>
      <c r="AD88" s="51">
        <f t="shared" si="8"/>
        <v>1</v>
      </c>
      <c r="AE88" s="25">
        <v>1</v>
      </c>
      <c r="AF88" s="25">
        <v>1</v>
      </c>
      <c r="AG88" s="25">
        <v>1</v>
      </c>
      <c r="AH88" s="25">
        <v>1</v>
      </c>
      <c r="AI88" s="25">
        <f>IF(OR(Apresentação!$E$3='Base de Dados e filtragem'!AI$2,Apresentação!$E$3='Base de Dados e filtragem'!E88),1,0)</f>
        <v>1</v>
      </c>
      <c r="AJ88" s="25">
        <f>IF(OR(Apresentação!$E$4='Base de Dados e filtragem'!AJ$2,Apresentação!$E$4='Base de Dados e filtragem'!F88),1,0)</f>
        <v>1</v>
      </c>
      <c r="AK88" s="25">
        <f>IF(OR(Apresentação!$E$5='Base de Dados e filtragem'!AK$2,Apresentação!$E$5='Base de Dados e filtragem'!G88),1,0)</f>
        <v>1</v>
      </c>
      <c r="AL88" s="25">
        <f>IF(OR(Apresentação!$E$6='Base de Dados e filtragem'!AL$2,Apresentação!$E$6='Base de Dados e filtragem'!H88),1,0)</f>
        <v>1</v>
      </c>
      <c r="AM88" s="25">
        <f>IF(OR(Apresentação!$I$2='Base de Dados e filtragem'!AM$2,Apresentação!$I$2='Base de Dados e filtragem'!I88),1,0)</f>
        <v>1</v>
      </c>
      <c r="AN88" s="25">
        <f>IF(OR(Apresentação!$I$3='Base de Dados e filtragem'!AN$2,Apresentação!$I$3='Base de Dados e filtragem'!J88),1,0)</f>
        <v>1</v>
      </c>
      <c r="AO88" s="25">
        <f>IF(OR(Apresentação!$I$4='Base de Dados e filtragem'!AO$2,Apresentação!$I$4='Base de Dados e filtragem'!K88),1,0)</f>
        <v>1</v>
      </c>
      <c r="AP88" s="25">
        <f>IF(OR(Apresentação!$I$5='Base de Dados e filtragem'!AP$2,Apresentação!$I$5='Base de Dados e filtragem'!L88),1,0)</f>
        <v>1</v>
      </c>
      <c r="AQ88" s="25">
        <f>IF(OR(Apresentação!$I$6='Base de Dados e filtragem'!AQ$2,Apresentação!$I$6='Base de Dados e filtragem'!M88),1,0)</f>
        <v>1</v>
      </c>
      <c r="AR88" s="25">
        <v>1</v>
      </c>
      <c r="AS88" s="25">
        <v>1</v>
      </c>
      <c r="AT88" s="25">
        <v>1</v>
      </c>
      <c r="AU88" s="25">
        <v>1</v>
      </c>
      <c r="AV88" s="25">
        <v>1</v>
      </c>
      <c r="AW88" s="25">
        <v>1</v>
      </c>
      <c r="AX88" s="25">
        <v>1</v>
      </c>
      <c r="AY88" s="25">
        <v>1</v>
      </c>
      <c r="AZ88" s="25">
        <v>1</v>
      </c>
      <c r="BA88" s="25">
        <v>1</v>
      </c>
      <c r="BB88" s="25">
        <v>1</v>
      </c>
      <c r="BC88" s="25">
        <v>1</v>
      </c>
      <c r="BD88" s="25">
        <v>1</v>
      </c>
    </row>
    <row r="89" spans="27:56" x14ac:dyDescent="0.25">
      <c r="AA89" s="68" t="str">
        <f t="shared" si="5"/>
        <v>Fotos\\.jpg</v>
      </c>
      <c r="AB89" s="53">
        <f t="shared" si="6"/>
        <v>1.1235955056179775E-2</v>
      </c>
      <c r="AC89" s="25">
        <f t="shared" si="7"/>
        <v>89</v>
      </c>
      <c r="AD89" s="51">
        <f t="shared" si="8"/>
        <v>1</v>
      </c>
      <c r="AE89" s="25">
        <v>1</v>
      </c>
      <c r="AF89" s="25">
        <v>1</v>
      </c>
      <c r="AG89" s="25">
        <v>1</v>
      </c>
      <c r="AH89" s="25">
        <v>1</v>
      </c>
      <c r="AI89" s="25">
        <f>IF(OR(Apresentação!$E$3='Base de Dados e filtragem'!AI$2,Apresentação!$E$3='Base de Dados e filtragem'!E89),1,0)</f>
        <v>1</v>
      </c>
      <c r="AJ89" s="25">
        <f>IF(OR(Apresentação!$E$4='Base de Dados e filtragem'!AJ$2,Apresentação!$E$4='Base de Dados e filtragem'!F89),1,0)</f>
        <v>1</v>
      </c>
      <c r="AK89" s="25">
        <f>IF(OR(Apresentação!$E$5='Base de Dados e filtragem'!AK$2,Apresentação!$E$5='Base de Dados e filtragem'!G89),1,0)</f>
        <v>1</v>
      </c>
      <c r="AL89" s="25">
        <f>IF(OR(Apresentação!$E$6='Base de Dados e filtragem'!AL$2,Apresentação!$E$6='Base de Dados e filtragem'!H89),1,0)</f>
        <v>1</v>
      </c>
      <c r="AM89" s="25">
        <f>IF(OR(Apresentação!$I$2='Base de Dados e filtragem'!AM$2,Apresentação!$I$2='Base de Dados e filtragem'!I89),1,0)</f>
        <v>1</v>
      </c>
      <c r="AN89" s="25">
        <f>IF(OR(Apresentação!$I$3='Base de Dados e filtragem'!AN$2,Apresentação!$I$3='Base de Dados e filtragem'!J89),1,0)</f>
        <v>1</v>
      </c>
      <c r="AO89" s="25">
        <f>IF(OR(Apresentação!$I$4='Base de Dados e filtragem'!AO$2,Apresentação!$I$4='Base de Dados e filtragem'!K89),1,0)</f>
        <v>1</v>
      </c>
      <c r="AP89" s="25">
        <f>IF(OR(Apresentação!$I$5='Base de Dados e filtragem'!AP$2,Apresentação!$I$5='Base de Dados e filtragem'!L89),1,0)</f>
        <v>1</v>
      </c>
      <c r="AQ89" s="25">
        <f>IF(OR(Apresentação!$I$6='Base de Dados e filtragem'!AQ$2,Apresentação!$I$6='Base de Dados e filtragem'!M89),1,0)</f>
        <v>1</v>
      </c>
      <c r="AR89" s="25">
        <v>1</v>
      </c>
      <c r="AS89" s="25">
        <v>1</v>
      </c>
      <c r="AT89" s="25">
        <v>1</v>
      </c>
      <c r="AU89" s="25">
        <v>1</v>
      </c>
      <c r="AV89" s="25">
        <v>1</v>
      </c>
      <c r="AW89" s="25">
        <v>1</v>
      </c>
      <c r="AX89" s="25">
        <v>1</v>
      </c>
      <c r="AY89" s="25">
        <v>1</v>
      </c>
      <c r="AZ89" s="25">
        <v>1</v>
      </c>
      <c r="BA89" s="25">
        <v>1</v>
      </c>
      <c r="BB89" s="25">
        <v>1</v>
      </c>
      <c r="BC89" s="25">
        <v>1</v>
      </c>
      <c r="BD89" s="25">
        <v>1</v>
      </c>
    </row>
    <row r="90" spans="27:56" x14ac:dyDescent="0.25">
      <c r="AA90" s="68" t="str">
        <f t="shared" si="5"/>
        <v>Fotos\\.jpg</v>
      </c>
      <c r="AB90" s="53">
        <f t="shared" si="6"/>
        <v>1.1111111111111112E-2</v>
      </c>
      <c r="AC90" s="25">
        <f t="shared" si="7"/>
        <v>90</v>
      </c>
      <c r="AD90" s="51">
        <f t="shared" si="8"/>
        <v>1</v>
      </c>
      <c r="AE90" s="25">
        <v>1</v>
      </c>
      <c r="AF90" s="25">
        <v>1</v>
      </c>
      <c r="AG90" s="25">
        <v>1</v>
      </c>
      <c r="AH90" s="25">
        <v>1</v>
      </c>
      <c r="AI90" s="25">
        <f>IF(OR(Apresentação!$E$3='Base de Dados e filtragem'!AI$2,Apresentação!$E$3='Base de Dados e filtragem'!E90),1,0)</f>
        <v>1</v>
      </c>
      <c r="AJ90" s="25">
        <f>IF(OR(Apresentação!$E$4='Base de Dados e filtragem'!AJ$2,Apresentação!$E$4='Base de Dados e filtragem'!F90),1,0)</f>
        <v>1</v>
      </c>
      <c r="AK90" s="25">
        <f>IF(OR(Apresentação!$E$5='Base de Dados e filtragem'!AK$2,Apresentação!$E$5='Base de Dados e filtragem'!G90),1,0)</f>
        <v>1</v>
      </c>
      <c r="AL90" s="25">
        <f>IF(OR(Apresentação!$E$6='Base de Dados e filtragem'!AL$2,Apresentação!$E$6='Base de Dados e filtragem'!H90),1,0)</f>
        <v>1</v>
      </c>
      <c r="AM90" s="25">
        <f>IF(OR(Apresentação!$I$2='Base de Dados e filtragem'!AM$2,Apresentação!$I$2='Base de Dados e filtragem'!I90),1,0)</f>
        <v>1</v>
      </c>
      <c r="AN90" s="25">
        <f>IF(OR(Apresentação!$I$3='Base de Dados e filtragem'!AN$2,Apresentação!$I$3='Base de Dados e filtragem'!J90),1,0)</f>
        <v>1</v>
      </c>
      <c r="AO90" s="25">
        <f>IF(OR(Apresentação!$I$4='Base de Dados e filtragem'!AO$2,Apresentação!$I$4='Base de Dados e filtragem'!K90),1,0)</f>
        <v>1</v>
      </c>
      <c r="AP90" s="25">
        <f>IF(OR(Apresentação!$I$5='Base de Dados e filtragem'!AP$2,Apresentação!$I$5='Base de Dados e filtragem'!L90),1,0)</f>
        <v>1</v>
      </c>
      <c r="AQ90" s="25">
        <f>IF(OR(Apresentação!$I$6='Base de Dados e filtragem'!AQ$2,Apresentação!$I$6='Base de Dados e filtragem'!M90),1,0)</f>
        <v>1</v>
      </c>
      <c r="AR90" s="25">
        <v>1</v>
      </c>
      <c r="AS90" s="25">
        <v>1</v>
      </c>
      <c r="AT90" s="25">
        <v>1</v>
      </c>
      <c r="AU90" s="25">
        <v>1</v>
      </c>
      <c r="AV90" s="25">
        <v>1</v>
      </c>
      <c r="AW90" s="25">
        <v>1</v>
      </c>
      <c r="AX90" s="25">
        <v>1</v>
      </c>
      <c r="AY90" s="25">
        <v>1</v>
      </c>
      <c r="AZ90" s="25">
        <v>1</v>
      </c>
      <c r="BA90" s="25">
        <v>1</v>
      </c>
      <c r="BB90" s="25">
        <v>1</v>
      </c>
      <c r="BC90" s="25">
        <v>1</v>
      </c>
      <c r="BD90" s="25">
        <v>1</v>
      </c>
    </row>
    <row r="91" spans="27:56" x14ac:dyDescent="0.25">
      <c r="AA91" s="68" t="str">
        <f t="shared" si="5"/>
        <v>Fotos\\.jpg</v>
      </c>
      <c r="AB91" s="53">
        <f t="shared" si="6"/>
        <v>1.098901098901099E-2</v>
      </c>
      <c r="AC91" s="25">
        <f t="shared" si="7"/>
        <v>91</v>
      </c>
      <c r="AD91" s="51">
        <f t="shared" si="8"/>
        <v>1</v>
      </c>
      <c r="AE91" s="25">
        <v>1</v>
      </c>
      <c r="AF91" s="25">
        <v>1</v>
      </c>
      <c r="AG91" s="25">
        <v>1</v>
      </c>
      <c r="AH91" s="25">
        <v>1</v>
      </c>
      <c r="AI91" s="25">
        <f>IF(OR(Apresentação!$E$3='Base de Dados e filtragem'!AI$2,Apresentação!$E$3='Base de Dados e filtragem'!E91),1,0)</f>
        <v>1</v>
      </c>
      <c r="AJ91" s="25">
        <f>IF(OR(Apresentação!$E$4='Base de Dados e filtragem'!AJ$2,Apresentação!$E$4='Base de Dados e filtragem'!F91),1,0)</f>
        <v>1</v>
      </c>
      <c r="AK91" s="25">
        <f>IF(OR(Apresentação!$E$5='Base de Dados e filtragem'!AK$2,Apresentação!$E$5='Base de Dados e filtragem'!G91),1,0)</f>
        <v>1</v>
      </c>
      <c r="AL91" s="25">
        <f>IF(OR(Apresentação!$E$6='Base de Dados e filtragem'!AL$2,Apresentação!$E$6='Base de Dados e filtragem'!H91),1,0)</f>
        <v>1</v>
      </c>
      <c r="AM91" s="25">
        <f>IF(OR(Apresentação!$I$2='Base de Dados e filtragem'!AM$2,Apresentação!$I$2='Base de Dados e filtragem'!I91),1,0)</f>
        <v>1</v>
      </c>
      <c r="AN91" s="25">
        <f>IF(OR(Apresentação!$I$3='Base de Dados e filtragem'!AN$2,Apresentação!$I$3='Base de Dados e filtragem'!J91),1,0)</f>
        <v>1</v>
      </c>
      <c r="AO91" s="25">
        <f>IF(OR(Apresentação!$I$4='Base de Dados e filtragem'!AO$2,Apresentação!$I$4='Base de Dados e filtragem'!K91),1,0)</f>
        <v>1</v>
      </c>
      <c r="AP91" s="25">
        <f>IF(OR(Apresentação!$I$5='Base de Dados e filtragem'!AP$2,Apresentação!$I$5='Base de Dados e filtragem'!L91),1,0)</f>
        <v>1</v>
      </c>
      <c r="AQ91" s="25">
        <f>IF(OR(Apresentação!$I$6='Base de Dados e filtragem'!AQ$2,Apresentação!$I$6='Base de Dados e filtragem'!M91),1,0)</f>
        <v>1</v>
      </c>
      <c r="AR91" s="25">
        <v>1</v>
      </c>
      <c r="AS91" s="25">
        <v>1</v>
      </c>
      <c r="AT91" s="25">
        <v>1</v>
      </c>
      <c r="AU91" s="25">
        <v>1</v>
      </c>
      <c r="AV91" s="25">
        <v>1</v>
      </c>
      <c r="AW91" s="25">
        <v>1</v>
      </c>
      <c r="AX91" s="25">
        <v>1</v>
      </c>
      <c r="AY91" s="25">
        <v>1</v>
      </c>
      <c r="AZ91" s="25">
        <v>1</v>
      </c>
      <c r="BA91" s="25">
        <v>1</v>
      </c>
      <c r="BB91" s="25">
        <v>1</v>
      </c>
      <c r="BC91" s="25">
        <v>1</v>
      </c>
      <c r="BD91" s="25">
        <v>1</v>
      </c>
    </row>
    <row r="92" spans="27:56" x14ac:dyDescent="0.25">
      <c r="AA92" s="68" t="str">
        <f t="shared" si="5"/>
        <v>Fotos\\.jpg</v>
      </c>
      <c r="AB92" s="53">
        <f t="shared" si="6"/>
        <v>1.0869565217391304E-2</v>
      </c>
      <c r="AC92" s="25">
        <f t="shared" si="7"/>
        <v>92</v>
      </c>
      <c r="AD92" s="51">
        <f t="shared" si="8"/>
        <v>1</v>
      </c>
      <c r="AE92" s="25">
        <v>1</v>
      </c>
      <c r="AF92" s="25">
        <v>1</v>
      </c>
      <c r="AG92" s="25">
        <v>1</v>
      </c>
      <c r="AH92" s="25">
        <v>1</v>
      </c>
      <c r="AI92" s="25">
        <f>IF(OR(Apresentação!$E$3='Base de Dados e filtragem'!AI$2,Apresentação!$E$3='Base de Dados e filtragem'!E92),1,0)</f>
        <v>1</v>
      </c>
      <c r="AJ92" s="25">
        <f>IF(OR(Apresentação!$E$4='Base de Dados e filtragem'!AJ$2,Apresentação!$E$4='Base de Dados e filtragem'!F92),1,0)</f>
        <v>1</v>
      </c>
      <c r="AK92" s="25">
        <f>IF(OR(Apresentação!$E$5='Base de Dados e filtragem'!AK$2,Apresentação!$E$5='Base de Dados e filtragem'!G92),1,0)</f>
        <v>1</v>
      </c>
      <c r="AL92" s="25">
        <f>IF(OR(Apresentação!$E$6='Base de Dados e filtragem'!AL$2,Apresentação!$E$6='Base de Dados e filtragem'!H92),1,0)</f>
        <v>1</v>
      </c>
      <c r="AM92" s="25">
        <f>IF(OR(Apresentação!$I$2='Base de Dados e filtragem'!AM$2,Apresentação!$I$2='Base de Dados e filtragem'!I92),1,0)</f>
        <v>1</v>
      </c>
      <c r="AN92" s="25">
        <f>IF(OR(Apresentação!$I$3='Base de Dados e filtragem'!AN$2,Apresentação!$I$3='Base de Dados e filtragem'!J92),1,0)</f>
        <v>1</v>
      </c>
      <c r="AO92" s="25">
        <f>IF(OR(Apresentação!$I$4='Base de Dados e filtragem'!AO$2,Apresentação!$I$4='Base de Dados e filtragem'!K92),1,0)</f>
        <v>1</v>
      </c>
      <c r="AP92" s="25">
        <f>IF(OR(Apresentação!$I$5='Base de Dados e filtragem'!AP$2,Apresentação!$I$5='Base de Dados e filtragem'!L92),1,0)</f>
        <v>1</v>
      </c>
      <c r="AQ92" s="25">
        <f>IF(OR(Apresentação!$I$6='Base de Dados e filtragem'!AQ$2,Apresentação!$I$6='Base de Dados e filtragem'!M92),1,0)</f>
        <v>1</v>
      </c>
      <c r="AR92" s="25">
        <v>1</v>
      </c>
      <c r="AS92" s="25">
        <v>1</v>
      </c>
      <c r="AT92" s="25">
        <v>1</v>
      </c>
      <c r="AU92" s="25">
        <v>1</v>
      </c>
      <c r="AV92" s="25">
        <v>1</v>
      </c>
      <c r="AW92" s="25">
        <v>1</v>
      </c>
      <c r="AX92" s="25">
        <v>1</v>
      </c>
      <c r="AY92" s="25">
        <v>1</v>
      </c>
      <c r="AZ92" s="25">
        <v>1</v>
      </c>
      <c r="BA92" s="25">
        <v>1</v>
      </c>
      <c r="BB92" s="25">
        <v>1</v>
      </c>
      <c r="BC92" s="25">
        <v>1</v>
      </c>
      <c r="BD92" s="25">
        <v>1</v>
      </c>
    </row>
    <row r="93" spans="27:56" x14ac:dyDescent="0.25">
      <c r="AA93" s="68" t="str">
        <f t="shared" si="5"/>
        <v>Fotos\\.jpg</v>
      </c>
      <c r="AB93" s="53">
        <f t="shared" si="6"/>
        <v>1.0752688172043012E-2</v>
      </c>
      <c r="AC93" s="25">
        <f t="shared" si="7"/>
        <v>93</v>
      </c>
      <c r="AD93" s="51">
        <f t="shared" si="8"/>
        <v>1</v>
      </c>
      <c r="AE93" s="25">
        <v>1</v>
      </c>
      <c r="AF93" s="25">
        <v>1</v>
      </c>
      <c r="AG93" s="25">
        <v>1</v>
      </c>
      <c r="AH93" s="25">
        <v>1</v>
      </c>
      <c r="AI93" s="25">
        <f>IF(OR(Apresentação!$E$3='Base de Dados e filtragem'!AI$2,Apresentação!$E$3='Base de Dados e filtragem'!E93),1,0)</f>
        <v>1</v>
      </c>
      <c r="AJ93" s="25">
        <f>IF(OR(Apresentação!$E$4='Base de Dados e filtragem'!AJ$2,Apresentação!$E$4='Base de Dados e filtragem'!F93),1,0)</f>
        <v>1</v>
      </c>
      <c r="AK93" s="25">
        <f>IF(OR(Apresentação!$E$5='Base de Dados e filtragem'!AK$2,Apresentação!$E$5='Base de Dados e filtragem'!G93),1,0)</f>
        <v>1</v>
      </c>
      <c r="AL93" s="25">
        <f>IF(OR(Apresentação!$E$6='Base de Dados e filtragem'!AL$2,Apresentação!$E$6='Base de Dados e filtragem'!H93),1,0)</f>
        <v>1</v>
      </c>
      <c r="AM93" s="25">
        <f>IF(OR(Apresentação!$I$2='Base de Dados e filtragem'!AM$2,Apresentação!$I$2='Base de Dados e filtragem'!I93),1,0)</f>
        <v>1</v>
      </c>
      <c r="AN93" s="25">
        <f>IF(OR(Apresentação!$I$3='Base de Dados e filtragem'!AN$2,Apresentação!$I$3='Base de Dados e filtragem'!J93),1,0)</f>
        <v>1</v>
      </c>
      <c r="AO93" s="25">
        <f>IF(OR(Apresentação!$I$4='Base de Dados e filtragem'!AO$2,Apresentação!$I$4='Base de Dados e filtragem'!K93),1,0)</f>
        <v>1</v>
      </c>
      <c r="AP93" s="25">
        <f>IF(OR(Apresentação!$I$5='Base de Dados e filtragem'!AP$2,Apresentação!$I$5='Base de Dados e filtragem'!L93),1,0)</f>
        <v>1</v>
      </c>
      <c r="AQ93" s="25">
        <f>IF(OR(Apresentação!$I$6='Base de Dados e filtragem'!AQ$2,Apresentação!$I$6='Base de Dados e filtragem'!M93),1,0)</f>
        <v>1</v>
      </c>
      <c r="AR93" s="25">
        <v>1</v>
      </c>
      <c r="AS93" s="25">
        <v>1</v>
      </c>
      <c r="AT93" s="25">
        <v>1</v>
      </c>
      <c r="AU93" s="25">
        <v>1</v>
      </c>
      <c r="AV93" s="25">
        <v>1</v>
      </c>
      <c r="AW93" s="25">
        <v>1</v>
      </c>
      <c r="AX93" s="25">
        <v>1</v>
      </c>
      <c r="AY93" s="25">
        <v>1</v>
      </c>
      <c r="AZ93" s="25">
        <v>1</v>
      </c>
      <c r="BA93" s="25">
        <v>1</v>
      </c>
      <c r="BB93" s="25">
        <v>1</v>
      </c>
      <c r="BC93" s="25">
        <v>1</v>
      </c>
      <c r="BD93" s="25">
        <v>1</v>
      </c>
    </row>
    <row r="94" spans="27:56" x14ac:dyDescent="0.25">
      <c r="AA94" s="68" t="str">
        <f t="shared" si="5"/>
        <v>Fotos\\.jpg</v>
      </c>
      <c r="AB94" s="53">
        <f t="shared" si="6"/>
        <v>1.0638297872340425E-2</v>
      </c>
      <c r="AC94" s="25">
        <f t="shared" si="7"/>
        <v>94</v>
      </c>
      <c r="AD94" s="51">
        <f t="shared" si="8"/>
        <v>1</v>
      </c>
      <c r="AE94" s="25">
        <v>1</v>
      </c>
      <c r="AF94" s="25">
        <v>1</v>
      </c>
      <c r="AG94" s="25">
        <v>1</v>
      </c>
      <c r="AH94" s="25">
        <v>1</v>
      </c>
      <c r="AI94" s="25">
        <f>IF(OR(Apresentação!$E$3='Base de Dados e filtragem'!AI$2,Apresentação!$E$3='Base de Dados e filtragem'!E94),1,0)</f>
        <v>1</v>
      </c>
      <c r="AJ94" s="25">
        <f>IF(OR(Apresentação!$E$4='Base de Dados e filtragem'!AJ$2,Apresentação!$E$4='Base de Dados e filtragem'!F94),1,0)</f>
        <v>1</v>
      </c>
      <c r="AK94" s="25">
        <f>IF(OR(Apresentação!$E$5='Base de Dados e filtragem'!AK$2,Apresentação!$E$5='Base de Dados e filtragem'!G94),1,0)</f>
        <v>1</v>
      </c>
      <c r="AL94" s="25">
        <f>IF(OR(Apresentação!$E$6='Base de Dados e filtragem'!AL$2,Apresentação!$E$6='Base de Dados e filtragem'!H94),1,0)</f>
        <v>1</v>
      </c>
      <c r="AM94" s="25">
        <f>IF(OR(Apresentação!$I$2='Base de Dados e filtragem'!AM$2,Apresentação!$I$2='Base de Dados e filtragem'!I94),1,0)</f>
        <v>1</v>
      </c>
      <c r="AN94" s="25">
        <f>IF(OR(Apresentação!$I$3='Base de Dados e filtragem'!AN$2,Apresentação!$I$3='Base de Dados e filtragem'!J94),1,0)</f>
        <v>1</v>
      </c>
      <c r="AO94" s="25">
        <f>IF(OR(Apresentação!$I$4='Base de Dados e filtragem'!AO$2,Apresentação!$I$4='Base de Dados e filtragem'!K94),1,0)</f>
        <v>1</v>
      </c>
      <c r="AP94" s="25">
        <f>IF(OR(Apresentação!$I$5='Base de Dados e filtragem'!AP$2,Apresentação!$I$5='Base de Dados e filtragem'!L94),1,0)</f>
        <v>1</v>
      </c>
      <c r="AQ94" s="25">
        <f>IF(OR(Apresentação!$I$6='Base de Dados e filtragem'!AQ$2,Apresentação!$I$6='Base de Dados e filtragem'!M94),1,0)</f>
        <v>1</v>
      </c>
      <c r="AR94" s="25">
        <v>1</v>
      </c>
      <c r="AS94" s="25">
        <v>1</v>
      </c>
      <c r="AT94" s="25">
        <v>1</v>
      </c>
      <c r="AU94" s="25">
        <v>1</v>
      </c>
      <c r="AV94" s="25">
        <v>1</v>
      </c>
      <c r="AW94" s="25">
        <v>1</v>
      </c>
      <c r="AX94" s="25">
        <v>1</v>
      </c>
      <c r="AY94" s="25">
        <v>1</v>
      </c>
      <c r="AZ94" s="25">
        <v>1</v>
      </c>
      <c r="BA94" s="25">
        <v>1</v>
      </c>
      <c r="BB94" s="25">
        <v>1</v>
      </c>
      <c r="BC94" s="25">
        <v>1</v>
      </c>
      <c r="BD94" s="25">
        <v>1</v>
      </c>
    </row>
    <row r="95" spans="27:56" x14ac:dyDescent="0.25">
      <c r="AA95" s="68" t="str">
        <f t="shared" si="5"/>
        <v>Fotos\\.jpg</v>
      </c>
      <c r="AB95" s="53">
        <f t="shared" si="6"/>
        <v>1.0526315789473684E-2</v>
      </c>
      <c r="AC95" s="25">
        <f t="shared" si="7"/>
        <v>95</v>
      </c>
      <c r="AD95" s="51">
        <f t="shared" si="8"/>
        <v>1</v>
      </c>
      <c r="AE95" s="25">
        <v>1</v>
      </c>
      <c r="AF95" s="25">
        <v>1</v>
      </c>
      <c r="AG95" s="25">
        <v>1</v>
      </c>
      <c r="AH95" s="25">
        <v>1</v>
      </c>
      <c r="AI95" s="25">
        <f>IF(OR(Apresentação!$E$3='Base de Dados e filtragem'!AI$2,Apresentação!$E$3='Base de Dados e filtragem'!E95),1,0)</f>
        <v>1</v>
      </c>
      <c r="AJ95" s="25">
        <f>IF(OR(Apresentação!$E$4='Base de Dados e filtragem'!AJ$2,Apresentação!$E$4='Base de Dados e filtragem'!F95),1,0)</f>
        <v>1</v>
      </c>
      <c r="AK95" s="25">
        <f>IF(OR(Apresentação!$E$5='Base de Dados e filtragem'!AK$2,Apresentação!$E$5='Base de Dados e filtragem'!G95),1,0)</f>
        <v>1</v>
      </c>
      <c r="AL95" s="25">
        <f>IF(OR(Apresentação!$E$6='Base de Dados e filtragem'!AL$2,Apresentação!$E$6='Base de Dados e filtragem'!H95),1,0)</f>
        <v>1</v>
      </c>
      <c r="AM95" s="25">
        <f>IF(OR(Apresentação!$I$2='Base de Dados e filtragem'!AM$2,Apresentação!$I$2='Base de Dados e filtragem'!I95),1,0)</f>
        <v>1</v>
      </c>
      <c r="AN95" s="25">
        <f>IF(OR(Apresentação!$I$3='Base de Dados e filtragem'!AN$2,Apresentação!$I$3='Base de Dados e filtragem'!J95),1,0)</f>
        <v>1</v>
      </c>
      <c r="AO95" s="25">
        <f>IF(OR(Apresentação!$I$4='Base de Dados e filtragem'!AO$2,Apresentação!$I$4='Base de Dados e filtragem'!K95),1,0)</f>
        <v>1</v>
      </c>
      <c r="AP95" s="25">
        <f>IF(OR(Apresentação!$I$5='Base de Dados e filtragem'!AP$2,Apresentação!$I$5='Base de Dados e filtragem'!L95),1,0)</f>
        <v>1</v>
      </c>
      <c r="AQ95" s="25">
        <f>IF(OR(Apresentação!$I$6='Base de Dados e filtragem'!AQ$2,Apresentação!$I$6='Base de Dados e filtragem'!M95),1,0)</f>
        <v>1</v>
      </c>
      <c r="AR95" s="25">
        <v>1</v>
      </c>
      <c r="AS95" s="25">
        <v>1</v>
      </c>
      <c r="AT95" s="25">
        <v>1</v>
      </c>
      <c r="AU95" s="25">
        <v>1</v>
      </c>
      <c r="AV95" s="25">
        <v>1</v>
      </c>
      <c r="AW95" s="25">
        <v>1</v>
      </c>
      <c r="AX95" s="25">
        <v>1</v>
      </c>
      <c r="AY95" s="25">
        <v>1</v>
      </c>
      <c r="AZ95" s="25">
        <v>1</v>
      </c>
      <c r="BA95" s="25">
        <v>1</v>
      </c>
      <c r="BB95" s="25">
        <v>1</v>
      </c>
      <c r="BC95" s="25">
        <v>1</v>
      </c>
      <c r="BD95" s="25">
        <v>1</v>
      </c>
    </row>
    <row r="96" spans="27:56" x14ac:dyDescent="0.25">
      <c r="AA96" s="68" t="str">
        <f t="shared" si="5"/>
        <v>Fotos\\.jpg</v>
      </c>
      <c r="AB96" s="53">
        <f t="shared" si="6"/>
        <v>1.0416666666666666E-2</v>
      </c>
      <c r="AC96" s="25">
        <f t="shared" si="7"/>
        <v>96</v>
      </c>
      <c r="AD96" s="51">
        <f t="shared" si="8"/>
        <v>1</v>
      </c>
      <c r="AE96" s="25">
        <v>1</v>
      </c>
      <c r="AF96" s="25">
        <v>1</v>
      </c>
      <c r="AG96" s="25">
        <v>1</v>
      </c>
      <c r="AH96" s="25">
        <v>1</v>
      </c>
      <c r="AI96" s="25">
        <f>IF(OR(Apresentação!$E$3='Base de Dados e filtragem'!AI$2,Apresentação!$E$3='Base de Dados e filtragem'!E96),1,0)</f>
        <v>1</v>
      </c>
      <c r="AJ96" s="25">
        <f>IF(OR(Apresentação!$E$4='Base de Dados e filtragem'!AJ$2,Apresentação!$E$4='Base de Dados e filtragem'!F96),1,0)</f>
        <v>1</v>
      </c>
      <c r="AK96" s="25">
        <f>IF(OR(Apresentação!$E$5='Base de Dados e filtragem'!AK$2,Apresentação!$E$5='Base de Dados e filtragem'!G96),1,0)</f>
        <v>1</v>
      </c>
      <c r="AL96" s="25">
        <f>IF(OR(Apresentação!$E$6='Base de Dados e filtragem'!AL$2,Apresentação!$E$6='Base de Dados e filtragem'!H96),1,0)</f>
        <v>1</v>
      </c>
      <c r="AM96" s="25">
        <f>IF(OR(Apresentação!$I$2='Base de Dados e filtragem'!AM$2,Apresentação!$I$2='Base de Dados e filtragem'!I96),1,0)</f>
        <v>1</v>
      </c>
      <c r="AN96" s="25">
        <f>IF(OR(Apresentação!$I$3='Base de Dados e filtragem'!AN$2,Apresentação!$I$3='Base de Dados e filtragem'!J96),1,0)</f>
        <v>1</v>
      </c>
      <c r="AO96" s="25">
        <f>IF(OR(Apresentação!$I$4='Base de Dados e filtragem'!AO$2,Apresentação!$I$4='Base de Dados e filtragem'!K96),1,0)</f>
        <v>1</v>
      </c>
      <c r="AP96" s="25">
        <f>IF(OR(Apresentação!$I$5='Base de Dados e filtragem'!AP$2,Apresentação!$I$5='Base de Dados e filtragem'!L96),1,0)</f>
        <v>1</v>
      </c>
      <c r="AQ96" s="25">
        <f>IF(OR(Apresentação!$I$6='Base de Dados e filtragem'!AQ$2,Apresentação!$I$6='Base de Dados e filtragem'!M96),1,0)</f>
        <v>1</v>
      </c>
      <c r="AR96" s="25">
        <v>1</v>
      </c>
      <c r="AS96" s="25">
        <v>1</v>
      </c>
      <c r="AT96" s="25">
        <v>1</v>
      </c>
      <c r="AU96" s="25">
        <v>1</v>
      </c>
      <c r="AV96" s="25">
        <v>1</v>
      </c>
      <c r="AW96" s="25">
        <v>1</v>
      </c>
      <c r="AX96" s="25">
        <v>1</v>
      </c>
      <c r="AY96" s="25">
        <v>1</v>
      </c>
      <c r="AZ96" s="25">
        <v>1</v>
      </c>
      <c r="BA96" s="25">
        <v>1</v>
      </c>
      <c r="BB96" s="25">
        <v>1</v>
      </c>
      <c r="BC96" s="25">
        <v>1</v>
      </c>
      <c r="BD96" s="25">
        <v>1</v>
      </c>
    </row>
    <row r="97" spans="27:56" x14ac:dyDescent="0.25">
      <c r="AA97" s="68" t="str">
        <f t="shared" si="5"/>
        <v>Fotos\\.jpg</v>
      </c>
      <c r="AB97" s="53">
        <f t="shared" si="6"/>
        <v>1.0309278350515464E-2</v>
      </c>
      <c r="AC97" s="25">
        <f t="shared" si="7"/>
        <v>97</v>
      </c>
      <c r="AD97" s="51">
        <f t="shared" si="8"/>
        <v>1</v>
      </c>
      <c r="AE97" s="25">
        <v>1</v>
      </c>
      <c r="AF97" s="25">
        <v>1</v>
      </c>
      <c r="AG97" s="25">
        <v>1</v>
      </c>
      <c r="AH97" s="25">
        <v>1</v>
      </c>
      <c r="AI97" s="25">
        <f>IF(OR(Apresentação!$E$3='Base de Dados e filtragem'!AI$2,Apresentação!$E$3='Base de Dados e filtragem'!E97),1,0)</f>
        <v>1</v>
      </c>
      <c r="AJ97" s="25">
        <f>IF(OR(Apresentação!$E$4='Base de Dados e filtragem'!AJ$2,Apresentação!$E$4='Base de Dados e filtragem'!F97),1,0)</f>
        <v>1</v>
      </c>
      <c r="AK97" s="25">
        <f>IF(OR(Apresentação!$E$5='Base de Dados e filtragem'!AK$2,Apresentação!$E$5='Base de Dados e filtragem'!G97),1,0)</f>
        <v>1</v>
      </c>
      <c r="AL97" s="25">
        <f>IF(OR(Apresentação!$E$6='Base de Dados e filtragem'!AL$2,Apresentação!$E$6='Base de Dados e filtragem'!H97),1,0)</f>
        <v>1</v>
      </c>
      <c r="AM97" s="25">
        <f>IF(OR(Apresentação!$I$2='Base de Dados e filtragem'!AM$2,Apresentação!$I$2='Base de Dados e filtragem'!I97),1,0)</f>
        <v>1</v>
      </c>
      <c r="AN97" s="25">
        <f>IF(OR(Apresentação!$I$3='Base de Dados e filtragem'!AN$2,Apresentação!$I$3='Base de Dados e filtragem'!J97),1,0)</f>
        <v>1</v>
      </c>
      <c r="AO97" s="25">
        <f>IF(OR(Apresentação!$I$4='Base de Dados e filtragem'!AO$2,Apresentação!$I$4='Base de Dados e filtragem'!K97),1,0)</f>
        <v>1</v>
      </c>
      <c r="AP97" s="25">
        <f>IF(OR(Apresentação!$I$5='Base de Dados e filtragem'!AP$2,Apresentação!$I$5='Base de Dados e filtragem'!L97),1,0)</f>
        <v>1</v>
      </c>
      <c r="AQ97" s="25">
        <f>IF(OR(Apresentação!$I$6='Base de Dados e filtragem'!AQ$2,Apresentação!$I$6='Base de Dados e filtragem'!M97),1,0)</f>
        <v>1</v>
      </c>
      <c r="AR97" s="25">
        <v>1</v>
      </c>
      <c r="AS97" s="25">
        <v>1</v>
      </c>
      <c r="AT97" s="25">
        <v>1</v>
      </c>
      <c r="AU97" s="25">
        <v>1</v>
      </c>
      <c r="AV97" s="25">
        <v>1</v>
      </c>
      <c r="AW97" s="25">
        <v>1</v>
      </c>
      <c r="AX97" s="25">
        <v>1</v>
      </c>
      <c r="AY97" s="25">
        <v>1</v>
      </c>
      <c r="AZ97" s="25">
        <v>1</v>
      </c>
      <c r="BA97" s="25">
        <v>1</v>
      </c>
      <c r="BB97" s="25">
        <v>1</v>
      </c>
      <c r="BC97" s="25">
        <v>1</v>
      </c>
      <c r="BD97" s="25">
        <v>1</v>
      </c>
    </row>
    <row r="98" spans="27:56" x14ac:dyDescent="0.25">
      <c r="AA98" s="68" t="str">
        <f t="shared" si="5"/>
        <v>Fotos\\.jpg</v>
      </c>
      <c r="AB98" s="53">
        <f t="shared" si="6"/>
        <v>1.020408163265306E-2</v>
      </c>
      <c r="AC98" s="25">
        <f t="shared" si="7"/>
        <v>98</v>
      </c>
      <c r="AD98" s="51">
        <f t="shared" si="8"/>
        <v>1</v>
      </c>
      <c r="AE98" s="25">
        <v>1</v>
      </c>
      <c r="AF98" s="25">
        <v>1</v>
      </c>
      <c r="AG98" s="25">
        <v>1</v>
      </c>
      <c r="AH98" s="25">
        <v>1</v>
      </c>
      <c r="AI98" s="25">
        <f>IF(OR(Apresentação!$E$3='Base de Dados e filtragem'!AI$2,Apresentação!$E$3='Base de Dados e filtragem'!E98),1,0)</f>
        <v>1</v>
      </c>
      <c r="AJ98" s="25">
        <f>IF(OR(Apresentação!$E$4='Base de Dados e filtragem'!AJ$2,Apresentação!$E$4='Base de Dados e filtragem'!F98),1,0)</f>
        <v>1</v>
      </c>
      <c r="AK98" s="25">
        <f>IF(OR(Apresentação!$E$5='Base de Dados e filtragem'!AK$2,Apresentação!$E$5='Base de Dados e filtragem'!G98),1,0)</f>
        <v>1</v>
      </c>
      <c r="AL98" s="25">
        <f>IF(OR(Apresentação!$E$6='Base de Dados e filtragem'!AL$2,Apresentação!$E$6='Base de Dados e filtragem'!H98),1,0)</f>
        <v>1</v>
      </c>
      <c r="AM98" s="25">
        <f>IF(OR(Apresentação!$I$2='Base de Dados e filtragem'!AM$2,Apresentação!$I$2='Base de Dados e filtragem'!I98),1,0)</f>
        <v>1</v>
      </c>
      <c r="AN98" s="25">
        <f>IF(OR(Apresentação!$I$3='Base de Dados e filtragem'!AN$2,Apresentação!$I$3='Base de Dados e filtragem'!J98),1,0)</f>
        <v>1</v>
      </c>
      <c r="AO98" s="25">
        <f>IF(OR(Apresentação!$I$4='Base de Dados e filtragem'!AO$2,Apresentação!$I$4='Base de Dados e filtragem'!K98),1,0)</f>
        <v>1</v>
      </c>
      <c r="AP98" s="25">
        <f>IF(OR(Apresentação!$I$5='Base de Dados e filtragem'!AP$2,Apresentação!$I$5='Base de Dados e filtragem'!L98),1,0)</f>
        <v>1</v>
      </c>
      <c r="AQ98" s="25">
        <f>IF(OR(Apresentação!$I$6='Base de Dados e filtragem'!AQ$2,Apresentação!$I$6='Base de Dados e filtragem'!M98),1,0)</f>
        <v>1</v>
      </c>
      <c r="AR98" s="25">
        <v>1</v>
      </c>
      <c r="AS98" s="25">
        <v>1</v>
      </c>
      <c r="AT98" s="25">
        <v>1</v>
      </c>
      <c r="AU98" s="25">
        <v>1</v>
      </c>
      <c r="AV98" s="25">
        <v>1</v>
      </c>
      <c r="AW98" s="25">
        <v>1</v>
      </c>
      <c r="AX98" s="25">
        <v>1</v>
      </c>
      <c r="AY98" s="25">
        <v>1</v>
      </c>
      <c r="AZ98" s="25">
        <v>1</v>
      </c>
      <c r="BA98" s="25">
        <v>1</v>
      </c>
      <c r="BB98" s="25">
        <v>1</v>
      </c>
      <c r="BC98" s="25">
        <v>1</v>
      </c>
      <c r="BD98" s="25">
        <v>1</v>
      </c>
    </row>
    <row r="99" spans="27:56" x14ac:dyDescent="0.25">
      <c r="AA99" s="68" t="str">
        <f t="shared" si="5"/>
        <v>Fotos\\.jpg</v>
      </c>
      <c r="AB99" s="53">
        <f t="shared" si="6"/>
        <v>1.0101010101010102E-2</v>
      </c>
      <c r="AC99" s="25">
        <f t="shared" si="7"/>
        <v>99</v>
      </c>
      <c r="AD99" s="51">
        <f t="shared" si="8"/>
        <v>1</v>
      </c>
      <c r="AE99" s="25">
        <v>1</v>
      </c>
      <c r="AF99" s="25">
        <v>1</v>
      </c>
      <c r="AG99" s="25">
        <v>1</v>
      </c>
      <c r="AH99" s="25">
        <v>1</v>
      </c>
      <c r="AI99" s="25">
        <f>IF(OR(Apresentação!$E$3='Base de Dados e filtragem'!AI$2,Apresentação!$E$3='Base de Dados e filtragem'!E99),1,0)</f>
        <v>1</v>
      </c>
      <c r="AJ99" s="25">
        <f>IF(OR(Apresentação!$E$4='Base de Dados e filtragem'!AJ$2,Apresentação!$E$4='Base de Dados e filtragem'!F99),1,0)</f>
        <v>1</v>
      </c>
      <c r="AK99" s="25">
        <f>IF(OR(Apresentação!$E$5='Base de Dados e filtragem'!AK$2,Apresentação!$E$5='Base de Dados e filtragem'!G99),1,0)</f>
        <v>1</v>
      </c>
      <c r="AL99" s="25">
        <f>IF(OR(Apresentação!$E$6='Base de Dados e filtragem'!AL$2,Apresentação!$E$6='Base de Dados e filtragem'!H99),1,0)</f>
        <v>1</v>
      </c>
      <c r="AM99" s="25">
        <f>IF(OR(Apresentação!$I$2='Base de Dados e filtragem'!AM$2,Apresentação!$I$2='Base de Dados e filtragem'!I99),1,0)</f>
        <v>1</v>
      </c>
      <c r="AN99" s="25">
        <f>IF(OR(Apresentação!$I$3='Base de Dados e filtragem'!AN$2,Apresentação!$I$3='Base de Dados e filtragem'!J99),1,0)</f>
        <v>1</v>
      </c>
      <c r="AO99" s="25">
        <f>IF(OR(Apresentação!$I$4='Base de Dados e filtragem'!AO$2,Apresentação!$I$4='Base de Dados e filtragem'!K99),1,0)</f>
        <v>1</v>
      </c>
      <c r="AP99" s="25">
        <f>IF(OR(Apresentação!$I$5='Base de Dados e filtragem'!AP$2,Apresentação!$I$5='Base de Dados e filtragem'!L99),1,0)</f>
        <v>1</v>
      </c>
      <c r="AQ99" s="25">
        <f>IF(OR(Apresentação!$I$6='Base de Dados e filtragem'!AQ$2,Apresentação!$I$6='Base de Dados e filtragem'!M99),1,0)</f>
        <v>1</v>
      </c>
      <c r="AR99" s="25">
        <v>1</v>
      </c>
      <c r="AS99" s="25">
        <v>1</v>
      </c>
      <c r="AT99" s="25">
        <v>1</v>
      </c>
      <c r="AU99" s="25">
        <v>1</v>
      </c>
      <c r="AV99" s="25">
        <v>1</v>
      </c>
      <c r="AW99" s="25">
        <v>1</v>
      </c>
      <c r="AX99" s="25">
        <v>1</v>
      </c>
      <c r="AY99" s="25">
        <v>1</v>
      </c>
      <c r="AZ99" s="25">
        <v>1</v>
      </c>
      <c r="BA99" s="25">
        <v>1</v>
      </c>
      <c r="BB99" s="25">
        <v>1</v>
      </c>
      <c r="BC99" s="25">
        <v>1</v>
      </c>
      <c r="BD99" s="25">
        <v>1</v>
      </c>
    </row>
    <row r="100" spans="27:56" x14ac:dyDescent="0.25">
      <c r="AA100" s="68" t="str">
        <f t="shared" si="5"/>
        <v>Fotos\\.jpg</v>
      </c>
      <c r="AB100" s="53">
        <f t="shared" si="6"/>
        <v>0.01</v>
      </c>
      <c r="AC100" s="25">
        <f t="shared" si="7"/>
        <v>100</v>
      </c>
      <c r="AD100" s="51">
        <f t="shared" si="8"/>
        <v>1</v>
      </c>
      <c r="AE100" s="25">
        <v>1</v>
      </c>
      <c r="AF100" s="25">
        <v>1</v>
      </c>
      <c r="AG100" s="25">
        <v>1</v>
      </c>
      <c r="AH100" s="25">
        <v>1</v>
      </c>
      <c r="AI100" s="25">
        <f>IF(OR(Apresentação!$E$3='Base de Dados e filtragem'!AI$2,Apresentação!$E$3='Base de Dados e filtragem'!E100),1,0)</f>
        <v>1</v>
      </c>
      <c r="AJ100" s="25">
        <f>IF(OR(Apresentação!$E$4='Base de Dados e filtragem'!AJ$2,Apresentação!$E$4='Base de Dados e filtragem'!F100),1,0)</f>
        <v>1</v>
      </c>
      <c r="AK100" s="25">
        <f>IF(OR(Apresentação!$E$5='Base de Dados e filtragem'!AK$2,Apresentação!$E$5='Base de Dados e filtragem'!G100),1,0)</f>
        <v>1</v>
      </c>
      <c r="AL100" s="25">
        <f>IF(OR(Apresentação!$E$6='Base de Dados e filtragem'!AL$2,Apresentação!$E$6='Base de Dados e filtragem'!H100),1,0)</f>
        <v>1</v>
      </c>
      <c r="AM100" s="25">
        <f>IF(OR(Apresentação!$I$2='Base de Dados e filtragem'!AM$2,Apresentação!$I$2='Base de Dados e filtragem'!I100),1,0)</f>
        <v>1</v>
      </c>
      <c r="AN100" s="25">
        <f>IF(OR(Apresentação!$I$3='Base de Dados e filtragem'!AN$2,Apresentação!$I$3='Base de Dados e filtragem'!J100),1,0)</f>
        <v>1</v>
      </c>
      <c r="AO100" s="25">
        <f>IF(OR(Apresentação!$I$4='Base de Dados e filtragem'!AO$2,Apresentação!$I$4='Base de Dados e filtragem'!K100),1,0)</f>
        <v>1</v>
      </c>
      <c r="AP100" s="25">
        <f>IF(OR(Apresentação!$I$5='Base de Dados e filtragem'!AP$2,Apresentação!$I$5='Base de Dados e filtragem'!L100),1,0)</f>
        <v>1</v>
      </c>
      <c r="AQ100" s="25">
        <f>IF(OR(Apresentação!$I$6='Base de Dados e filtragem'!AQ$2,Apresentação!$I$6='Base de Dados e filtragem'!M100),1,0)</f>
        <v>1</v>
      </c>
      <c r="AR100" s="25">
        <v>1</v>
      </c>
      <c r="AS100" s="25">
        <v>1</v>
      </c>
      <c r="AT100" s="25">
        <v>1</v>
      </c>
      <c r="AU100" s="25">
        <v>1</v>
      </c>
      <c r="AV100" s="25">
        <v>1</v>
      </c>
      <c r="AW100" s="25">
        <v>1</v>
      </c>
      <c r="AX100" s="25">
        <v>1</v>
      </c>
      <c r="AY100" s="25">
        <v>1</v>
      </c>
      <c r="AZ100" s="25">
        <v>1</v>
      </c>
      <c r="BA100" s="25">
        <v>1</v>
      </c>
      <c r="BB100" s="25">
        <v>1</v>
      </c>
      <c r="BC100" s="25">
        <v>1</v>
      </c>
      <c r="BD100" s="25">
        <v>1</v>
      </c>
    </row>
    <row r="101" spans="27:56" x14ac:dyDescent="0.25">
      <c r="AA101" s="68" t="str">
        <f t="shared" si="5"/>
        <v>Fotos\\.jpg</v>
      </c>
      <c r="AB101" s="53">
        <f t="shared" si="6"/>
        <v>9.9009900990099011E-3</v>
      </c>
      <c r="AC101" s="25">
        <f t="shared" si="7"/>
        <v>101</v>
      </c>
      <c r="AD101" s="51">
        <f t="shared" si="8"/>
        <v>1</v>
      </c>
      <c r="AE101" s="25">
        <v>1</v>
      </c>
      <c r="AF101" s="25">
        <v>1</v>
      </c>
      <c r="AG101" s="25">
        <v>1</v>
      </c>
      <c r="AH101" s="25">
        <v>1</v>
      </c>
      <c r="AI101" s="25">
        <f>IF(OR(Apresentação!$E$3='Base de Dados e filtragem'!AI$2,Apresentação!$E$3='Base de Dados e filtragem'!E101),1,0)</f>
        <v>1</v>
      </c>
      <c r="AJ101" s="25">
        <f>IF(OR(Apresentação!$E$4='Base de Dados e filtragem'!AJ$2,Apresentação!$E$4='Base de Dados e filtragem'!F101),1,0)</f>
        <v>1</v>
      </c>
      <c r="AK101" s="25">
        <f>IF(OR(Apresentação!$E$5='Base de Dados e filtragem'!AK$2,Apresentação!$E$5='Base de Dados e filtragem'!G101),1,0)</f>
        <v>1</v>
      </c>
      <c r="AL101" s="25">
        <f>IF(OR(Apresentação!$E$6='Base de Dados e filtragem'!AL$2,Apresentação!$E$6='Base de Dados e filtragem'!H101),1,0)</f>
        <v>1</v>
      </c>
      <c r="AM101" s="25">
        <f>IF(OR(Apresentação!$I$2='Base de Dados e filtragem'!AM$2,Apresentação!$I$2='Base de Dados e filtragem'!I101),1,0)</f>
        <v>1</v>
      </c>
      <c r="AN101" s="25">
        <f>IF(OR(Apresentação!$I$3='Base de Dados e filtragem'!AN$2,Apresentação!$I$3='Base de Dados e filtragem'!J101),1,0)</f>
        <v>1</v>
      </c>
      <c r="AO101" s="25">
        <f>IF(OR(Apresentação!$I$4='Base de Dados e filtragem'!AO$2,Apresentação!$I$4='Base de Dados e filtragem'!K101),1,0)</f>
        <v>1</v>
      </c>
      <c r="AP101" s="25">
        <f>IF(OR(Apresentação!$I$5='Base de Dados e filtragem'!AP$2,Apresentação!$I$5='Base de Dados e filtragem'!L101),1,0)</f>
        <v>1</v>
      </c>
      <c r="AQ101" s="25">
        <f>IF(OR(Apresentação!$I$6='Base de Dados e filtragem'!AQ$2,Apresentação!$I$6='Base de Dados e filtragem'!M101),1,0)</f>
        <v>1</v>
      </c>
      <c r="AR101" s="25">
        <v>1</v>
      </c>
      <c r="AS101" s="25">
        <v>1</v>
      </c>
      <c r="AT101" s="25">
        <v>1</v>
      </c>
      <c r="AU101" s="25">
        <v>1</v>
      </c>
      <c r="AV101" s="25">
        <v>1</v>
      </c>
      <c r="AW101" s="25">
        <v>1</v>
      </c>
      <c r="AX101" s="25">
        <v>1</v>
      </c>
      <c r="AY101" s="25">
        <v>1</v>
      </c>
      <c r="AZ101" s="25">
        <v>1</v>
      </c>
      <c r="BA101" s="25">
        <v>1</v>
      </c>
      <c r="BB101" s="25">
        <v>1</v>
      </c>
      <c r="BC101" s="25">
        <v>1</v>
      </c>
      <c r="BD101" s="25">
        <v>1</v>
      </c>
    </row>
    <row r="102" spans="27:56" x14ac:dyDescent="0.25">
      <c r="AA102" s="68" t="str">
        <f t="shared" si="5"/>
        <v>Fotos\\.jpg</v>
      </c>
      <c r="AB102" s="53">
        <f t="shared" si="6"/>
        <v>9.8039215686274508E-3</v>
      </c>
      <c r="AC102" s="25">
        <f t="shared" si="7"/>
        <v>102</v>
      </c>
      <c r="AD102" s="51">
        <f t="shared" si="8"/>
        <v>1</v>
      </c>
      <c r="AE102" s="25">
        <v>1</v>
      </c>
      <c r="AF102" s="25">
        <v>1</v>
      </c>
      <c r="AG102" s="25">
        <v>1</v>
      </c>
      <c r="AH102" s="25">
        <v>1</v>
      </c>
      <c r="AI102" s="25">
        <f>IF(OR(Apresentação!$E$3='Base de Dados e filtragem'!AI$2,Apresentação!$E$3='Base de Dados e filtragem'!E102),1,0)</f>
        <v>1</v>
      </c>
      <c r="AJ102" s="25">
        <f>IF(OR(Apresentação!$E$4='Base de Dados e filtragem'!AJ$2,Apresentação!$E$4='Base de Dados e filtragem'!F102),1,0)</f>
        <v>1</v>
      </c>
      <c r="AK102" s="25">
        <f>IF(OR(Apresentação!$E$5='Base de Dados e filtragem'!AK$2,Apresentação!$E$5='Base de Dados e filtragem'!G102),1,0)</f>
        <v>1</v>
      </c>
      <c r="AL102" s="25">
        <f>IF(OR(Apresentação!$E$6='Base de Dados e filtragem'!AL$2,Apresentação!$E$6='Base de Dados e filtragem'!H102),1,0)</f>
        <v>1</v>
      </c>
      <c r="AM102" s="25">
        <f>IF(OR(Apresentação!$I$2='Base de Dados e filtragem'!AM$2,Apresentação!$I$2='Base de Dados e filtragem'!I102),1,0)</f>
        <v>1</v>
      </c>
      <c r="AN102" s="25">
        <f>IF(OR(Apresentação!$I$3='Base de Dados e filtragem'!AN$2,Apresentação!$I$3='Base de Dados e filtragem'!J102),1,0)</f>
        <v>1</v>
      </c>
      <c r="AO102" s="25">
        <f>IF(OR(Apresentação!$I$4='Base de Dados e filtragem'!AO$2,Apresentação!$I$4='Base de Dados e filtragem'!K102),1,0)</f>
        <v>1</v>
      </c>
      <c r="AP102" s="25">
        <f>IF(OR(Apresentação!$I$5='Base de Dados e filtragem'!AP$2,Apresentação!$I$5='Base de Dados e filtragem'!L102),1,0)</f>
        <v>1</v>
      </c>
      <c r="AQ102" s="25">
        <f>IF(OR(Apresentação!$I$6='Base de Dados e filtragem'!AQ$2,Apresentação!$I$6='Base de Dados e filtragem'!M102),1,0)</f>
        <v>1</v>
      </c>
      <c r="AR102" s="25">
        <v>1</v>
      </c>
      <c r="AS102" s="25">
        <v>1</v>
      </c>
      <c r="AT102" s="25">
        <v>1</v>
      </c>
      <c r="AU102" s="25">
        <v>1</v>
      </c>
      <c r="AV102" s="25">
        <v>1</v>
      </c>
      <c r="AW102" s="25">
        <v>1</v>
      </c>
      <c r="AX102" s="25">
        <v>1</v>
      </c>
      <c r="AY102" s="25">
        <v>1</v>
      </c>
      <c r="AZ102" s="25">
        <v>1</v>
      </c>
      <c r="BA102" s="25">
        <v>1</v>
      </c>
      <c r="BB102" s="25">
        <v>1</v>
      </c>
      <c r="BC102" s="25">
        <v>1</v>
      </c>
      <c r="BD102" s="25">
        <v>1</v>
      </c>
    </row>
    <row r="103" spans="27:56" x14ac:dyDescent="0.25">
      <c r="AA103" s="68" t="str">
        <f t="shared" si="5"/>
        <v>Fotos\\.jpg</v>
      </c>
      <c r="AB103" s="53">
        <f t="shared" si="6"/>
        <v>9.7087378640776691E-3</v>
      </c>
      <c r="AC103" s="25">
        <f t="shared" si="7"/>
        <v>103</v>
      </c>
      <c r="AD103" s="51">
        <f t="shared" si="8"/>
        <v>1</v>
      </c>
      <c r="AE103" s="25">
        <v>1</v>
      </c>
      <c r="AF103" s="25">
        <v>1</v>
      </c>
      <c r="AG103" s="25">
        <v>1</v>
      </c>
      <c r="AH103" s="25">
        <v>1</v>
      </c>
      <c r="AI103" s="25">
        <f>IF(OR(Apresentação!$E$3='Base de Dados e filtragem'!AI$2,Apresentação!$E$3='Base de Dados e filtragem'!E103),1,0)</f>
        <v>1</v>
      </c>
      <c r="AJ103" s="25">
        <f>IF(OR(Apresentação!$E$4='Base de Dados e filtragem'!AJ$2,Apresentação!$E$4='Base de Dados e filtragem'!F103),1,0)</f>
        <v>1</v>
      </c>
      <c r="AK103" s="25">
        <f>IF(OR(Apresentação!$E$5='Base de Dados e filtragem'!AK$2,Apresentação!$E$5='Base de Dados e filtragem'!G103),1,0)</f>
        <v>1</v>
      </c>
      <c r="AL103" s="25">
        <f>IF(OR(Apresentação!$E$6='Base de Dados e filtragem'!AL$2,Apresentação!$E$6='Base de Dados e filtragem'!H103),1,0)</f>
        <v>1</v>
      </c>
      <c r="AM103" s="25">
        <f>IF(OR(Apresentação!$I$2='Base de Dados e filtragem'!AM$2,Apresentação!$I$2='Base de Dados e filtragem'!I103),1,0)</f>
        <v>1</v>
      </c>
      <c r="AN103" s="25">
        <f>IF(OR(Apresentação!$I$3='Base de Dados e filtragem'!AN$2,Apresentação!$I$3='Base de Dados e filtragem'!J103),1,0)</f>
        <v>1</v>
      </c>
      <c r="AO103" s="25">
        <f>IF(OR(Apresentação!$I$4='Base de Dados e filtragem'!AO$2,Apresentação!$I$4='Base de Dados e filtragem'!K103),1,0)</f>
        <v>1</v>
      </c>
      <c r="AP103" s="25">
        <f>IF(OR(Apresentação!$I$5='Base de Dados e filtragem'!AP$2,Apresentação!$I$5='Base de Dados e filtragem'!L103),1,0)</f>
        <v>1</v>
      </c>
      <c r="AQ103" s="25">
        <f>IF(OR(Apresentação!$I$6='Base de Dados e filtragem'!AQ$2,Apresentação!$I$6='Base de Dados e filtragem'!M103),1,0)</f>
        <v>1</v>
      </c>
      <c r="AR103" s="25">
        <v>1</v>
      </c>
      <c r="AS103" s="25">
        <v>1</v>
      </c>
      <c r="AT103" s="25">
        <v>1</v>
      </c>
      <c r="AU103" s="25">
        <v>1</v>
      </c>
      <c r="AV103" s="25">
        <v>1</v>
      </c>
      <c r="AW103" s="25">
        <v>1</v>
      </c>
      <c r="AX103" s="25">
        <v>1</v>
      </c>
      <c r="AY103" s="25">
        <v>1</v>
      </c>
      <c r="AZ103" s="25">
        <v>1</v>
      </c>
      <c r="BA103" s="25">
        <v>1</v>
      </c>
      <c r="BB103" s="25">
        <v>1</v>
      </c>
      <c r="BC103" s="25">
        <v>1</v>
      </c>
      <c r="BD103" s="25">
        <v>1</v>
      </c>
    </row>
    <row r="104" spans="27:56" x14ac:dyDescent="0.25">
      <c r="AA104" s="68" t="str">
        <f t="shared" si="5"/>
        <v>Fotos\\.jpg</v>
      </c>
      <c r="AB104" s="53">
        <f t="shared" si="6"/>
        <v>9.6153846153846159E-3</v>
      </c>
      <c r="AC104" s="25">
        <f t="shared" si="7"/>
        <v>104</v>
      </c>
      <c r="AD104" s="51">
        <f t="shared" si="8"/>
        <v>1</v>
      </c>
      <c r="AE104" s="25">
        <v>1</v>
      </c>
      <c r="AF104" s="25">
        <v>1</v>
      </c>
      <c r="AG104" s="25">
        <v>1</v>
      </c>
      <c r="AH104" s="25">
        <v>1</v>
      </c>
      <c r="AI104" s="25">
        <f>IF(OR(Apresentação!$E$3='Base de Dados e filtragem'!AI$2,Apresentação!$E$3='Base de Dados e filtragem'!E104),1,0)</f>
        <v>1</v>
      </c>
      <c r="AJ104" s="25">
        <f>IF(OR(Apresentação!$E$4='Base de Dados e filtragem'!AJ$2,Apresentação!$E$4='Base de Dados e filtragem'!F104),1,0)</f>
        <v>1</v>
      </c>
      <c r="AK104" s="25">
        <f>IF(OR(Apresentação!$E$5='Base de Dados e filtragem'!AK$2,Apresentação!$E$5='Base de Dados e filtragem'!G104),1,0)</f>
        <v>1</v>
      </c>
      <c r="AL104" s="25">
        <f>IF(OR(Apresentação!$E$6='Base de Dados e filtragem'!AL$2,Apresentação!$E$6='Base de Dados e filtragem'!H104),1,0)</f>
        <v>1</v>
      </c>
      <c r="AM104" s="25">
        <f>IF(OR(Apresentação!$I$2='Base de Dados e filtragem'!AM$2,Apresentação!$I$2='Base de Dados e filtragem'!I104),1,0)</f>
        <v>1</v>
      </c>
      <c r="AN104" s="25">
        <f>IF(OR(Apresentação!$I$3='Base de Dados e filtragem'!AN$2,Apresentação!$I$3='Base de Dados e filtragem'!J104),1,0)</f>
        <v>1</v>
      </c>
      <c r="AO104" s="25">
        <f>IF(OR(Apresentação!$I$4='Base de Dados e filtragem'!AO$2,Apresentação!$I$4='Base de Dados e filtragem'!K104),1,0)</f>
        <v>1</v>
      </c>
      <c r="AP104" s="25">
        <f>IF(OR(Apresentação!$I$5='Base de Dados e filtragem'!AP$2,Apresentação!$I$5='Base de Dados e filtragem'!L104),1,0)</f>
        <v>1</v>
      </c>
      <c r="AQ104" s="25">
        <f>IF(OR(Apresentação!$I$6='Base de Dados e filtragem'!AQ$2,Apresentação!$I$6='Base de Dados e filtragem'!M104),1,0)</f>
        <v>1</v>
      </c>
      <c r="AR104" s="25">
        <v>1</v>
      </c>
      <c r="AS104" s="25">
        <v>1</v>
      </c>
      <c r="AT104" s="25">
        <v>1</v>
      </c>
      <c r="AU104" s="25">
        <v>1</v>
      </c>
      <c r="AV104" s="25">
        <v>1</v>
      </c>
      <c r="AW104" s="25">
        <v>1</v>
      </c>
      <c r="AX104" s="25">
        <v>1</v>
      </c>
      <c r="AY104" s="25">
        <v>1</v>
      </c>
      <c r="AZ104" s="25">
        <v>1</v>
      </c>
      <c r="BA104" s="25">
        <v>1</v>
      </c>
      <c r="BB104" s="25">
        <v>1</v>
      </c>
      <c r="BC104" s="25">
        <v>1</v>
      </c>
      <c r="BD104" s="25">
        <v>1</v>
      </c>
    </row>
    <row r="105" spans="27:56" x14ac:dyDescent="0.25">
      <c r="AA105" s="68" t="str">
        <f t="shared" si="5"/>
        <v>Fotos\\.jpg</v>
      </c>
      <c r="AB105" s="53">
        <f t="shared" si="6"/>
        <v>9.5238095238095247E-3</v>
      </c>
      <c r="AC105" s="25">
        <f t="shared" si="7"/>
        <v>105</v>
      </c>
      <c r="AD105" s="51">
        <f t="shared" si="8"/>
        <v>1</v>
      </c>
      <c r="AE105" s="25">
        <v>1</v>
      </c>
      <c r="AF105" s="25">
        <v>1</v>
      </c>
      <c r="AG105" s="25">
        <v>1</v>
      </c>
      <c r="AH105" s="25">
        <v>1</v>
      </c>
      <c r="AI105" s="25">
        <f>IF(OR(Apresentação!$E$3='Base de Dados e filtragem'!AI$2,Apresentação!$E$3='Base de Dados e filtragem'!E105),1,0)</f>
        <v>1</v>
      </c>
      <c r="AJ105" s="25">
        <f>IF(OR(Apresentação!$E$4='Base de Dados e filtragem'!AJ$2,Apresentação!$E$4='Base de Dados e filtragem'!F105),1,0)</f>
        <v>1</v>
      </c>
      <c r="AK105" s="25">
        <f>IF(OR(Apresentação!$E$5='Base de Dados e filtragem'!AK$2,Apresentação!$E$5='Base de Dados e filtragem'!G105),1,0)</f>
        <v>1</v>
      </c>
      <c r="AL105" s="25">
        <f>IF(OR(Apresentação!$E$6='Base de Dados e filtragem'!AL$2,Apresentação!$E$6='Base de Dados e filtragem'!H105),1,0)</f>
        <v>1</v>
      </c>
      <c r="AM105" s="25">
        <f>IF(OR(Apresentação!$I$2='Base de Dados e filtragem'!AM$2,Apresentação!$I$2='Base de Dados e filtragem'!I105),1,0)</f>
        <v>1</v>
      </c>
      <c r="AN105" s="25">
        <f>IF(OR(Apresentação!$I$3='Base de Dados e filtragem'!AN$2,Apresentação!$I$3='Base de Dados e filtragem'!J105),1,0)</f>
        <v>1</v>
      </c>
      <c r="AO105" s="25">
        <f>IF(OR(Apresentação!$I$4='Base de Dados e filtragem'!AO$2,Apresentação!$I$4='Base de Dados e filtragem'!K105),1,0)</f>
        <v>1</v>
      </c>
      <c r="AP105" s="25">
        <f>IF(OR(Apresentação!$I$5='Base de Dados e filtragem'!AP$2,Apresentação!$I$5='Base de Dados e filtragem'!L105),1,0)</f>
        <v>1</v>
      </c>
      <c r="AQ105" s="25">
        <f>IF(OR(Apresentação!$I$6='Base de Dados e filtragem'!AQ$2,Apresentação!$I$6='Base de Dados e filtragem'!M105),1,0)</f>
        <v>1</v>
      </c>
      <c r="AR105" s="25">
        <v>1</v>
      </c>
      <c r="AS105" s="25">
        <v>1</v>
      </c>
      <c r="AT105" s="25">
        <v>1</v>
      </c>
      <c r="AU105" s="25">
        <v>1</v>
      </c>
      <c r="AV105" s="25">
        <v>1</v>
      </c>
      <c r="AW105" s="25">
        <v>1</v>
      </c>
      <c r="AX105" s="25">
        <v>1</v>
      </c>
      <c r="AY105" s="25">
        <v>1</v>
      </c>
      <c r="AZ105" s="25">
        <v>1</v>
      </c>
      <c r="BA105" s="25">
        <v>1</v>
      </c>
      <c r="BB105" s="25">
        <v>1</v>
      </c>
      <c r="BC105" s="25">
        <v>1</v>
      </c>
      <c r="BD105" s="25">
        <v>1</v>
      </c>
    </row>
    <row r="106" spans="27:56" x14ac:dyDescent="0.25">
      <c r="AA106" s="68" t="str">
        <f t="shared" si="5"/>
        <v>Fotos\\.jpg</v>
      </c>
      <c r="AB106" s="53">
        <f t="shared" si="6"/>
        <v>9.433962264150943E-3</v>
      </c>
      <c r="AC106" s="25">
        <f t="shared" si="7"/>
        <v>106</v>
      </c>
      <c r="AD106" s="51">
        <f t="shared" si="8"/>
        <v>1</v>
      </c>
      <c r="AE106" s="25">
        <v>1</v>
      </c>
      <c r="AF106" s="25">
        <v>1</v>
      </c>
      <c r="AG106" s="25">
        <v>1</v>
      </c>
      <c r="AH106" s="25">
        <v>1</v>
      </c>
      <c r="AI106" s="25">
        <f>IF(OR(Apresentação!$E$3='Base de Dados e filtragem'!AI$2,Apresentação!$E$3='Base de Dados e filtragem'!E106),1,0)</f>
        <v>1</v>
      </c>
      <c r="AJ106" s="25">
        <f>IF(OR(Apresentação!$E$4='Base de Dados e filtragem'!AJ$2,Apresentação!$E$4='Base de Dados e filtragem'!F106),1,0)</f>
        <v>1</v>
      </c>
      <c r="AK106" s="25">
        <f>IF(OR(Apresentação!$E$5='Base de Dados e filtragem'!AK$2,Apresentação!$E$5='Base de Dados e filtragem'!G106),1,0)</f>
        <v>1</v>
      </c>
      <c r="AL106" s="25">
        <f>IF(OR(Apresentação!$E$6='Base de Dados e filtragem'!AL$2,Apresentação!$E$6='Base de Dados e filtragem'!H106),1,0)</f>
        <v>1</v>
      </c>
      <c r="AM106" s="25">
        <f>IF(OR(Apresentação!$I$2='Base de Dados e filtragem'!AM$2,Apresentação!$I$2='Base de Dados e filtragem'!I106),1,0)</f>
        <v>1</v>
      </c>
      <c r="AN106" s="25">
        <f>IF(OR(Apresentação!$I$3='Base de Dados e filtragem'!AN$2,Apresentação!$I$3='Base de Dados e filtragem'!J106),1,0)</f>
        <v>1</v>
      </c>
      <c r="AO106" s="25">
        <f>IF(OR(Apresentação!$I$4='Base de Dados e filtragem'!AO$2,Apresentação!$I$4='Base de Dados e filtragem'!K106),1,0)</f>
        <v>1</v>
      </c>
      <c r="AP106" s="25">
        <f>IF(OR(Apresentação!$I$5='Base de Dados e filtragem'!AP$2,Apresentação!$I$5='Base de Dados e filtragem'!L106),1,0)</f>
        <v>1</v>
      </c>
      <c r="AQ106" s="25">
        <f>IF(OR(Apresentação!$I$6='Base de Dados e filtragem'!AQ$2,Apresentação!$I$6='Base de Dados e filtragem'!M106),1,0)</f>
        <v>1</v>
      </c>
      <c r="AR106" s="25">
        <v>1</v>
      </c>
      <c r="AS106" s="25">
        <v>1</v>
      </c>
      <c r="AT106" s="25">
        <v>1</v>
      </c>
      <c r="AU106" s="25">
        <v>1</v>
      </c>
      <c r="AV106" s="25">
        <v>1</v>
      </c>
      <c r="AW106" s="25">
        <v>1</v>
      </c>
      <c r="AX106" s="25">
        <v>1</v>
      </c>
      <c r="AY106" s="25">
        <v>1</v>
      </c>
      <c r="AZ106" s="25">
        <v>1</v>
      </c>
      <c r="BA106" s="25">
        <v>1</v>
      </c>
      <c r="BB106" s="25">
        <v>1</v>
      </c>
      <c r="BC106" s="25">
        <v>1</v>
      </c>
      <c r="BD106" s="25">
        <v>1</v>
      </c>
    </row>
    <row r="107" spans="27:56" x14ac:dyDescent="0.25">
      <c r="AA107" s="68" t="str">
        <f t="shared" si="5"/>
        <v>Fotos\\.jpg</v>
      </c>
      <c r="AB107" s="53">
        <f t="shared" si="6"/>
        <v>9.3457943925233638E-3</v>
      </c>
      <c r="AC107" s="25">
        <f t="shared" si="7"/>
        <v>107</v>
      </c>
      <c r="AD107" s="51">
        <f t="shared" si="8"/>
        <v>1</v>
      </c>
      <c r="AE107" s="25">
        <v>1</v>
      </c>
      <c r="AF107" s="25">
        <v>1</v>
      </c>
      <c r="AG107" s="25">
        <v>1</v>
      </c>
      <c r="AH107" s="25">
        <v>1</v>
      </c>
      <c r="AI107" s="25">
        <f>IF(OR(Apresentação!$E$3='Base de Dados e filtragem'!AI$2,Apresentação!$E$3='Base de Dados e filtragem'!E107),1,0)</f>
        <v>1</v>
      </c>
      <c r="AJ107" s="25">
        <f>IF(OR(Apresentação!$E$4='Base de Dados e filtragem'!AJ$2,Apresentação!$E$4='Base de Dados e filtragem'!F107),1,0)</f>
        <v>1</v>
      </c>
      <c r="AK107" s="25">
        <f>IF(OR(Apresentação!$E$5='Base de Dados e filtragem'!AK$2,Apresentação!$E$5='Base de Dados e filtragem'!G107),1,0)</f>
        <v>1</v>
      </c>
      <c r="AL107" s="25">
        <f>IF(OR(Apresentação!$E$6='Base de Dados e filtragem'!AL$2,Apresentação!$E$6='Base de Dados e filtragem'!H107),1,0)</f>
        <v>1</v>
      </c>
      <c r="AM107" s="25">
        <f>IF(OR(Apresentação!$I$2='Base de Dados e filtragem'!AM$2,Apresentação!$I$2='Base de Dados e filtragem'!I107),1,0)</f>
        <v>1</v>
      </c>
      <c r="AN107" s="25">
        <f>IF(OR(Apresentação!$I$3='Base de Dados e filtragem'!AN$2,Apresentação!$I$3='Base de Dados e filtragem'!J107),1,0)</f>
        <v>1</v>
      </c>
      <c r="AO107" s="25">
        <f>IF(OR(Apresentação!$I$4='Base de Dados e filtragem'!AO$2,Apresentação!$I$4='Base de Dados e filtragem'!K107),1,0)</f>
        <v>1</v>
      </c>
      <c r="AP107" s="25">
        <f>IF(OR(Apresentação!$I$5='Base de Dados e filtragem'!AP$2,Apresentação!$I$5='Base de Dados e filtragem'!L107),1,0)</f>
        <v>1</v>
      </c>
      <c r="AQ107" s="25">
        <f>IF(OR(Apresentação!$I$6='Base de Dados e filtragem'!AQ$2,Apresentação!$I$6='Base de Dados e filtragem'!M107),1,0)</f>
        <v>1</v>
      </c>
      <c r="AR107" s="25">
        <v>1</v>
      </c>
      <c r="AS107" s="25">
        <v>1</v>
      </c>
      <c r="AT107" s="25">
        <v>1</v>
      </c>
      <c r="AU107" s="25">
        <v>1</v>
      </c>
      <c r="AV107" s="25">
        <v>1</v>
      </c>
      <c r="AW107" s="25">
        <v>1</v>
      </c>
      <c r="AX107" s="25">
        <v>1</v>
      </c>
      <c r="AY107" s="25">
        <v>1</v>
      </c>
      <c r="AZ107" s="25">
        <v>1</v>
      </c>
      <c r="BA107" s="25">
        <v>1</v>
      </c>
      <c r="BB107" s="25">
        <v>1</v>
      </c>
      <c r="BC107" s="25">
        <v>1</v>
      </c>
      <c r="BD107" s="25">
        <v>1</v>
      </c>
    </row>
    <row r="108" spans="27:56" x14ac:dyDescent="0.25">
      <c r="AA108" s="68" t="str">
        <f t="shared" si="5"/>
        <v>Fotos\\.jpg</v>
      </c>
      <c r="AB108" s="53">
        <f t="shared" si="6"/>
        <v>9.2592592592592587E-3</v>
      </c>
      <c r="AC108" s="25">
        <f t="shared" si="7"/>
        <v>108</v>
      </c>
      <c r="AD108" s="51">
        <f t="shared" si="8"/>
        <v>1</v>
      </c>
      <c r="AE108" s="25">
        <v>1</v>
      </c>
      <c r="AF108" s="25">
        <v>1</v>
      </c>
      <c r="AG108" s="25">
        <v>1</v>
      </c>
      <c r="AH108" s="25">
        <v>1</v>
      </c>
      <c r="AI108" s="25">
        <f>IF(OR(Apresentação!$E$3='Base de Dados e filtragem'!AI$2,Apresentação!$E$3='Base de Dados e filtragem'!E108),1,0)</f>
        <v>1</v>
      </c>
      <c r="AJ108" s="25">
        <f>IF(OR(Apresentação!$E$4='Base de Dados e filtragem'!AJ$2,Apresentação!$E$4='Base de Dados e filtragem'!F108),1,0)</f>
        <v>1</v>
      </c>
      <c r="AK108" s="25">
        <f>IF(OR(Apresentação!$E$5='Base de Dados e filtragem'!AK$2,Apresentação!$E$5='Base de Dados e filtragem'!G108),1,0)</f>
        <v>1</v>
      </c>
      <c r="AL108" s="25">
        <f>IF(OR(Apresentação!$E$6='Base de Dados e filtragem'!AL$2,Apresentação!$E$6='Base de Dados e filtragem'!H108),1,0)</f>
        <v>1</v>
      </c>
      <c r="AM108" s="25">
        <f>IF(OR(Apresentação!$I$2='Base de Dados e filtragem'!AM$2,Apresentação!$I$2='Base de Dados e filtragem'!I108),1,0)</f>
        <v>1</v>
      </c>
      <c r="AN108" s="25">
        <f>IF(OR(Apresentação!$I$3='Base de Dados e filtragem'!AN$2,Apresentação!$I$3='Base de Dados e filtragem'!J108),1,0)</f>
        <v>1</v>
      </c>
      <c r="AO108" s="25">
        <f>IF(OR(Apresentação!$I$4='Base de Dados e filtragem'!AO$2,Apresentação!$I$4='Base de Dados e filtragem'!K108),1,0)</f>
        <v>1</v>
      </c>
      <c r="AP108" s="25">
        <f>IF(OR(Apresentação!$I$5='Base de Dados e filtragem'!AP$2,Apresentação!$I$5='Base de Dados e filtragem'!L108),1,0)</f>
        <v>1</v>
      </c>
      <c r="AQ108" s="25">
        <f>IF(OR(Apresentação!$I$6='Base de Dados e filtragem'!AQ$2,Apresentação!$I$6='Base de Dados e filtragem'!M108),1,0)</f>
        <v>1</v>
      </c>
      <c r="AR108" s="25">
        <v>1</v>
      </c>
      <c r="AS108" s="25">
        <v>1</v>
      </c>
      <c r="AT108" s="25">
        <v>1</v>
      </c>
      <c r="AU108" s="25">
        <v>1</v>
      </c>
      <c r="AV108" s="25">
        <v>1</v>
      </c>
      <c r="AW108" s="25">
        <v>1</v>
      </c>
      <c r="AX108" s="25">
        <v>1</v>
      </c>
      <c r="AY108" s="25">
        <v>1</v>
      </c>
      <c r="AZ108" s="25">
        <v>1</v>
      </c>
      <c r="BA108" s="25">
        <v>1</v>
      </c>
      <c r="BB108" s="25">
        <v>1</v>
      </c>
      <c r="BC108" s="25">
        <v>1</v>
      </c>
      <c r="BD108" s="25">
        <v>1</v>
      </c>
    </row>
    <row r="109" spans="27:56" x14ac:dyDescent="0.25">
      <c r="AA109" s="68" t="str">
        <f t="shared" si="5"/>
        <v>Fotos\\.jpg</v>
      </c>
      <c r="AB109" s="53">
        <f t="shared" si="6"/>
        <v>9.1743119266055051E-3</v>
      </c>
      <c r="AC109" s="25">
        <f t="shared" si="7"/>
        <v>109</v>
      </c>
      <c r="AD109" s="51">
        <f t="shared" si="8"/>
        <v>1</v>
      </c>
      <c r="AE109" s="25">
        <v>1</v>
      </c>
      <c r="AF109" s="25">
        <v>1</v>
      </c>
      <c r="AG109" s="25">
        <v>1</v>
      </c>
      <c r="AH109" s="25">
        <v>1</v>
      </c>
      <c r="AI109" s="25">
        <f>IF(OR(Apresentação!$E$3='Base de Dados e filtragem'!AI$2,Apresentação!$E$3='Base de Dados e filtragem'!E109),1,0)</f>
        <v>1</v>
      </c>
      <c r="AJ109" s="25">
        <f>IF(OR(Apresentação!$E$4='Base de Dados e filtragem'!AJ$2,Apresentação!$E$4='Base de Dados e filtragem'!F109),1,0)</f>
        <v>1</v>
      </c>
      <c r="AK109" s="25">
        <f>IF(OR(Apresentação!$E$5='Base de Dados e filtragem'!AK$2,Apresentação!$E$5='Base de Dados e filtragem'!G109),1,0)</f>
        <v>1</v>
      </c>
      <c r="AL109" s="25">
        <f>IF(OR(Apresentação!$E$6='Base de Dados e filtragem'!AL$2,Apresentação!$E$6='Base de Dados e filtragem'!H109),1,0)</f>
        <v>1</v>
      </c>
      <c r="AM109" s="25">
        <f>IF(OR(Apresentação!$I$2='Base de Dados e filtragem'!AM$2,Apresentação!$I$2='Base de Dados e filtragem'!I109),1,0)</f>
        <v>1</v>
      </c>
      <c r="AN109" s="25">
        <f>IF(OR(Apresentação!$I$3='Base de Dados e filtragem'!AN$2,Apresentação!$I$3='Base de Dados e filtragem'!J109),1,0)</f>
        <v>1</v>
      </c>
      <c r="AO109" s="25">
        <f>IF(OR(Apresentação!$I$4='Base de Dados e filtragem'!AO$2,Apresentação!$I$4='Base de Dados e filtragem'!K109),1,0)</f>
        <v>1</v>
      </c>
      <c r="AP109" s="25">
        <f>IF(OR(Apresentação!$I$5='Base de Dados e filtragem'!AP$2,Apresentação!$I$5='Base de Dados e filtragem'!L109),1,0)</f>
        <v>1</v>
      </c>
      <c r="AQ109" s="25">
        <f>IF(OR(Apresentação!$I$6='Base de Dados e filtragem'!AQ$2,Apresentação!$I$6='Base de Dados e filtragem'!M109),1,0)</f>
        <v>1</v>
      </c>
      <c r="AR109" s="25">
        <v>1</v>
      </c>
      <c r="AS109" s="25">
        <v>1</v>
      </c>
      <c r="AT109" s="25">
        <v>1</v>
      </c>
      <c r="AU109" s="25">
        <v>1</v>
      </c>
      <c r="AV109" s="25">
        <v>1</v>
      </c>
      <c r="AW109" s="25">
        <v>1</v>
      </c>
      <c r="AX109" s="25">
        <v>1</v>
      </c>
      <c r="AY109" s="25">
        <v>1</v>
      </c>
      <c r="AZ109" s="25">
        <v>1</v>
      </c>
      <c r="BA109" s="25">
        <v>1</v>
      </c>
      <c r="BB109" s="25">
        <v>1</v>
      </c>
      <c r="BC109" s="25">
        <v>1</v>
      </c>
      <c r="BD109" s="25">
        <v>1</v>
      </c>
    </row>
    <row r="110" spans="27:56" x14ac:dyDescent="0.25">
      <c r="AA110" s="68" t="str">
        <f t="shared" si="5"/>
        <v>Fotos\\.jpg</v>
      </c>
      <c r="AB110" s="53">
        <f t="shared" si="6"/>
        <v>9.0909090909090905E-3</v>
      </c>
      <c r="AC110" s="25">
        <f t="shared" si="7"/>
        <v>110</v>
      </c>
      <c r="AD110" s="51">
        <f t="shared" si="8"/>
        <v>1</v>
      </c>
      <c r="AE110" s="25">
        <v>1</v>
      </c>
      <c r="AF110" s="25">
        <v>1</v>
      </c>
      <c r="AG110" s="25">
        <v>1</v>
      </c>
      <c r="AH110" s="25">
        <v>1</v>
      </c>
      <c r="AI110" s="25">
        <f>IF(OR(Apresentação!$E$3='Base de Dados e filtragem'!AI$2,Apresentação!$E$3='Base de Dados e filtragem'!E110),1,0)</f>
        <v>1</v>
      </c>
      <c r="AJ110" s="25">
        <f>IF(OR(Apresentação!$E$4='Base de Dados e filtragem'!AJ$2,Apresentação!$E$4='Base de Dados e filtragem'!F110),1,0)</f>
        <v>1</v>
      </c>
      <c r="AK110" s="25">
        <f>IF(OR(Apresentação!$E$5='Base de Dados e filtragem'!AK$2,Apresentação!$E$5='Base de Dados e filtragem'!G110),1,0)</f>
        <v>1</v>
      </c>
      <c r="AL110" s="25">
        <f>IF(OR(Apresentação!$E$6='Base de Dados e filtragem'!AL$2,Apresentação!$E$6='Base de Dados e filtragem'!H110),1,0)</f>
        <v>1</v>
      </c>
      <c r="AM110" s="25">
        <f>IF(OR(Apresentação!$I$2='Base de Dados e filtragem'!AM$2,Apresentação!$I$2='Base de Dados e filtragem'!I110),1,0)</f>
        <v>1</v>
      </c>
      <c r="AN110" s="25">
        <f>IF(OR(Apresentação!$I$3='Base de Dados e filtragem'!AN$2,Apresentação!$I$3='Base de Dados e filtragem'!J110),1,0)</f>
        <v>1</v>
      </c>
      <c r="AO110" s="25">
        <f>IF(OR(Apresentação!$I$4='Base de Dados e filtragem'!AO$2,Apresentação!$I$4='Base de Dados e filtragem'!K110),1,0)</f>
        <v>1</v>
      </c>
      <c r="AP110" s="25">
        <f>IF(OR(Apresentação!$I$5='Base de Dados e filtragem'!AP$2,Apresentação!$I$5='Base de Dados e filtragem'!L110),1,0)</f>
        <v>1</v>
      </c>
      <c r="AQ110" s="25">
        <f>IF(OR(Apresentação!$I$6='Base de Dados e filtragem'!AQ$2,Apresentação!$I$6='Base de Dados e filtragem'!M110),1,0)</f>
        <v>1</v>
      </c>
      <c r="AR110" s="25">
        <v>1</v>
      </c>
      <c r="AS110" s="25">
        <v>1</v>
      </c>
      <c r="AT110" s="25">
        <v>1</v>
      </c>
      <c r="AU110" s="25">
        <v>1</v>
      </c>
      <c r="AV110" s="25">
        <v>1</v>
      </c>
      <c r="AW110" s="25">
        <v>1</v>
      </c>
      <c r="AX110" s="25">
        <v>1</v>
      </c>
      <c r="AY110" s="25">
        <v>1</v>
      </c>
      <c r="AZ110" s="25">
        <v>1</v>
      </c>
      <c r="BA110" s="25">
        <v>1</v>
      </c>
      <c r="BB110" s="25">
        <v>1</v>
      </c>
      <c r="BC110" s="25">
        <v>1</v>
      </c>
      <c r="BD110" s="25">
        <v>1</v>
      </c>
    </row>
    <row r="111" spans="27:56" x14ac:dyDescent="0.25">
      <c r="AA111" s="68" t="str">
        <f t="shared" si="5"/>
        <v>Fotos\\.jpg</v>
      </c>
      <c r="AB111" s="53">
        <f t="shared" si="6"/>
        <v>9.0090090090090089E-3</v>
      </c>
      <c r="AC111" s="25">
        <f t="shared" si="7"/>
        <v>111</v>
      </c>
      <c r="AD111" s="51">
        <f t="shared" si="8"/>
        <v>1</v>
      </c>
      <c r="AE111" s="25">
        <v>1</v>
      </c>
      <c r="AF111" s="25">
        <v>1</v>
      </c>
      <c r="AG111" s="25">
        <v>1</v>
      </c>
      <c r="AH111" s="25">
        <v>1</v>
      </c>
      <c r="AI111" s="25">
        <f>IF(OR(Apresentação!$E$3='Base de Dados e filtragem'!AI$2,Apresentação!$E$3='Base de Dados e filtragem'!E111),1,0)</f>
        <v>1</v>
      </c>
      <c r="AJ111" s="25">
        <f>IF(OR(Apresentação!$E$4='Base de Dados e filtragem'!AJ$2,Apresentação!$E$4='Base de Dados e filtragem'!F111),1,0)</f>
        <v>1</v>
      </c>
      <c r="AK111" s="25">
        <f>IF(OR(Apresentação!$E$5='Base de Dados e filtragem'!AK$2,Apresentação!$E$5='Base de Dados e filtragem'!G111),1,0)</f>
        <v>1</v>
      </c>
      <c r="AL111" s="25">
        <f>IF(OR(Apresentação!$E$6='Base de Dados e filtragem'!AL$2,Apresentação!$E$6='Base de Dados e filtragem'!H111),1,0)</f>
        <v>1</v>
      </c>
      <c r="AM111" s="25">
        <f>IF(OR(Apresentação!$I$2='Base de Dados e filtragem'!AM$2,Apresentação!$I$2='Base de Dados e filtragem'!I111),1,0)</f>
        <v>1</v>
      </c>
      <c r="AN111" s="25">
        <f>IF(OR(Apresentação!$I$3='Base de Dados e filtragem'!AN$2,Apresentação!$I$3='Base de Dados e filtragem'!J111),1,0)</f>
        <v>1</v>
      </c>
      <c r="AO111" s="25">
        <f>IF(OR(Apresentação!$I$4='Base de Dados e filtragem'!AO$2,Apresentação!$I$4='Base de Dados e filtragem'!K111),1,0)</f>
        <v>1</v>
      </c>
      <c r="AP111" s="25">
        <f>IF(OR(Apresentação!$I$5='Base de Dados e filtragem'!AP$2,Apresentação!$I$5='Base de Dados e filtragem'!L111),1,0)</f>
        <v>1</v>
      </c>
      <c r="AQ111" s="25">
        <f>IF(OR(Apresentação!$I$6='Base de Dados e filtragem'!AQ$2,Apresentação!$I$6='Base de Dados e filtragem'!M111),1,0)</f>
        <v>1</v>
      </c>
      <c r="AR111" s="25">
        <v>1</v>
      </c>
      <c r="AS111" s="25">
        <v>1</v>
      </c>
      <c r="AT111" s="25">
        <v>1</v>
      </c>
      <c r="AU111" s="25">
        <v>1</v>
      </c>
      <c r="AV111" s="25">
        <v>1</v>
      </c>
      <c r="AW111" s="25">
        <v>1</v>
      </c>
      <c r="AX111" s="25">
        <v>1</v>
      </c>
      <c r="AY111" s="25">
        <v>1</v>
      </c>
      <c r="AZ111" s="25">
        <v>1</v>
      </c>
      <c r="BA111" s="25">
        <v>1</v>
      </c>
      <c r="BB111" s="25">
        <v>1</v>
      </c>
      <c r="BC111" s="25">
        <v>1</v>
      </c>
      <c r="BD111" s="25">
        <v>1</v>
      </c>
    </row>
    <row r="112" spans="27:56" x14ac:dyDescent="0.25">
      <c r="AA112" s="68" t="str">
        <f t="shared" si="5"/>
        <v>Fotos\\.jpg</v>
      </c>
      <c r="AB112" s="53">
        <f t="shared" si="6"/>
        <v>8.9285714285714281E-3</v>
      </c>
      <c r="AC112" s="25">
        <f t="shared" si="7"/>
        <v>112</v>
      </c>
      <c r="AD112" s="51">
        <f t="shared" si="8"/>
        <v>1</v>
      </c>
      <c r="AE112" s="25">
        <v>1</v>
      </c>
      <c r="AF112" s="25">
        <v>1</v>
      </c>
      <c r="AG112" s="25">
        <v>1</v>
      </c>
      <c r="AH112" s="25">
        <v>1</v>
      </c>
      <c r="AI112" s="25">
        <f>IF(OR(Apresentação!$E$3='Base de Dados e filtragem'!AI$2,Apresentação!$E$3='Base de Dados e filtragem'!E112),1,0)</f>
        <v>1</v>
      </c>
      <c r="AJ112" s="25">
        <f>IF(OR(Apresentação!$E$4='Base de Dados e filtragem'!AJ$2,Apresentação!$E$4='Base de Dados e filtragem'!F112),1,0)</f>
        <v>1</v>
      </c>
      <c r="AK112" s="25">
        <f>IF(OR(Apresentação!$E$5='Base de Dados e filtragem'!AK$2,Apresentação!$E$5='Base de Dados e filtragem'!G112),1,0)</f>
        <v>1</v>
      </c>
      <c r="AL112" s="25">
        <f>IF(OR(Apresentação!$E$6='Base de Dados e filtragem'!AL$2,Apresentação!$E$6='Base de Dados e filtragem'!H112),1,0)</f>
        <v>1</v>
      </c>
      <c r="AM112" s="25">
        <f>IF(OR(Apresentação!$I$2='Base de Dados e filtragem'!AM$2,Apresentação!$I$2='Base de Dados e filtragem'!I112),1,0)</f>
        <v>1</v>
      </c>
      <c r="AN112" s="25">
        <f>IF(OR(Apresentação!$I$3='Base de Dados e filtragem'!AN$2,Apresentação!$I$3='Base de Dados e filtragem'!J112),1,0)</f>
        <v>1</v>
      </c>
      <c r="AO112" s="25">
        <f>IF(OR(Apresentação!$I$4='Base de Dados e filtragem'!AO$2,Apresentação!$I$4='Base de Dados e filtragem'!K112),1,0)</f>
        <v>1</v>
      </c>
      <c r="AP112" s="25">
        <f>IF(OR(Apresentação!$I$5='Base de Dados e filtragem'!AP$2,Apresentação!$I$5='Base de Dados e filtragem'!L112),1,0)</f>
        <v>1</v>
      </c>
      <c r="AQ112" s="25">
        <f>IF(OR(Apresentação!$I$6='Base de Dados e filtragem'!AQ$2,Apresentação!$I$6='Base de Dados e filtragem'!M112),1,0)</f>
        <v>1</v>
      </c>
      <c r="AR112" s="25">
        <v>1</v>
      </c>
      <c r="AS112" s="25">
        <v>1</v>
      </c>
      <c r="AT112" s="25">
        <v>1</v>
      </c>
      <c r="AU112" s="25">
        <v>1</v>
      </c>
      <c r="AV112" s="25">
        <v>1</v>
      </c>
      <c r="AW112" s="25">
        <v>1</v>
      </c>
      <c r="AX112" s="25">
        <v>1</v>
      </c>
      <c r="AY112" s="25">
        <v>1</v>
      </c>
      <c r="AZ112" s="25">
        <v>1</v>
      </c>
      <c r="BA112" s="25">
        <v>1</v>
      </c>
      <c r="BB112" s="25">
        <v>1</v>
      </c>
      <c r="BC112" s="25">
        <v>1</v>
      </c>
      <c r="BD112" s="25">
        <v>1</v>
      </c>
    </row>
    <row r="113" spans="27:56" x14ac:dyDescent="0.25">
      <c r="AA113" s="68" t="str">
        <f t="shared" si="5"/>
        <v>Fotos\\.jpg</v>
      </c>
      <c r="AB113" s="53">
        <f t="shared" si="6"/>
        <v>8.8495575221238937E-3</v>
      </c>
      <c r="AC113" s="25">
        <f t="shared" si="7"/>
        <v>113</v>
      </c>
      <c r="AD113" s="51">
        <f t="shared" si="8"/>
        <v>1</v>
      </c>
      <c r="AE113" s="25">
        <v>1</v>
      </c>
      <c r="AF113" s="25">
        <v>1</v>
      </c>
      <c r="AG113" s="25">
        <v>1</v>
      </c>
      <c r="AH113" s="25">
        <v>1</v>
      </c>
      <c r="AI113" s="25">
        <f>IF(OR(Apresentação!$E$3='Base de Dados e filtragem'!AI$2,Apresentação!$E$3='Base de Dados e filtragem'!E113),1,0)</f>
        <v>1</v>
      </c>
      <c r="AJ113" s="25">
        <f>IF(OR(Apresentação!$E$4='Base de Dados e filtragem'!AJ$2,Apresentação!$E$4='Base de Dados e filtragem'!F113),1,0)</f>
        <v>1</v>
      </c>
      <c r="AK113" s="25">
        <f>IF(OR(Apresentação!$E$5='Base de Dados e filtragem'!AK$2,Apresentação!$E$5='Base de Dados e filtragem'!G113),1,0)</f>
        <v>1</v>
      </c>
      <c r="AL113" s="25">
        <f>IF(OR(Apresentação!$E$6='Base de Dados e filtragem'!AL$2,Apresentação!$E$6='Base de Dados e filtragem'!H113),1,0)</f>
        <v>1</v>
      </c>
      <c r="AM113" s="25">
        <f>IF(OR(Apresentação!$I$2='Base de Dados e filtragem'!AM$2,Apresentação!$I$2='Base de Dados e filtragem'!I113),1,0)</f>
        <v>1</v>
      </c>
      <c r="AN113" s="25">
        <f>IF(OR(Apresentação!$I$3='Base de Dados e filtragem'!AN$2,Apresentação!$I$3='Base de Dados e filtragem'!J113),1,0)</f>
        <v>1</v>
      </c>
      <c r="AO113" s="25">
        <f>IF(OR(Apresentação!$I$4='Base de Dados e filtragem'!AO$2,Apresentação!$I$4='Base de Dados e filtragem'!K113),1,0)</f>
        <v>1</v>
      </c>
      <c r="AP113" s="25">
        <f>IF(OR(Apresentação!$I$5='Base de Dados e filtragem'!AP$2,Apresentação!$I$5='Base de Dados e filtragem'!L113),1,0)</f>
        <v>1</v>
      </c>
      <c r="AQ113" s="25">
        <f>IF(OR(Apresentação!$I$6='Base de Dados e filtragem'!AQ$2,Apresentação!$I$6='Base de Dados e filtragem'!M113),1,0)</f>
        <v>1</v>
      </c>
      <c r="AR113" s="25">
        <v>1</v>
      </c>
      <c r="AS113" s="25">
        <v>1</v>
      </c>
      <c r="AT113" s="25">
        <v>1</v>
      </c>
      <c r="AU113" s="25">
        <v>1</v>
      </c>
      <c r="AV113" s="25">
        <v>1</v>
      </c>
      <c r="AW113" s="25">
        <v>1</v>
      </c>
      <c r="AX113" s="25">
        <v>1</v>
      </c>
      <c r="AY113" s="25">
        <v>1</v>
      </c>
      <c r="AZ113" s="25">
        <v>1</v>
      </c>
      <c r="BA113" s="25">
        <v>1</v>
      </c>
      <c r="BB113" s="25">
        <v>1</v>
      </c>
      <c r="BC113" s="25">
        <v>1</v>
      </c>
      <c r="BD113" s="25">
        <v>1</v>
      </c>
    </row>
    <row r="114" spans="27:56" x14ac:dyDescent="0.25">
      <c r="AA114" s="68" t="str">
        <f t="shared" si="5"/>
        <v>Fotos\\.jpg</v>
      </c>
      <c r="AB114" s="53">
        <f t="shared" si="6"/>
        <v>8.771929824561403E-3</v>
      </c>
      <c r="AC114" s="25">
        <f t="shared" si="7"/>
        <v>114</v>
      </c>
      <c r="AD114" s="51">
        <f t="shared" si="8"/>
        <v>1</v>
      </c>
      <c r="AE114" s="25">
        <v>1</v>
      </c>
      <c r="AF114" s="25">
        <v>1</v>
      </c>
      <c r="AG114" s="25">
        <v>1</v>
      </c>
      <c r="AH114" s="25">
        <v>1</v>
      </c>
      <c r="AI114" s="25">
        <f>IF(OR(Apresentação!$E$3='Base de Dados e filtragem'!AI$2,Apresentação!$E$3='Base de Dados e filtragem'!E114),1,0)</f>
        <v>1</v>
      </c>
      <c r="AJ114" s="25">
        <f>IF(OR(Apresentação!$E$4='Base de Dados e filtragem'!AJ$2,Apresentação!$E$4='Base de Dados e filtragem'!F114),1,0)</f>
        <v>1</v>
      </c>
      <c r="AK114" s="25">
        <f>IF(OR(Apresentação!$E$5='Base de Dados e filtragem'!AK$2,Apresentação!$E$5='Base de Dados e filtragem'!G114),1,0)</f>
        <v>1</v>
      </c>
      <c r="AL114" s="25">
        <f>IF(OR(Apresentação!$E$6='Base de Dados e filtragem'!AL$2,Apresentação!$E$6='Base de Dados e filtragem'!H114),1,0)</f>
        <v>1</v>
      </c>
      <c r="AM114" s="25">
        <f>IF(OR(Apresentação!$I$2='Base de Dados e filtragem'!AM$2,Apresentação!$I$2='Base de Dados e filtragem'!I114),1,0)</f>
        <v>1</v>
      </c>
      <c r="AN114" s="25">
        <f>IF(OR(Apresentação!$I$3='Base de Dados e filtragem'!AN$2,Apresentação!$I$3='Base de Dados e filtragem'!J114),1,0)</f>
        <v>1</v>
      </c>
      <c r="AO114" s="25">
        <f>IF(OR(Apresentação!$I$4='Base de Dados e filtragem'!AO$2,Apresentação!$I$4='Base de Dados e filtragem'!K114),1,0)</f>
        <v>1</v>
      </c>
      <c r="AP114" s="25">
        <f>IF(OR(Apresentação!$I$5='Base de Dados e filtragem'!AP$2,Apresentação!$I$5='Base de Dados e filtragem'!L114),1,0)</f>
        <v>1</v>
      </c>
      <c r="AQ114" s="25">
        <f>IF(OR(Apresentação!$I$6='Base de Dados e filtragem'!AQ$2,Apresentação!$I$6='Base de Dados e filtragem'!M114),1,0)</f>
        <v>1</v>
      </c>
      <c r="AR114" s="25">
        <v>1</v>
      </c>
      <c r="AS114" s="25">
        <v>1</v>
      </c>
      <c r="AT114" s="25">
        <v>1</v>
      </c>
      <c r="AU114" s="25">
        <v>1</v>
      </c>
      <c r="AV114" s="25">
        <v>1</v>
      </c>
      <c r="AW114" s="25">
        <v>1</v>
      </c>
      <c r="AX114" s="25">
        <v>1</v>
      </c>
      <c r="AY114" s="25">
        <v>1</v>
      </c>
      <c r="AZ114" s="25">
        <v>1</v>
      </c>
      <c r="BA114" s="25">
        <v>1</v>
      </c>
      <c r="BB114" s="25">
        <v>1</v>
      </c>
      <c r="BC114" s="25">
        <v>1</v>
      </c>
      <c r="BD114" s="25">
        <v>1</v>
      </c>
    </row>
    <row r="115" spans="27:56" x14ac:dyDescent="0.25">
      <c r="AA115" s="68" t="str">
        <f t="shared" si="5"/>
        <v>Fotos\\.jpg</v>
      </c>
      <c r="AB115" s="53">
        <f t="shared" si="6"/>
        <v>8.6956521739130436E-3</v>
      </c>
      <c r="AC115" s="25">
        <f t="shared" si="7"/>
        <v>115</v>
      </c>
      <c r="AD115" s="51">
        <f t="shared" si="8"/>
        <v>1</v>
      </c>
      <c r="AE115" s="25">
        <v>1</v>
      </c>
      <c r="AF115" s="25">
        <v>1</v>
      </c>
      <c r="AG115" s="25">
        <v>1</v>
      </c>
      <c r="AH115" s="25">
        <v>1</v>
      </c>
      <c r="AI115" s="25">
        <f>IF(OR(Apresentação!$E$3='Base de Dados e filtragem'!AI$2,Apresentação!$E$3='Base de Dados e filtragem'!E115),1,0)</f>
        <v>1</v>
      </c>
      <c r="AJ115" s="25">
        <f>IF(OR(Apresentação!$E$4='Base de Dados e filtragem'!AJ$2,Apresentação!$E$4='Base de Dados e filtragem'!F115),1,0)</f>
        <v>1</v>
      </c>
      <c r="AK115" s="25">
        <f>IF(OR(Apresentação!$E$5='Base de Dados e filtragem'!AK$2,Apresentação!$E$5='Base de Dados e filtragem'!G115),1,0)</f>
        <v>1</v>
      </c>
      <c r="AL115" s="25">
        <f>IF(OR(Apresentação!$E$6='Base de Dados e filtragem'!AL$2,Apresentação!$E$6='Base de Dados e filtragem'!H115),1,0)</f>
        <v>1</v>
      </c>
      <c r="AM115" s="25">
        <f>IF(OR(Apresentação!$I$2='Base de Dados e filtragem'!AM$2,Apresentação!$I$2='Base de Dados e filtragem'!I115),1,0)</f>
        <v>1</v>
      </c>
      <c r="AN115" s="25">
        <f>IF(OR(Apresentação!$I$3='Base de Dados e filtragem'!AN$2,Apresentação!$I$3='Base de Dados e filtragem'!J115),1,0)</f>
        <v>1</v>
      </c>
      <c r="AO115" s="25">
        <f>IF(OR(Apresentação!$I$4='Base de Dados e filtragem'!AO$2,Apresentação!$I$4='Base de Dados e filtragem'!K115),1,0)</f>
        <v>1</v>
      </c>
      <c r="AP115" s="25">
        <f>IF(OR(Apresentação!$I$5='Base de Dados e filtragem'!AP$2,Apresentação!$I$5='Base de Dados e filtragem'!L115),1,0)</f>
        <v>1</v>
      </c>
      <c r="AQ115" s="25">
        <f>IF(OR(Apresentação!$I$6='Base de Dados e filtragem'!AQ$2,Apresentação!$I$6='Base de Dados e filtragem'!M115),1,0)</f>
        <v>1</v>
      </c>
      <c r="AR115" s="25">
        <v>1</v>
      </c>
      <c r="AS115" s="25">
        <v>1</v>
      </c>
      <c r="AT115" s="25">
        <v>1</v>
      </c>
      <c r="AU115" s="25">
        <v>1</v>
      </c>
      <c r="AV115" s="25">
        <v>1</v>
      </c>
      <c r="AW115" s="25">
        <v>1</v>
      </c>
      <c r="AX115" s="25">
        <v>1</v>
      </c>
      <c r="AY115" s="25">
        <v>1</v>
      </c>
      <c r="AZ115" s="25">
        <v>1</v>
      </c>
      <c r="BA115" s="25">
        <v>1</v>
      </c>
      <c r="BB115" s="25">
        <v>1</v>
      </c>
      <c r="BC115" s="25">
        <v>1</v>
      </c>
      <c r="BD115" s="25">
        <v>1</v>
      </c>
    </row>
    <row r="116" spans="27:56" x14ac:dyDescent="0.25">
      <c r="AA116" s="68" t="str">
        <f t="shared" si="5"/>
        <v>Fotos\\.jpg</v>
      </c>
      <c r="AB116" s="53">
        <f t="shared" si="6"/>
        <v>8.6206896551724137E-3</v>
      </c>
      <c r="AC116" s="25">
        <f t="shared" si="7"/>
        <v>116</v>
      </c>
      <c r="AD116" s="51">
        <f t="shared" si="8"/>
        <v>1</v>
      </c>
      <c r="AE116" s="25">
        <v>1</v>
      </c>
      <c r="AF116" s="25">
        <v>1</v>
      </c>
      <c r="AG116" s="25">
        <v>1</v>
      </c>
      <c r="AH116" s="25">
        <v>1</v>
      </c>
      <c r="AI116" s="25">
        <f>IF(OR(Apresentação!$E$3='Base de Dados e filtragem'!AI$2,Apresentação!$E$3='Base de Dados e filtragem'!E116),1,0)</f>
        <v>1</v>
      </c>
      <c r="AJ116" s="25">
        <f>IF(OR(Apresentação!$E$4='Base de Dados e filtragem'!AJ$2,Apresentação!$E$4='Base de Dados e filtragem'!F116),1,0)</f>
        <v>1</v>
      </c>
      <c r="AK116" s="25">
        <f>IF(OR(Apresentação!$E$5='Base de Dados e filtragem'!AK$2,Apresentação!$E$5='Base de Dados e filtragem'!G116),1,0)</f>
        <v>1</v>
      </c>
      <c r="AL116" s="25">
        <f>IF(OR(Apresentação!$E$6='Base de Dados e filtragem'!AL$2,Apresentação!$E$6='Base de Dados e filtragem'!H116),1,0)</f>
        <v>1</v>
      </c>
      <c r="AM116" s="25">
        <f>IF(OR(Apresentação!$I$2='Base de Dados e filtragem'!AM$2,Apresentação!$I$2='Base de Dados e filtragem'!I116),1,0)</f>
        <v>1</v>
      </c>
      <c r="AN116" s="25">
        <f>IF(OR(Apresentação!$I$3='Base de Dados e filtragem'!AN$2,Apresentação!$I$3='Base de Dados e filtragem'!J116),1,0)</f>
        <v>1</v>
      </c>
      <c r="AO116" s="25">
        <f>IF(OR(Apresentação!$I$4='Base de Dados e filtragem'!AO$2,Apresentação!$I$4='Base de Dados e filtragem'!K116),1,0)</f>
        <v>1</v>
      </c>
      <c r="AP116" s="25">
        <f>IF(OR(Apresentação!$I$5='Base de Dados e filtragem'!AP$2,Apresentação!$I$5='Base de Dados e filtragem'!L116),1,0)</f>
        <v>1</v>
      </c>
      <c r="AQ116" s="25">
        <f>IF(OR(Apresentação!$I$6='Base de Dados e filtragem'!AQ$2,Apresentação!$I$6='Base de Dados e filtragem'!M116),1,0)</f>
        <v>1</v>
      </c>
      <c r="AR116" s="25">
        <v>1</v>
      </c>
      <c r="AS116" s="25">
        <v>1</v>
      </c>
      <c r="AT116" s="25">
        <v>1</v>
      </c>
      <c r="AU116" s="25">
        <v>1</v>
      </c>
      <c r="AV116" s="25">
        <v>1</v>
      </c>
      <c r="AW116" s="25">
        <v>1</v>
      </c>
      <c r="AX116" s="25">
        <v>1</v>
      </c>
      <c r="AY116" s="25">
        <v>1</v>
      </c>
      <c r="AZ116" s="25">
        <v>1</v>
      </c>
      <c r="BA116" s="25">
        <v>1</v>
      </c>
      <c r="BB116" s="25">
        <v>1</v>
      </c>
      <c r="BC116" s="25">
        <v>1</v>
      </c>
      <c r="BD116" s="25">
        <v>1</v>
      </c>
    </row>
    <row r="117" spans="27:56" x14ac:dyDescent="0.25">
      <c r="AA117" s="68" t="str">
        <f t="shared" si="5"/>
        <v>Fotos\\.jpg</v>
      </c>
      <c r="AB117" s="53">
        <f t="shared" si="6"/>
        <v>8.5470085470085479E-3</v>
      </c>
      <c r="AC117" s="25">
        <f t="shared" si="7"/>
        <v>117</v>
      </c>
      <c r="AD117" s="51">
        <f t="shared" si="8"/>
        <v>1</v>
      </c>
      <c r="AE117" s="25">
        <v>1</v>
      </c>
      <c r="AF117" s="25">
        <v>1</v>
      </c>
      <c r="AG117" s="25">
        <v>1</v>
      </c>
      <c r="AH117" s="25">
        <v>1</v>
      </c>
      <c r="AI117" s="25">
        <f>IF(OR(Apresentação!$E$3='Base de Dados e filtragem'!AI$2,Apresentação!$E$3='Base de Dados e filtragem'!E117),1,0)</f>
        <v>1</v>
      </c>
      <c r="AJ117" s="25">
        <f>IF(OR(Apresentação!$E$4='Base de Dados e filtragem'!AJ$2,Apresentação!$E$4='Base de Dados e filtragem'!F117),1,0)</f>
        <v>1</v>
      </c>
      <c r="AK117" s="25">
        <f>IF(OR(Apresentação!$E$5='Base de Dados e filtragem'!AK$2,Apresentação!$E$5='Base de Dados e filtragem'!G117),1,0)</f>
        <v>1</v>
      </c>
      <c r="AL117" s="25">
        <f>IF(OR(Apresentação!$E$6='Base de Dados e filtragem'!AL$2,Apresentação!$E$6='Base de Dados e filtragem'!H117),1,0)</f>
        <v>1</v>
      </c>
      <c r="AM117" s="25">
        <f>IF(OR(Apresentação!$I$2='Base de Dados e filtragem'!AM$2,Apresentação!$I$2='Base de Dados e filtragem'!I117),1,0)</f>
        <v>1</v>
      </c>
      <c r="AN117" s="25">
        <f>IF(OR(Apresentação!$I$3='Base de Dados e filtragem'!AN$2,Apresentação!$I$3='Base de Dados e filtragem'!J117),1,0)</f>
        <v>1</v>
      </c>
      <c r="AO117" s="25">
        <f>IF(OR(Apresentação!$I$4='Base de Dados e filtragem'!AO$2,Apresentação!$I$4='Base de Dados e filtragem'!K117),1,0)</f>
        <v>1</v>
      </c>
      <c r="AP117" s="25">
        <f>IF(OR(Apresentação!$I$5='Base de Dados e filtragem'!AP$2,Apresentação!$I$5='Base de Dados e filtragem'!L117),1,0)</f>
        <v>1</v>
      </c>
      <c r="AQ117" s="25">
        <f>IF(OR(Apresentação!$I$6='Base de Dados e filtragem'!AQ$2,Apresentação!$I$6='Base de Dados e filtragem'!M117),1,0)</f>
        <v>1</v>
      </c>
      <c r="AR117" s="25">
        <v>1</v>
      </c>
      <c r="AS117" s="25">
        <v>1</v>
      </c>
      <c r="AT117" s="25">
        <v>1</v>
      </c>
      <c r="AU117" s="25">
        <v>1</v>
      </c>
      <c r="AV117" s="25">
        <v>1</v>
      </c>
      <c r="AW117" s="25">
        <v>1</v>
      </c>
      <c r="AX117" s="25">
        <v>1</v>
      </c>
      <c r="AY117" s="25">
        <v>1</v>
      </c>
      <c r="AZ117" s="25">
        <v>1</v>
      </c>
      <c r="BA117" s="25">
        <v>1</v>
      </c>
      <c r="BB117" s="25">
        <v>1</v>
      </c>
      <c r="BC117" s="25">
        <v>1</v>
      </c>
      <c r="BD117" s="25">
        <v>1</v>
      </c>
    </row>
    <row r="118" spans="27:56" x14ac:dyDescent="0.25">
      <c r="AA118" s="68" t="str">
        <f t="shared" si="5"/>
        <v>Fotos\\.jpg</v>
      </c>
      <c r="AB118" s="53">
        <f t="shared" si="6"/>
        <v>8.4745762711864406E-3</v>
      </c>
      <c r="AC118" s="25">
        <f t="shared" si="7"/>
        <v>118</v>
      </c>
      <c r="AD118" s="51">
        <f t="shared" si="8"/>
        <v>1</v>
      </c>
      <c r="AE118" s="25">
        <v>1</v>
      </c>
      <c r="AF118" s="25">
        <v>1</v>
      </c>
      <c r="AG118" s="25">
        <v>1</v>
      </c>
      <c r="AH118" s="25">
        <v>1</v>
      </c>
      <c r="AI118" s="25">
        <f>IF(OR(Apresentação!$E$3='Base de Dados e filtragem'!AI$2,Apresentação!$E$3='Base de Dados e filtragem'!E118),1,0)</f>
        <v>1</v>
      </c>
      <c r="AJ118" s="25">
        <f>IF(OR(Apresentação!$E$4='Base de Dados e filtragem'!AJ$2,Apresentação!$E$4='Base de Dados e filtragem'!F118),1,0)</f>
        <v>1</v>
      </c>
      <c r="AK118" s="25">
        <f>IF(OR(Apresentação!$E$5='Base de Dados e filtragem'!AK$2,Apresentação!$E$5='Base de Dados e filtragem'!G118),1,0)</f>
        <v>1</v>
      </c>
      <c r="AL118" s="25">
        <f>IF(OR(Apresentação!$E$6='Base de Dados e filtragem'!AL$2,Apresentação!$E$6='Base de Dados e filtragem'!H118),1,0)</f>
        <v>1</v>
      </c>
      <c r="AM118" s="25">
        <f>IF(OR(Apresentação!$I$2='Base de Dados e filtragem'!AM$2,Apresentação!$I$2='Base de Dados e filtragem'!I118),1,0)</f>
        <v>1</v>
      </c>
      <c r="AN118" s="25">
        <f>IF(OR(Apresentação!$I$3='Base de Dados e filtragem'!AN$2,Apresentação!$I$3='Base de Dados e filtragem'!J118),1,0)</f>
        <v>1</v>
      </c>
      <c r="AO118" s="25">
        <f>IF(OR(Apresentação!$I$4='Base de Dados e filtragem'!AO$2,Apresentação!$I$4='Base de Dados e filtragem'!K118),1,0)</f>
        <v>1</v>
      </c>
      <c r="AP118" s="25">
        <f>IF(OR(Apresentação!$I$5='Base de Dados e filtragem'!AP$2,Apresentação!$I$5='Base de Dados e filtragem'!L118),1,0)</f>
        <v>1</v>
      </c>
      <c r="AQ118" s="25">
        <f>IF(OR(Apresentação!$I$6='Base de Dados e filtragem'!AQ$2,Apresentação!$I$6='Base de Dados e filtragem'!M118),1,0)</f>
        <v>1</v>
      </c>
      <c r="AR118" s="25">
        <v>1</v>
      </c>
      <c r="AS118" s="25">
        <v>1</v>
      </c>
      <c r="AT118" s="25">
        <v>1</v>
      </c>
      <c r="AU118" s="25">
        <v>1</v>
      </c>
      <c r="AV118" s="25">
        <v>1</v>
      </c>
      <c r="AW118" s="25">
        <v>1</v>
      </c>
      <c r="AX118" s="25">
        <v>1</v>
      </c>
      <c r="AY118" s="25">
        <v>1</v>
      </c>
      <c r="AZ118" s="25">
        <v>1</v>
      </c>
      <c r="BA118" s="25">
        <v>1</v>
      </c>
      <c r="BB118" s="25">
        <v>1</v>
      </c>
      <c r="BC118" s="25">
        <v>1</v>
      </c>
      <c r="BD118" s="25">
        <v>1</v>
      </c>
    </row>
    <row r="119" spans="27:56" x14ac:dyDescent="0.25">
      <c r="AA119" s="68" t="str">
        <f t="shared" si="5"/>
        <v>Fotos\\.jpg</v>
      </c>
      <c r="AB119" s="53">
        <f t="shared" si="6"/>
        <v>8.4033613445378148E-3</v>
      </c>
      <c r="AC119" s="25">
        <f t="shared" si="7"/>
        <v>119</v>
      </c>
      <c r="AD119" s="51">
        <f t="shared" si="8"/>
        <v>1</v>
      </c>
      <c r="AE119" s="25">
        <v>1</v>
      </c>
      <c r="AF119" s="25">
        <v>1</v>
      </c>
      <c r="AG119" s="25">
        <v>1</v>
      </c>
      <c r="AH119" s="25">
        <v>1</v>
      </c>
      <c r="AI119" s="25">
        <f>IF(OR(Apresentação!$E$3='Base de Dados e filtragem'!AI$2,Apresentação!$E$3='Base de Dados e filtragem'!E119),1,0)</f>
        <v>1</v>
      </c>
      <c r="AJ119" s="25">
        <f>IF(OR(Apresentação!$E$4='Base de Dados e filtragem'!AJ$2,Apresentação!$E$4='Base de Dados e filtragem'!F119),1,0)</f>
        <v>1</v>
      </c>
      <c r="AK119" s="25">
        <f>IF(OR(Apresentação!$E$5='Base de Dados e filtragem'!AK$2,Apresentação!$E$5='Base de Dados e filtragem'!G119),1,0)</f>
        <v>1</v>
      </c>
      <c r="AL119" s="25">
        <f>IF(OR(Apresentação!$E$6='Base de Dados e filtragem'!AL$2,Apresentação!$E$6='Base de Dados e filtragem'!H119),1,0)</f>
        <v>1</v>
      </c>
      <c r="AM119" s="25">
        <f>IF(OR(Apresentação!$I$2='Base de Dados e filtragem'!AM$2,Apresentação!$I$2='Base de Dados e filtragem'!I119),1,0)</f>
        <v>1</v>
      </c>
      <c r="AN119" s="25">
        <f>IF(OR(Apresentação!$I$3='Base de Dados e filtragem'!AN$2,Apresentação!$I$3='Base de Dados e filtragem'!J119),1,0)</f>
        <v>1</v>
      </c>
      <c r="AO119" s="25">
        <f>IF(OR(Apresentação!$I$4='Base de Dados e filtragem'!AO$2,Apresentação!$I$4='Base de Dados e filtragem'!K119),1,0)</f>
        <v>1</v>
      </c>
      <c r="AP119" s="25">
        <f>IF(OR(Apresentação!$I$5='Base de Dados e filtragem'!AP$2,Apresentação!$I$5='Base de Dados e filtragem'!L119),1,0)</f>
        <v>1</v>
      </c>
      <c r="AQ119" s="25">
        <f>IF(OR(Apresentação!$I$6='Base de Dados e filtragem'!AQ$2,Apresentação!$I$6='Base de Dados e filtragem'!M119),1,0)</f>
        <v>1</v>
      </c>
      <c r="AR119" s="25">
        <v>1</v>
      </c>
      <c r="AS119" s="25">
        <v>1</v>
      </c>
      <c r="AT119" s="25">
        <v>1</v>
      </c>
      <c r="AU119" s="25">
        <v>1</v>
      </c>
      <c r="AV119" s="25">
        <v>1</v>
      </c>
      <c r="AW119" s="25">
        <v>1</v>
      </c>
      <c r="AX119" s="25">
        <v>1</v>
      </c>
      <c r="AY119" s="25">
        <v>1</v>
      </c>
      <c r="AZ119" s="25">
        <v>1</v>
      </c>
      <c r="BA119" s="25">
        <v>1</v>
      </c>
      <c r="BB119" s="25">
        <v>1</v>
      </c>
      <c r="BC119" s="25">
        <v>1</v>
      </c>
      <c r="BD119" s="25">
        <v>1</v>
      </c>
    </row>
    <row r="120" spans="27:56" x14ac:dyDescent="0.25">
      <c r="AA120" s="68" t="str">
        <f t="shared" si="5"/>
        <v>Fotos\\.jpg</v>
      </c>
      <c r="AB120" s="53">
        <f t="shared" si="6"/>
        <v>8.3333333333333332E-3</v>
      </c>
      <c r="AC120" s="25">
        <f t="shared" si="7"/>
        <v>120</v>
      </c>
      <c r="AD120" s="51">
        <f t="shared" si="8"/>
        <v>1</v>
      </c>
      <c r="AE120" s="25">
        <v>1</v>
      </c>
      <c r="AF120" s="25">
        <v>1</v>
      </c>
      <c r="AG120" s="25">
        <v>1</v>
      </c>
      <c r="AH120" s="25">
        <v>1</v>
      </c>
      <c r="AI120" s="25">
        <f>IF(OR(Apresentação!$E$3='Base de Dados e filtragem'!AI$2,Apresentação!$E$3='Base de Dados e filtragem'!E120),1,0)</f>
        <v>1</v>
      </c>
      <c r="AJ120" s="25">
        <f>IF(OR(Apresentação!$E$4='Base de Dados e filtragem'!AJ$2,Apresentação!$E$4='Base de Dados e filtragem'!F120),1,0)</f>
        <v>1</v>
      </c>
      <c r="AK120" s="25">
        <f>IF(OR(Apresentação!$E$5='Base de Dados e filtragem'!AK$2,Apresentação!$E$5='Base de Dados e filtragem'!G120),1,0)</f>
        <v>1</v>
      </c>
      <c r="AL120" s="25">
        <f>IF(OR(Apresentação!$E$6='Base de Dados e filtragem'!AL$2,Apresentação!$E$6='Base de Dados e filtragem'!H120),1,0)</f>
        <v>1</v>
      </c>
      <c r="AM120" s="25">
        <f>IF(OR(Apresentação!$I$2='Base de Dados e filtragem'!AM$2,Apresentação!$I$2='Base de Dados e filtragem'!I120),1,0)</f>
        <v>1</v>
      </c>
      <c r="AN120" s="25">
        <f>IF(OR(Apresentação!$I$3='Base de Dados e filtragem'!AN$2,Apresentação!$I$3='Base de Dados e filtragem'!J120),1,0)</f>
        <v>1</v>
      </c>
      <c r="AO120" s="25">
        <f>IF(OR(Apresentação!$I$4='Base de Dados e filtragem'!AO$2,Apresentação!$I$4='Base de Dados e filtragem'!K120),1,0)</f>
        <v>1</v>
      </c>
      <c r="AP120" s="25">
        <f>IF(OR(Apresentação!$I$5='Base de Dados e filtragem'!AP$2,Apresentação!$I$5='Base de Dados e filtragem'!L120),1,0)</f>
        <v>1</v>
      </c>
      <c r="AQ120" s="25">
        <f>IF(OR(Apresentação!$I$6='Base de Dados e filtragem'!AQ$2,Apresentação!$I$6='Base de Dados e filtragem'!M120),1,0)</f>
        <v>1</v>
      </c>
      <c r="AR120" s="25">
        <v>1</v>
      </c>
      <c r="AS120" s="25">
        <v>1</v>
      </c>
      <c r="AT120" s="25">
        <v>1</v>
      </c>
      <c r="AU120" s="25">
        <v>1</v>
      </c>
      <c r="AV120" s="25">
        <v>1</v>
      </c>
      <c r="AW120" s="25">
        <v>1</v>
      </c>
      <c r="AX120" s="25">
        <v>1</v>
      </c>
      <c r="AY120" s="25">
        <v>1</v>
      </c>
      <c r="AZ120" s="25">
        <v>1</v>
      </c>
      <c r="BA120" s="25">
        <v>1</v>
      </c>
      <c r="BB120" s="25">
        <v>1</v>
      </c>
      <c r="BC120" s="25">
        <v>1</v>
      </c>
      <c r="BD120" s="25">
        <v>1</v>
      </c>
    </row>
    <row r="121" spans="27:56" x14ac:dyDescent="0.25">
      <c r="AA121" s="68" t="str">
        <f t="shared" si="5"/>
        <v>Fotos\\.jpg</v>
      </c>
      <c r="AB121" s="53">
        <f t="shared" si="6"/>
        <v>8.2644628099173556E-3</v>
      </c>
      <c r="AC121" s="25">
        <f t="shared" si="7"/>
        <v>121</v>
      </c>
      <c r="AD121" s="51">
        <f t="shared" si="8"/>
        <v>1</v>
      </c>
      <c r="AE121" s="25">
        <v>1</v>
      </c>
      <c r="AF121" s="25">
        <v>1</v>
      </c>
      <c r="AG121" s="25">
        <v>1</v>
      </c>
      <c r="AH121" s="25">
        <v>1</v>
      </c>
      <c r="AI121" s="25">
        <f>IF(OR(Apresentação!$E$3='Base de Dados e filtragem'!AI$2,Apresentação!$E$3='Base de Dados e filtragem'!E121),1,0)</f>
        <v>1</v>
      </c>
      <c r="AJ121" s="25">
        <f>IF(OR(Apresentação!$E$4='Base de Dados e filtragem'!AJ$2,Apresentação!$E$4='Base de Dados e filtragem'!F121),1,0)</f>
        <v>1</v>
      </c>
      <c r="AK121" s="25">
        <f>IF(OR(Apresentação!$E$5='Base de Dados e filtragem'!AK$2,Apresentação!$E$5='Base de Dados e filtragem'!G121),1,0)</f>
        <v>1</v>
      </c>
      <c r="AL121" s="25">
        <f>IF(OR(Apresentação!$E$6='Base de Dados e filtragem'!AL$2,Apresentação!$E$6='Base de Dados e filtragem'!H121),1,0)</f>
        <v>1</v>
      </c>
      <c r="AM121" s="25">
        <f>IF(OR(Apresentação!$I$2='Base de Dados e filtragem'!AM$2,Apresentação!$I$2='Base de Dados e filtragem'!I121),1,0)</f>
        <v>1</v>
      </c>
      <c r="AN121" s="25">
        <f>IF(OR(Apresentação!$I$3='Base de Dados e filtragem'!AN$2,Apresentação!$I$3='Base de Dados e filtragem'!J121),1,0)</f>
        <v>1</v>
      </c>
      <c r="AO121" s="25">
        <f>IF(OR(Apresentação!$I$4='Base de Dados e filtragem'!AO$2,Apresentação!$I$4='Base de Dados e filtragem'!K121),1,0)</f>
        <v>1</v>
      </c>
      <c r="AP121" s="25">
        <f>IF(OR(Apresentação!$I$5='Base de Dados e filtragem'!AP$2,Apresentação!$I$5='Base de Dados e filtragem'!L121),1,0)</f>
        <v>1</v>
      </c>
      <c r="AQ121" s="25">
        <f>IF(OR(Apresentação!$I$6='Base de Dados e filtragem'!AQ$2,Apresentação!$I$6='Base de Dados e filtragem'!M121),1,0)</f>
        <v>1</v>
      </c>
      <c r="AR121" s="25">
        <v>1</v>
      </c>
      <c r="AS121" s="25">
        <v>1</v>
      </c>
      <c r="AT121" s="25">
        <v>1</v>
      </c>
      <c r="AU121" s="25">
        <v>1</v>
      </c>
      <c r="AV121" s="25">
        <v>1</v>
      </c>
      <c r="AW121" s="25">
        <v>1</v>
      </c>
      <c r="AX121" s="25">
        <v>1</v>
      </c>
      <c r="AY121" s="25">
        <v>1</v>
      </c>
      <c r="AZ121" s="25">
        <v>1</v>
      </c>
      <c r="BA121" s="25">
        <v>1</v>
      </c>
      <c r="BB121" s="25">
        <v>1</v>
      </c>
      <c r="BC121" s="25">
        <v>1</v>
      </c>
      <c r="BD121" s="25">
        <v>1</v>
      </c>
    </row>
    <row r="122" spans="27:56" x14ac:dyDescent="0.25">
      <c r="AA122" s="68" t="str">
        <f t="shared" si="5"/>
        <v>Fotos\\.jpg</v>
      </c>
      <c r="AB122" s="53">
        <f t="shared" si="6"/>
        <v>8.1967213114754103E-3</v>
      </c>
      <c r="AC122" s="25">
        <f t="shared" si="7"/>
        <v>122</v>
      </c>
      <c r="AD122" s="51">
        <f t="shared" si="8"/>
        <v>1</v>
      </c>
      <c r="AE122" s="25">
        <v>1</v>
      </c>
      <c r="AF122" s="25">
        <v>1</v>
      </c>
      <c r="AG122" s="25">
        <v>1</v>
      </c>
      <c r="AH122" s="25">
        <v>1</v>
      </c>
      <c r="AI122" s="25">
        <f>IF(OR(Apresentação!$E$3='Base de Dados e filtragem'!AI$2,Apresentação!$E$3='Base de Dados e filtragem'!E122),1,0)</f>
        <v>1</v>
      </c>
      <c r="AJ122" s="25">
        <f>IF(OR(Apresentação!$E$4='Base de Dados e filtragem'!AJ$2,Apresentação!$E$4='Base de Dados e filtragem'!F122),1,0)</f>
        <v>1</v>
      </c>
      <c r="AK122" s="25">
        <f>IF(OR(Apresentação!$E$5='Base de Dados e filtragem'!AK$2,Apresentação!$E$5='Base de Dados e filtragem'!G122),1,0)</f>
        <v>1</v>
      </c>
      <c r="AL122" s="25">
        <f>IF(OR(Apresentação!$E$6='Base de Dados e filtragem'!AL$2,Apresentação!$E$6='Base de Dados e filtragem'!H122),1,0)</f>
        <v>1</v>
      </c>
      <c r="AM122" s="25">
        <f>IF(OR(Apresentação!$I$2='Base de Dados e filtragem'!AM$2,Apresentação!$I$2='Base de Dados e filtragem'!I122),1,0)</f>
        <v>1</v>
      </c>
      <c r="AN122" s="25">
        <f>IF(OR(Apresentação!$I$3='Base de Dados e filtragem'!AN$2,Apresentação!$I$3='Base de Dados e filtragem'!J122),1,0)</f>
        <v>1</v>
      </c>
      <c r="AO122" s="25">
        <f>IF(OR(Apresentação!$I$4='Base de Dados e filtragem'!AO$2,Apresentação!$I$4='Base de Dados e filtragem'!K122),1,0)</f>
        <v>1</v>
      </c>
      <c r="AP122" s="25">
        <f>IF(OR(Apresentação!$I$5='Base de Dados e filtragem'!AP$2,Apresentação!$I$5='Base de Dados e filtragem'!L122),1,0)</f>
        <v>1</v>
      </c>
      <c r="AQ122" s="25">
        <f>IF(OR(Apresentação!$I$6='Base de Dados e filtragem'!AQ$2,Apresentação!$I$6='Base de Dados e filtragem'!M122),1,0)</f>
        <v>1</v>
      </c>
      <c r="AR122" s="25">
        <v>1</v>
      </c>
      <c r="AS122" s="25">
        <v>1</v>
      </c>
      <c r="AT122" s="25">
        <v>1</v>
      </c>
      <c r="AU122" s="25">
        <v>1</v>
      </c>
      <c r="AV122" s="25">
        <v>1</v>
      </c>
      <c r="AW122" s="25">
        <v>1</v>
      </c>
      <c r="AX122" s="25">
        <v>1</v>
      </c>
      <c r="AY122" s="25">
        <v>1</v>
      </c>
      <c r="AZ122" s="25">
        <v>1</v>
      </c>
      <c r="BA122" s="25">
        <v>1</v>
      </c>
      <c r="BB122" s="25">
        <v>1</v>
      </c>
      <c r="BC122" s="25">
        <v>1</v>
      </c>
      <c r="BD122" s="25">
        <v>1</v>
      </c>
    </row>
    <row r="123" spans="27:56" x14ac:dyDescent="0.25">
      <c r="AA123" s="68" t="str">
        <f t="shared" si="5"/>
        <v>Fotos\\.jpg</v>
      </c>
      <c r="AB123" s="53">
        <f t="shared" si="6"/>
        <v>8.130081300813009E-3</v>
      </c>
      <c r="AC123" s="25">
        <f t="shared" si="7"/>
        <v>123</v>
      </c>
      <c r="AD123" s="51">
        <f t="shared" si="8"/>
        <v>1</v>
      </c>
      <c r="AE123" s="25">
        <v>1</v>
      </c>
      <c r="AF123" s="25">
        <v>1</v>
      </c>
      <c r="AG123" s="25">
        <v>1</v>
      </c>
      <c r="AH123" s="25">
        <v>1</v>
      </c>
      <c r="AI123" s="25">
        <f>IF(OR(Apresentação!$E$3='Base de Dados e filtragem'!AI$2,Apresentação!$E$3='Base de Dados e filtragem'!E123),1,0)</f>
        <v>1</v>
      </c>
      <c r="AJ123" s="25">
        <f>IF(OR(Apresentação!$E$4='Base de Dados e filtragem'!AJ$2,Apresentação!$E$4='Base de Dados e filtragem'!F123),1,0)</f>
        <v>1</v>
      </c>
      <c r="AK123" s="25">
        <f>IF(OR(Apresentação!$E$5='Base de Dados e filtragem'!AK$2,Apresentação!$E$5='Base de Dados e filtragem'!G123),1,0)</f>
        <v>1</v>
      </c>
      <c r="AL123" s="25">
        <f>IF(OR(Apresentação!$E$6='Base de Dados e filtragem'!AL$2,Apresentação!$E$6='Base de Dados e filtragem'!H123),1,0)</f>
        <v>1</v>
      </c>
      <c r="AM123" s="25">
        <f>IF(OR(Apresentação!$I$2='Base de Dados e filtragem'!AM$2,Apresentação!$I$2='Base de Dados e filtragem'!I123),1,0)</f>
        <v>1</v>
      </c>
      <c r="AN123" s="25">
        <f>IF(OR(Apresentação!$I$3='Base de Dados e filtragem'!AN$2,Apresentação!$I$3='Base de Dados e filtragem'!J123),1,0)</f>
        <v>1</v>
      </c>
      <c r="AO123" s="25">
        <f>IF(OR(Apresentação!$I$4='Base de Dados e filtragem'!AO$2,Apresentação!$I$4='Base de Dados e filtragem'!K123),1,0)</f>
        <v>1</v>
      </c>
      <c r="AP123" s="25">
        <f>IF(OR(Apresentação!$I$5='Base de Dados e filtragem'!AP$2,Apresentação!$I$5='Base de Dados e filtragem'!L123),1,0)</f>
        <v>1</v>
      </c>
      <c r="AQ123" s="25">
        <f>IF(OR(Apresentação!$I$6='Base de Dados e filtragem'!AQ$2,Apresentação!$I$6='Base de Dados e filtragem'!M123),1,0)</f>
        <v>1</v>
      </c>
      <c r="AR123" s="25">
        <v>1</v>
      </c>
      <c r="AS123" s="25">
        <v>1</v>
      </c>
      <c r="AT123" s="25">
        <v>1</v>
      </c>
      <c r="AU123" s="25">
        <v>1</v>
      </c>
      <c r="AV123" s="25">
        <v>1</v>
      </c>
      <c r="AW123" s="25">
        <v>1</v>
      </c>
      <c r="AX123" s="25">
        <v>1</v>
      </c>
      <c r="AY123" s="25">
        <v>1</v>
      </c>
      <c r="AZ123" s="25">
        <v>1</v>
      </c>
      <c r="BA123" s="25">
        <v>1</v>
      </c>
      <c r="BB123" s="25">
        <v>1</v>
      </c>
      <c r="BC123" s="25">
        <v>1</v>
      </c>
      <c r="BD123" s="25">
        <v>1</v>
      </c>
    </row>
    <row r="124" spans="27:56" x14ac:dyDescent="0.25">
      <c r="AA124" s="68" t="str">
        <f t="shared" si="5"/>
        <v>Fotos\\.jpg</v>
      </c>
      <c r="AB124" s="53">
        <f t="shared" si="6"/>
        <v>8.0645161290322578E-3</v>
      </c>
      <c r="AC124" s="25">
        <f t="shared" si="7"/>
        <v>124</v>
      </c>
      <c r="AD124" s="51">
        <f t="shared" si="8"/>
        <v>1</v>
      </c>
      <c r="AE124" s="25">
        <v>1</v>
      </c>
      <c r="AF124" s="25">
        <v>1</v>
      </c>
      <c r="AG124" s="25">
        <v>1</v>
      </c>
      <c r="AH124" s="25">
        <v>1</v>
      </c>
      <c r="AI124" s="25">
        <f>IF(OR(Apresentação!$E$3='Base de Dados e filtragem'!AI$2,Apresentação!$E$3='Base de Dados e filtragem'!E124),1,0)</f>
        <v>1</v>
      </c>
      <c r="AJ124" s="25">
        <f>IF(OR(Apresentação!$E$4='Base de Dados e filtragem'!AJ$2,Apresentação!$E$4='Base de Dados e filtragem'!F124),1,0)</f>
        <v>1</v>
      </c>
      <c r="AK124" s="25">
        <f>IF(OR(Apresentação!$E$5='Base de Dados e filtragem'!AK$2,Apresentação!$E$5='Base de Dados e filtragem'!G124),1,0)</f>
        <v>1</v>
      </c>
      <c r="AL124" s="25">
        <f>IF(OR(Apresentação!$E$6='Base de Dados e filtragem'!AL$2,Apresentação!$E$6='Base de Dados e filtragem'!H124),1,0)</f>
        <v>1</v>
      </c>
      <c r="AM124" s="25">
        <f>IF(OR(Apresentação!$I$2='Base de Dados e filtragem'!AM$2,Apresentação!$I$2='Base de Dados e filtragem'!I124),1,0)</f>
        <v>1</v>
      </c>
      <c r="AN124" s="25">
        <f>IF(OR(Apresentação!$I$3='Base de Dados e filtragem'!AN$2,Apresentação!$I$3='Base de Dados e filtragem'!J124),1,0)</f>
        <v>1</v>
      </c>
      <c r="AO124" s="25">
        <f>IF(OR(Apresentação!$I$4='Base de Dados e filtragem'!AO$2,Apresentação!$I$4='Base de Dados e filtragem'!K124),1,0)</f>
        <v>1</v>
      </c>
      <c r="AP124" s="25">
        <f>IF(OR(Apresentação!$I$5='Base de Dados e filtragem'!AP$2,Apresentação!$I$5='Base de Dados e filtragem'!L124),1,0)</f>
        <v>1</v>
      </c>
      <c r="AQ124" s="25">
        <f>IF(OR(Apresentação!$I$6='Base de Dados e filtragem'!AQ$2,Apresentação!$I$6='Base de Dados e filtragem'!M124),1,0)</f>
        <v>1</v>
      </c>
      <c r="AR124" s="25">
        <v>1</v>
      </c>
      <c r="AS124" s="25">
        <v>1</v>
      </c>
      <c r="AT124" s="25">
        <v>1</v>
      </c>
      <c r="AU124" s="25">
        <v>1</v>
      </c>
      <c r="AV124" s="25">
        <v>1</v>
      </c>
      <c r="AW124" s="25">
        <v>1</v>
      </c>
      <c r="AX124" s="25">
        <v>1</v>
      </c>
      <c r="AY124" s="25">
        <v>1</v>
      </c>
      <c r="AZ124" s="25">
        <v>1</v>
      </c>
      <c r="BA124" s="25">
        <v>1</v>
      </c>
      <c r="BB124" s="25">
        <v>1</v>
      </c>
      <c r="BC124" s="25">
        <v>1</v>
      </c>
      <c r="BD124" s="25">
        <v>1</v>
      </c>
    </row>
    <row r="125" spans="27:56" x14ac:dyDescent="0.25">
      <c r="AA125" s="68" t="str">
        <f t="shared" si="5"/>
        <v>Fotos\\.jpg</v>
      </c>
      <c r="AB125" s="53">
        <f t="shared" si="6"/>
        <v>8.0000000000000002E-3</v>
      </c>
      <c r="AC125" s="25">
        <f t="shared" si="7"/>
        <v>125</v>
      </c>
      <c r="AD125" s="51">
        <f t="shared" si="8"/>
        <v>1</v>
      </c>
      <c r="AE125" s="25">
        <v>1</v>
      </c>
      <c r="AF125" s="25">
        <v>1</v>
      </c>
      <c r="AG125" s="25">
        <v>1</v>
      </c>
      <c r="AH125" s="25">
        <v>1</v>
      </c>
      <c r="AI125" s="25">
        <f>IF(OR(Apresentação!$E$3='Base de Dados e filtragem'!AI$2,Apresentação!$E$3='Base de Dados e filtragem'!E125),1,0)</f>
        <v>1</v>
      </c>
      <c r="AJ125" s="25">
        <f>IF(OR(Apresentação!$E$4='Base de Dados e filtragem'!AJ$2,Apresentação!$E$4='Base de Dados e filtragem'!F125),1,0)</f>
        <v>1</v>
      </c>
      <c r="AK125" s="25">
        <f>IF(OR(Apresentação!$E$5='Base de Dados e filtragem'!AK$2,Apresentação!$E$5='Base de Dados e filtragem'!G125),1,0)</f>
        <v>1</v>
      </c>
      <c r="AL125" s="25">
        <f>IF(OR(Apresentação!$E$6='Base de Dados e filtragem'!AL$2,Apresentação!$E$6='Base de Dados e filtragem'!H125),1,0)</f>
        <v>1</v>
      </c>
      <c r="AM125" s="25">
        <f>IF(OR(Apresentação!$I$2='Base de Dados e filtragem'!AM$2,Apresentação!$I$2='Base de Dados e filtragem'!I125),1,0)</f>
        <v>1</v>
      </c>
      <c r="AN125" s="25">
        <f>IF(OR(Apresentação!$I$3='Base de Dados e filtragem'!AN$2,Apresentação!$I$3='Base de Dados e filtragem'!J125),1,0)</f>
        <v>1</v>
      </c>
      <c r="AO125" s="25">
        <f>IF(OR(Apresentação!$I$4='Base de Dados e filtragem'!AO$2,Apresentação!$I$4='Base de Dados e filtragem'!K125),1,0)</f>
        <v>1</v>
      </c>
      <c r="AP125" s="25">
        <f>IF(OR(Apresentação!$I$5='Base de Dados e filtragem'!AP$2,Apresentação!$I$5='Base de Dados e filtragem'!L125),1,0)</f>
        <v>1</v>
      </c>
      <c r="AQ125" s="25">
        <f>IF(OR(Apresentação!$I$6='Base de Dados e filtragem'!AQ$2,Apresentação!$I$6='Base de Dados e filtragem'!M125),1,0)</f>
        <v>1</v>
      </c>
      <c r="AR125" s="25">
        <v>1</v>
      </c>
      <c r="AS125" s="25">
        <v>1</v>
      </c>
      <c r="AT125" s="25">
        <v>1</v>
      </c>
      <c r="AU125" s="25">
        <v>1</v>
      </c>
      <c r="AV125" s="25">
        <v>1</v>
      </c>
      <c r="AW125" s="25">
        <v>1</v>
      </c>
      <c r="AX125" s="25">
        <v>1</v>
      </c>
      <c r="AY125" s="25">
        <v>1</v>
      </c>
      <c r="AZ125" s="25">
        <v>1</v>
      </c>
      <c r="BA125" s="25">
        <v>1</v>
      </c>
      <c r="BB125" s="25">
        <v>1</v>
      </c>
      <c r="BC125" s="25">
        <v>1</v>
      </c>
      <c r="BD125" s="25">
        <v>1</v>
      </c>
    </row>
    <row r="126" spans="27:56" x14ac:dyDescent="0.25">
      <c r="AA126" s="68" t="str">
        <f t="shared" si="5"/>
        <v>Fotos\\.jpg</v>
      </c>
      <c r="AB126" s="53">
        <f t="shared" si="6"/>
        <v>7.9365079365079361E-3</v>
      </c>
      <c r="AC126" s="25">
        <f t="shared" si="7"/>
        <v>126</v>
      </c>
      <c r="AD126" s="51">
        <f t="shared" si="8"/>
        <v>1</v>
      </c>
      <c r="AE126" s="25">
        <v>1</v>
      </c>
      <c r="AF126" s="25">
        <v>1</v>
      </c>
      <c r="AG126" s="25">
        <v>1</v>
      </c>
      <c r="AH126" s="25">
        <v>1</v>
      </c>
      <c r="AI126" s="25">
        <f>IF(OR(Apresentação!$E$3='Base de Dados e filtragem'!AI$2,Apresentação!$E$3='Base de Dados e filtragem'!E126),1,0)</f>
        <v>1</v>
      </c>
      <c r="AJ126" s="25">
        <f>IF(OR(Apresentação!$E$4='Base de Dados e filtragem'!AJ$2,Apresentação!$E$4='Base de Dados e filtragem'!F126),1,0)</f>
        <v>1</v>
      </c>
      <c r="AK126" s="25">
        <f>IF(OR(Apresentação!$E$5='Base de Dados e filtragem'!AK$2,Apresentação!$E$5='Base de Dados e filtragem'!G126),1,0)</f>
        <v>1</v>
      </c>
      <c r="AL126" s="25">
        <f>IF(OR(Apresentação!$E$6='Base de Dados e filtragem'!AL$2,Apresentação!$E$6='Base de Dados e filtragem'!H126),1,0)</f>
        <v>1</v>
      </c>
      <c r="AM126" s="25">
        <f>IF(OR(Apresentação!$I$2='Base de Dados e filtragem'!AM$2,Apresentação!$I$2='Base de Dados e filtragem'!I126),1,0)</f>
        <v>1</v>
      </c>
      <c r="AN126" s="25">
        <f>IF(OR(Apresentação!$I$3='Base de Dados e filtragem'!AN$2,Apresentação!$I$3='Base de Dados e filtragem'!J126),1,0)</f>
        <v>1</v>
      </c>
      <c r="AO126" s="25">
        <f>IF(OR(Apresentação!$I$4='Base de Dados e filtragem'!AO$2,Apresentação!$I$4='Base de Dados e filtragem'!K126),1,0)</f>
        <v>1</v>
      </c>
      <c r="AP126" s="25">
        <f>IF(OR(Apresentação!$I$5='Base de Dados e filtragem'!AP$2,Apresentação!$I$5='Base de Dados e filtragem'!L126),1,0)</f>
        <v>1</v>
      </c>
      <c r="AQ126" s="25">
        <f>IF(OR(Apresentação!$I$6='Base de Dados e filtragem'!AQ$2,Apresentação!$I$6='Base de Dados e filtragem'!M126),1,0)</f>
        <v>1</v>
      </c>
      <c r="AR126" s="25">
        <v>1</v>
      </c>
      <c r="AS126" s="25">
        <v>1</v>
      </c>
      <c r="AT126" s="25">
        <v>1</v>
      </c>
      <c r="AU126" s="25">
        <v>1</v>
      </c>
      <c r="AV126" s="25">
        <v>1</v>
      </c>
      <c r="AW126" s="25">
        <v>1</v>
      </c>
      <c r="AX126" s="25">
        <v>1</v>
      </c>
      <c r="AY126" s="25">
        <v>1</v>
      </c>
      <c r="AZ126" s="25">
        <v>1</v>
      </c>
      <c r="BA126" s="25">
        <v>1</v>
      </c>
      <c r="BB126" s="25">
        <v>1</v>
      </c>
      <c r="BC126" s="25">
        <v>1</v>
      </c>
      <c r="BD126" s="25">
        <v>1</v>
      </c>
    </row>
    <row r="127" spans="27:56" x14ac:dyDescent="0.25">
      <c r="AA127" s="68" t="str">
        <f t="shared" si="5"/>
        <v>Fotos\\.jpg</v>
      </c>
      <c r="AB127" s="53">
        <f t="shared" si="6"/>
        <v>7.874015748031496E-3</v>
      </c>
      <c r="AC127" s="25">
        <f t="shared" si="7"/>
        <v>127</v>
      </c>
      <c r="AD127" s="51">
        <f t="shared" si="8"/>
        <v>1</v>
      </c>
      <c r="AE127" s="25">
        <v>1</v>
      </c>
      <c r="AF127" s="25">
        <v>1</v>
      </c>
      <c r="AG127" s="25">
        <v>1</v>
      </c>
      <c r="AH127" s="25">
        <v>1</v>
      </c>
      <c r="AI127" s="25">
        <f>IF(OR(Apresentação!$E$3='Base de Dados e filtragem'!AI$2,Apresentação!$E$3='Base de Dados e filtragem'!E127),1,0)</f>
        <v>1</v>
      </c>
      <c r="AJ127" s="25">
        <f>IF(OR(Apresentação!$E$4='Base de Dados e filtragem'!AJ$2,Apresentação!$E$4='Base de Dados e filtragem'!F127),1,0)</f>
        <v>1</v>
      </c>
      <c r="AK127" s="25">
        <f>IF(OR(Apresentação!$E$5='Base de Dados e filtragem'!AK$2,Apresentação!$E$5='Base de Dados e filtragem'!G127),1,0)</f>
        <v>1</v>
      </c>
      <c r="AL127" s="25">
        <f>IF(OR(Apresentação!$E$6='Base de Dados e filtragem'!AL$2,Apresentação!$E$6='Base de Dados e filtragem'!H127),1,0)</f>
        <v>1</v>
      </c>
      <c r="AM127" s="25">
        <f>IF(OR(Apresentação!$I$2='Base de Dados e filtragem'!AM$2,Apresentação!$I$2='Base de Dados e filtragem'!I127),1,0)</f>
        <v>1</v>
      </c>
      <c r="AN127" s="25">
        <f>IF(OR(Apresentação!$I$3='Base de Dados e filtragem'!AN$2,Apresentação!$I$3='Base de Dados e filtragem'!J127),1,0)</f>
        <v>1</v>
      </c>
      <c r="AO127" s="25">
        <f>IF(OR(Apresentação!$I$4='Base de Dados e filtragem'!AO$2,Apresentação!$I$4='Base de Dados e filtragem'!K127),1,0)</f>
        <v>1</v>
      </c>
      <c r="AP127" s="25">
        <f>IF(OR(Apresentação!$I$5='Base de Dados e filtragem'!AP$2,Apresentação!$I$5='Base de Dados e filtragem'!L127),1,0)</f>
        <v>1</v>
      </c>
      <c r="AQ127" s="25">
        <f>IF(OR(Apresentação!$I$6='Base de Dados e filtragem'!AQ$2,Apresentação!$I$6='Base de Dados e filtragem'!M127),1,0)</f>
        <v>1</v>
      </c>
      <c r="AR127" s="25">
        <v>1</v>
      </c>
      <c r="AS127" s="25">
        <v>1</v>
      </c>
      <c r="AT127" s="25">
        <v>1</v>
      </c>
      <c r="AU127" s="25">
        <v>1</v>
      </c>
      <c r="AV127" s="25">
        <v>1</v>
      </c>
      <c r="AW127" s="25">
        <v>1</v>
      </c>
      <c r="AX127" s="25">
        <v>1</v>
      </c>
      <c r="AY127" s="25">
        <v>1</v>
      </c>
      <c r="AZ127" s="25">
        <v>1</v>
      </c>
      <c r="BA127" s="25">
        <v>1</v>
      </c>
      <c r="BB127" s="25">
        <v>1</v>
      </c>
      <c r="BC127" s="25">
        <v>1</v>
      </c>
      <c r="BD127" s="25">
        <v>1</v>
      </c>
    </row>
    <row r="128" spans="27:56" x14ac:dyDescent="0.25">
      <c r="AA128" s="68" t="str">
        <f t="shared" si="5"/>
        <v>Fotos\\.jpg</v>
      </c>
      <c r="AB128" s="53">
        <f t="shared" si="6"/>
        <v>7.8125E-3</v>
      </c>
      <c r="AC128" s="25">
        <f t="shared" si="7"/>
        <v>128</v>
      </c>
      <c r="AD128" s="51">
        <f t="shared" si="8"/>
        <v>1</v>
      </c>
      <c r="AE128" s="25">
        <v>1</v>
      </c>
      <c r="AF128" s="25">
        <v>1</v>
      </c>
      <c r="AG128" s="25">
        <v>1</v>
      </c>
      <c r="AH128" s="25">
        <v>1</v>
      </c>
      <c r="AI128" s="25">
        <f>IF(OR(Apresentação!$E$3='Base de Dados e filtragem'!AI$2,Apresentação!$E$3='Base de Dados e filtragem'!E128),1,0)</f>
        <v>1</v>
      </c>
      <c r="AJ128" s="25">
        <f>IF(OR(Apresentação!$E$4='Base de Dados e filtragem'!AJ$2,Apresentação!$E$4='Base de Dados e filtragem'!F128),1,0)</f>
        <v>1</v>
      </c>
      <c r="AK128" s="25">
        <f>IF(OR(Apresentação!$E$5='Base de Dados e filtragem'!AK$2,Apresentação!$E$5='Base de Dados e filtragem'!G128),1,0)</f>
        <v>1</v>
      </c>
      <c r="AL128" s="25">
        <f>IF(OR(Apresentação!$E$6='Base de Dados e filtragem'!AL$2,Apresentação!$E$6='Base de Dados e filtragem'!H128),1,0)</f>
        <v>1</v>
      </c>
      <c r="AM128" s="25">
        <f>IF(OR(Apresentação!$I$2='Base de Dados e filtragem'!AM$2,Apresentação!$I$2='Base de Dados e filtragem'!I128),1,0)</f>
        <v>1</v>
      </c>
      <c r="AN128" s="25">
        <f>IF(OR(Apresentação!$I$3='Base de Dados e filtragem'!AN$2,Apresentação!$I$3='Base de Dados e filtragem'!J128),1,0)</f>
        <v>1</v>
      </c>
      <c r="AO128" s="25">
        <f>IF(OR(Apresentação!$I$4='Base de Dados e filtragem'!AO$2,Apresentação!$I$4='Base de Dados e filtragem'!K128),1,0)</f>
        <v>1</v>
      </c>
      <c r="AP128" s="25">
        <f>IF(OR(Apresentação!$I$5='Base de Dados e filtragem'!AP$2,Apresentação!$I$5='Base de Dados e filtragem'!L128),1,0)</f>
        <v>1</v>
      </c>
      <c r="AQ128" s="25">
        <f>IF(OR(Apresentação!$I$6='Base de Dados e filtragem'!AQ$2,Apresentação!$I$6='Base de Dados e filtragem'!M128),1,0)</f>
        <v>1</v>
      </c>
      <c r="AR128" s="25">
        <v>1</v>
      </c>
      <c r="AS128" s="25">
        <v>1</v>
      </c>
      <c r="AT128" s="25">
        <v>1</v>
      </c>
      <c r="AU128" s="25">
        <v>1</v>
      </c>
      <c r="AV128" s="25">
        <v>1</v>
      </c>
      <c r="AW128" s="25">
        <v>1</v>
      </c>
      <c r="AX128" s="25">
        <v>1</v>
      </c>
      <c r="AY128" s="25">
        <v>1</v>
      </c>
      <c r="AZ128" s="25">
        <v>1</v>
      </c>
      <c r="BA128" s="25">
        <v>1</v>
      </c>
      <c r="BB128" s="25">
        <v>1</v>
      </c>
      <c r="BC128" s="25">
        <v>1</v>
      </c>
      <c r="BD128" s="25">
        <v>1</v>
      </c>
    </row>
    <row r="129" spans="27:56" x14ac:dyDescent="0.25">
      <c r="AA129" s="68" t="str">
        <f t="shared" si="5"/>
        <v>Fotos\\.jpg</v>
      </c>
      <c r="AB129" s="53">
        <f t="shared" si="6"/>
        <v>7.7519379844961239E-3</v>
      </c>
      <c r="AC129" s="25">
        <f t="shared" si="7"/>
        <v>129</v>
      </c>
      <c r="AD129" s="51">
        <f t="shared" si="8"/>
        <v>1</v>
      </c>
      <c r="AE129" s="25">
        <v>1</v>
      </c>
      <c r="AF129" s="25">
        <v>1</v>
      </c>
      <c r="AG129" s="25">
        <v>1</v>
      </c>
      <c r="AH129" s="25">
        <v>1</v>
      </c>
      <c r="AI129" s="25">
        <f>IF(OR(Apresentação!$E$3='Base de Dados e filtragem'!AI$2,Apresentação!$E$3='Base de Dados e filtragem'!E129),1,0)</f>
        <v>1</v>
      </c>
      <c r="AJ129" s="25">
        <f>IF(OR(Apresentação!$E$4='Base de Dados e filtragem'!AJ$2,Apresentação!$E$4='Base de Dados e filtragem'!F129),1,0)</f>
        <v>1</v>
      </c>
      <c r="AK129" s="25">
        <f>IF(OR(Apresentação!$E$5='Base de Dados e filtragem'!AK$2,Apresentação!$E$5='Base de Dados e filtragem'!G129),1,0)</f>
        <v>1</v>
      </c>
      <c r="AL129" s="25">
        <f>IF(OR(Apresentação!$E$6='Base de Dados e filtragem'!AL$2,Apresentação!$E$6='Base de Dados e filtragem'!H129),1,0)</f>
        <v>1</v>
      </c>
      <c r="AM129" s="25">
        <f>IF(OR(Apresentação!$I$2='Base de Dados e filtragem'!AM$2,Apresentação!$I$2='Base de Dados e filtragem'!I129),1,0)</f>
        <v>1</v>
      </c>
      <c r="AN129" s="25">
        <f>IF(OR(Apresentação!$I$3='Base de Dados e filtragem'!AN$2,Apresentação!$I$3='Base de Dados e filtragem'!J129),1,0)</f>
        <v>1</v>
      </c>
      <c r="AO129" s="25">
        <f>IF(OR(Apresentação!$I$4='Base de Dados e filtragem'!AO$2,Apresentação!$I$4='Base de Dados e filtragem'!K129),1,0)</f>
        <v>1</v>
      </c>
      <c r="AP129" s="25">
        <f>IF(OR(Apresentação!$I$5='Base de Dados e filtragem'!AP$2,Apresentação!$I$5='Base de Dados e filtragem'!L129),1,0)</f>
        <v>1</v>
      </c>
      <c r="AQ129" s="25">
        <f>IF(OR(Apresentação!$I$6='Base de Dados e filtragem'!AQ$2,Apresentação!$I$6='Base de Dados e filtragem'!M129),1,0)</f>
        <v>1</v>
      </c>
      <c r="AR129" s="25">
        <v>1</v>
      </c>
      <c r="AS129" s="25">
        <v>1</v>
      </c>
      <c r="AT129" s="25">
        <v>1</v>
      </c>
      <c r="AU129" s="25">
        <v>1</v>
      </c>
      <c r="AV129" s="25">
        <v>1</v>
      </c>
      <c r="AW129" s="25">
        <v>1</v>
      </c>
      <c r="AX129" s="25">
        <v>1</v>
      </c>
      <c r="AY129" s="25">
        <v>1</v>
      </c>
      <c r="AZ129" s="25">
        <v>1</v>
      </c>
      <c r="BA129" s="25">
        <v>1</v>
      </c>
      <c r="BB129" s="25">
        <v>1</v>
      </c>
      <c r="BC129" s="25">
        <v>1</v>
      </c>
      <c r="BD129" s="25">
        <v>1</v>
      </c>
    </row>
    <row r="130" spans="27:56" x14ac:dyDescent="0.25">
      <c r="AA130" s="68" t="str">
        <f t="shared" si="5"/>
        <v>Fotos\\.jpg</v>
      </c>
      <c r="AB130" s="53">
        <f t="shared" si="6"/>
        <v>7.6923076923076927E-3</v>
      </c>
      <c r="AC130" s="25">
        <f t="shared" si="7"/>
        <v>130</v>
      </c>
      <c r="AD130" s="51">
        <f t="shared" si="8"/>
        <v>1</v>
      </c>
      <c r="AE130" s="25">
        <v>1</v>
      </c>
      <c r="AF130" s="25">
        <v>1</v>
      </c>
      <c r="AG130" s="25">
        <v>1</v>
      </c>
      <c r="AH130" s="25">
        <v>1</v>
      </c>
      <c r="AI130" s="25">
        <f>IF(OR(Apresentação!$E$3='Base de Dados e filtragem'!AI$2,Apresentação!$E$3='Base de Dados e filtragem'!E130),1,0)</f>
        <v>1</v>
      </c>
      <c r="AJ130" s="25">
        <f>IF(OR(Apresentação!$E$4='Base de Dados e filtragem'!AJ$2,Apresentação!$E$4='Base de Dados e filtragem'!F130),1,0)</f>
        <v>1</v>
      </c>
      <c r="AK130" s="25">
        <f>IF(OR(Apresentação!$E$5='Base de Dados e filtragem'!AK$2,Apresentação!$E$5='Base de Dados e filtragem'!G130),1,0)</f>
        <v>1</v>
      </c>
      <c r="AL130" s="25">
        <f>IF(OR(Apresentação!$E$6='Base de Dados e filtragem'!AL$2,Apresentação!$E$6='Base de Dados e filtragem'!H130),1,0)</f>
        <v>1</v>
      </c>
      <c r="AM130" s="25">
        <f>IF(OR(Apresentação!$I$2='Base de Dados e filtragem'!AM$2,Apresentação!$I$2='Base de Dados e filtragem'!I130),1,0)</f>
        <v>1</v>
      </c>
      <c r="AN130" s="25">
        <f>IF(OR(Apresentação!$I$3='Base de Dados e filtragem'!AN$2,Apresentação!$I$3='Base de Dados e filtragem'!J130),1,0)</f>
        <v>1</v>
      </c>
      <c r="AO130" s="25">
        <f>IF(OR(Apresentação!$I$4='Base de Dados e filtragem'!AO$2,Apresentação!$I$4='Base de Dados e filtragem'!K130),1,0)</f>
        <v>1</v>
      </c>
      <c r="AP130" s="25">
        <f>IF(OR(Apresentação!$I$5='Base de Dados e filtragem'!AP$2,Apresentação!$I$5='Base de Dados e filtragem'!L130),1,0)</f>
        <v>1</v>
      </c>
      <c r="AQ130" s="25">
        <f>IF(OR(Apresentação!$I$6='Base de Dados e filtragem'!AQ$2,Apresentação!$I$6='Base de Dados e filtragem'!M130),1,0)</f>
        <v>1</v>
      </c>
      <c r="AR130" s="25">
        <v>1</v>
      </c>
      <c r="AS130" s="25">
        <v>1</v>
      </c>
      <c r="AT130" s="25">
        <v>1</v>
      </c>
      <c r="AU130" s="25">
        <v>1</v>
      </c>
      <c r="AV130" s="25">
        <v>1</v>
      </c>
      <c r="AW130" s="25">
        <v>1</v>
      </c>
      <c r="AX130" s="25">
        <v>1</v>
      </c>
      <c r="AY130" s="25">
        <v>1</v>
      </c>
      <c r="AZ130" s="25">
        <v>1</v>
      </c>
      <c r="BA130" s="25">
        <v>1</v>
      </c>
      <c r="BB130" s="25">
        <v>1</v>
      </c>
      <c r="BC130" s="25">
        <v>1</v>
      </c>
      <c r="BD130" s="25">
        <v>1</v>
      </c>
    </row>
    <row r="131" spans="27:56" x14ac:dyDescent="0.25">
      <c r="AA131" s="68" t="str">
        <f t="shared" si="5"/>
        <v>Fotos\\.jpg</v>
      </c>
      <c r="AB131" s="53">
        <f t="shared" si="6"/>
        <v>7.6335877862595417E-3</v>
      </c>
      <c r="AC131" s="25">
        <f t="shared" si="7"/>
        <v>131</v>
      </c>
      <c r="AD131" s="51">
        <f t="shared" si="8"/>
        <v>1</v>
      </c>
      <c r="AE131" s="25">
        <v>1</v>
      </c>
      <c r="AF131" s="25">
        <v>1</v>
      </c>
      <c r="AG131" s="25">
        <v>1</v>
      </c>
      <c r="AH131" s="25">
        <v>1</v>
      </c>
      <c r="AI131" s="25">
        <f>IF(OR(Apresentação!$E$3='Base de Dados e filtragem'!AI$2,Apresentação!$E$3='Base de Dados e filtragem'!E131),1,0)</f>
        <v>1</v>
      </c>
      <c r="AJ131" s="25">
        <f>IF(OR(Apresentação!$E$4='Base de Dados e filtragem'!AJ$2,Apresentação!$E$4='Base de Dados e filtragem'!F131),1,0)</f>
        <v>1</v>
      </c>
      <c r="AK131" s="25">
        <f>IF(OR(Apresentação!$E$5='Base de Dados e filtragem'!AK$2,Apresentação!$E$5='Base de Dados e filtragem'!G131),1,0)</f>
        <v>1</v>
      </c>
      <c r="AL131" s="25">
        <f>IF(OR(Apresentação!$E$6='Base de Dados e filtragem'!AL$2,Apresentação!$E$6='Base de Dados e filtragem'!H131),1,0)</f>
        <v>1</v>
      </c>
      <c r="AM131" s="25">
        <f>IF(OR(Apresentação!$I$2='Base de Dados e filtragem'!AM$2,Apresentação!$I$2='Base de Dados e filtragem'!I131),1,0)</f>
        <v>1</v>
      </c>
      <c r="AN131" s="25">
        <f>IF(OR(Apresentação!$I$3='Base de Dados e filtragem'!AN$2,Apresentação!$I$3='Base de Dados e filtragem'!J131),1,0)</f>
        <v>1</v>
      </c>
      <c r="AO131" s="25">
        <f>IF(OR(Apresentação!$I$4='Base de Dados e filtragem'!AO$2,Apresentação!$I$4='Base de Dados e filtragem'!K131),1,0)</f>
        <v>1</v>
      </c>
      <c r="AP131" s="25">
        <f>IF(OR(Apresentação!$I$5='Base de Dados e filtragem'!AP$2,Apresentação!$I$5='Base de Dados e filtragem'!L131),1,0)</f>
        <v>1</v>
      </c>
      <c r="AQ131" s="25">
        <f>IF(OR(Apresentação!$I$6='Base de Dados e filtragem'!AQ$2,Apresentação!$I$6='Base de Dados e filtragem'!M131),1,0)</f>
        <v>1</v>
      </c>
      <c r="AR131" s="25">
        <v>1</v>
      </c>
      <c r="AS131" s="25">
        <v>1</v>
      </c>
      <c r="AT131" s="25">
        <v>1</v>
      </c>
      <c r="AU131" s="25">
        <v>1</v>
      </c>
      <c r="AV131" s="25">
        <v>1</v>
      </c>
      <c r="AW131" s="25">
        <v>1</v>
      </c>
      <c r="AX131" s="25">
        <v>1</v>
      </c>
      <c r="AY131" s="25">
        <v>1</v>
      </c>
      <c r="AZ131" s="25">
        <v>1</v>
      </c>
      <c r="BA131" s="25">
        <v>1</v>
      </c>
      <c r="BB131" s="25">
        <v>1</v>
      </c>
      <c r="BC131" s="25">
        <v>1</v>
      </c>
      <c r="BD131" s="25">
        <v>1</v>
      </c>
    </row>
    <row r="132" spans="27:56" x14ac:dyDescent="0.25">
      <c r="AA132" s="68" t="str">
        <f t="shared" ref="AA132:AA195" si="9">"Fotos\"&amp;I132&amp;"\"&amp;A132&amp;".jpg"</f>
        <v>Fotos\\.jpg</v>
      </c>
      <c r="AB132" s="53">
        <f t="shared" ref="AB132:AB195" si="10">AD132/AC132</f>
        <v>7.575757575757576E-3</v>
      </c>
      <c r="AC132" s="25">
        <f t="shared" ref="AC132:AC195" si="11">AC131+1</f>
        <v>132</v>
      </c>
      <c r="AD132" s="51">
        <f t="shared" ref="AD132:AD195" si="12">PRODUCT(AE132:BD132)</f>
        <v>1</v>
      </c>
      <c r="AE132" s="25">
        <v>1</v>
      </c>
      <c r="AF132" s="25">
        <v>1</v>
      </c>
      <c r="AG132" s="25">
        <v>1</v>
      </c>
      <c r="AH132" s="25">
        <v>1</v>
      </c>
      <c r="AI132" s="25">
        <f>IF(OR(Apresentação!$E$3='Base de Dados e filtragem'!AI$2,Apresentação!$E$3='Base de Dados e filtragem'!E132),1,0)</f>
        <v>1</v>
      </c>
      <c r="AJ132" s="25">
        <f>IF(OR(Apresentação!$E$4='Base de Dados e filtragem'!AJ$2,Apresentação!$E$4='Base de Dados e filtragem'!F132),1,0)</f>
        <v>1</v>
      </c>
      <c r="AK132" s="25">
        <f>IF(OR(Apresentação!$E$5='Base de Dados e filtragem'!AK$2,Apresentação!$E$5='Base de Dados e filtragem'!G132),1,0)</f>
        <v>1</v>
      </c>
      <c r="AL132" s="25">
        <f>IF(OR(Apresentação!$E$6='Base de Dados e filtragem'!AL$2,Apresentação!$E$6='Base de Dados e filtragem'!H132),1,0)</f>
        <v>1</v>
      </c>
      <c r="AM132" s="25">
        <f>IF(OR(Apresentação!$I$2='Base de Dados e filtragem'!AM$2,Apresentação!$I$2='Base de Dados e filtragem'!I132),1,0)</f>
        <v>1</v>
      </c>
      <c r="AN132" s="25">
        <f>IF(OR(Apresentação!$I$3='Base de Dados e filtragem'!AN$2,Apresentação!$I$3='Base de Dados e filtragem'!J132),1,0)</f>
        <v>1</v>
      </c>
      <c r="AO132" s="25">
        <f>IF(OR(Apresentação!$I$4='Base de Dados e filtragem'!AO$2,Apresentação!$I$4='Base de Dados e filtragem'!K132),1,0)</f>
        <v>1</v>
      </c>
      <c r="AP132" s="25">
        <f>IF(OR(Apresentação!$I$5='Base de Dados e filtragem'!AP$2,Apresentação!$I$5='Base de Dados e filtragem'!L132),1,0)</f>
        <v>1</v>
      </c>
      <c r="AQ132" s="25">
        <f>IF(OR(Apresentação!$I$6='Base de Dados e filtragem'!AQ$2,Apresentação!$I$6='Base de Dados e filtragem'!M132),1,0)</f>
        <v>1</v>
      </c>
      <c r="AR132" s="25">
        <v>1</v>
      </c>
      <c r="AS132" s="25">
        <v>1</v>
      </c>
      <c r="AT132" s="25">
        <v>1</v>
      </c>
      <c r="AU132" s="25">
        <v>1</v>
      </c>
      <c r="AV132" s="25">
        <v>1</v>
      </c>
      <c r="AW132" s="25">
        <v>1</v>
      </c>
      <c r="AX132" s="25">
        <v>1</v>
      </c>
      <c r="AY132" s="25">
        <v>1</v>
      </c>
      <c r="AZ132" s="25">
        <v>1</v>
      </c>
      <c r="BA132" s="25">
        <v>1</v>
      </c>
      <c r="BB132" s="25">
        <v>1</v>
      </c>
      <c r="BC132" s="25">
        <v>1</v>
      </c>
      <c r="BD132" s="25">
        <v>1</v>
      </c>
    </row>
    <row r="133" spans="27:56" x14ac:dyDescent="0.25">
      <c r="AA133" s="68" t="str">
        <f t="shared" si="9"/>
        <v>Fotos\\.jpg</v>
      </c>
      <c r="AB133" s="53">
        <f t="shared" si="10"/>
        <v>7.5187969924812026E-3</v>
      </c>
      <c r="AC133" s="25">
        <f t="shared" si="11"/>
        <v>133</v>
      </c>
      <c r="AD133" s="51">
        <f t="shared" si="12"/>
        <v>1</v>
      </c>
      <c r="AE133" s="25">
        <v>1</v>
      </c>
      <c r="AF133" s="25">
        <v>1</v>
      </c>
      <c r="AG133" s="25">
        <v>1</v>
      </c>
      <c r="AH133" s="25">
        <v>1</v>
      </c>
      <c r="AI133" s="25">
        <f>IF(OR(Apresentação!$E$3='Base de Dados e filtragem'!AI$2,Apresentação!$E$3='Base de Dados e filtragem'!E133),1,0)</f>
        <v>1</v>
      </c>
      <c r="AJ133" s="25">
        <f>IF(OR(Apresentação!$E$4='Base de Dados e filtragem'!AJ$2,Apresentação!$E$4='Base de Dados e filtragem'!F133),1,0)</f>
        <v>1</v>
      </c>
      <c r="AK133" s="25">
        <f>IF(OR(Apresentação!$E$5='Base de Dados e filtragem'!AK$2,Apresentação!$E$5='Base de Dados e filtragem'!G133),1,0)</f>
        <v>1</v>
      </c>
      <c r="AL133" s="25">
        <f>IF(OR(Apresentação!$E$6='Base de Dados e filtragem'!AL$2,Apresentação!$E$6='Base de Dados e filtragem'!H133),1,0)</f>
        <v>1</v>
      </c>
      <c r="AM133" s="25">
        <f>IF(OR(Apresentação!$I$2='Base de Dados e filtragem'!AM$2,Apresentação!$I$2='Base de Dados e filtragem'!I133),1,0)</f>
        <v>1</v>
      </c>
      <c r="AN133" s="25">
        <f>IF(OR(Apresentação!$I$3='Base de Dados e filtragem'!AN$2,Apresentação!$I$3='Base de Dados e filtragem'!J133),1,0)</f>
        <v>1</v>
      </c>
      <c r="AO133" s="25">
        <f>IF(OR(Apresentação!$I$4='Base de Dados e filtragem'!AO$2,Apresentação!$I$4='Base de Dados e filtragem'!K133),1,0)</f>
        <v>1</v>
      </c>
      <c r="AP133" s="25">
        <f>IF(OR(Apresentação!$I$5='Base de Dados e filtragem'!AP$2,Apresentação!$I$5='Base de Dados e filtragem'!L133),1,0)</f>
        <v>1</v>
      </c>
      <c r="AQ133" s="25">
        <f>IF(OR(Apresentação!$I$6='Base de Dados e filtragem'!AQ$2,Apresentação!$I$6='Base de Dados e filtragem'!M133),1,0)</f>
        <v>1</v>
      </c>
      <c r="AR133" s="25">
        <v>1</v>
      </c>
      <c r="AS133" s="25">
        <v>1</v>
      </c>
      <c r="AT133" s="25">
        <v>1</v>
      </c>
      <c r="AU133" s="25">
        <v>1</v>
      </c>
      <c r="AV133" s="25">
        <v>1</v>
      </c>
      <c r="AW133" s="25">
        <v>1</v>
      </c>
      <c r="AX133" s="25">
        <v>1</v>
      </c>
      <c r="AY133" s="25">
        <v>1</v>
      </c>
      <c r="AZ133" s="25">
        <v>1</v>
      </c>
      <c r="BA133" s="25">
        <v>1</v>
      </c>
      <c r="BB133" s="25">
        <v>1</v>
      </c>
      <c r="BC133" s="25">
        <v>1</v>
      </c>
      <c r="BD133" s="25">
        <v>1</v>
      </c>
    </row>
    <row r="134" spans="27:56" x14ac:dyDescent="0.25">
      <c r="AA134" s="68" t="str">
        <f t="shared" si="9"/>
        <v>Fotos\\.jpg</v>
      </c>
      <c r="AB134" s="53">
        <f t="shared" si="10"/>
        <v>7.462686567164179E-3</v>
      </c>
      <c r="AC134" s="25">
        <f t="shared" si="11"/>
        <v>134</v>
      </c>
      <c r="AD134" s="51">
        <f t="shared" si="12"/>
        <v>1</v>
      </c>
      <c r="AE134" s="25">
        <v>1</v>
      </c>
      <c r="AF134" s="25">
        <v>1</v>
      </c>
      <c r="AG134" s="25">
        <v>1</v>
      </c>
      <c r="AH134" s="25">
        <v>1</v>
      </c>
      <c r="AI134" s="25">
        <f>IF(OR(Apresentação!$E$3='Base de Dados e filtragem'!AI$2,Apresentação!$E$3='Base de Dados e filtragem'!E134),1,0)</f>
        <v>1</v>
      </c>
      <c r="AJ134" s="25">
        <f>IF(OR(Apresentação!$E$4='Base de Dados e filtragem'!AJ$2,Apresentação!$E$4='Base de Dados e filtragem'!F134),1,0)</f>
        <v>1</v>
      </c>
      <c r="AK134" s="25">
        <f>IF(OR(Apresentação!$E$5='Base de Dados e filtragem'!AK$2,Apresentação!$E$5='Base de Dados e filtragem'!G134),1,0)</f>
        <v>1</v>
      </c>
      <c r="AL134" s="25">
        <f>IF(OR(Apresentação!$E$6='Base de Dados e filtragem'!AL$2,Apresentação!$E$6='Base de Dados e filtragem'!H134),1,0)</f>
        <v>1</v>
      </c>
      <c r="AM134" s="25">
        <f>IF(OR(Apresentação!$I$2='Base de Dados e filtragem'!AM$2,Apresentação!$I$2='Base de Dados e filtragem'!I134),1,0)</f>
        <v>1</v>
      </c>
      <c r="AN134" s="25">
        <f>IF(OR(Apresentação!$I$3='Base de Dados e filtragem'!AN$2,Apresentação!$I$3='Base de Dados e filtragem'!J134),1,0)</f>
        <v>1</v>
      </c>
      <c r="AO134" s="25">
        <f>IF(OR(Apresentação!$I$4='Base de Dados e filtragem'!AO$2,Apresentação!$I$4='Base de Dados e filtragem'!K134),1,0)</f>
        <v>1</v>
      </c>
      <c r="AP134" s="25">
        <f>IF(OR(Apresentação!$I$5='Base de Dados e filtragem'!AP$2,Apresentação!$I$5='Base de Dados e filtragem'!L134),1,0)</f>
        <v>1</v>
      </c>
      <c r="AQ134" s="25">
        <f>IF(OR(Apresentação!$I$6='Base de Dados e filtragem'!AQ$2,Apresentação!$I$6='Base de Dados e filtragem'!M134),1,0)</f>
        <v>1</v>
      </c>
      <c r="AR134" s="25">
        <v>1</v>
      </c>
      <c r="AS134" s="25">
        <v>1</v>
      </c>
      <c r="AT134" s="25">
        <v>1</v>
      </c>
      <c r="AU134" s="25">
        <v>1</v>
      </c>
      <c r="AV134" s="25">
        <v>1</v>
      </c>
      <c r="AW134" s="25">
        <v>1</v>
      </c>
      <c r="AX134" s="25">
        <v>1</v>
      </c>
      <c r="AY134" s="25">
        <v>1</v>
      </c>
      <c r="AZ134" s="25">
        <v>1</v>
      </c>
      <c r="BA134" s="25">
        <v>1</v>
      </c>
      <c r="BB134" s="25">
        <v>1</v>
      </c>
      <c r="BC134" s="25">
        <v>1</v>
      </c>
      <c r="BD134" s="25">
        <v>1</v>
      </c>
    </row>
    <row r="135" spans="27:56" x14ac:dyDescent="0.25">
      <c r="AA135" s="68" t="str">
        <f t="shared" si="9"/>
        <v>Fotos\\.jpg</v>
      </c>
      <c r="AB135" s="53">
        <f t="shared" si="10"/>
        <v>7.4074074074074077E-3</v>
      </c>
      <c r="AC135" s="25">
        <f t="shared" si="11"/>
        <v>135</v>
      </c>
      <c r="AD135" s="51">
        <f t="shared" si="12"/>
        <v>1</v>
      </c>
      <c r="AE135" s="25">
        <v>1</v>
      </c>
      <c r="AF135" s="25">
        <v>1</v>
      </c>
      <c r="AG135" s="25">
        <v>1</v>
      </c>
      <c r="AH135" s="25">
        <v>1</v>
      </c>
      <c r="AI135" s="25">
        <f>IF(OR(Apresentação!$E$3='Base de Dados e filtragem'!AI$2,Apresentação!$E$3='Base de Dados e filtragem'!E135),1,0)</f>
        <v>1</v>
      </c>
      <c r="AJ135" s="25">
        <f>IF(OR(Apresentação!$E$4='Base de Dados e filtragem'!AJ$2,Apresentação!$E$4='Base de Dados e filtragem'!F135),1,0)</f>
        <v>1</v>
      </c>
      <c r="AK135" s="25">
        <f>IF(OR(Apresentação!$E$5='Base de Dados e filtragem'!AK$2,Apresentação!$E$5='Base de Dados e filtragem'!G135),1,0)</f>
        <v>1</v>
      </c>
      <c r="AL135" s="25">
        <f>IF(OR(Apresentação!$E$6='Base de Dados e filtragem'!AL$2,Apresentação!$E$6='Base de Dados e filtragem'!H135),1,0)</f>
        <v>1</v>
      </c>
      <c r="AM135" s="25">
        <f>IF(OR(Apresentação!$I$2='Base de Dados e filtragem'!AM$2,Apresentação!$I$2='Base de Dados e filtragem'!I135),1,0)</f>
        <v>1</v>
      </c>
      <c r="AN135" s="25">
        <f>IF(OR(Apresentação!$I$3='Base de Dados e filtragem'!AN$2,Apresentação!$I$3='Base de Dados e filtragem'!J135),1,0)</f>
        <v>1</v>
      </c>
      <c r="AO135" s="25">
        <f>IF(OR(Apresentação!$I$4='Base de Dados e filtragem'!AO$2,Apresentação!$I$4='Base de Dados e filtragem'!K135),1,0)</f>
        <v>1</v>
      </c>
      <c r="AP135" s="25">
        <f>IF(OR(Apresentação!$I$5='Base de Dados e filtragem'!AP$2,Apresentação!$I$5='Base de Dados e filtragem'!L135),1,0)</f>
        <v>1</v>
      </c>
      <c r="AQ135" s="25">
        <f>IF(OR(Apresentação!$I$6='Base de Dados e filtragem'!AQ$2,Apresentação!$I$6='Base de Dados e filtragem'!M135),1,0)</f>
        <v>1</v>
      </c>
      <c r="AR135" s="25">
        <v>1</v>
      </c>
      <c r="AS135" s="25">
        <v>1</v>
      </c>
      <c r="AT135" s="25">
        <v>1</v>
      </c>
      <c r="AU135" s="25">
        <v>1</v>
      </c>
      <c r="AV135" s="25">
        <v>1</v>
      </c>
      <c r="AW135" s="25">
        <v>1</v>
      </c>
      <c r="AX135" s="25">
        <v>1</v>
      </c>
      <c r="AY135" s="25">
        <v>1</v>
      </c>
      <c r="AZ135" s="25">
        <v>1</v>
      </c>
      <c r="BA135" s="25">
        <v>1</v>
      </c>
      <c r="BB135" s="25">
        <v>1</v>
      </c>
      <c r="BC135" s="25">
        <v>1</v>
      </c>
      <c r="BD135" s="25">
        <v>1</v>
      </c>
    </row>
    <row r="136" spans="27:56" x14ac:dyDescent="0.25">
      <c r="AA136" s="68" t="str">
        <f t="shared" si="9"/>
        <v>Fotos\\.jpg</v>
      </c>
      <c r="AB136" s="53">
        <f t="shared" si="10"/>
        <v>7.3529411764705881E-3</v>
      </c>
      <c r="AC136" s="25">
        <f t="shared" si="11"/>
        <v>136</v>
      </c>
      <c r="AD136" s="51">
        <f t="shared" si="12"/>
        <v>1</v>
      </c>
      <c r="AE136" s="25">
        <v>1</v>
      </c>
      <c r="AF136" s="25">
        <v>1</v>
      </c>
      <c r="AG136" s="25">
        <v>1</v>
      </c>
      <c r="AH136" s="25">
        <v>1</v>
      </c>
      <c r="AI136" s="25">
        <f>IF(OR(Apresentação!$E$3='Base de Dados e filtragem'!AI$2,Apresentação!$E$3='Base de Dados e filtragem'!E136),1,0)</f>
        <v>1</v>
      </c>
      <c r="AJ136" s="25">
        <f>IF(OR(Apresentação!$E$4='Base de Dados e filtragem'!AJ$2,Apresentação!$E$4='Base de Dados e filtragem'!F136),1,0)</f>
        <v>1</v>
      </c>
      <c r="AK136" s="25">
        <f>IF(OR(Apresentação!$E$5='Base de Dados e filtragem'!AK$2,Apresentação!$E$5='Base de Dados e filtragem'!G136),1,0)</f>
        <v>1</v>
      </c>
      <c r="AL136" s="25">
        <f>IF(OR(Apresentação!$E$6='Base de Dados e filtragem'!AL$2,Apresentação!$E$6='Base de Dados e filtragem'!H136),1,0)</f>
        <v>1</v>
      </c>
      <c r="AM136" s="25">
        <f>IF(OR(Apresentação!$I$2='Base de Dados e filtragem'!AM$2,Apresentação!$I$2='Base de Dados e filtragem'!I136),1,0)</f>
        <v>1</v>
      </c>
      <c r="AN136" s="25">
        <f>IF(OR(Apresentação!$I$3='Base de Dados e filtragem'!AN$2,Apresentação!$I$3='Base de Dados e filtragem'!J136),1,0)</f>
        <v>1</v>
      </c>
      <c r="AO136" s="25">
        <f>IF(OR(Apresentação!$I$4='Base de Dados e filtragem'!AO$2,Apresentação!$I$4='Base de Dados e filtragem'!K136),1,0)</f>
        <v>1</v>
      </c>
      <c r="AP136" s="25">
        <f>IF(OR(Apresentação!$I$5='Base de Dados e filtragem'!AP$2,Apresentação!$I$5='Base de Dados e filtragem'!L136),1,0)</f>
        <v>1</v>
      </c>
      <c r="AQ136" s="25">
        <f>IF(OR(Apresentação!$I$6='Base de Dados e filtragem'!AQ$2,Apresentação!$I$6='Base de Dados e filtragem'!M136),1,0)</f>
        <v>1</v>
      </c>
      <c r="AR136" s="25">
        <v>1</v>
      </c>
      <c r="AS136" s="25">
        <v>1</v>
      </c>
      <c r="AT136" s="25">
        <v>1</v>
      </c>
      <c r="AU136" s="25">
        <v>1</v>
      </c>
      <c r="AV136" s="25">
        <v>1</v>
      </c>
      <c r="AW136" s="25">
        <v>1</v>
      </c>
      <c r="AX136" s="25">
        <v>1</v>
      </c>
      <c r="AY136" s="25">
        <v>1</v>
      </c>
      <c r="AZ136" s="25">
        <v>1</v>
      </c>
      <c r="BA136" s="25">
        <v>1</v>
      </c>
      <c r="BB136" s="25">
        <v>1</v>
      </c>
      <c r="BC136" s="25">
        <v>1</v>
      </c>
      <c r="BD136" s="25">
        <v>1</v>
      </c>
    </row>
    <row r="137" spans="27:56" x14ac:dyDescent="0.25">
      <c r="AA137" s="68" t="str">
        <f t="shared" si="9"/>
        <v>Fotos\\.jpg</v>
      </c>
      <c r="AB137" s="53">
        <f t="shared" si="10"/>
        <v>7.2992700729927005E-3</v>
      </c>
      <c r="AC137" s="25">
        <f t="shared" si="11"/>
        <v>137</v>
      </c>
      <c r="AD137" s="51">
        <f t="shared" si="12"/>
        <v>1</v>
      </c>
      <c r="AE137" s="25">
        <v>1</v>
      </c>
      <c r="AF137" s="25">
        <v>1</v>
      </c>
      <c r="AG137" s="25">
        <v>1</v>
      </c>
      <c r="AH137" s="25">
        <v>1</v>
      </c>
      <c r="AI137" s="25">
        <f>IF(OR(Apresentação!$E$3='Base de Dados e filtragem'!AI$2,Apresentação!$E$3='Base de Dados e filtragem'!E137),1,0)</f>
        <v>1</v>
      </c>
      <c r="AJ137" s="25">
        <f>IF(OR(Apresentação!$E$4='Base de Dados e filtragem'!AJ$2,Apresentação!$E$4='Base de Dados e filtragem'!F137),1,0)</f>
        <v>1</v>
      </c>
      <c r="AK137" s="25">
        <f>IF(OR(Apresentação!$E$5='Base de Dados e filtragem'!AK$2,Apresentação!$E$5='Base de Dados e filtragem'!G137),1,0)</f>
        <v>1</v>
      </c>
      <c r="AL137" s="25">
        <f>IF(OR(Apresentação!$E$6='Base de Dados e filtragem'!AL$2,Apresentação!$E$6='Base de Dados e filtragem'!H137),1,0)</f>
        <v>1</v>
      </c>
      <c r="AM137" s="25">
        <f>IF(OR(Apresentação!$I$2='Base de Dados e filtragem'!AM$2,Apresentação!$I$2='Base de Dados e filtragem'!I137),1,0)</f>
        <v>1</v>
      </c>
      <c r="AN137" s="25">
        <f>IF(OR(Apresentação!$I$3='Base de Dados e filtragem'!AN$2,Apresentação!$I$3='Base de Dados e filtragem'!J137),1,0)</f>
        <v>1</v>
      </c>
      <c r="AO137" s="25">
        <f>IF(OR(Apresentação!$I$4='Base de Dados e filtragem'!AO$2,Apresentação!$I$4='Base de Dados e filtragem'!K137),1,0)</f>
        <v>1</v>
      </c>
      <c r="AP137" s="25">
        <f>IF(OR(Apresentação!$I$5='Base de Dados e filtragem'!AP$2,Apresentação!$I$5='Base de Dados e filtragem'!L137),1,0)</f>
        <v>1</v>
      </c>
      <c r="AQ137" s="25">
        <f>IF(OR(Apresentação!$I$6='Base de Dados e filtragem'!AQ$2,Apresentação!$I$6='Base de Dados e filtragem'!M137),1,0)</f>
        <v>1</v>
      </c>
      <c r="AR137" s="25">
        <v>1</v>
      </c>
      <c r="AS137" s="25">
        <v>1</v>
      </c>
      <c r="AT137" s="25">
        <v>1</v>
      </c>
      <c r="AU137" s="25">
        <v>1</v>
      </c>
      <c r="AV137" s="25">
        <v>1</v>
      </c>
      <c r="AW137" s="25">
        <v>1</v>
      </c>
      <c r="AX137" s="25">
        <v>1</v>
      </c>
      <c r="AY137" s="25">
        <v>1</v>
      </c>
      <c r="AZ137" s="25">
        <v>1</v>
      </c>
      <c r="BA137" s="25">
        <v>1</v>
      </c>
      <c r="BB137" s="25">
        <v>1</v>
      </c>
      <c r="BC137" s="25">
        <v>1</v>
      </c>
      <c r="BD137" s="25">
        <v>1</v>
      </c>
    </row>
    <row r="138" spans="27:56" x14ac:dyDescent="0.25">
      <c r="AA138" s="68" t="str">
        <f t="shared" si="9"/>
        <v>Fotos\\.jpg</v>
      </c>
      <c r="AB138" s="53">
        <f t="shared" si="10"/>
        <v>7.246376811594203E-3</v>
      </c>
      <c r="AC138" s="25">
        <f t="shared" si="11"/>
        <v>138</v>
      </c>
      <c r="AD138" s="51">
        <f t="shared" si="12"/>
        <v>1</v>
      </c>
      <c r="AE138" s="25">
        <v>1</v>
      </c>
      <c r="AF138" s="25">
        <v>1</v>
      </c>
      <c r="AG138" s="25">
        <v>1</v>
      </c>
      <c r="AH138" s="25">
        <v>1</v>
      </c>
      <c r="AI138" s="25">
        <f>IF(OR(Apresentação!$E$3='Base de Dados e filtragem'!AI$2,Apresentação!$E$3='Base de Dados e filtragem'!E138),1,0)</f>
        <v>1</v>
      </c>
      <c r="AJ138" s="25">
        <f>IF(OR(Apresentação!$E$4='Base de Dados e filtragem'!AJ$2,Apresentação!$E$4='Base de Dados e filtragem'!F138),1,0)</f>
        <v>1</v>
      </c>
      <c r="AK138" s="25">
        <f>IF(OR(Apresentação!$E$5='Base de Dados e filtragem'!AK$2,Apresentação!$E$5='Base de Dados e filtragem'!G138),1,0)</f>
        <v>1</v>
      </c>
      <c r="AL138" s="25">
        <f>IF(OR(Apresentação!$E$6='Base de Dados e filtragem'!AL$2,Apresentação!$E$6='Base de Dados e filtragem'!H138),1,0)</f>
        <v>1</v>
      </c>
      <c r="AM138" s="25">
        <f>IF(OR(Apresentação!$I$2='Base de Dados e filtragem'!AM$2,Apresentação!$I$2='Base de Dados e filtragem'!I138),1,0)</f>
        <v>1</v>
      </c>
      <c r="AN138" s="25">
        <f>IF(OR(Apresentação!$I$3='Base de Dados e filtragem'!AN$2,Apresentação!$I$3='Base de Dados e filtragem'!J138),1,0)</f>
        <v>1</v>
      </c>
      <c r="AO138" s="25">
        <f>IF(OR(Apresentação!$I$4='Base de Dados e filtragem'!AO$2,Apresentação!$I$4='Base de Dados e filtragem'!K138),1,0)</f>
        <v>1</v>
      </c>
      <c r="AP138" s="25">
        <f>IF(OR(Apresentação!$I$5='Base de Dados e filtragem'!AP$2,Apresentação!$I$5='Base de Dados e filtragem'!L138),1,0)</f>
        <v>1</v>
      </c>
      <c r="AQ138" s="25">
        <f>IF(OR(Apresentação!$I$6='Base de Dados e filtragem'!AQ$2,Apresentação!$I$6='Base de Dados e filtragem'!M138),1,0)</f>
        <v>1</v>
      </c>
      <c r="AR138" s="25">
        <v>1</v>
      </c>
      <c r="AS138" s="25">
        <v>1</v>
      </c>
      <c r="AT138" s="25">
        <v>1</v>
      </c>
      <c r="AU138" s="25">
        <v>1</v>
      </c>
      <c r="AV138" s="25">
        <v>1</v>
      </c>
      <c r="AW138" s="25">
        <v>1</v>
      </c>
      <c r="AX138" s="25">
        <v>1</v>
      </c>
      <c r="AY138" s="25">
        <v>1</v>
      </c>
      <c r="AZ138" s="25">
        <v>1</v>
      </c>
      <c r="BA138" s="25">
        <v>1</v>
      </c>
      <c r="BB138" s="25">
        <v>1</v>
      </c>
      <c r="BC138" s="25">
        <v>1</v>
      </c>
      <c r="BD138" s="25">
        <v>1</v>
      </c>
    </row>
    <row r="139" spans="27:56" x14ac:dyDescent="0.25">
      <c r="AA139" s="68" t="str">
        <f t="shared" si="9"/>
        <v>Fotos\\.jpg</v>
      </c>
      <c r="AB139" s="53">
        <f t="shared" si="10"/>
        <v>7.1942446043165471E-3</v>
      </c>
      <c r="AC139" s="25">
        <f t="shared" si="11"/>
        <v>139</v>
      </c>
      <c r="AD139" s="51">
        <f t="shared" si="12"/>
        <v>1</v>
      </c>
      <c r="AE139" s="25">
        <v>1</v>
      </c>
      <c r="AF139" s="25">
        <v>1</v>
      </c>
      <c r="AG139" s="25">
        <v>1</v>
      </c>
      <c r="AH139" s="25">
        <v>1</v>
      </c>
      <c r="AI139" s="25">
        <f>IF(OR(Apresentação!$E$3='Base de Dados e filtragem'!AI$2,Apresentação!$E$3='Base de Dados e filtragem'!E139),1,0)</f>
        <v>1</v>
      </c>
      <c r="AJ139" s="25">
        <f>IF(OR(Apresentação!$E$4='Base de Dados e filtragem'!AJ$2,Apresentação!$E$4='Base de Dados e filtragem'!F139),1,0)</f>
        <v>1</v>
      </c>
      <c r="AK139" s="25">
        <f>IF(OR(Apresentação!$E$5='Base de Dados e filtragem'!AK$2,Apresentação!$E$5='Base de Dados e filtragem'!G139),1,0)</f>
        <v>1</v>
      </c>
      <c r="AL139" s="25">
        <f>IF(OR(Apresentação!$E$6='Base de Dados e filtragem'!AL$2,Apresentação!$E$6='Base de Dados e filtragem'!H139),1,0)</f>
        <v>1</v>
      </c>
      <c r="AM139" s="25">
        <f>IF(OR(Apresentação!$I$2='Base de Dados e filtragem'!AM$2,Apresentação!$I$2='Base de Dados e filtragem'!I139),1,0)</f>
        <v>1</v>
      </c>
      <c r="AN139" s="25">
        <f>IF(OR(Apresentação!$I$3='Base de Dados e filtragem'!AN$2,Apresentação!$I$3='Base de Dados e filtragem'!J139),1,0)</f>
        <v>1</v>
      </c>
      <c r="AO139" s="25">
        <f>IF(OR(Apresentação!$I$4='Base de Dados e filtragem'!AO$2,Apresentação!$I$4='Base de Dados e filtragem'!K139),1,0)</f>
        <v>1</v>
      </c>
      <c r="AP139" s="25">
        <f>IF(OR(Apresentação!$I$5='Base de Dados e filtragem'!AP$2,Apresentação!$I$5='Base de Dados e filtragem'!L139),1,0)</f>
        <v>1</v>
      </c>
      <c r="AQ139" s="25">
        <f>IF(OR(Apresentação!$I$6='Base de Dados e filtragem'!AQ$2,Apresentação!$I$6='Base de Dados e filtragem'!M139),1,0)</f>
        <v>1</v>
      </c>
      <c r="AR139" s="25">
        <v>1</v>
      </c>
      <c r="AS139" s="25">
        <v>1</v>
      </c>
      <c r="AT139" s="25">
        <v>1</v>
      </c>
      <c r="AU139" s="25">
        <v>1</v>
      </c>
      <c r="AV139" s="25">
        <v>1</v>
      </c>
      <c r="AW139" s="25">
        <v>1</v>
      </c>
      <c r="AX139" s="25">
        <v>1</v>
      </c>
      <c r="AY139" s="25">
        <v>1</v>
      </c>
      <c r="AZ139" s="25">
        <v>1</v>
      </c>
      <c r="BA139" s="25">
        <v>1</v>
      </c>
      <c r="BB139" s="25">
        <v>1</v>
      </c>
      <c r="BC139" s="25">
        <v>1</v>
      </c>
      <c r="BD139" s="25">
        <v>1</v>
      </c>
    </row>
    <row r="140" spans="27:56" x14ac:dyDescent="0.25">
      <c r="AA140" s="68" t="str">
        <f t="shared" si="9"/>
        <v>Fotos\\.jpg</v>
      </c>
      <c r="AB140" s="53">
        <f t="shared" si="10"/>
        <v>7.1428571428571426E-3</v>
      </c>
      <c r="AC140" s="25">
        <f t="shared" si="11"/>
        <v>140</v>
      </c>
      <c r="AD140" s="51">
        <f t="shared" si="12"/>
        <v>1</v>
      </c>
      <c r="AE140" s="25">
        <v>1</v>
      </c>
      <c r="AF140" s="25">
        <v>1</v>
      </c>
      <c r="AG140" s="25">
        <v>1</v>
      </c>
      <c r="AH140" s="25">
        <v>1</v>
      </c>
      <c r="AI140" s="25">
        <f>IF(OR(Apresentação!$E$3='Base de Dados e filtragem'!AI$2,Apresentação!$E$3='Base de Dados e filtragem'!E140),1,0)</f>
        <v>1</v>
      </c>
      <c r="AJ140" s="25">
        <f>IF(OR(Apresentação!$E$4='Base de Dados e filtragem'!AJ$2,Apresentação!$E$4='Base de Dados e filtragem'!F140),1,0)</f>
        <v>1</v>
      </c>
      <c r="AK140" s="25">
        <f>IF(OR(Apresentação!$E$5='Base de Dados e filtragem'!AK$2,Apresentação!$E$5='Base de Dados e filtragem'!G140),1,0)</f>
        <v>1</v>
      </c>
      <c r="AL140" s="25">
        <f>IF(OR(Apresentação!$E$6='Base de Dados e filtragem'!AL$2,Apresentação!$E$6='Base de Dados e filtragem'!H140),1,0)</f>
        <v>1</v>
      </c>
      <c r="AM140" s="25">
        <f>IF(OR(Apresentação!$I$2='Base de Dados e filtragem'!AM$2,Apresentação!$I$2='Base de Dados e filtragem'!I140),1,0)</f>
        <v>1</v>
      </c>
      <c r="AN140" s="25">
        <f>IF(OR(Apresentação!$I$3='Base de Dados e filtragem'!AN$2,Apresentação!$I$3='Base de Dados e filtragem'!J140),1,0)</f>
        <v>1</v>
      </c>
      <c r="AO140" s="25">
        <f>IF(OR(Apresentação!$I$4='Base de Dados e filtragem'!AO$2,Apresentação!$I$4='Base de Dados e filtragem'!K140),1,0)</f>
        <v>1</v>
      </c>
      <c r="AP140" s="25">
        <f>IF(OR(Apresentação!$I$5='Base de Dados e filtragem'!AP$2,Apresentação!$I$5='Base de Dados e filtragem'!L140),1,0)</f>
        <v>1</v>
      </c>
      <c r="AQ140" s="25">
        <f>IF(OR(Apresentação!$I$6='Base de Dados e filtragem'!AQ$2,Apresentação!$I$6='Base de Dados e filtragem'!M140),1,0)</f>
        <v>1</v>
      </c>
      <c r="AR140" s="25">
        <v>1</v>
      </c>
      <c r="AS140" s="25">
        <v>1</v>
      </c>
      <c r="AT140" s="25">
        <v>1</v>
      </c>
      <c r="AU140" s="25">
        <v>1</v>
      </c>
      <c r="AV140" s="25">
        <v>1</v>
      </c>
      <c r="AW140" s="25">
        <v>1</v>
      </c>
      <c r="AX140" s="25">
        <v>1</v>
      </c>
      <c r="AY140" s="25">
        <v>1</v>
      </c>
      <c r="AZ140" s="25">
        <v>1</v>
      </c>
      <c r="BA140" s="25">
        <v>1</v>
      </c>
      <c r="BB140" s="25">
        <v>1</v>
      </c>
      <c r="BC140" s="25">
        <v>1</v>
      </c>
      <c r="BD140" s="25">
        <v>1</v>
      </c>
    </row>
    <row r="141" spans="27:56" x14ac:dyDescent="0.25">
      <c r="AA141" s="68" t="str">
        <f t="shared" si="9"/>
        <v>Fotos\\.jpg</v>
      </c>
      <c r="AB141" s="53">
        <f t="shared" si="10"/>
        <v>7.0921985815602835E-3</v>
      </c>
      <c r="AC141" s="25">
        <f t="shared" si="11"/>
        <v>141</v>
      </c>
      <c r="AD141" s="51">
        <f t="shared" si="12"/>
        <v>1</v>
      </c>
      <c r="AE141" s="25">
        <v>1</v>
      </c>
      <c r="AF141" s="25">
        <v>1</v>
      </c>
      <c r="AG141" s="25">
        <v>1</v>
      </c>
      <c r="AH141" s="25">
        <v>1</v>
      </c>
      <c r="AI141" s="25">
        <f>IF(OR(Apresentação!$E$3='Base de Dados e filtragem'!AI$2,Apresentação!$E$3='Base de Dados e filtragem'!E141),1,0)</f>
        <v>1</v>
      </c>
      <c r="AJ141" s="25">
        <f>IF(OR(Apresentação!$E$4='Base de Dados e filtragem'!AJ$2,Apresentação!$E$4='Base de Dados e filtragem'!F141),1,0)</f>
        <v>1</v>
      </c>
      <c r="AK141" s="25">
        <f>IF(OR(Apresentação!$E$5='Base de Dados e filtragem'!AK$2,Apresentação!$E$5='Base de Dados e filtragem'!G141),1,0)</f>
        <v>1</v>
      </c>
      <c r="AL141" s="25">
        <f>IF(OR(Apresentação!$E$6='Base de Dados e filtragem'!AL$2,Apresentação!$E$6='Base de Dados e filtragem'!H141),1,0)</f>
        <v>1</v>
      </c>
      <c r="AM141" s="25">
        <f>IF(OR(Apresentação!$I$2='Base de Dados e filtragem'!AM$2,Apresentação!$I$2='Base de Dados e filtragem'!I141),1,0)</f>
        <v>1</v>
      </c>
      <c r="AN141" s="25">
        <f>IF(OR(Apresentação!$I$3='Base de Dados e filtragem'!AN$2,Apresentação!$I$3='Base de Dados e filtragem'!J141),1,0)</f>
        <v>1</v>
      </c>
      <c r="AO141" s="25">
        <f>IF(OR(Apresentação!$I$4='Base de Dados e filtragem'!AO$2,Apresentação!$I$4='Base de Dados e filtragem'!K141),1,0)</f>
        <v>1</v>
      </c>
      <c r="AP141" s="25">
        <f>IF(OR(Apresentação!$I$5='Base de Dados e filtragem'!AP$2,Apresentação!$I$5='Base de Dados e filtragem'!L141),1,0)</f>
        <v>1</v>
      </c>
      <c r="AQ141" s="25">
        <f>IF(OR(Apresentação!$I$6='Base de Dados e filtragem'!AQ$2,Apresentação!$I$6='Base de Dados e filtragem'!M141),1,0)</f>
        <v>1</v>
      </c>
      <c r="AR141" s="25">
        <v>1</v>
      </c>
      <c r="AS141" s="25">
        <v>1</v>
      </c>
      <c r="AT141" s="25">
        <v>1</v>
      </c>
      <c r="AU141" s="25">
        <v>1</v>
      </c>
      <c r="AV141" s="25">
        <v>1</v>
      </c>
      <c r="AW141" s="25">
        <v>1</v>
      </c>
      <c r="AX141" s="25">
        <v>1</v>
      </c>
      <c r="AY141" s="25">
        <v>1</v>
      </c>
      <c r="AZ141" s="25">
        <v>1</v>
      </c>
      <c r="BA141" s="25">
        <v>1</v>
      </c>
      <c r="BB141" s="25">
        <v>1</v>
      </c>
      <c r="BC141" s="25">
        <v>1</v>
      </c>
      <c r="BD141" s="25">
        <v>1</v>
      </c>
    </row>
    <row r="142" spans="27:56" x14ac:dyDescent="0.25">
      <c r="AA142" s="68" t="str">
        <f t="shared" si="9"/>
        <v>Fotos\\.jpg</v>
      </c>
      <c r="AB142" s="53">
        <f t="shared" si="10"/>
        <v>7.0422535211267607E-3</v>
      </c>
      <c r="AC142" s="25">
        <f t="shared" si="11"/>
        <v>142</v>
      </c>
      <c r="AD142" s="51">
        <f t="shared" si="12"/>
        <v>1</v>
      </c>
      <c r="AE142" s="25">
        <v>1</v>
      </c>
      <c r="AF142" s="25">
        <v>1</v>
      </c>
      <c r="AG142" s="25">
        <v>1</v>
      </c>
      <c r="AH142" s="25">
        <v>1</v>
      </c>
      <c r="AI142" s="25">
        <f>IF(OR(Apresentação!$E$3='Base de Dados e filtragem'!AI$2,Apresentação!$E$3='Base de Dados e filtragem'!E142),1,0)</f>
        <v>1</v>
      </c>
      <c r="AJ142" s="25">
        <f>IF(OR(Apresentação!$E$4='Base de Dados e filtragem'!AJ$2,Apresentação!$E$4='Base de Dados e filtragem'!F142),1,0)</f>
        <v>1</v>
      </c>
      <c r="AK142" s="25">
        <f>IF(OR(Apresentação!$E$5='Base de Dados e filtragem'!AK$2,Apresentação!$E$5='Base de Dados e filtragem'!G142),1,0)</f>
        <v>1</v>
      </c>
      <c r="AL142" s="25">
        <f>IF(OR(Apresentação!$E$6='Base de Dados e filtragem'!AL$2,Apresentação!$E$6='Base de Dados e filtragem'!H142),1,0)</f>
        <v>1</v>
      </c>
      <c r="AM142" s="25">
        <f>IF(OR(Apresentação!$I$2='Base de Dados e filtragem'!AM$2,Apresentação!$I$2='Base de Dados e filtragem'!I142),1,0)</f>
        <v>1</v>
      </c>
      <c r="AN142" s="25">
        <f>IF(OR(Apresentação!$I$3='Base de Dados e filtragem'!AN$2,Apresentação!$I$3='Base de Dados e filtragem'!J142),1,0)</f>
        <v>1</v>
      </c>
      <c r="AO142" s="25">
        <f>IF(OR(Apresentação!$I$4='Base de Dados e filtragem'!AO$2,Apresentação!$I$4='Base de Dados e filtragem'!K142),1,0)</f>
        <v>1</v>
      </c>
      <c r="AP142" s="25">
        <f>IF(OR(Apresentação!$I$5='Base de Dados e filtragem'!AP$2,Apresentação!$I$5='Base de Dados e filtragem'!L142),1,0)</f>
        <v>1</v>
      </c>
      <c r="AQ142" s="25">
        <f>IF(OR(Apresentação!$I$6='Base de Dados e filtragem'!AQ$2,Apresentação!$I$6='Base de Dados e filtragem'!M142),1,0)</f>
        <v>1</v>
      </c>
      <c r="AR142" s="25">
        <v>1</v>
      </c>
      <c r="AS142" s="25">
        <v>1</v>
      </c>
      <c r="AT142" s="25">
        <v>1</v>
      </c>
      <c r="AU142" s="25">
        <v>1</v>
      </c>
      <c r="AV142" s="25">
        <v>1</v>
      </c>
      <c r="AW142" s="25">
        <v>1</v>
      </c>
      <c r="AX142" s="25">
        <v>1</v>
      </c>
      <c r="AY142" s="25">
        <v>1</v>
      </c>
      <c r="AZ142" s="25">
        <v>1</v>
      </c>
      <c r="BA142" s="25">
        <v>1</v>
      </c>
      <c r="BB142" s="25">
        <v>1</v>
      </c>
      <c r="BC142" s="25">
        <v>1</v>
      </c>
      <c r="BD142" s="25">
        <v>1</v>
      </c>
    </row>
    <row r="143" spans="27:56" x14ac:dyDescent="0.25">
      <c r="AA143" s="68" t="str">
        <f t="shared" si="9"/>
        <v>Fotos\\.jpg</v>
      </c>
      <c r="AB143" s="53">
        <f t="shared" si="10"/>
        <v>6.993006993006993E-3</v>
      </c>
      <c r="AC143" s="25">
        <f t="shared" si="11"/>
        <v>143</v>
      </c>
      <c r="AD143" s="51">
        <f t="shared" si="12"/>
        <v>1</v>
      </c>
      <c r="AE143" s="25">
        <v>1</v>
      </c>
      <c r="AF143" s="25">
        <v>1</v>
      </c>
      <c r="AG143" s="25">
        <v>1</v>
      </c>
      <c r="AH143" s="25">
        <v>1</v>
      </c>
      <c r="AI143" s="25">
        <f>IF(OR(Apresentação!$E$3='Base de Dados e filtragem'!AI$2,Apresentação!$E$3='Base de Dados e filtragem'!E143),1,0)</f>
        <v>1</v>
      </c>
      <c r="AJ143" s="25">
        <f>IF(OR(Apresentação!$E$4='Base de Dados e filtragem'!AJ$2,Apresentação!$E$4='Base de Dados e filtragem'!F143),1,0)</f>
        <v>1</v>
      </c>
      <c r="AK143" s="25">
        <f>IF(OR(Apresentação!$E$5='Base de Dados e filtragem'!AK$2,Apresentação!$E$5='Base de Dados e filtragem'!G143),1,0)</f>
        <v>1</v>
      </c>
      <c r="AL143" s="25">
        <f>IF(OR(Apresentação!$E$6='Base de Dados e filtragem'!AL$2,Apresentação!$E$6='Base de Dados e filtragem'!H143),1,0)</f>
        <v>1</v>
      </c>
      <c r="AM143" s="25">
        <f>IF(OR(Apresentação!$I$2='Base de Dados e filtragem'!AM$2,Apresentação!$I$2='Base de Dados e filtragem'!I143),1,0)</f>
        <v>1</v>
      </c>
      <c r="AN143" s="25">
        <f>IF(OR(Apresentação!$I$3='Base de Dados e filtragem'!AN$2,Apresentação!$I$3='Base de Dados e filtragem'!J143),1,0)</f>
        <v>1</v>
      </c>
      <c r="AO143" s="25">
        <f>IF(OR(Apresentação!$I$4='Base de Dados e filtragem'!AO$2,Apresentação!$I$4='Base de Dados e filtragem'!K143),1,0)</f>
        <v>1</v>
      </c>
      <c r="AP143" s="25">
        <f>IF(OR(Apresentação!$I$5='Base de Dados e filtragem'!AP$2,Apresentação!$I$5='Base de Dados e filtragem'!L143),1,0)</f>
        <v>1</v>
      </c>
      <c r="AQ143" s="25">
        <f>IF(OR(Apresentação!$I$6='Base de Dados e filtragem'!AQ$2,Apresentação!$I$6='Base de Dados e filtragem'!M143),1,0)</f>
        <v>1</v>
      </c>
      <c r="AR143" s="25">
        <v>1</v>
      </c>
      <c r="AS143" s="25">
        <v>1</v>
      </c>
      <c r="AT143" s="25">
        <v>1</v>
      </c>
      <c r="AU143" s="25">
        <v>1</v>
      </c>
      <c r="AV143" s="25">
        <v>1</v>
      </c>
      <c r="AW143" s="25">
        <v>1</v>
      </c>
      <c r="AX143" s="25">
        <v>1</v>
      </c>
      <c r="AY143" s="25">
        <v>1</v>
      </c>
      <c r="AZ143" s="25">
        <v>1</v>
      </c>
      <c r="BA143" s="25">
        <v>1</v>
      </c>
      <c r="BB143" s="25">
        <v>1</v>
      </c>
      <c r="BC143" s="25">
        <v>1</v>
      </c>
      <c r="BD143" s="25">
        <v>1</v>
      </c>
    </row>
    <row r="144" spans="27:56" x14ac:dyDescent="0.25">
      <c r="AA144" s="68" t="str">
        <f t="shared" si="9"/>
        <v>Fotos\\.jpg</v>
      </c>
      <c r="AB144" s="53">
        <f t="shared" si="10"/>
        <v>6.9444444444444441E-3</v>
      </c>
      <c r="AC144" s="25">
        <f t="shared" si="11"/>
        <v>144</v>
      </c>
      <c r="AD144" s="51">
        <f t="shared" si="12"/>
        <v>1</v>
      </c>
      <c r="AE144" s="25">
        <v>1</v>
      </c>
      <c r="AF144" s="25">
        <v>1</v>
      </c>
      <c r="AG144" s="25">
        <v>1</v>
      </c>
      <c r="AH144" s="25">
        <v>1</v>
      </c>
      <c r="AI144" s="25">
        <f>IF(OR(Apresentação!$E$3='Base de Dados e filtragem'!AI$2,Apresentação!$E$3='Base de Dados e filtragem'!E144),1,0)</f>
        <v>1</v>
      </c>
      <c r="AJ144" s="25">
        <f>IF(OR(Apresentação!$E$4='Base de Dados e filtragem'!AJ$2,Apresentação!$E$4='Base de Dados e filtragem'!F144),1,0)</f>
        <v>1</v>
      </c>
      <c r="AK144" s="25">
        <f>IF(OR(Apresentação!$E$5='Base de Dados e filtragem'!AK$2,Apresentação!$E$5='Base de Dados e filtragem'!G144),1,0)</f>
        <v>1</v>
      </c>
      <c r="AL144" s="25">
        <f>IF(OR(Apresentação!$E$6='Base de Dados e filtragem'!AL$2,Apresentação!$E$6='Base de Dados e filtragem'!H144),1,0)</f>
        <v>1</v>
      </c>
      <c r="AM144" s="25">
        <f>IF(OR(Apresentação!$I$2='Base de Dados e filtragem'!AM$2,Apresentação!$I$2='Base de Dados e filtragem'!I144),1,0)</f>
        <v>1</v>
      </c>
      <c r="AN144" s="25">
        <f>IF(OR(Apresentação!$I$3='Base de Dados e filtragem'!AN$2,Apresentação!$I$3='Base de Dados e filtragem'!J144),1,0)</f>
        <v>1</v>
      </c>
      <c r="AO144" s="25">
        <f>IF(OR(Apresentação!$I$4='Base de Dados e filtragem'!AO$2,Apresentação!$I$4='Base de Dados e filtragem'!K144),1,0)</f>
        <v>1</v>
      </c>
      <c r="AP144" s="25">
        <f>IF(OR(Apresentação!$I$5='Base de Dados e filtragem'!AP$2,Apresentação!$I$5='Base de Dados e filtragem'!L144),1,0)</f>
        <v>1</v>
      </c>
      <c r="AQ144" s="25">
        <f>IF(OR(Apresentação!$I$6='Base de Dados e filtragem'!AQ$2,Apresentação!$I$6='Base de Dados e filtragem'!M144),1,0)</f>
        <v>1</v>
      </c>
      <c r="AR144" s="25">
        <v>1</v>
      </c>
      <c r="AS144" s="25">
        <v>1</v>
      </c>
      <c r="AT144" s="25">
        <v>1</v>
      </c>
      <c r="AU144" s="25">
        <v>1</v>
      </c>
      <c r="AV144" s="25">
        <v>1</v>
      </c>
      <c r="AW144" s="25">
        <v>1</v>
      </c>
      <c r="AX144" s="25">
        <v>1</v>
      </c>
      <c r="AY144" s="25">
        <v>1</v>
      </c>
      <c r="AZ144" s="25">
        <v>1</v>
      </c>
      <c r="BA144" s="25">
        <v>1</v>
      </c>
      <c r="BB144" s="25">
        <v>1</v>
      </c>
      <c r="BC144" s="25">
        <v>1</v>
      </c>
      <c r="BD144" s="25">
        <v>1</v>
      </c>
    </row>
    <row r="145" spans="27:56" x14ac:dyDescent="0.25">
      <c r="AA145" s="68" t="str">
        <f t="shared" si="9"/>
        <v>Fotos\\.jpg</v>
      </c>
      <c r="AB145" s="53">
        <f t="shared" si="10"/>
        <v>6.8965517241379309E-3</v>
      </c>
      <c r="AC145" s="25">
        <f t="shared" si="11"/>
        <v>145</v>
      </c>
      <c r="AD145" s="51">
        <f t="shared" si="12"/>
        <v>1</v>
      </c>
      <c r="AE145" s="25">
        <v>1</v>
      </c>
      <c r="AF145" s="25">
        <v>1</v>
      </c>
      <c r="AG145" s="25">
        <v>1</v>
      </c>
      <c r="AH145" s="25">
        <v>1</v>
      </c>
      <c r="AI145" s="25">
        <f>IF(OR(Apresentação!$E$3='Base de Dados e filtragem'!AI$2,Apresentação!$E$3='Base de Dados e filtragem'!E145),1,0)</f>
        <v>1</v>
      </c>
      <c r="AJ145" s="25">
        <f>IF(OR(Apresentação!$E$4='Base de Dados e filtragem'!AJ$2,Apresentação!$E$4='Base de Dados e filtragem'!F145),1,0)</f>
        <v>1</v>
      </c>
      <c r="AK145" s="25">
        <f>IF(OR(Apresentação!$E$5='Base de Dados e filtragem'!AK$2,Apresentação!$E$5='Base de Dados e filtragem'!G145),1,0)</f>
        <v>1</v>
      </c>
      <c r="AL145" s="25">
        <f>IF(OR(Apresentação!$E$6='Base de Dados e filtragem'!AL$2,Apresentação!$E$6='Base de Dados e filtragem'!H145),1,0)</f>
        <v>1</v>
      </c>
      <c r="AM145" s="25">
        <f>IF(OR(Apresentação!$I$2='Base de Dados e filtragem'!AM$2,Apresentação!$I$2='Base de Dados e filtragem'!I145),1,0)</f>
        <v>1</v>
      </c>
      <c r="AN145" s="25">
        <f>IF(OR(Apresentação!$I$3='Base de Dados e filtragem'!AN$2,Apresentação!$I$3='Base de Dados e filtragem'!J145),1,0)</f>
        <v>1</v>
      </c>
      <c r="AO145" s="25">
        <f>IF(OR(Apresentação!$I$4='Base de Dados e filtragem'!AO$2,Apresentação!$I$4='Base de Dados e filtragem'!K145),1,0)</f>
        <v>1</v>
      </c>
      <c r="AP145" s="25">
        <f>IF(OR(Apresentação!$I$5='Base de Dados e filtragem'!AP$2,Apresentação!$I$5='Base de Dados e filtragem'!L145),1,0)</f>
        <v>1</v>
      </c>
      <c r="AQ145" s="25">
        <f>IF(OR(Apresentação!$I$6='Base de Dados e filtragem'!AQ$2,Apresentação!$I$6='Base de Dados e filtragem'!M145),1,0)</f>
        <v>1</v>
      </c>
      <c r="AR145" s="25">
        <v>1</v>
      </c>
      <c r="AS145" s="25">
        <v>1</v>
      </c>
      <c r="AT145" s="25">
        <v>1</v>
      </c>
      <c r="AU145" s="25">
        <v>1</v>
      </c>
      <c r="AV145" s="25">
        <v>1</v>
      </c>
      <c r="AW145" s="25">
        <v>1</v>
      </c>
      <c r="AX145" s="25">
        <v>1</v>
      </c>
      <c r="AY145" s="25">
        <v>1</v>
      </c>
      <c r="AZ145" s="25">
        <v>1</v>
      </c>
      <c r="BA145" s="25">
        <v>1</v>
      </c>
      <c r="BB145" s="25">
        <v>1</v>
      </c>
      <c r="BC145" s="25">
        <v>1</v>
      </c>
      <c r="BD145" s="25">
        <v>1</v>
      </c>
    </row>
    <row r="146" spans="27:56" x14ac:dyDescent="0.25">
      <c r="AA146" s="68" t="str">
        <f t="shared" si="9"/>
        <v>Fotos\\.jpg</v>
      </c>
      <c r="AB146" s="53">
        <f t="shared" si="10"/>
        <v>6.8493150684931503E-3</v>
      </c>
      <c r="AC146" s="25">
        <f t="shared" si="11"/>
        <v>146</v>
      </c>
      <c r="AD146" s="51">
        <f t="shared" si="12"/>
        <v>1</v>
      </c>
      <c r="AE146" s="25">
        <v>1</v>
      </c>
      <c r="AF146" s="25">
        <v>1</v>
      </c>
      <c r="AG146" s="25">
        <v>1</v>
      </c>
      <c r="AH146" s="25">
        <v>1</v>
      </c>
      <c r="AI146" s="25">
        <f>IF(OR(Apresentação!$E$3='Base de Dados e filtragem'!AI$2,Apresentação!$E$3='Base de Dados e filtragem'!E146),1,0)</f>
        <v>1</v>
      </c>
      <c r="AJ146" s="25">
        <f>IF(OR(Apresentação!$E$4='Base de Dados e filtragem'!AJ$2,Apresentação!$E$4='Base de Dados e filtragem'!F146),1,0)</f>
        <v>1</v>
      </c>
      <c r="AK146" s="25">
        <f>IF(OR(Apresentação!$E$5='Base de Dados e filtragem'!AK$2,Apresentação!$E$5='Base de Dados e filtragem'!G146),1,0)</f>
        <v>1</v>
      </c>
      <c r="AL146" s="25">
        <f>IF(OR(Apresentação!$E$6='Base de Dados e filtragem'!AL$2,Apresentação!$E$6='Base de Dados e filtragem'!H146),1,0)</f>
        <v>1</v>
      </c>
      <c r="AM146" s="25">
        <f>IF(OR(Apresentação!$I$2='Base de Dados e filtragem'!AM$2,Apresentação!$I$2='Base de Dados e filtragem'!I146),1,0)</f>
        <v>1</v>
      </c>
      <c r="AN146" s="25">
        <f>IF(OR(Apresentação!$I$3='Base de Dados e filtragem'!AN$2,Apresentação!$I$3='Base de Dados e filtragem'!J146),1,0)</f>
        <v>1</v>
      </c>
      <c r="AO146" s="25">
        <f>IF(OR(Apresentação!$I$4='Base de Dados e filtragem'!AO$2,Apresentação!$I$4='Base de Dados e filtragem'!K146),1,0)</f>
        <v>1</v>
      </c>
      <c r="AP146" s="25">
        <f>IF(OR(Apresentação!$I$5='Base de Dados e filtragem'!AP$2,Apresentação!$I$5='Base de Dados e filtragem'!L146),1,0)</f>
        <v>1</v>
      </c>
      <c r="AQ146" s="25">
        <f>IF(OR(Apresentação!$I$6='Base de Dados e filtragem'!AQ$2,Apresentação!$I$6='Base de Dados e filtragem'!M146),1,0)</f>
        <v>1</v>
      </c>
      <c r="AR146" s="25">
        <v>1</v>
      </c>
      <c r="AS146" s="25">
        <v>1</v>
      </c>
      <c r="AT146" s="25">
        <v>1</v>
      </c>
      <c r="AU146" s="25">
        <v>1</v>
      </c>
      <c r="AV146" s="25">
        <v>1</v>
      </c>
      <c r="AW146" s="25">
        <v>1</v>
      </c>
      <c r="AX146" s="25">
        <v>1</v>
      </c>
      <c r="AY146" s="25">
        <v>1</v>
      </c>
      <c r="AZ146" s="25">
        <v>1</v>
      </c>
      <c r="BA146" s="25">
        <v>1</v>
      </c>
      <c r="BB146" s="25">
        <v>1</v>
      </c>
      <c r="BC146" s="25">
        <v>1</v>
      </c>
      <c r="BD146" s="25">
        <v>1</v>
      </c>
    </row>
    <row r="147" spans="27:56" x14ac:dyDescent="0.25">
      <c r="AA147" s="68" t="str">
        <f t="shared" si="9"/>
        <v>Fotos\\.jpg</v>
      </c>
      <c r="AB147" s="53">
        <f t="shared" si="10"/>
        <v>6.8027210884353739E-3</v>
      </c>
      <c r="AC147" s="25">
        <f t="shared" si="11"/>
        <v>147</v>
      </c>
      <c r="AD147" s="51">
        <f t="shared" si="12"/>
        <v>1</v>
      </c>
      <c r="AE147" s="25">
        <v>1</v>
      </c>
      <c r="AF147" s="25">
        <v>1</v>
      </c>
      <c r="AG147" s="25">
        <v>1</v>
      </c>
      <c r="AH147" s="25">
        <v>1</v>
      </c>
      <c r="AI147" s="25">
        <f>IF(OR(Apresentação!$E$3='Base de Dados e filtragem'!AI$2,Apresentação!$E$3='Base de Dados e filtragem'!E147),1,0)</f>
        <v>1</v>
      </c>
      <c r="AJ147" s="25">
        <f>IF(OR(Apresentação!$E$4='Base de Dados e filtragem'!AJ$2,Apresentação!$E$4='Base de Dados e filtragem'!F147),1,0)</f>
        <v>1</v>
      </c>
      <c r="AK147" s="25">
        <f>IF(OR(Apresentação!$E$5='Base de Dados e filtragem'!AK$2,Apresentação!$E$5='Base de Dados e filtragem'!G147),1,0)</f>
        <v>1</v>
      </c>
      <c r="AL147" s="25">
        <f>IF(OR(Apresentação!$E$6='Base de Dados e filtragem'!AL$2,Apresentação!$E$6='Base de Dados e filtragem'!H147),1,0)</f>
        <v>1</v>
      </c>
      <c r="AM147" s="25">
        <f>IF(OR(Apresentação!$I$2='Base de Dados e filtragem'!AM$2,Apresentação!$I$2='Base de Dados e filtragem'!I147),1,0)</f>
        <v>1</v>
      </c>
      <c r="AN147" s="25">
        <f>IF(OR(Apresentação!$I$3='Base de Dados e filtragem'!AN$2,Apresentação!$I$3='Base de Dados e filtragem'!J147),1,0)</f>
        <v>1</v>
      </c>
      <c r="AO147" s="25">
        <f>IF(OR(Apresentação!$I$4='Base de Dados e filtragem'!AO$2,Apresentação!$I$4='Base de Dados e filtragem'!K147),1,0)</f>
        <v>1</v>
      </c>
      <c r="AP147" s="25">
        <f>IF(OR(Apresentação!$I$5='Base de Dados e filtragem'!AP$2,Apresentação!$I$5='Base de Dados e filtragem'!L147),1,0)</f>
        <v>1</v>
      </c>
      <c r="AQ147" s="25">
        <f>IF(OR(Apresentação!$I$6='Base de Dados e filtragem'!AQ$2,Apresentação!$I$6='Base de Dados e filtragem'!M147),1,0)</f>
        <v>1</v>
      </c>
      <c r="AR147" s="25">
        <v>1</v>
      </c>
      <c r="AS147" s="25">
        <v>1</v>
      </c>
      <c r="AT147" s="25">
        <v>1</v>
      </c>
      <c r="AU147" s="25">
        <v>1</v>
      </c>
      <c r="AV147" s="25">
        <v>1</v>
      </c>
      <c r="AW147" s="25">
        <v>1</v>
      </c>
      <c r="AX147" s="25">
        <v>1</v>
      </c>
      <c r="AY147" s="25">
        <v>1</v>
      </c>
      <c r="AZ147" s="25">
        <v>1</v>
      </c>
      <c r="BA147" s="25">
        <v>1</v>
      </c>
      <c r="BB147" s="25">
        <v>1</v>
      </c>
      <c r="BC147" s="25">
        <v>1</v>
      </c>
      <c r="BD147" s="25">
        <v>1</v>
      </c>
    </row>
    <row r="148" spans="27:56" x14ac:dyDescent="0.25">
      <c r="AA148" s="68" t="str">
        <f t="shared" si="9"/>
        <v>Fotos\\.jpg</v>
      </c>
      <c r="AB148" s="53">
        <f t="shared" si="10"/>
        <v>6.7567567567567571E-3</v>
      </c>
      <c r="AC148" s="25">
        <f t="shared" si="11"/>
        <v>148</v>
      </c>
      <c r="AD148" s="51">
        <f t="shared" si="12"/>
        <v>1</v>
      </c>
      <c r="AE148" s="25">
        <v>1</v>
      </c>
      <c r="AF148" s="25">
        <v>1</v>
      </c>
      <c r="AG148" s="25">
        <v>1</v>
      </c>
      <c r="AH148" s="25">
        <v>1</v>
      </c>
      <c r="AI148" s="25">
        <f>IF(OR(Apresentação!$E$3='Base de Dados e filtragem'!AI$2,Apresentação!$E$3='Base de Dados e filtragem'!E148),1,0)</f>
        <v>1</v>
      </c>
      <c r="AJ148" s="25">
        <f>IF(OR(Apresentação!$E$4='Base de Dados e filtragem'!AJ$2,Apresentação!$E$4='Base de Dados e filtragem'!F148),1,0)</f>
        <v>1</v>
      </c>
      <c r="AK148" s="25">
        <f>IF(OR(Apresentação!$E$5='Base de Dados e filtragem'!AK$2,Apresentação!$E$5='Base de Dados e filtragem'!G148),1,0)</f>
        <v>1</v>
      </c>
      <c r="AL148" s="25">
        <f>IF(OR(Apresentação!$E$6='Base de Dados e filtragem'!AL$2,Apresentação!$E$6='Base de Dados e filtragem'!H148),1,0)</f>
        <v>1</v>
      </c>
      <c r="AM148" s="25">
        <f>IF(OR(Apresentação!$I$2='Base de Dados e filtragem'!AM$2,Apresentação!$I$2='Base de Dados e filtragem'!I148),1,0)</f>
        <v>1</v>
      </c>
      <c r="AN148" s="25">
        <f>IF(OR(Apresentação!$I$3='Base de Dados e filtragem'!AN$2,Apresentação!$I$3='Base de Dados e filtragem'!J148),1,0)</f>
        <v>1</v>
      </c>
      <c r="AO148" s="25">
        <f>IF(OR(Apresentação!$I$4='Base de Dados e filtragem'!AO$2,Apresentação!$I$4='Base de Dados e filtragem'!K148),1,0)</f>
        <v>1</v>
      </c>
      <c r="AP148" s="25">
        <f>IF(OR(Apresentação!$I$5='Base de Dados e filtragem'!AP$2,Apresentação!$I$5='Base de Dados e filtragem'!L148),1,0)</f>
        <v>1</v>
      </c>
      <c r="AQ148" s="25">
        <f>IF(OR(Apresentação!$I$6='Base de Dados e filtragem'!AQ$2,Apresentação!$I$6='Base de Dados e filtragem'!M148),1,0)</f>
        <v>1</v>
      </c>
      <c r="AR148" s="25">
        <v>1</v>
      </c>
      <c r="AS148" s="25">
        <v>1</v>
      </c>
      <c r="AT148" s="25">
        <v>1</v>
      </c>
      <c r="AU148" s="25">
        <v>1</v>
      </c>
      <c r="AV148" s="25">
        <v>1</v>
      </c>
      <c r="AW148" s="25">
        <v>1</v>
      </c>
      <c r="AX148" s="25">
        <v>1</v>
      </c>
      <c r="AY148" s="25">
        <v>1</v>
      </c>
      <c r="AZ148" s="25">
        <v>1</v>
      </c>
      <c r="BA148" s="25">
        <v>1</v>
      </c>
      <c r="BB148" s="25">
        <v>1</v>
      </c>
      <c r="BC148" s="25">
        <v>1</v>
      </c>
      <c r="BD148" s="25">
        <v>1</v>
      </c>
    </row>
    <row r="149" spans="27:56" x14ac:dyDescent="0.25">
      <c r="AA149" s="68" t="str">
        <f t="shared" si="9"/>
        <v>Fotos\\.jpg</v>
      </c>
      <c r="AB149" s="53">
        <f t="shared" si="10"/>
        <v>6.7114093959731542E-3</v>
      </c>
      <c r="AC149" s="25">
        <f t="shared" si="11"/>
        <v>149</v>
      </c>
      <c r="AD149" s="51">
        <f t="shared" si="12"/>
        <v>1</v>
      </c>
      <c r="AE149" s="25">
        <v>1</v>
      </c>
      <c r="AF149" s="25">
        <v>1</v>
      </c>
      <c r="AG149" s="25">
        <v>1</v>
      </c>
      <c r="AH149" s="25">
        <v>1</v>
      </c>
      <c r="AI149" s="25">
        <f>IF(OR(Apresentação!$E$3='Base de Dados e filtragem'!AI$2,Apresentação!$E$3='Base de Dados e filtragem'!E149),1,0)</f>
        <v>1</v>
      </c>
      <c r="AJ149" s="25">
        <f>IF(OR(Apresentação!$E$4='Base de Dados e filtragem'!AJ$2,Apresentação!$E$4='Base de Dados e filtragem'!F149),1,0)</f>
        <v>1</v>
      </c>
      <c r="AK149" s="25">
        <f>IF(OR(Apresentação!$E$5='Base de Dados e filtragem'!AK$2,Apresentação!$E$5='Base de Dados e filtragem'!G149),1,0)</f>
        <v>1</v>
      </c>
      <c r="AL149" s="25">
        <f>IF(OR(Apresentação!$E$6='Base de Dados e filtragem'!AL$2,Apresentação!$E$6='Base de Dados e filtragem'!H149),1,0)</f>
        <v>1</v>
      </c>
      <c r="AM149" s="25">
        <f>IF(OR(Apresentação!$I$2='Base de Dados e filtragem'!AM$2,Apresentação!$I$2='Base de Dados e filtragem'!I149),1,0)</f>
        <v>1</v>
      </c>
      <c r="AN149" s="25">
        <f>IF(OR(Apresentação!$I$3='Base de Dados e filtragem'!AN$2,Apresentação!$I$3='Base de Dados e filtragem'!J149),1,0)</f>
        <v>1</v>
      </c>
      <c r="AO149" s="25">
        <f>IF(OR(Apresentação!$I$4='Base de Dados e filtragem'!AO$2,Apresentação!$I$4='Base de Dados e filtragem'!K149),1,0)</f>
        <v>1</v>
      </c>
      <c r="AP149" s="25">
        <f>IF(OR(Apresentação!$I$5='Base de Dados e filtragem'!AP$2,Apresentação!$I$5='Base de Dados e filtragem'!L149),1,0)</f>
        <v>1</v>
      </c>
      <c r="AQ149" s="25">
        <f>IF(OR(Apresentação!$I$6='Base de Dados e filtragem'!AQ$2,Apresentação!$I$6='Base de Dados e filtragem'!M149),1,0)</f>
        <v>1</v>
      </c>
      <c r="AR149" s="25">
        <v>1</v>
      </c>
      <c r="AS149" s="25">
        <v>1</v>
      </c>
      <c r="AT149" s="25">
        <v>1</v>
      </c>
      <c r="AU149" s="25">
        <v>1</v>
      </c>
      <c r="AV149" s="25">
        <v>1</v>
      </c>
      <c r="AW149" s="25">
        <v>1</v>
      </c>
      <c r="AX149" s="25">
        <v>1</v>
      </c>
      <c r="AY149" s="25">
        <v>1</v>
      </c>
      <c r="AZ149" s="25">
        <v>1</v>
      </c>
      <c r="BA149" s="25">
        <v>1</v>
      </c>
      <c r="BB149" s="25">
        <v>1</v>
      </c>
      <c r="BC149" s="25">
        <v>1</v>
      </c>
      <c r="BD149" s="25">
        <v>1</v>
      </c>
    </row>
    <row r="150" spans="27:56" x14ac:dyDescent="0.25">
      <c r="AA150" s="68" t="str">
        <f t="shared" si="9"/>
        <v>Fotos\\.jpg</v>
      </c>
      <c r="AB150" s="53">
        <f t="shared" si="10"/>
        <v>6.6666666666666671E-3</v>
      </c>
      <c r="AC150" s="25">
        <f t="shared" si="11"/>
        <v>150</v>
      </c>
      <c r="AD150" s="51">
        <f t="shared" si="12"/>
        <v>1</v>
      </c>
      <c r="AE150" s="25">
        <v>1</v>
      </c>
      <c r="AF150" s="25">
        <v>1</v>
      </c>
      <c r="AG150" s="25">
        <v>1</v>
      </c>
      <c r="AH150" s="25">
        <v>1</v>
      </c>
      <c r="AI150" s="25">
        <f>IF(OR(Apresentação!$E$3='Base de Dados e filtragem'!AI$2,Apresentação!$E$3='Base de Dados e filtragem'!E150),1,0)</f>
        <v>1</v>
      </c>
      <c r="AJ150" s="25">
        <f>IF(OR(Apresentação!$E$4='Base de Dados e filtragem'!AJ$2,Apresentação!$E$4='Base de Dados e filtragem'!F150),1,0)</f>
        <v>1</v>
      </c>
      <c r="AK150" s="25">
        <f>IF(OR(Apresentação!$E$5='Base de Dados e filtragem'!AK$2,Apresentação!$E$5='Base de Dados e filtragem'!G150),1,0)</f>
        <v>1</v>
      </c>
      <c r="AL150" s="25">
        <f>IF(OR(Apresentação!$E$6='Base de Dados e filtragem'!AL$2,Apresentação!$E$6='Base de Dados e filtragem'!H150),1,0)</f>
        <v>1</v>
      </c>
      <c r="AM150" s="25">
        <f>IF(OR(Apresentação!$I$2='Base de Dados e filtragem'!AM$2,Apresentação!$I$2='Base de Dados e filtragem'!I150),1,0)</f>
        <v>1</v>
      </c>
      <c r="AN150" s="25">
        <f>IF(OR(Apresentação!$I$3='Base de Dados e filtragem'!AN$2,Apresentação!$I$3='Base de Dados e filtragem'!J150),1,0)</f>
        <v>1</v>
      </c>
      <c r="AO150" s="25">
        <f>IF(OR(Apresentação!$I$4='Base de Dados e filtragem'!AO$2,Apresentação!$I$4='Base de Dados e filtragem'!K150),1,0)</f>
        <v>1</v>
      </c>
      <c r="AP150" s="25">
        <f>IF(OR(Apresentação!$I$5='Base de Dados e filtragem'!AP$2,Apresentação!$I$5='Base de Dados e filtragem'!L150),1,0)</f>
        <v>1</v>
      </c>
      <c r="AQ150" s="25">
        <f>IF(OR(Apresentação!$I$6='Base de Dados e filtragem'!AQ$2,Apresentação!$I$6='Base de Dados e filtragem'!M150),1,0)</f>
        <v>1</v>
      </c>
      <c r="AR150" s="25">
        <v>1</v>
      </c>
      <c r="AS150" s="25">
        <v>1</v>
      </c>
      <c r="AT150" s="25">
        <v>1</v>
      </c>
      <c r="AU150" s="25">
        <v>1</v>
      </c>
      <c r="AV150" s="25">
        <v>1</v>
      </c>
      <c r="AW150" s="25">
        <v>1</v>
      </c>
      <c r="AX150" s="25">
        <v>1</v>
      </c>
      <c r="AY150" s="25">
        <v>1</v>
      </c>
      <c r="AZ150" s="25">
        <v>1</v>
      </c>
      <c r="BA150" s="25">
        <v>1</v>
      </c>
      <c r="BB150" s="25">
        <v>1</v>
      </c>
      <c r="BC150" s="25">
        <v>1</v>
      </c>
      <c r="BD150" s="25">
        <v>1</v>
      </c>
    </row>
    <row r="151" spans="27:56" x14ac:dyDescent="0.25">
      <c r="AA151" s="68" t="str">
        <f t="shared" si="9"/>
        <v>Fotos\\.jpg</v>
      </c>
      <c r="AB151" s="53">
        <f t="shared" si="10"/>
        <v>6.6225165562913907E-3</v>
      </c>
      <c r="AC151" s="25">
        <f t="shared" si="11"/>
        <v>151</v>
      </c>
      <c r="AD151" s="51">
        <f t="shared" si="12"/>
        <v>1</v>
      </c>
      <c r="AE151" s="25">
        <v>1</v>
      </c>
      <c r="AF151" s="25">
        <v>1</v>
      </c>
      <c r="AG151" s="25">
        <v>1</v>
      </c>
      <c r="AH151" s="25">
        <v>1</v>
      </c>
      <c r="AI151" s="25">
        <f>IF(OR(Apresentação!$E$3='Base de Dados e filtragem'!AI$2,Apresentação!$E$3='Base de Dados e filtragem'!E151),1,0)</f>
        <v>1</v>
      </c>
      <c r="AJ151" s="25">
        <f>IF(OR(Apresentação!$E$4='Base de Dados e filtragem'!AJ$2,Apresentação!$E$4='Base de Dados e filtragem'!F151),1,0)</f>
        <v>1</v>
      </c>
      <c r="AK151" s="25">
        <f>IF(OR(Apresentação!$E$5='Base de Dados e filtragem'!AK$2,Apresentação!$E$5='Base de Dados e filtragem'!G151),1,0)</f>
        <v>1</v>
      </c>
      <c r="AL151" s="25">
        <f>IF(OR(Apresentação!$E$6='Base de Dados e filtragem'!AL$2,Apresentação!$E$6='Base de Dados e filtragem'!H151),1,0)</f>
        <v>1</v>
      </c>
      <c r="AM151" s="25">
        <f>IF(OR(Apresentação!$I$2='Base de Dados e filtragem'!AM$2,Apresentação!$I$2='Base de Dados e filtragem'!I151),1,0)</f>
        <v>1</v>
      </c>
      <c r="AN151" s="25">
        <f>IF(OR(Apresentação!$I$3='Base de Dados e filtragem'!AN$2,Apresentação!$I$3='Base de Dados e filtragem'!J151),1,0)</f>
        <v>1</v>
      </c>
      <c r="AO151" s="25">
        <f>IF(OR(Apresentação!$I$4='Base de Dados e filtragem'!AO$2,Apresentação!$I$4='Base de Dados e filtragem'!K151),1,0)</f>
        <v>1</v>
      </c>
      <c r="AP151" s="25">
        <f>IF(OR(Apresentação!$I$5='Base de Dados e filtragem'!AP$2,Apresentação!$I$5='Base de Dados e filtragem'!L151),1,0)</f>
        <v>1</v>
      </c>
      <c r="AQ151" s="25">
        <f>IF(OR(Apresentação!$I$6='Base de Dados e filtragem'!AQ$2,Apresentação!$I$6='Base de Dados e filtragem'!M151),1,0)</f>
        <v>1</v>
      </c>
      <c r="AR151" s="25">
        <v>1</v>
      </c>
      <c r="AS151" s="25">
        <v>1</v>
      </c>
      <c r="AT151" s="25">
        <v>1</v>
      </c>
      <c r="AU151" s="25">
        <v>1</v>
      </c>
      <c r="AV151" s="25">
        <v>1</v>
      </c>
      <c r="AW151" s="25">
        <v>1</v>
      </c>
      <c r="AX151" s="25">
        <v>1</v>
      </c>
      <c r="AY151" s="25">
        <v>1</v>
      </c>
      <c r="AZ151" s="25">
        <v>1</v>
      </c>
      <c r="BA151" s="25">
        <v>1</v>
      </c>
      <c r="BB151" s="25">
        <v>1</v>
      </c>
      <c r="BC151" s="25">
        <v>1</v>
      </c>
      <c r="BD151" s="25">
        <v>1</v>
      </c>
    </row>
    <row r="152" spans="27:56" x14ac:dyDescent="0.25">
      <c r="AA152" s="68" t="str">
        <f t="shared" si="9"/>
        <v>Fotos\\.jpg</v>
      </c>
      <c r="AB152" s="53">
        <f t="shared" si="10"/>
        <v>6.5789473684210523E-3</v>
      </c>
      <c r="AC152" s="25">
        <f t="shared" si="11"/>
        <v>152</v>
      </c>
      <c r="AD152" s="51">
        <f t="shared" si="12"/>
        <v>1</v>
      </c>
      <c r="AE152" s="25">
        <v>1</v>
      </c>
      <c r="AF152" s="25">
        <v>1</v>
      </c>
      <c r="AG152" s="25">
        <v>1</v>
      </c>
      <c r="AH152" s="25">
        <v>1</v>
      </c>
      <c r="AI152" s="25">
        <f>IF(OR(Apresentação!$E$3='Base de Dados e filtragem'!AI$2,Apresentação!$E$3='Base de Dados e filtragem'!E152),1,0)</f>
        <v>1</v>
      </c>
      <c r="AJ152" s="25">
        <f>IF(OR(Apresentação!$E$4='Base de Dados e filtragem'!AJ$2,Apresentação!$E$4='Base de Dados e filtragem'!F152),1,0)</f>
        <v>1</v>
      </c>
      <c r="AK152" s="25">
        <f>IF(OR(Apresentação!$E$5='Base de Dados e filtragem'!AK$2,Apresentação!$E$5='Base de Dados e filtragem'!G152),1,0)</f>
        <v>1</v>
      </c>
      <c r="AL152" s="25">
        <f>IF(OR(Apresentação!$E$6='Base de Dados e filtragem'!AL$2,Apresentação!$E$6='Base de Dados e filtragem'!H152),1,0)</f>
        <v>1</v>
      </c>
      <c r="AM152" s="25">
        <f>IF(OR(Apresentação!$I$2='Base de Dados e filtragem'!AM$2,Apresentação!$I$2='Base de Dados e filtragem'!I152),1,0)</f>
        <v>1</v>
      </c>
      <c r="AN152" s="25">
        <f>IF(OR(Apresentação!$I$3='Base de Dados e filtragem'!AN$2,Apresentação!$I$3='Base de Dados e filtragem'!J152),1,0)</f>
        <v>1</v>
      </c>
      <c r="AO152" s="25">
        <f>IF(OR(Apresentação!$I$4='Base de Dados e filtragem'!AO$2,Apresentação!$I$4='Base de Dados e filtragem'!K152),1,0)</f>
        <v>1</v>
      </c>
      <c r="AP152" s="25">
        <f>IF(OR(Apresentação!$I$5='Base de Dados e filtragem'!AP$2,Apresentação!$I$5='Base de Dados e filtragem'!L152),1,0)</f>
        <v>1</v>
      </c>
      <c r="AQ152" s="25">
        <f>IF(OR(Apresentação!$I$6='Base de Dados e filtragem'!AQ$2,Apresentação!$I$6='Base de Dados e filtragem'!M152),1,0)</f>
        <v>1</v>
      </c>
      <c r="AR152" s="25">
        <v>1</v>
      </c>
      <c r="AS152" s="25">
        <v>1</v>
      </c>
      <c r="AT152" s="25">
        <v>1</v>
      </c>
      <c r="AU152" s="25">
        <v>1</v>
      </c>
      <c r="AV152" s="25">
        <v>1</v>
      </c>
      <c r="AW152" s="25">
        <v>1</v>
      </c>
      <c r="AX152" s="25">
        <v>1</v>
      </c>
      <c r="AY152" s="25">
        <v>1</v>
      </c>
      <c r="AZ152" s="25">
        <v>1</v>
      </c>
      <c r="BA152" s="25">
        <v>1</v>
      </c>
      <c r="BB152" s="25">
        <v>1</v>
      </c>
      <c r="BC152" s="25">
        <v>1</v>
      </c>
      <c r="BD152" s="25">
        <v>1</v>
      </c>
    </row>
    <row r="153" spans="27:56" x14ac:dyDescent="0.25">
      <c r="AA153" s="68" t="str">
        <f t="shared" si="9"/>
        <v>Fotos\\.jpg</v>
      </c>
      <c r="AB153" s="53">
        <f t="shared" si="10"/>
        <v>6.5359477124183009E-3</v>
      </c>
      <c r="AC153" s="25">
        <f t="shared" si="11"/>
        <v>153</v>
      </c>
      <c r="AD153" s="51">
        <f t="shared" si="12"/>
        <v>1</v>
      </c>
      <c r="AE153" s="25">
        <v>1</v>
      </c>
      <c r="AF153" s="25">
        <v>1</v>
      </c>
      <c r="AG153" s="25">
        <v>1</v>
      </c>
      <c r="AH153" s="25">
        <v>1</v>
      </c>
      <c r="AI153" s="25">
        <f>IF(OR(Apresentação!$E$3='Base de Dados e filtragem'!AI$2,Apresentação!$E$3='Base de Dados e filtragem'!E153),1,0)</f>
        <v>1</v>
      </c>
      <c r="AJ153" s="25">
        <f>IF(OR(Apresentação!$E$4='Base de Dados e filtragem'!AJ$2,Apresentação!$E$4='Base de Dados e filtragem'!F153),1,0)</f>
        <v>1</v>
      </c>
      <c r="AK153" s="25">
        <f>IF(OR(Apresentação!$E$5='Base de Dados e filtragem'!AK$2,Apresentação!$E$5='Base de Dados e filtragem'!G153),1,0)</f>
        <v>1</v>
      </c>
      <c r="AL153" s="25">
        <f>IF(OR(Apresentação!$E$6='Base de Dados e filtragem'!AL$2,Apresentação!$E$6='Base de Dados e filtragem'!H153),1,0)</f>
        <v>1</v>
      </c>
      <c r="AM153" s="25">
        <f>IF(OR(Apresentação!$I$2='Base de Dados e filtragem'!AM$2,Apresentação!$I$2='Base de Dados e filtragem'!I153),1,0)</f>
        <v>1</v>
      </c>
      <c r="AN153" s="25">
        <f>IF(OR(Apresentação!$I$3='Base de Dados e filtragem'!AN$2,Apresentação!$I$3='Base de Dados e filtragem'!J153),1,0)</f>
        <v>1</v>
      </c>
      <c r="AO153" s="25">
        <f>IF(OR(Apresentação!$I$4='Base de Dados e filtragem'!AO$2,Apresentação!$I$4='Base de Dados e filtragem'!K153),1,0)</f>
        <v>1</v>
      </c>
      <c r="AP153" s="25">
        <f>IF(OR(Apresentação!$I$5='Base de Dados e filtragem'!AP$2,Apresentação!$I$5='Base de Dados e filtragem'!L153),1,0)</f>
        <v>1</v>
      </c>
      <c r="AQ153" s="25">
        <f>IF(OR(Apresentação!$I$6='Base de Dados e filtragem'!AQ$2,Apresentação!$I$6='Base de Dados e filtragem'!M153),1,0)</f>
        <v>1</v>
      </c>
      <c r="AR153" s="25">
        <v>1</v>
      </c>
      <c r="AS153" s="25">
        <v>1</v>
      </c>
      <c r="AT153" s="25">
        <v>1</v>
      </c>
      <c r="AU153" s="25">
        <v>1</v>
      </c>
      <c r="AV153" s="25">
        <v>1</v>
      </c>
      <c r="AW153" s="25">
        <v>1</v>
      </c>
      <c r="AX153" s="25">
        <v>1</v>
      </c>
      <c r="AY153" s="25">
        <v>1</v>
      </c>
      <c r="AZ153" s="25">
        <v>1</v>
      </c>
      <c r="BA153" s="25">
        <v>1</v>
      </c>
      <c r="BB153" s="25">
        <v>1</v>
      </c>
      <c r="BC153" s="25">
        <v>1</v>
      </c>
      <c r="BD153" s="25">
        <v>1</v>
      </c>
    </row>
    <row r="154" spans="27:56" x14ac:dyDescent="0.25">
      <c r="AA154" s="68" t="str">
        <f t="shared" si="9"/>
        <v>Fotos\\.jpg</v>
      </c>
      <c r="AB154" s="53">
        <f t="shared" si="10"/>
        <v>6.4935064935064939E-3</v>
      </c>
      <c r="AC154" s="25">
        <f t="shared" si="11"/>
        <v>154</v>
      </c>
      <c r="AD154" s="51">
        <f t="shared" si="12"/>
        <v>1</v>
      </c>
      <c r="AE154" s="25">
        <v>1</v>
      </c>
      <c r="AF154" s="25">
        <v>1</v>
      </c>
      <c r="AG154" s="25">
        <v>1</v>
      </c>
      <c r="AH154" s="25">
        <v>1</v>
      </c>
      <c r="AI154" s="25">
        <f>IF(OR(Apresentação!$E$3='Base de Dados e filtragem'!AI$2,Apresentação!$E$3='Base de Dados e filtragem'!E154),1,0)</f>
        <v>1</v>
      </c>
      <c r="AJ154" s="25">
        <f>IF(OR(Apresentação!$E$4='Base de Dados e filtragem'!AJ$2,Apresentação!$E$4='Base de Dados e filtragem'!F154),1,0)</f>
        <v>1</v>
      </c>
      <c r="AK154" s="25">
        <f>IF(OR(Apresentação!$E$5='Base de Dados e filtragem'!AK$2,Apresentação!$E$5='Base de Dados e filtragem'!G154),1,0)</f>
        <v>1</v>
      </c>
      <c r="AL154" s="25">
        <f>IF(OR(Apresentação!$E$6='Base de Dados e filtragem'!AL$2,Apresentação!$E$6='Base de Dados e filtragem'!H154),1,0)</f>
        <v>1</v>
      </c>
      <c r="AM154" s="25">
        <f>IF(OR(Apresentação!$I$2='Base de Dados e filtragem'!AM$2,Apresentação!$I$2='Base de Dados e filtragem'!I154),1,0)</f>
        <v>1</v>
      </c>
      <c r="AN154" s="25">
        <f>IF(OR(Apresentação!$I$3='Base de Dados e filtragem'!AN$2,Apresentação!$I$3='Base de Dados e filtragem'!J154),1,0)</f>
        <v>1</v>
      </c>
      <c r="AO154" s="25">
        <f>IF(OR(Apresentação!$I$4='Base de Dados e filtragem'!AO$2,Apresentação!$I$4='Base de Dados e filtragem'!K154),1,0)</f>
        <v>1</v>
      </c>
      <c r="AP154" s="25">
        <f>IF(OR(Apresentação!$I$5='Base de Dados e filtragem'!AP$2,Apresentação!$I$5='Base de Dados e filtragem'!L154),1,0)</f>
        <v>1</v>
      </c>
      <c r="AQ154" s="25">
        <f>IF(OR(Apresentação!$I$6='Base de Dados e filtragem'!AQ$2,Apresentação!$I$6='Base de Dados e filtragem'!M154),1,0)</f>
        <v>1</v>
      </c>
      <c r="AR154" s="25">
        <v>1</v>
      </c>
      <c r="AS154" s="25">
        <v>1</v>
      </c>
      <c r="AT154" s="25">
        <v>1</v>
      </c>
      <c r="AU154" s="25">
        <v>1</v>
      </c>
      <c r="AV154" s="25">
        <v>1</v>
      </c>
      <c r="AW154" s="25">
        <v>1</v>
      </c>
      <c r="AX154" s="25">
        <v>1</v>
      </c>
      <c r="AY154" s="25">
        <v>1</v>
      </c>
      <c r="AZ154" s="25">
        <v>1</v>
      </c>
      <c r="BA154" s="25">
        <v>1</v>
      </c>
      <c r="BB154" s="25">
        <v>1</v>
      </c>
      <c r="BC154" s="25">
        <v>1</v>
      </c>
      <c r="BD154" s="25">
        <v>1</v>
      </c>
    </row>
    <row r="155" spans="27:56" x14ac:dyDescent="0.25">
      <c r="AA155" s="68" t="str">
        <f t="shared" si="9"/>
        <v>Fotos\\.jpg</v>
      </c>
      <c r="AB155" s="53">
        <f t="shared" si="10"/>
        <v>6.4516129032258064E-3</v>
      </c>
      <c r="AC155" s="25">
        <f t="shared" si="11"/>
        <v>155</v>
      </c>
      <c r="AD155" s="51">
        <f t="shared" si="12"/>
        <v>1</v>
      </c>
      <c r="AE155" s="25">
        <v>1</v>
      </c>
      <c r="AF155" s="25">
        <v>1</v>
      </c>
      <c r="AG155" s="25">
        <v>1</v>
      </c>
      <c r="AH155" s="25">
        <v>1</v>
      </c>
      <c r="AI155" s="25">
        <f>IF(OR(Apresentação!$E$3='Base de Dados e filtragem'!AI$2,Apresentação!$E$3='Base de Dados e filtragem'!E155),1,0)</f>
        <v>1</v>
      </c>
      <c r="AJ155" s="25">
        <f>IF(OR(Apresentação!$E$4='Base de Dados e filtragem'!AJ$2,Apresentação!$E$4='Base de Dados e filtragem'!F155),1,0)</f>
        <v>1</v>
      </c>
      <c r="AK155" s="25">
        <f>IF(OR(Apresentação!$E$5='Base de Dados e filtragem'!AK$2,Apresentação!$E$5='Base de Dados e filtragem'!G155),1,0)</f>
        <v>1</v>
      </c>
      <c r="AL155" s="25">
        <f>IF(OR(Apresentação!$E$6='Base de Dados e filtragem'!AL$2,Apresentação!$E$6='Base de Dados e filtragem'!H155),1,0)</f>
        <v>1</v>
      </c>
      <c r="AM155" s="25">
        <f>IF(OR(Apresentação!$I$2='Base de Dados e filtragem'!AM$2,Apresentação!$I$2='Base de Dados e filtragem'!I155),1,0)</f>
        <v>1</v>
      </c>
      <c r="AN155" s="25">
        <f>IF(OR(Apresentação!$I$3='Base de Dados e filtragem'!AN$2,Apresentação!$I$3='Base de Dados e filtragem'!J155),1,0)</f>
        <v>1</v>
      </c>
      <c r="AO155" s="25">
        <f>IF(OR(Apresentação!$I$4='Base de Dados e filtragem'!AO$2,Apresentação!$I$4='Base de Dados e filtragem'!K155),1,0)</f>
        <v>1</v>
      </c>
      <c r="AP155" s="25">
        <f>IF(OR(Apresentação!$I$5='Base de Dados e filtragem'!AP$2,Apresentação!$I$5='Base de Dados e filtragem'!L155),1,0)</f>
        <v>1</v>
      </c>
      <c r="AQ155" s="25">
        <f>IF(OR(Apresentação!$I$6='Base de Dados e filtragem'!AQ$2,Apresentação!$I$6='Base de Dados e filtragem'!M155),1,0)</f>
        <v>1</v>
      </c>
      <c r="AR155" s="25">
        <v>1</v>
      </c>
      <c r="AS155" s="25">
        <v>1</v>
      </c>
      <c r="AT155" s="25">
        <v>1</v>
      </c>
      <c r="AU155" s="25">
        <v>1</v>
      </c>
      <c r="AV155" s="25">
        <v>1</v>
      </c>
      <c r="AW155" s="25">
        <v>1</v>
      </c>
      <c r="AX155" s="25">
        <v>1</v>
      </c>
      <c r="AY155" s="25">
        <v>1</v>
      </c>
      <c r="AZ155" s="25">
        <v>1</v>
      </c>
      <c r="BA155" s="25">
        <v>1</v>
      </c>
      <c r="BB155" s="25">
        <v>1</v>
      </c>
      <c r="BC155" s="25">
        <v>1</v>
      </c>
      <c r="BD155" s="25">
        <v>1</v>
      </c>
    </row>
    <row r="156" spans="27:56" x14ac:dyDescent="0.25">
      <c r="AA156" s="68" t="str">
        <f t="shared" si="9"/>
        <v>Fotos\\.jpg</v>
      </c>
      <c r="AB156" s="53">
        <f t="shared" si="10"/>
        <v>6.41025641025641E-3</v>
      </c>
      <c r="AC156" s="25">
        <f t="shared" si="11"/>
        <v>156</v>
      </c>
      <c r="AD156" s="51">
        <f t="shared" si="12"/>
        <v>1</v>
      </c>
      <c r="AE156" s="25">
        <v>1</v>
      </c>
      <c r="AF156" s="25">
        <v>1</v>
      </c>
      <c r="AG156" s="25">
        <v>1</v>
      </c>
      <c r="AH156" s="25">
        <v>1</v>
      </c>
      <c r="AI156" s="25">
        <f>IF(OR(Apresentação!$E$3='Base de Dados e filtragem'!AI$2,Apresentação!$E$3='Base de Dados e filtragem'!E156),1,0)</f>
        <v>1</v>
      </c>
      <c r="AJ156" s="25">
        <f>IF(OR(Apresentação!$E$4='Base de Dados e filtragem'!AJ$2,Apresentação!$E$4='Base de Dados e filtragem'!F156),1,0)</f>
        <v>1</v>
      </c>
      <c r="AK156" s="25">
        <f>IF(OR(Apresentação!$E$5='Base de Dados e filtragem'!AK$2,Apresentação!$E$5='Base de Dados e filtragem'!G156),1,0)</f>
        <v>1</v>
      </c>
      <c r="AL156" s="25">
        <f>IF(OR(Apresentação!$E$6='Base de Dados e filtragem'!AL$2,Apresentação!$E$6='Base de Dados e filtragem'!H156),1,0)</f>
        <v>1</v>
      </c>
      <c r="AM156" s="25">
        <f>IF(OR(Apresentação!$I$2='Base de Dados e filtragem'!AM$2,Apresentação!$I$2='Base de Dados e filtragem'!I156),1,0)</f>
        <v>1</v>
      </c>
      <c r="AN156" s="25">
        <f>IF(OR(Apresentação!$I$3='Base de Dados e filtragem'!AN$2,Apresentação!$I$3='Base de Dados e filtragem'!J156),1,0)</f>
        <v>1</v>
      </c>
      <c r="AO156" s="25">
        <f>IF(OR(Apresentação!$I$4='Base de Dados e filtragem'!AO$2,Apresentação!$I$4='Base de Dados e filtragem'!K156),1,0)</f>
        <v>1</v>
      </c>
      <c r="AP156" s="25">
        <f>IF(OR(Apresentação!$I$5='Base de Dados e filtragem'!AP$2,Apresentação!$I$5='Base de Dados e filtragem'!L156),1,0)</f>
        <v>1</v>
      </c>
      <c r="AQ156" s="25">
        <f>IF(OR(Apresentação!$I$6='Base de Dados e filtragem'!AQ$2,Apresentação!$I$6='Base de Dados e filtragem'!M156),1,0)</f>
        <v>1</v>
      </c>
      <c r="AR156" s="25">
        <v>1</v>
      </c>
      <c r="AS156" s="25">
        <v>1</v>
      </c>
      <c r="AT156" s="25">
        <v>1</v>
      </c>
      <c r="AU156" s="25">
        <v>1</v>
      </c>
      <c r="AV156" s="25">
        <v>1</v>
      </c>
      <c r="AW156" s="25">
        <v>1</v>
      </c>
      <c r="AX156" s="25">
        <v>1</v>
      </c>
      <c r="AY156" s="25">
        <v>1</v>
      </c>
      <c r="AZ156" s="25">
        <v>1</v>
      </c>
      <c r="BA156" s="25">
        <v>1</v>
      </c>
      <c r="BB156" s="25">
        <v>1</v>
      </c>
      <c r="BC156" s="25">
        <v>1</v>
      </c>
      <c r="BD156" s="25">
        <v>1</v>
      </c>
    </row>
    <row r="157" spans="27:56" x14ac:dyDescent="0.25">
      <c r="AA157" s="68" t="str">
        <f t="shared" si="9"/>
        <v>Fotos\\.jpg</v>
      </c>
      <c r="AB157" s="53">
        <f t="shared" si="10"/>
        <v>6.369426751592357E-3</v>
      </c>
      <c r="AC157" s="25">
        <f t="shared" si="11"/>
        <v>157</v>
      </c>
      <c r="AD157" s="51">
        <f t="shared" si="12"/>
        <v>1</v>
      </c>
      <c r="AE157" s="25">
        <v>1</v>
      </c>
      <c r="AF157" s="25">
        <v>1</v>
      </c>
      <c r="AG157" s="25">
        <v>1</v>
      </c>
      <c r="AH157" s="25">
        <v>1</v>
      </c>
      <c r="AI157" s="25">
        <f>IF(OR(Apresentação!$E$3='Base de Dados e filtragem'!AI$2,Apresentação!$E$3='Base de Dados e filtragem'!E157),1,0)</f>
        <v>1</v>
      </c>
      <c r="AJ157" s="25">
        <f>IF(OR(Apresentação!$E$4='Base de Dados e filtragem'!AJ$2,Apresentação!$E$4='Base de Dados e filtragem'!F157),1,0)</f>
        <v>1</v>
      </c>
      <c r="AK157" s="25">
        <f>IF(OR(Apresentação!$E$5='Base de Dados e filtragem'!AK$2,Apresentação!$E$5='Base de Dados e filtragem'!G157),1,0)</f>
        <v>1</v>
      </c>
      <c r="AL157" s="25">
        <f>IF(OR(Apresentação!$E$6='Base de Dados e filtragem'!AL$2,Apresentação!$E$6='Base de Dados e filtragem'!H157),1,0)</f>
        <v>1</v>
      </c>
      <c r="AM157" s="25">
        <f>IF(OR(Apresentação!$I$2='Base de Dados e filtragem'!AM$2,Apresentação!$I$2='Base de Dados e filtragem'!I157),1,0)</f>
        <v>1</v>
      </c>
      <c r="AN157" s="25">
        <f>IF(OR(Apresentação!$I$3='Base de Dados e filtragem'!AN$2,Apresentação!$I$3='Base de Dados e filtragem'!J157),1,0)</f>
        <v>1</v>
      </c>
      <c r="AO157" s="25">
        <f>IF(OR(Apresentação!$I$4='Base de Dados e filtragem'!AO$2,Apresentação!$I$4='Base de Dados e filtragem'!K157),1,0)</f>
        <v>1</v>
      </c>
      <c r="AP157" s="25">
        <f>IF(OR(Apresentação!$I$5='Base de Dados e filtragem'!AP$2,Apresentação!$I$5='Base de Dados e filtragem'!L157),1,0)</f>
        <v>1</v>
      </c>
      <c r="AQ157" s="25">
        <f>IF(OR(Apresentação!$I$6='Base de Dados e filtragem'!AQ$2,Apresentação!$I$6='Base de Dados e filtragem'!M157),1,0)</f>
        <v>1</v>
      </c>
      <c r="AR157" s="25">
        <v>1</v>
      </c>
      <c r="AS157" s="25">
        <v>1</v>
      </c>
      <c r="AT157" s="25">
        <v>1</v>
      </c>
      <c r="AU157" s="25">
        <v>1</v>
      </c>
      <c r="AV157" s="25">
        <v>1</v>
      </c>
      <c r="AW157" s="25">
        <v>1</v>
      </c>
      <c r="AX157" s="25">
        <v>1</v>
      </c>
      <c r="AY157" s="25">
        <v>1</v>
      </c>
      <c r="AZ157" s="25">
        <v>1</v>
      </c>
      <c r="BA157" s="25">
        <v>1</v>
      </c>
      <c r="BB157" s="25">
        <v>1</v>
      </c>
      <c r="BC157" s="25">
        <v>1</v>
      </c>
      <c r="BD157" s="25">
        <v>1</v>
      </c>
    </row>
    <row r="158" spans="27:56" x14ac:dyDescent="0.25">
      <c r="AA158" s="68" t="str">
        <f t="shared" si="9"/>
        <v>Fotos\\.jpg</v>
      </c>
      <c r="AB158" s="53">
        <f t="shared" si="10"/>
        <v>6.3291139240506328E-3</v>
      </c>
      <c r="AC158" s="25">
        <f t="shared" si="11"/>
        <v>158</v>
      </c>
      <c r="AD158" s="51">
        <f t="shared" si="12"/>
        <v>1</v>
      </c>
      <c r="AE158" s="25">
        <v>1</v>
      </c>
      <c r="AF158" s="25">
        <v>1</v>
      </c>
      <c r="AG158" s="25">
        <v>1</v>
      </c>
      <c r="AH158" s="25">
        <v>1</v>
      </c>
      <c r="AI158" s="25">
        <f>IF(OR(Apresentação!$E$3='Base de Dados e filtragem'!AI$2,Apresentação!$E$3='Base de Dados e filtragem'!E158),1,0)</f>
        <v>1</v>
      </c>
      <c r="AJ158" s="25">
        <f>IF(OR(Apresentação!$E$4='Base de Dados e filtragem'!AJ$2,Apresentação!$E$4='Base de Dados e filtragem'!F158),1,0)</f>
        <v>1</v>
      </c>
      <c r="AK158" s="25">
        <f>IF(OR(Apresentação!$E$5='Base de Dados e filtragem'!AK$2,Apresentação!$E$5='Base de Dados e filtragem'!G158),1,0)</f>
        <v>1</v>
      </c>
      <c r="AL158" s="25">
        <f>IF(OR(Apresentação!$E$6='Base de Dados e filtragem'!AL$2,Apresentação!$E$6='Base de Dados e filtragem'!H158),1,0)</f>
        <v>1</v>
      </c>
      <c r="AM158" s="25">
        <f>IF(OR(Apresentação!$I$2='Base de Dados e filtragem'!AM$2,Apresentação!$I$2='Base de Dados e filtragem'!I158),1,0)</f>
        <v>1</v>
      </c>
      <c r="AN158" s="25">
        <f>IF(OR(Apresentação!$I$3='Base de Dados e filtragem'!AN$2,Apresentação!$I$3='Base de Dados e filtragem'!J158),1,0)</f>
        <v>1</v>
      </c>
      <c r="AO158" s="25">
        <f>IF(OR(Apresentação!$I$4='Base de Dados e filtragem'!AO$2,Apresentação!$I$4='Base de Dados e filtragem'!K158),1,0)</f>
        <v>1</v>
      </c>
      <c r="AP158" s="25">
        <f>IF(OR(Apresentação!$I$5='Base de Dados e filtragem'!AP$2,Apresentação!$I$5='Base de Dados e filtragem'!L158),1,0)</f>
        <v>1</v>
      </c>
      <c r="AQ158" s="25">
        <f>IF(OR(Apresentação!$I$6='Base de Dados e filtragem'!AQ$2,Apresentação!$I$6='Base de Dados e filtragem'!M158),1,0)</f>
        <v>1</v>
      </c>
      <c r="AR158" s="25">
        <v>1</v>
      </c>
      <c r="AS158" s="25">
        <v>1</v>
      </c>
      <c r="AT158" s="25">
        <v>1</v>
      </c>
      <c r="AU158" s="25">
        <v>1</v>
      </c>
      <c r="AV158" s="25">
        <v>1</v>
      </c>
      <c r="AW158" s="25">
        <v>1</v>
      </c>
      <c r="AX158" s="25">
        <v>1</v>
      </c>
      <c r="AY158" s="25">
        <v>1</v>
      </c>
      <c r="AZ158" s="25">
        <v>1</v>
      </c>
      <c r="BA158" s="25">
        <v>1</v>
      </c>
      <c r="BB158" s="25">
        <v>1</v>
      </c>
      <c r="BC158" s="25">
        <v>1</v>
      </c>
      <c r="BD158" s="25">
        <v>1</v>
      </c>
    </row>
    <row r="159" spans="27:56" x14ac:dyDescent="0.25">
      <c r="AA159" s="68" t="str">
        <f t="shared" si="9"/>
        <v>Fotos\\.jpg</v>
      </c>
      <c r="AB159" s="53">
        <f t="shared" si="10"/>
        <v>6.2893081761006293E-3</v>
      </c>
      <c r="AC159" s="25">
        <f t="shared" si="11"/>
        <v>159</v>
      </c>
      <c r="AD159" s="51">
        <f t="shared" si="12"/>
        <v>1</v>
      </c>
      <c r="AE159" s="25">
        <v>1</v>
      </c>
      <c r="AF159" s="25">
        <v>1</v>
      </c>
      <c r="AG159" s="25">
        <v>1</v>
      </c>
      <c r="AH159" s="25">
        <v>1</v>
      </c>
      <c r="AI159" s="25">
        <f>IF(OR(Apresentação!$E$3='Base de Dados e filtragem'!AI$2,Apresentação!$E$3='Base de Dados e filtragem'!E159),1,0)</f>
        <v>1</v>
      </c>
      <c r="AJ159" s="25">
        <f>IF(OR(Apresentação!$E$4='Base de Dados e filtragem'!AJ$2,Apresentação!$E$4='Base de Dados e filtragem'!F159),1,0)</f>
        <v>1</v>
      </c>
      <c r="AK159" s="25">
        <f>IF(OR(Apresentação!$E$5='Base de Dados e filtragem'!AK$2,Apresentação!$E$5='Base de Dados e filtragem'!G159),1,0)</f>
        <v>1</v>
      </c>
      <c r="AL159" s="25">
        <f>IF(OR(Apresentação!$E$6='Base de Dados e filtragem'!AL$2,Apresentação!$E$6='Base de Dados e filtragem'!H159),1,0)</f>
        <v>1</v>
      </c>
      <c r="AM159" s="25">
        <f>IF(OR(Apresentação!$I$2='Base de Dados e filtragem'!AM$2,Apresentação!$I$2='Base de Dados e filtragem'!I159),1,0)</f>
        <v>1</v>
      </c>
      <c r="AN159" s="25">
        <f>IF(OR(Apresentação!$I$3='Base de Dados e filtragem'!AN$2,Apresentação!$I$3='Base de Dados e filtragem'!J159),1,0)</f>
        <v>1</v>
      </c>
      <c r="AO159" s="25">
        <f>IF(OR(Apresentação!$I$4='Base de Dados e filtragem'!AO$2,Apresentação!$I$4='Base de Dados e filtragem'!K159),1,0)</f>
        <v>1</v>
      </c>
      <c r="AP159" s="25">
        <f>IF(OR(Apresentação!$I$5='Base de Dados e filtragem'!AP$2,Apresentação!$I$5='Base de Dados e filtragem'!L159),1,0)</f>
        <v>1</v>
      </c>
      <c r="AQ159" s="25">
        <f>IF(OR(Apresentação!$I$6='Base de Dados e filtragem'!AQ$2,Apresentação!$I$6='Base de Dados e filtragem'!M159),1,0)</f>
        <v>1</v>
      </c>
      <c r="AR159" s="25">
        <v>1</v>
      </c>
      <c r="AS159" s="25">
        <v>1</v>
      </c>
      <c r="AT159" s="25">
        <v>1</v>
      </c>
      <c r="AU159" s="25">
        <v>1</v>
      </c>
      <c r="AV159" s="25">
        <v>1</v>
      </c>
      <c r="AW159" s="25">
        <v>1</v>
      </c>
      <c r="AX159" s="25">
        <v>1</v>
      </c>
      <c r="AY159" s="25">
        <v>1</v>
      </c>
      <c r="AZ159" s="25">
        <v>1</v>
      </c>
      <c r="BA159" s="25">
        <v>1</v>
      </c>
      <c r="BB159" s="25">
        <v>1</v>
      </c>
      <c r="BC159" s="25">
        <v>1</v>
      </c>
      <c r="BD159" s="25">
        <v>1</v>
      </c>
    </row>
    <row r="160" spans="27:56" x14ac:dyDescent="0.25">
      <c r="AA160" s="68" t="str">
        <f t="shared" si="9"/>
        <v>Fotos\\.jpg</v>
      </c>
      <c r="AB160" s="53">
        <f t="shared" si="10"/>
        <v>6.2500000000000003E-3</v>
      </c>
      <c r="AC160" s="25">
        <f t="shared" si="11"/>
        <v>160</v>
      </c>
      <c r="AD160" s="51">
        <f t="shared" si="12"/>
        <v>1</v>
      </c>
      <c r="AE160" s="25">
        <v>1</v>
      </c>
      <c r="AF160" s="25">
        <v>1</v>
      </c>
      <c r="AG160" s="25">
        <v>1</v>
      </c>
      <c r="AH160" s="25">
        <v>1</v>
      </c>
      <c r="AI160" s="25">
        <f>IF(OR(Apresentação!$E$3='Base de Dados e filtragem'!AI$2,Apresentação!$E$3='Base de Dados e filtragem'!E160),1,0)</f>
        <v>1</v>
      </c>
      <c r="AJ160" s="25">
        <f>IF(OR(Apresentação!$E$4='Base de Dados e filtragem'!AJ$2,Apresentação!$E$4='Base de Dados e filtragem'!F160),1,0)</f>
        <v>1</v>
      </c>
      <c r="AK160" s="25">
        <f>IF(OR(Apresentação!$E$5='Base de Dados e filtragem'!AK$2,Apresentação!$E$5='Base de Dados e filtragem'!G160),1,0)</f>
        <v>1</v>
      </c>
      <c r="AL160" s="25">
        <f>IF(OR(Apresentação!$E$6='Base de Dados e filtragem'!AL$2,Apresentação!$E$6='Base de Dados e filtragem'!H160),1,0)</f>
        <v>1</v>
      </c>
      <c r="AM160" s="25">
        <f>IF(OR(Apresentação!$I$2='Base de Dados e filtragem'!AM$2,Apresentação!$I$2='Base de Dados e filtragem'!I160),1,0)</f>
        <v>1</v>
      </c>
      <c r="AN160" s="25">
        <f>IF(OR(Apresentação!$I$3='Base de Dados e filtragem'!AN$2,Apresentação!$I$3='Base de Dados e filtragem'!J160),1,0)</f>
        <v>1</v>
      </c>
      <c r="AO160" s="25">
        <f>IF(OR(Apresentação!$I$4='Base de Dados e filtragem'!AO$2,Apresentação!$I$4='Base de Dados e filtragem'!K160),1,0)</f>
        <v>1</v>
      </c>
      <c r="AP160" s="25">
        <f>IF(OR(Apresentação!$I$5='Base de Dados e filtragem'!AP$2,Apresentação!$I$5='Base de Dados e filtragem'!L160),1,0)</f>
        <v>1</v>
      </c>
      <c r="AQ160" s="25">
        <f>IF(OR(Apresentação!$I$6='Base de Dados e filtragem'!AQ$2,Apresentação!$I$6='Base de Dados e filtragem'!M160),1,0)</f>
        <v>1</v>
      </c>
      <c r="AR160" s="25">
        <v>1</v>
      </c>
      <c r="AS160" s="25">
        <v>1</v>
      </c>
      <c r="AT160" s="25">
        <v>1</v>
      </c>
      <c r="AU160" s="25">
        <v>1</v>
      </c>
      <c r="AV160" s="25">
        <v>1</v>
      </c>
      <c r="AW160" s="25">
        <v>1</v>
      </c>
      <c r="AX160" s="25">
        <v>1</v>
      </c>
      <c r="AY160" s="25">
        <v>1</v>
      </c>
      <c r="AZ160" s="25">
        <v>1</v>
      </c>
      <c r="BA160" s="25">
        <v>1</v>
      </c>
      <c r="BB160" s="25">
        <v>1</v>
      </c>
      <c r="BC160" s="25">
        <v>1</v>
      </c>
      <c r="BD160" s="25">
        <v>1</v>
      </c>
    </row>
    <row r="161" spans="27:56" x14ac:dyDescent="0.25">
      <c r="AA161" s="68" t="str">
        <f t="shared" si="9"/>
        <v>Fotos\\.jpg</v>
      </c>
      <c r="AB161" s="53">
        <f t="shared" si="10"/>
        <v>6.2111801242236021E-3</v>
      </c>
      <c r="AC161" s="25">
        <f t="shared" si="11"/>
        <v>161</v>
      </c>
      <c r="AD161" s="51">
        <f t="shared" si="12"/>
        <v>1</v>
      </c>
      <c r="AE161" s="25">
        <v>1</v>
      </c>
      <c r="AF161" s="25">
        <v>1</v>
      </c>
      <c r="AG161" s="25">
        <v>1</v>
      </c>
      <c r="AH161" s="25">
        <v>1</v>
      </c>
      <c r="AI161" s="25">
        <f>IF(OR(Apresentação!$E$3='Base de Dados e filtragem'!AI$2,Apresentação!$E$3='Base de Dados e filtragem'!E161),1,0)</f>
        <v>1</v>
      </c>
      <c r="AJ161" s="25">
        <f>IF(OR(Apresentação!$E$4='Base de Dados e filtragem'!AJ$2,Apresentação!$E$4='Base de Dados e filtragem'!F161),1,0)</f>
        <v>1</v>
      </c>
      <c r="AK161" s="25">
        <f>IF(OR(Apresentação!$E$5='Base de Dados e filtragem'!AK$2,Apresentação!$E$5='Base de Dados e filtragem'!G161),1,0)</f>
        <v>1</v>
      </c>
      <c r="AL161" s="25">
        <f>IF(OR(Apresentação!$E$6='Base de Dados e filtragem'!AL$2,Apresentação!$E$6='Base de Dados e filtragem'!H161),1,0)</f>
        <v>1</v>
      </c>
      <c r="AM161" s="25">
        <f>IF(OR(Apresentação!$I$2='Base de Dados e filtragem'!AM$2,Apresentação!$I$2='Base de Dados e filtragem'!I161),1,0)</f>
        <v>1</v>
      </c>
      <c r="AN161" s="25">
        <f>IF(OR(Apresentação!$I$3='Base de Dados e filtragem'!AN$2,Apresentação!$I$3='Base de Dados e filtragem'!J161),1,0)</f>
        <v>1</v>
      </c>
      <c r="AO161" s="25">
        <f>IF(OR(Apresentação!$I$4='Base de Dados e filtragem'!AO$2,Apresentação!$I$4='Base de Dados e filtragem'!K161),1,0)</f>
        <v>1</v>
      </c>
      <c r="AP161" s="25">
        <f>IF(OR(Apresentação!$I$5='Base de Dados e filtragem'!AP$2,Apresentação!$I$5='Base de Dados e filtragem'!L161),1,0)</f>
        <v>1</v>
      </c>
      <c r="AQ161" s="25">
        <f>IF(OR(Apresentação!$I$6='Base de Dados e filtragem'!AQ$2,Apresentação!$I$6='Base de Dados e filtragem'!M161),1,0)</f>
        <v>1</v>
      </c>
      <c r="AR161" s="25">
        <v>1</v>
      </c>
      <c r="AS161" s="25">
        <v>1</v>
      </c>
      <c r="AT161" s="25">
        <v>1</v>
      </c>
      <c r="AU161" s="25">
        <v>1</v>
      </c>
      <c r="AV161" s="25">
        <v>1</v>
      </c>
      <c r="AW161" s="25">
        <v>1</v>
      </c>
      <c r="AX161" s="25">
        <v>1</v>
      </c>
      <c r="AY161" s="25">
        <v>1</v>
      </c>
      <c r="AZ161" s="25">
        <v>1</v>
      </c>
      <c r="BA161" s="25">
        <v>1</v>
      </c>
      <c r="BB161" s="25">
        <v>1</v>
      </c>
      <c r="BC161" s="25">
        <v>1</v>
      </c>
      <c r="BD161" s="25">
        <v>1</v>
      </c>
    </row>
    <row r="162" spans="27:56" x14ac:dyDescent="0.25">
      <c r="AA162" s="68" t="str">
        <f t="shared" si="9"/>
        <v>Fotos\\.jpg</v>
      </c>
      <c r="AB162" s="53">
        <f t="shared" si="10"/>
        <v>6.1728395061728392E-3</v>
      </c>
      <c r="AC162" s="25">
        <f t="shared" si="11"/>
        <v>162</v>
      </c>
      <c r="AD162" s="51">
        <f t="shared" si="12"/>
        <v>1</v>
      </c>
      <c r="AE162" s="25">
        <v>1</v>
      </c>
      <c r="AF162" s="25">
        <v>1</v>
      </c>
      <c r="AG162" s="25">
        <v>1</v>
      </c>
      <c r="AH162" s="25">
        <v>1</v>
      </c>
      <c r="AI162" s="25">
        <f>IF(OR(Apresentação!$E$3='Base de Dados e filtragem'!AI$2,Apresentação!$E$3='Base de Dados e filtragem'!E162),1,0)</f>
        <v>1</v>
      </c>
      <c r="AJ162" s="25">
        <f>IF(OR(Apresentação!$E$4='Base de Dados e filtragem'!AJ$2,Apresentação!$E$4='Base de Dados e filtragem'!F162),1,0)</f>
        <v>1</v>
      </c>
      <c r="AK162" s="25">
        <f>IF(OR(Apresentação!$E$5='Base de Dados e filtragem'!AK$2,Apresentação!$E$5='Base de Dados e filtragem'!G162),1,0)</f>
        <v>1</v>
      </c>
      <c r="AL162" s="25">
        <f>IF(OR(Apresentação!$E$6='Base de Dados e filtragem'!AL$2,Apresentação!$E$6='Base de Dados e filtragem'!H162),1,0)</f>
        <v>1</v>
      </c>
      <c r="AM162" s="25">
        <f>IF(OR(Apresentação!$I$2='Base de Dados e filtragem'!AM$2,Apresentação!$I$2='Base de Dados e filtragem'!I162),1,0)</f>
        <v>1</v>
      </c>
      <c r="AN162" s="25">
        <f>IF(OR(Apresentação!$I$3='Base de Dados e filtragem'!AN$2,Apresentação!$I$3='Base de Dados e filtragem'!J162),1,0)</f>
        <v>1</v>
      </c>
      <c r="AO162" s="25">
        <f>IF(OR(Apresentação!$I$4='Base de Dados e filtragem'!AO$2,Apresentação!$I$4='Base de Dados e filtragem'!K162),1,0)</f>
        <v>1</v>
      </c>
      <c r="AP162" s="25">
        <f>IF(OR(Apresentação!$I$5='Base de Dados e filtragem'!AP$2,Apresentação!$I$5='Base de Dados e filtragem'!L162),1,0)</f>
        <v>1</v>
      </c>
      <c r="AQ162" s="25">
        <f>IF(OR(Apresentação!$I$6='Base de Dados e filtragem'!AQ$2,Apresentação!$I$6='Base de Dados e filtragem'!M162),1,0)</f>
        <v>1</v>
      </c>
      <c r="AR162" s="25">
        <v>1</v>
      </c>
      <c r="AS162" s="25">
        <v>1</v>
      </c>
      <c r="AT162" s="25">
        <v>1</v>
      </c>
      <c r="AU162" s="25">
        <v>1</v>
      </c>
      <c r="AV162" s="25">
        <v>1</v>
      </c>
      <c r="AW162" s="25">
        <v>1</v>
      </c>
      <c r="AX162" s="25">
        <v>1</v>
      </c>
      <c r="AY162" s="25">
        <v>1</v>
      </c>
      <c r="AZ162" s="25">
        <v>1</v>
      </c>
      <c r="BA162" s="25">
        <v>1</v>
      </c>
      <c r="BB162" s="25">
        <v>1</v>
      </c>
      <c r="BC162" s="25">
        <v>1</v>
      </c>
      <c r="BD162" s="25">
        <v>1</v>
      </c>
    </row>
    <row r="163" spans="27:56" x14ac:dyDescent="0.25">
      <c r="AA163" s="68" t="str">
        <f t="shared" si="9"/>
        <v>Fotos\\.jpg</v>
      </c>
      <c r="AB163" s="53">
        <f t="shared" si="10"/>
        <v>6.1349693251533744E-3</v>
      </c>
      <c r="AC163" s="25">
        <f t="shared" si="11"/>
        <v>163</v>
      </c>
      <c r="AD163" s="51">
        <f t="shared" si="12"/>
        <v>1</v>
      </c>
      <c r="AE163" s="25">
        <v>1</v>
      </c>
      <c r="AF163" s="25">
        <v>1</v>
      </c>
      <c r="AG163" s="25">
        <v>1</v>
      </c>
      <c r="AH163" s="25">
        <v>1</v>
      </c>
      <c r="AI163" s="25">
        <f>IF(OR(Apresentação!$E$3='Base de Dados e filtragem'!AI$2,Apresentação!$E$3='Base de Dados e filtragem'!E163),1,0)</f>
        <v>1</v>
      </c>
      <c r="AJ163" s="25">
        <f>IF(OR(Apresentação!$E$4='Base de Dados e filtragem'!AJ$2,Apresentação!$E$4='Base de Dados e filtragem'!F163),1,0)</f>
        <v>1</v>
      </c>
      <c r="AK163" s="25">
        <f>IF(OR(Apresentação!$E$5='Base de Dados e filtragem'!AK$2,Apresentação!$E$5='Base de Dados e filtragem'!G163),1,0)</f>
        <v>1</v>
      </c>
      <c r="AL163" s="25">
        <f>IF(OR(Apresentação!$E$6='Base de Dados e filtragem'!AL$2,Apresentação!$E$6='Base de Dados e filtragem'!H163),1,0)</f>
        <v>1</v>
      </c>
      <c r="AM163" s="25">
        <f>IF(OR(Apresentação!$I$2='Base de Dados e filtragem'!AM$2,Apresentação!$I$2='Base de Dados e filtragem'!I163),1,0)</f>
        <v>1</v>
      </c>
      <c r="AN163" s="25">
        <f>IF(OR(Apresentação!$I$3='Base de Dados e filtragem'!AN$2,Apresentação!$I$3='Base de Dados e filtragem'!J163),1,0)</f>
        <v>1</v>
      </c>
      <c r="AO163" s="25">
        <f>IF(OR(Apresentação!$I$4='Base de Dados e filtragem'!AO$2,Apresentação!$I$4='Base de Dados e filtragem'!K163),1,0)</f>
        <v>1</v>
      </c>
      <c r="AP163" s="25">
        <f>IF(OR(Apresentação!$I$5='Base de Dados e filtragem'!AP$2,Apresentação!$I$5='Base de Dados e filtragem'!L163),1,0)</f>
        <v>1</v>
      </c>
      <c r="AQ163" s="25">
        <f>IF(OR(Apresentação!$I$6='Base de Dados e filtragem'!AQ$2,Apresentação!$I$6='Base de Dados e filtragem'!M163),1,0)</f>
        <v>1</v>
      </c>
      <c r="AR163" s="25">
        <v>1</v>
      </c>
      <c r="AS163" s="25">
        <v>1</v>
      </c>
      <c r="AT163" s="25">
        <v>1</v>
      </c>
      <c r="AU163" s="25">
        <v>1</v>
      </c>
      <c r="AV163" s="25">
        <v>1</v>
      </c>
      <c r="AW163" s="25">
        <v>1</v>
      </c>
      <c r="AX163" s="25">
        <v>1</v>
      </c>
      <c r="AY163" s="25">
        <v>1</v>
      </c>
      <c r="AZ163" s="25">
        <v>1</v>
      </c>
      <c r="BA163" s="25">
        <v>1</v>
      </c>
      <c r="BB163" s="25">
        <v>1</v>
      </c>
      <c r="BC163" s="25">
        <v>1</v>
      </c>
      <c r="BD163" s="25">
        <v>1</v>
      </c>
    </row>
    <row r="164" spans="27:56" x14ac:dyDescent="0.25">
      <c r="AA164" s="68" t="str">
        <f t="shared" si="9"/>
        <v>Fotos\\.jpg</v>
      </c>
      <c r="AB164" s="53">
        <f t="shared" si="10"/>
        <v>6.0975609756097563E-3</v>
      </c>
      <c r="AC164" s="25">
        <f t="shared" si="11"/>
        <v>164</v>
      </c>
      <c r="AD164" s="51">
        <f t="shared" si="12"/>
        <v>1</v>
      </c>
      <c r="AE164" s="25">
        <v>1</v>
      </c>
      <c r="AF164" s="25">
        <v>1</v>
      </c>
      <c r="AG164" s="25">
        <v>1</v>
      </c>
      <c r="AH164" s="25">
        <v>1</v>
      </c>
      <c r="AI164" s="25">
        <f>IF(OR(Apresentação!$E$3='Base de Dados e filtragem'!AI$2,Apresentação!$E$3='Base de Dados e filtragem'!E164),1,0)</f>
        <v>1</v>
      </c>
      <c r="AJ164" s="25">
        <f>IF(OR(Apresentação!$E$4='Base de Dados e filtragem'!AJ$2,Apresentação!$E$4='Base de Dados e filtragem'!F164),1,0)</f>
        <v>1</v>
      </c>
      <c r="AK164" s="25">
        <f>IF(OR(Apresentação!$E$5='Base de Dados e filtragem'!AK$2,Apresentação!$E$5='Base de Dados e filtragem'!G164),1,0)</f>
        <v>1</v>
      </c>
      <c r="AL164" s="25">
        <f>IF(OR(Apresentação!$E$6='Base de Dados e filtragem'!AL$2,Apresentação!$E$6='Base de Dados e filtragem'!H164),1,0)</f>
        <v>1</v>
      </c>
      <c r="AM164" s="25">
        <f>IF(OR(Apresentação!$I$2='Base de Dados e filtragem'!AM$2,Apresentação!$I$2='Base de Dados e filtragem'!I164),1,0)</f>
        <v>1</v>
      </c>
      <c r="AN164" s="25">
        <f>IF(OR(Apresentação!$I$3='Base de Dados e filtragem'!AN$2,Apresentação!$I$3='Base de Dados e filtragem'!J164),1,0)</f>
        <v>1</v>
      </c>
      <c r="AO164" s="25">
        <f>IF(OR(Apresentação!$I$4='Base de Dados e filtragem'!AO$2,Apresentação!$I$4='Base de Dados e filtragem'!K164),1,0)</f>
        <v>1</v>
      </c>
      <c r="AP164" s="25">
        <f>IF(OR(Apresentação!$I$5='Base de Dados e filtragem'!AP$2,Apresentação!$I$5='Base de Dados e filtragem'!L164),1,0)</f>
        <v>1</v>
      </c>
      <c r="AQ164" s="25">
        <f>IF(OR(Apresentação!$I$6='Base de Dados e filtragem'!AQ$2,Apresentação!$I$6='Base de Dados e filtragem'!M164),1,0)</f>
        <v>1</v>
      </c>
      <c r="AR164" s="25">
        <v>1</v>
      </c>
      <c r="AS164" s="25">
        <v>1</v>
      </c>
      <c r="AT164" s="25">
        <v>1</v>
      </c>
      <c r="AU164" s="25">
        <v>1</v>
      </c>
      <c r="AV164" s="25">
        <v>1</v>
      </c>
      <c r="AW164" s="25">
        <v>1</v>
      </c>
      <c r="AX164" s="25">
        <v>1</v>
      </c>
      <c r="AY164" s="25">
        <v>1</v>
      </c>
      <c r="AZ164" s="25">
        <v>1</v>
      </c>
      <c r="BA164" s="25">
        <v>1</v>
      </c>
      <c r="BB164" s="25">
        <v>1</v>
      </c>
      <c r="BC164" s="25">
        <v>1</v>
      </c>
      <c r="BD164" s="25">
        <v>1</v>
      </c>
    </row>
    <row r="165" spans="27:56" x14ac:dyDescent="0.25">
      <c r="AA165" s="68" t="str">
        <f t="shared" si="9"/>
        <v>Fotos\\.jpg</v>
      </c>
      <c r="AB165" s="53">
        <f t="shared" si="10"/>
        <v>6.0606060606060606E-3</v>
      </c>
      <c r="AC165" s="25">
        <f t="shared" si="11"/>
        <v>165</v>
      </c>
      <c r="AD165" s="51">
        <f t="shared" si="12"/>
        <v>1</v>
      </c>
      <c r="AE165" s="25">
        <v>1</v>
      </c>
      <c r="AF165" s="25">
        <v>1</v>
      </c>
      <c r="AG165" s="25">
        <v>1</v>
      </c>
      <c r="AH165" s="25">
        <v>1</v>
      </c>
      <c r="AI165" s="25">
        <f>IF(OR(Apresentação!$E$3='Base de Dados e filtragem'!AI$2,Apresentação!$E$3='Base de Dados e filtragem'!E165),1,0)</f>
        <v>1</v>
      </c>
      <c r="AJ165" s="25">
        <f>IF(OR(Apresentação!$E$4='Base de Dados e filtragem'!AJ$2,Apresentação!$E$4='Base de Dados e filtragem'!F165),1,0)</f>
        <v>1</v>
      </c>
      <c r="AK165" s="25">
        <f>IF(OR(Apresentação!$E$5='Base de Dados e filtragem'!AK$2,Apresentação!$E$5='Base de Dados e filtragem'!G165),1,0)</f>
        <v>1</v>
      </c>
      <c r="AL165" s="25">
        <f>IF(OR(Apresentação!$E$6='Base de Dados e filtragem'!AL$2,Apresentação!$E$6='Base de Dados e filtragem'!H165),1,0)</f>
        <v>1</v>
      </c>
      <c r="AM165" s="25">
        <f>IF(OR(Apresentação!$I$2='Base de Dados e filtragem'!AM$2,Apresentação!$I$2='Base de Dados e filtragem'!I165),1,0)</f>
        <v>1</v>
      </c>
      <c r="AN165" s="25">
        <f>IF(OR(Apresentação!$I$3='Base de Dados e filtragem'!AN$2,Apresentação!$I$3='Base de Dados e filtragem'!J165),1,0)</f>
        <v>1</v>
      </c>
      <c r="AO165" s="25">
        <f>IF(OR(Apresentação!$I$4='Base de Dados e filtragem'!AO$2,Apresentação!$I$4='Base de Dados e filtragem'!K165),1,0)</f>
        <v>1</v>
      </c>
      <c r="AP165" s="25">
        <f>IF(OR(Apresentação!$I$5='Base de Dados e filtragem'!AP$2,Apresentação!$I$5='Base de Dados e filtragem'!L165),1,0)</f>
        <v>1</v>
      </c>
      <c r="AQ165" s="25">
        <f>IF(OR(Apresentação!$I$6='Base de Dados e filtragem'!AQ$2,Apresentação!$I$6='Base de Dados e filtragem'!M165),1,0)</f>
        <v>1</v>
      </c>
      <c r="AR165" s="25">
        <v>1</v>
      </c>
      <c r="AS165" s="25">
        <v>1</v>
      </c>
      <c r="AT165" s="25">
        <v>1</v>
      </c>
      <c r="AU165" s="25">
        <v>1</v>
      </c>
      <c r="AV165" s="25">
        <v>1</v>
      </c>
      <c r="AW165" s="25">
        <v>1</v>
      </c>
      <c r="AX165" s="25">
        <v>1</v>
      </c>
      <c r="AY165" s="25">
        <v>1</v>
      </c>
      <c r="AZ165" s="25">
        <v>1</v>
      </c>
      <c r="BA165" s="25">
        <v>1</v>
      </c>
      <c r="BB165" s="25">
        <v>1</v>
      </c>
      <c r="BC165" s="25">
        <v>1</v>
      </c>
      <c r="BD165" s="25">
        <v>1</v>
      </c>
    </row>
    <row r="166" spans="27:56" x14ac:dyDescent="0.25">
      <c r="AA166" s="68" t="str">
        <f t="shared" si="9"/>
        <v>Fotos\\.jpg</v>
      </c>
      <c r="AB166" s="53">
        <f t="shared" si="10"/>
        <v>6.024096385542169E-3</v>
      </c>
      <c r="AC166" s="25">
        <f t="shared" si="11"/>
        <v>166</v>
      </c>
      <c r="AD166" s="51">
        <f t="shared" si="12"/>
        <v>1</v>
      </c>
      <c r="AE166" s="25">
        <v>1</v>
      </c>
      <c r="AF166" s="25">
        <v>1</v>
      </c>
      <c r="AG166" s="25">
        <v>1</v>
      </c>
      <c r="AH166" s="25">
        <v>1</v>
      </c>
      <c r="AI166" s="25">
        <f>IF(OR(Apresentação!$E$3='Base de Dados e filtragem'!AI$2,Apresentação!$E$3='Base de Dados e filtragem'!E166),1,0)</f>
        <v>1</v>
      </c>
      <c r="AJ166" s="25">
        <f>IF(OR(Apresentação!$E$4='Base de Dados e filtragem'!AJ$2,Apresentação!$E$4='Base de Dados e filtragem'!F166),1,0)</f>
        <v>1</v>
      </c>
      <c r="AK166" s="25">
        <f>IF(OR(Apresentação!$E$5='Base de Dados e filtragem'!AK$2,Apresentação!$E$5='Base de Dados e filtragem'!G166),1,0)</f>
        <v>1</v>
      </c>
      <c r="AL166" s="25">
        <f>IF(OR(Apresentação!$E$6='Base de Dados e filtragem'!AL$2,Apresentação!$E$6='Base de Dados e filtragem'!H166),1,0)</f>
        <v>1</v>
      </c>
      <c r="AM166" s="25">
        <f>IF(OR(Apresentação!$I$2='Base de Dados e filtragem'!AM$2,Apresentação!$I$2='Base de Dados e filtragem'!I166),1,0)</f>
        <v>1</v>
      </c>
      <c r="AN166" s="25">
        <f>IF(OR(Apresentação!$I$3='Base de Dados e filtragem'!AN$2,Apresentação!$I$3='Base de Dados e filtragem'!J166),1,0)</f>
        <v>1</v>
      </c>
      <c r="AO166" s="25">
        <f>IF(OR(Apresentação!$I$4='Base de Dados e filtragem'!AO$2,Apresentação!$I$4='Base de Dados e filtragem'!K166),1,0)</f>
        <v>1</v>
      </c>
      <c r="AP166" s="25">
        <f>IF(OR(Apresentação!$I$5='Base de Dados e filtragem'!AP$2,Apresentação!$I$5='Base de Dados e filtragem'!L166),1,0)</f>
        <v>1</v>
      </c>
      <c r="AQ166" s="25">
        <f>IF(OR(Apresentação!$I$6='Base de Dados e filtragem'!AQ$2,Apresentação!$I$6='Base de Dados e filtragem'!M166),1,0)</f>
        <v>1</v>
      </c>
      <c r="AR166" s="25">
        <v>1</v>
      </c>
      <c r="AS166" s="25">
        <v>1</v>
      </c>
      <c r="AT166" s="25">
        <v>1</v>
      </c>
      <c r="AU166" s="25">
        <v>1</v>
      </c>
      <c r="AV166" s="25">
        <v>1</v>
      </c>
      <c r="AW166" s="25">
        <v>1</v>
      </c>
      <c r="AX166" s="25">
        <v>1</v>
      </c>
      <c r="AY166" s="25">
        <v>1</v>
      </c>
      <c r="AZ166" s="25">
        <v>1</v>
      </c>
      <c r="BA166" s="25">
        <v>1</v>
      </c>
      <c r="BB166" s="25">
        <v>1</v>
      </c>
      <c r="BC166" s="25">
        <v>1</v>
      </c>
      <c r="BD166" s="25">
        <v>1</v>
      </c>
    </row>
    <row r="167" spans="27:56" x14ac:dyDescent="0.25">
      <c r="AA167" s="68" t="str">
        <f t="shared" si="9"/>
        <v>Fotos\\.jpg</v>
      </c>
      <c r="AB167" s="53">
        <f t="shared" si="10"/>
        <v>5.9880239520958087E-3</v>
      </c>
      <c r="AC167" s="25">
        <f t="shared" si="11"/>
        <v>167</v>
      </c>
      <c r="AD167" s="51">
        <f t="shared" si="12"/>
        <v>1</v>
      </c>
      <c r="AE167" s="25">
        <v>1</v>
      </c>
      <c r="AF167" s="25">
        <v>1</v>
      </c>
      <c r="AG167" s="25">
        <v>1</v>
      </c>
      <c r="AH167" s="25">
        <v>1</v>
      </c>
      <c r="AI167" s="25">
        <f>IF(OR(Apresentação!$E$3='Base de Dados e filtragem'!AI$2,Apresentação!$E$3='Base de Dados e filtragem'!E167),1,0)</f>
        <v>1</v>
      </c>
      <c r="AJ167" s="25">
        <f>IF(OR(Apresentação!$E$4='Base de Dados e filtragem'!AJ$2,Apresentação!$E$4='Base de Dados e filtragem'!F167),1,0)</f>
        <v>1</v>
      </c>
      <c r="AK167" s="25">
        <f>IF(OR(Apresentação!$E$5='Base de Dados e filtragem'!AK$2,Apresentação!$E$5='Base de Dados e filtragem'!G167),1,0)</f>
        <v>1</v>
      </c>
      <c r="AL167" s="25">
        <f>IF(OR(Apresentação!$E$6='Base de Dados e filtragem'!AL$2,Apresentação!$E$6='Base de Dados e filtragem'!H167),1,0)</f>
        <v>1</v>
      </c>
      <c r="AM167" s="25">
        <f>IF(OR(Apresentação!$I$2='Base de Dados e filtragem'!AM$2,Apresentação!$I$2='Base de Dados e filtragem'!I167),1,0)</f>
        <v>1</v>
      </c>
      <c r="AN167" s="25">
        <f>IF(OR(Apresentação!$I$3='Base de Dados e filtragem'!AN$2,Apresentação!$I$3='Base de Dados e filtragem'!J167),1,0)</f>
        <v>1</v>
      </c>
      <c r="AO167" s="25">
        <f>IF(OR(Apresentação!$I$4='Base de Dados e filtragem'!AO$2,Apresentação!$I$4='Base de Dados e filtragem'!K167),1,0)</f>
        <v>1</v>
      </c>
      <c r="AP167" s="25">
        <f>IF(OR(Apresentação!$I$5='Base de Dados e filtragem'!AP$2,Apresentação!$I$5='Base de Dados e filtragem'!L167),1,0)</f>
        <v>1</v>
      </c>
      <c r="AQ167" s="25">
        <f>IF(OR(Apresentação!$I$6='Base de Dados e filtragem'!AQ$2,Apresentação!$I$6='Base de Dados e filtragem'!M167),1,0)</f>
        <v>1</v>
      </c>
      <c r="AR167" s="25">
        <v>1</v>
      </c>
      <c r="AS167" s="25">
        <v>1</v>
      </c>
      <c r="AT167" s="25">
        <v>1</v>
      </c>
      <c r="AU167" s="25">
        <v>1</v>
      </c>
      <c r="AV167" s="25">
        <v>1</v>
      </c>
      <c r="AW167" s="25">
        <v>1</v>
      </c>
      <c r="AX167" s="25">
        <v>1</v>
      </c>
      <c r="AY167" s="25">
        <v>1</v>
      </c>
      <c r="AZ167" s="25">
        <v>1</v>
      </c>
      <c r="BA167" s="25">
        <v>1</v>
      </c>
      <c r="BB167" s="25">
        <v>1</v>
      </c>
      <c r="BC167" s="25">
        <v>1</v>
      </c>
      <c r="BD167" s="25">
        <v>1</v>
      </c>
    </row>
    <row r="168" spans="27:56" x14ac:dyDescent="0.25">
      <c r="AA168" s="68" t="str">
        <f t="shared" si="9"/>
        <v>Fotos\\.jpg</v>
      </c>
      <c r="AB168" s="53">
        <f t="shared" si="10"/>
        <v>5.9523809523809521E-3</v>
      </c>
      <c r="AC168" s="25">
        <f t="shared" si="11"/>
        <v>168</v>
      </c>
      <c r="AD168" s="51">
        <f t="shared" si="12"/>
        <v>1</v>
      </c>
      <c r="AE168" s="25">
        <v>1</v>
      </c>
      <c r="AF168" s="25">
        <v>1</v>
      </c>
      <c r="AG168" s="25">
        <v>1</v>
      </c>
      <c r="AH168" s="25">
        <v>1</v>
      </c>
      <c r="AI168" s="25">
        <f>IF(OR(Apresentação!$E$3='Base de Dados e filtragem'!AI$2,Apresentação!$E$3='Base de Dados e filtragem'!E168),1,0)</f>
        <v>1</v>
      </c>
      <c r="AJ168" s="25">
        <f>IF(OR(Apresentação!$E$4='Base de Dados e filtragem'!AJ$2,Apresentação!$E$4='Base de Dados e filtragem'!F168),1,0)</f>
        <v>1</v>
      </c>
      <c r="AK168" s="25">
        <f>IF(OR(Apresentação!$E$5='Base de Dados e filtragem'!AK$2,Apresentação!$E$5='Base de Dados e filtragem'!G168),1,0)</f>
        <v>1</v>
      </c>
      <c r="AL168" s="25">
        <f>IF(OR(Apresentação!$E$6='Base de Dados e filtragem'!AL$2,Apresentação!$E$6='Base de Dados e filtragem'!H168),1,0)</f>
        <v>1</v>
      </c>
      <c r="AM168" s="25">
        <f>IF(OR(Apresentação!$I$2='Base de Dados e filtragem'!AM$2,Apresentação!$I$2='Base de Dados e filtragem'!I168),1,0)</f>
        <v>1</v>
      </c>
      <c r="AN168" s="25">
        <f>IF(OR(Apresentação!$I$3='Base de Dados e filtragem'!AN$2,Apresentação!$I$3='Base de Dados e filtragem'!J168),1,0)</f>
        <v>1</v>
      </c>
      <c r="AO168" s="25">
        <f>IF(OR(Apresentação!$I$4='Base de Dados e filtragem'!AO$2,Apresentação!$I$4='Base de Dados e filtragem'!K168),1,0)</f>
        <v>1</v>
      </c>
      <c r="AP168" s="25">
        <f>IF(OR(Apresentação!$I$5='Base de Dados e filtragem'!AP$2,Apresentação!$I$5='Base de Dados e filtragem'!L168),1,0)</f>
        <v>1</v>
      </c>
      <c r="AQ168" s="25">
        <f>IF(OR(Apresentação!$I$6='Base de Dados e filtragem'!AQ$2,Apresentação!$I$6='Base de Dados e filtragem'!M168),1,0)</f>
        <v>1</v>
      </c>
      <c r="AR168" s="25">
        <v>1</v>
      </c>
      <c r="AS168" s="25">
        <v>1</v>
      </c>
      <c r="AT168" s="25">
        <v>1</v>
      </c>
      <c r="AU168" s="25">
        <v>1</v>
      </c>
      <c r="AV168" s="25">
        <v>1</v>
      </c>
      <c r="AW168" s="25">
        <v>1</v>
      </c>
      <c r="AX168" s="25">
        <v>1</v>
      </c>
      <c r="AY168" s="25">
        <v>1</v>
      </c>
      <c r="AZ168" s="25">
        <v>1</v>
      </c>
      <c r="BA168" s="25">
        <v>1</v>
      </c>
      <c r="BB168" s="25">
        <v>1</v>
      </c>
      <c r="BC168" s="25">
        <v>1</v>
      </c>
      <c r="BD168" s="25">
        <v>1</v>
      </c>
    </row>
    <row r="169" spans="27:56" x14ac:dyDescent="0.25">
      <c r="AA169" s="68" t="str">
        <f t="shared" si="9"/>
        <v>Fotos\\.jpg</v>
      </c>
      <c r="AB169" s="53">
        <f t="shared" si="10"/>
        <v>5.9171597633136093E-3</v>
      </c>
      <c r="AC169" s="25">
        <f t="shared" si="11"/>
        <v>169</v>
      </c>
      <c r="AD169" s="51">
        <f t="shared" si="12"/>
        <v>1</v>
      </c>
      <c r="AE169" s="25">
        <v>1</v>
      </c>
      <c r="AF169" s="25">
        <v>1</v>
      </c>
      <c r="AG169" s="25">
        <v>1</v>
      </c>
      <c r="AH169" s="25">
        <v>1</v>
      </c>
      <c r="AI169" s="25">
        <f>IF(OR(Apresentação!$E$3='Base de Dados e filtragem'!AI$2,Apresentação!$E$3='Base de Dados e filtragem'!E169),1,0)</f>
        <v>1</v>
      </c>
      <c r="AJ169" s="25">
        <f>IF(OR(Apresentação!$E$4='Base de Dados e filtragem'!AJ$2,Apresentação!$E$4='Base de Dados e filtragem'!F169),1,0)</f>
        <v>1</v>
      </c>
      <c r="AK169" s="25">
        <f>IF(OR(Apresentação!$E$5='Base de Dados e filtragem'!AK$2,Apresentação!$E$5='Base de Dados e filtragem'!G169),1,0)</f>
        <v>1</v>
      </c>
      <c r="AL169" s="25">
        <f>IF(OR(Apresentação!$E$6='Base de Dados e filtragem'!AL$2,Apresentação!$E$6='Base de Dados e filtragem'!H169),1,0)</f>
        <v>1</v>
      </c>
      <c r="AM169" s="25">
        <f>IF(OR(Apresentação!$I$2='Base de Dados e filtragem'!AM$2,Apresentação!$I$2='Base de Dados e filtragem'!I169),1,0)</f>
        <v>1</v>
      </c>
      <c r="AN169" s="25">
        <f>IF(OR(Apresentação!$I$3='Base de Dados e filtragem'!AN$2,Apresentação!$I$3='Base de Dados e filtragem'!J169),1,0)</f>
        <v>1</v>
      </c>
      <c r="AO169" s="25">
        <f>IF(OR(Apresentação!$I$4='Base de Dados e filtragem'!AO$2,Apresentação!$I$4='Base de Dados e filtragem'!K169),1,0)</f>
        <v>1</v>
      </c>
      <c r="AP169" s="25">
        <f>IF(OR(Apresentação!$I$5='Base de Dados e filtragem'!AP$2,Apresentação!$I$5='Base de Dados e filtragem'!L169),1,0)</f>
        <v>1</v>
      </c>
      <c r="AQ169" s="25">
        <f>IF(OR(Apresentação!$I$6='Base de Dados e filtragem'!AQ$2,Apresentação!$I$6='Base de Dados e filtragem'!M169),1,0)</f>
        <v>1</v>
      </c>
      <c r="AR169" s="25">
        <v>1</v>
      </c>
      <c r="AS169" s="25">
        <v>1</v>
      </c>
      <c r="AT169" s="25">
        <v>1</v>
      </c>
      <c r="AU169" s="25">
        <v>1</v>
      </c>
      <c r="AV169" s="25">
        <v>1</v>
      </c>
      <c r="AW169" s="25">
        <v>1</v>
      </c>
      <c r="AX169" s="25">
        <v>1</v>
      </c>
      <c r="AY169" s="25">
        <v>1</v>
      </c>
      <c r="AZ169" s="25">
        <v>1</v>
      </c>
      <c r="BA169" s="25">
        <v>1</v>
      </c>
      <c r="BB169" s="25">
        <v>1</v>
      </c>
      <c r="BC169" s="25">
        <v>1</v>
      </c>
      <c r="BD169" s="25">
        <v>1</v>
      </c>
    </row>
    <row r="170" spans="27:56" x14ac:dyDescent="0.25">
      <c r="AA170" s="68" t="str">
        <f t="shared" si="9"/>
        <v>Fotos\\.jpg</v>
      </c>
      <c r="AB170" s="53">
        <f t="shared" si="10"/>
        <v>5.8823529411764705E-3</v>
      </c>
      <c r="AC170" s="25">
        <f t="shared" si="11"/>
        <v>170</v>
      </c>
      <c r="AD170" s="51">
        <f t="shared" si="12"/>
        <v>1</v>
      </c>
      <c r="AE170" s="25">
        <v>1</v>
      </c>
      <c r="AF170" s="25">
        <v>1</v>
      </c>
      <c r="AG170" s="25">
        <v>1</v>
      </c>
      <c r="AH170" s="25">
        <v>1</v>
      </c>
      <c r="AI170" s="25">
        <f>IF(OR(Apresentação!$E$3='Base de Dados e filtragem'!AI$2,Apresentação!$E$3='Base de Dados e filtragem'!E170),1,0)</f>
        <v>1</v>
      </c>
      <c r="AJ170" s="25">
        <f>IF(OR(Apresentação!$E$4='Base de Dados e filtragem'!AJ$2,Apresentação!$E$4='Base de Dados e filtragem'!F170),1,0)</f>
        <v>1</v>
      </c>
      <c r="AK170" s="25">
        <f>IF(OR(Apresentação!$E$5='Base de Dados e filtragem'!AK$2,Apresentação!$E$5='Base de Dados e filtragem'!G170),1,0)</f>
        <v>1</v>
      </c>
      <c r="AL170" s="25">
        <f>IF(OR(Apresentação!$E$6='Base de Dados e filtragem'!AL$2,Apresentação!$E$6='Base de Dados e filtragem'!H170),1,0)</f>
        <v>1</v>
      </c>
      <c r="AM170" s="25">
        <f>IF(OR(Apresentação!$I$2='Base de Dados e filtragem'!AM$2,Apresentação!$I$2='Base de Dados e filtragem'!I170),1,0)</f>
        <v>1</v>
      </c>
      <c r="AN170" s="25">
        <f>IF(OR(Apresentação!$I$3='Base de Dados e filtragem'!AN$2,Apresentação!$I$3='Base de Dados e filtragem'!J170),1,0)</f>
        <v>1</v>
      </c>
      <c r="AO170" s="25">
        <f>IF(OR(Apresentação!$I$4='Base de Dados e filtragem'!AO$2,Apresentação!$I$4='Base de Dados e filtragem'!K170),1,0)</f>
        <v>1</v>
      </c>
      <c r="AP170" s="25">
        <f>IF(OR(Apresentação!$I$5='Base de Dados e filtragem'!AP$2,Apresentação!$I$5='Base de Dados e filtragem'!L170),1,0)</f>
        <v>1</v>
      </c>
      <c r="AQ170" s="25">
        <f>IF(OR(Apresentação!$I$6='Base de Dados e filtragem'!AQ$2,Apresentação!$I$6='Base de Dados e filtragem'!M170),1,0)</f>
        <v>1</v>
      </c>
      <c r="AR170" s="25">
        <v>1</v>
      </c>
      <c r="AS170" s="25">
        <v>1</v>
      </c>
      <c r="AT170" s="25">
        <v>1</v>
      </c>
      <c r="AU170" s="25">
        <v>1</v>
      </c>
      <c r="AV170" s="25">
        <v>1</v>
      </c>
      <c r="AW170" s="25">
        <v>1</v>
      </c>
      <c r="AX170" s="25">
        <v>1</v>
      </c>
      <c r="AY170" s="25">
        <v>1</v>
      </c>
      <c r="AZ170" s="25">
        <v>1</v>
      </c>
      <c r="BA170" s="25">
        <v>1</v>
      </c>
      <c r="BB170" s="25">
        <v>1</v>
      </c>
      <c r="BC170" s="25">
        <v>1</v>
      </c>
      <c r="BD170" s="25">
        <v>1</v>
      </c>
    </row>
    <row r="171" spans="27:56" x14ac:dyDescent="0.25">
      <c r="AA171" s="68" t="str">
        <f t="shared" si="9"/>
        <v>Fotos\\.jpg</v>
      </c>
      <c r="AB171" s="53">
        <f t="shared" si="10"/>
        <v>5.8479532163742687E-3</v>
      </c>
      <c r="AC171" s="25">
        <f t="shared" si="11"/>
        <v>171</v>
      </c>
      <c r="AD171" s="51">
        <f t="shared" si="12"/>
        <v>1</v>
      </c>
      <c r="AE171" s="25">
        <v>1</v>
      </c>
      <c r="AF171" s="25">
        <v>1</v>
      </c>
      <c r="AG171" s="25">
        <v>1</v>
      </c>
      <c r="AH171" s="25">
        <v>1</v>
      </c>
      <c r="AI171" s="25">
        <f>IF(OR(Apresentação!$E$3='Base de Dados e filtragem'!AI$2,Apresentação!$E$3='Base de Dados e filtragem'!E171),1,0)</f>
        <v>1</v>
      </c>
      <c r="AJ171" s="25">
        <f>IF(OR(Apresentação!$E$4='Base de Dados e filtragem'!AJ$2,Apresentação!$E$4='Base de Dados e filtragem'!F171),1,0)</f>
        <v>1</v>
      </c>
      <c r="AK171" s="25">
        <f>IF(OR(Apresentação!$E$5='Base de Dados e filtragem'!AK$2,Apresentação!$E$5='Base de Dados e filtragem'!G171),1,0)</f>
        <v>1</v>
      </c>
      <c r="AL171" s="25">
        <f>IF(OR(Apresentação!$E$6='Base de Dados e filtragem'!AL$2,Apresentação!$E$6='Base de Dados e filtragem'!H171),1,0)</f>
        <v>1</v>
      </c>
      <c r="AM171" s="25">
        <f>IF(OR(Apresentação!$I$2='Base de Dados e filtragem'!AM$2,Apresentação!$I$2='Base de Dados e filtragem'!I171),1,0)</f>
        <v>1</v>
      </c>
      <c r="AN171" s="25">
        <f>IF(OR(Apresentação!$I$3='Base de Dados e filtragem'!AN$2,Apresentação!$I$3='Base de Dados e filtragem'!J171),1,0)</f>
        <v>1</v>
      </c>
      <c r="AO171" s="25">
        <f>IF(OR(Apresentação!$I$4='Base de Dados e filtragem'!AO$2,Apresentação!$I$4='Base de Dados e filtragem'!K171),1,0)</f>
        <v>1</v>
      </c>
      <c r="AP171" s="25">
        <f>IF(OR(Apresentação!$I$5='Base de Dados e filtragem'!AP$2,Apresentação!$I$5='Base de Dados e filtragem'!L171),1,0)</f>
        <v>1</v>
      </c>
      <c r="AQ171" s="25">
        <f>IF(OR(Apresentação!$I$6='Base de Dados e filtragem'!AQ$2,Apresentação!$I$6='Base de Dados e filtragem'!M171),1,0)</f>
        <v>1</v>
      </c>
      <c r="AR171" s="25">
        <v>1</v>
      </c>
      <c r="AS171" s="25">
        <v>1</v>
      </c>
      <c r="AT171" s="25">
        <v>1</v>
      </c>
      <c r="AU171" s="25">
        <v>1</v>
      </c>
      <c r="AV171" s="25">
        <v>1</v>
      </c>
      <c r="AW171" s="25">
        <v>1</v>
      </c>
      <c r="AX171" s="25">
        <v>1</v>
      </c>
      <c r="AY171" s="25">
        <v>1</v>
      </c>
      <c r="AZ171" s="25">
        <v>1</v>
      </c>
      <c r="BA171" s="25">
        <v>1</v>
      </c>
      <c r="BB171" s="25">
        <v>1</v>
      </c>
      <c r="BC171" s="25">
        <v>1</v>
      </c>
      <c r="BD171" s="25">
        <v>1</v>
      </c>
    </row>
    <row r="172" spans="27:56" x14ac:dyDescent="0.25">
      <c r="AA172" s="68" t="str">
        <f t="shared" si="9"/>
        <v>Fotos\\.jpg</v>
      </c>
      <c r="AB172" s="53">
        <f t="shared" si="10"/>
        <v>5.8139534883720929E-3</v>
      </c>
      <c r="AC172" s="25">
        <f t="shared" si="11"/>
        <v>172</v>
      </c>
      <c r="AD172" s="51">
        <f t="shared" si="12"/>
        <v>1</v>
      </c>
      <c r="AE172" s="25">
        <v>1</v>
      </c>
      <c r="AF172" s="25">
        <v>1</v>
      </c>
      <c r="AG172" s="25">
        <v>1</v>
      </c>
      <c r="AH172" s="25">
        <v>1</v>
      </c>
      <c r="AI172" s="25">
        <f>IF(OR(Apresentação!$E$3='Base de Dados e filtragem'!AI$2,Apresentação!$E$3='Base de Dados e filtragem'!E172),1,0)</f>
        <v>1</v>
      </c>
      <c r="AJ172" s="25">
        <f>IF(OR(Apresentação!$E$4='Base de Dados e filtragem'!AJ$2,Apresentação!$E$4='Base de Dados e filtragem'!F172),1,0)</f>
        <v>1</v>
      </c>
      <c r="AK172" s="25">
        <f>IF(OR(Apresentação!$E$5='Base de Dados e filtragem'!AK$2,Apresentação!$E$5='Base de Dados e filtragem'!G172),1,0)</f>
        <v>1</v>
      </c>
      <c r="AL172" s="25">
        <f>IF(OR(Apresentação!$E$6='Base de Dados e filtragem'!AL$2,Apresentação!$E$6='Base de Dados e filtragem'!H172),1,0)</f>
        <v>1</v>
      </c>
      <c r="AM172" s="25">
        <f>IF(OR(Apresentação!$I$2='Base de Dados e filtragem'!AM$2,Apresentação!$I$2='Base de Dados e filtragem'!I172),1,0)</f>
        <v>1</v>
      </c>
      <c r="AN172" s="25">
        <f>IF(OR(Apresentação!$I$3='Base de Dados e filtragem'!AN$2,Apresentação!$I$3='Base de Dados e filtragem'!J172),1,0)</f>
        <v>1</v>
      </c>
      <c r="AO172" s="25">
        <f>IF(OR(Apresentação!$I$4='Base de Dados e filtragem'!AO$2,Apresentação!$I$4='Base de Dados e filtragem'!K172),1,0)</f>
        <v>1</v>
      </c>
      <c r="AP172" s="25">
        <f>IF(OR(Apresentação!$I$5='Base de Dados e filtragem'!AP$2,Apresentação!$I$5='Base de Dados e filtragem'!L172),1,0)</f>
        <v>1</v>
      </c>
      <c r="AQ172" s="25">
        <f>IF(OR(Apresentação!$I$6='Base de Dados e filtragem'!AQ$2,Apresentação!$I$6='Base de Dados e filtragem'!M172),1,0)</f>
        <v>1</v>
      </c>
      <c r="AR172" s="25">
        <v>1</v>
      </c>
      <c r="AS172" s="25">
        <v>1</v>
      </c>
      <c r="AT172" s="25">
        <v>1</v>
      </c>
      <c r="AU172" s="25">
        <v>1</v>
      </c>
      <c r="AV172" s="25">
        <v>1</v>
      </c>
      <c r="AW172" s="25">
        <v>1</v>
      </c>
      <c r="AX172" s="25">
        <v>1</v>
      </c>
      <c r="AY172" s="25">
        <v>1</v>
      </c>
      <c r="AZ172" s="25">
        <v>1</v>
      </c>
      <c r="BA172" s="25">
        <v>1</v>
      </c>
      <c r="BB172" s="25">
        <v>1</v>
      </c>
      <c r="BC172" s="25">
        <v>1</v>
      </c>
      <c r="BD172" s="25">
        <v>1</v>
      </c>
    </row>
    <row r="173" spans="27:56" x14ac:dyDescent="0.25">
      <c r="AA173" s="68" t="str">
        <f t="shared" si="9"/>
        <v>Fotos\\.jpg</v>
      </c>
      <c r="AB173" s="53">
        <f t="shared" si="10"/>
        <v>5.7803468208092483E-3</v>
      </c>
      <c r="AC173" s="25">
        <f t="shared" si="11"/>
        <v>173</v>
      </c>
      <c r="AD173" s="51">
        <f t="shared" si="12"/>
        <v>1</v>
      </c>
      <c r="AE173" s="25">
        <v>1</v>
      </c>
      <c r="AF173" s="25">
        <v>1</v>
      </c>
      <c r="AG173" s="25">
        <v>1</v>
      </c>
      <c r="AH173" s="25">
        <v>1</v>
      </c>
      <c r="AI173" s="25">
        <f>IF(OR(Apresentação!$E$3='Base de Dados e filtragem'!AI$2,Apresentação!$E$3='Base de Dados e filtragem'!E173),1,0)</f>
        <v>1</v>
      </c>
      <c r="AJ173" s="25">
        <f>IF(OR(Apresentação!$E$4='Base de Dados e filtragem'!AJ$2,Apresentação!$E$4='Base de Dados e filtragem'!F173),1,0)</f>
        <v>1</v>
      </c>
      <c r="AK173" s="25">
        <f>IF(OR(Apresentação!$E$5='Base de Dados e filtragem'!AK$2,Apresentação!$E$5='Base de Dados e filtragem'!G173),1,0)</f>
        <v>1</v>
      </c>
      <c r="AL173" s="25">
        <f>IF(OR(Apresentação!$E$6='Base de Dados e filtragem'!AL$2,Apresentação!$E$6='Base de Dados e filtragem'!H173),1,0)</f>
        <v>1</v>
      </c>
      <c r="AM173" s="25">
        <f>IF(OR(Apresentação!$I$2='Base de Dados e filtragem'!AM$2,Apresentação!$I$2='Base de Dados e filtragem'!I173),1,0)</f>
        <v>1</v>
      </c>
      <c r="AN173" s="25">
        <f>IF(OR(Apresentação!$I$3='Base de Dados e filtragem'!AN$2,Apresentação!$I$3='Base de Dados e filtragem'!J173),1,0)</f>
        <v>1</v>
      </c>
      <c r="AO173" s="25">
        <f>IF(OR(Apresentação!$I$4='Base de Dados e filtragem'!AO$2,Apresentação!$I$4='Base de Dados e filtragem'!K173),1,0)</f>
        <v>1</v>
      </c>
      <c r="AP173" s="25">
        <f>IF(OR(Apresentação!$I$5='Base de Dados e filtragem'!AP$2,Apresentação!$I$5='Base de Dados e filtragem'!L173),1,0)</f>
        <v>1</v>
      </c>
      <c r="AQ173" s="25">
        <f>IF(OR(Apresentação!$I$6='Base de Dados e filtragem'!AQ$2,Apresentação!$I$6='Base de Dados e filtragem'!M173),1,0)</f>
        <v>1</v>
      </c>
      <c r="AR173" s="25">
        <v>1</v>
      </c>
      <c r="AS173" s="25">
        <v>1</v>
      </c>
      <c r="AT173" s="25">
        <v>1</v>
      </c>
      <c r="AU173" s="25">
        <v>1</v>
      </c>
      <c r="AV173" s="25">
        <v>1</v>
      </c>
      <c r="AW173" s="25">
        <v>1</v>
      </c>
      <c r="AX173" s="25">
        <v>1</v>
      </c>
      <c r="AY173" s="25">
        <v>1</v>
      </c>
      <c r="AZ173" s="25">
        <v>1</v>
      </c>
      <c r="BA173" s="25">
        <v>1</v>
      </c>
      <c r="BB173" s="25">
        <v>1</v>
      </c>
      <c r="BC173" s="25">
        <v>1</v>
      </c>
      <c r="BD173" s="25">
        <v>1</v>
      </c>
    </row>
    <row r="174" spans="27:56" x14ac:dyDescent="0.25">
      <c r="AA174" s="68" t="str">
        <f t="shared" si="9"/>
        <v>Fotos\\.jpg</v>
      </c>
      <c r="AB174" s="53">
        <f t="shared" si="10"/>
        <v>5.7471264367816091E-3</v>
      </c>
      <c r="AC174" s="25">
        <f t="shared" si="11"/>
        <v>174</v>
      </c>
      <c r="AD174" s="51">
        <f t="shared" si="12"/>
        <v>1</v>
      </c>
      <c r="AE174" s="25">
        <v>1</v>
      </c>
      <c r="AF174" s="25">
        <v>1</v>
      </c>
      <c r="AG174" s="25">
        <v>1</v>
      </c>
      <c r="AH174" s="25">
        <v>1</v>
      </c>
      <c r="AI174" s="25">
        <f>IF(OR(Apresentação!$E$3='Base de Dados e filtragem'!AI$2,Apresentação!$E$3='Base de Dados e filtragem'!E174),1,0)</f>
        <v>1</v>
      </c>
      <c r="AJ174" s="25">
        <f>IF(OR(Apresentação!$E$4='Base de Dados e filtragem'!AJ$2,Apresentação!$E$4='Base de Dados e filtragem'!F174),1,0)</f>
        <v>1</v>
      </c>
      <c r="AK174" s="25">
        <f>IF(OR(Apresentação!$E$5='Base de Dados e filtragem'!AK$2,Apresentação!$E$5='Base de Dados e filtragem'!G174),1,0)</f>
        <v>1</v>
      </c>
      <c r="AL174" s="25">
        <f>IF(OR(Apresentação!$E$6='Base de Dados e filtragem'!AL$2,Apresentação!$E$6='Base de Dados e filtragem'!H174),1,0)</f>
        <v>1</v>
      </c>
      <c r="AM174" s="25">
        <f>IF(OR(Apresentação!$I$2='Base de Dados e filtragem'!AM$2,Apresentação!$I$2='Base de Dados e filtragem'!I174),1,0)</f>
        <v>1</v>
      </c>
      <c r="AN174" s="25">
        <f>IF(OR(Apresentação!$I$3='Base de Dados e filtragem'!AN$2,Apresentação!$I$3='Base de Dados e filtragem'!J174),1,0)</f>
        <v>1</v>
      </c>
      <c r="AO174" s="25">
        <f>IF(OR(Apresentação!$I$4='Base de Dados e filtragem'!AO$2,Apresentação!$I$4='Base de Dados e filtragem'!K174),1,0)</f>
        <v>1</v>
      </c>
      <c r="AP174" s="25">
        <f>IF(OR(Apresentação!$I$5='Base de Dados e filtragem'!AP$2,Apresentação!$I$5='Base de Dados e filtragem'!L174),1,0)</f>
        <v>1</v>
      </c>
      <c r="AQ174" s="25">
        <f>IF(OR(Apresentação!$I$6='Base de Dados e filtragem'!AQ$2,Apresentação!$I$6='Base de Dados e filtragem'!M174),1,0)</f>
        <v>1</v>
      </c>
      <c r="AR174" s="25">
        <v>1</v>
      </c>
      <c r="AS174" s="25">
        <v>1</v>
      </c>
      <c r="AT174" s="25">
        <v>1</v>
      </c>
      <c r="AU174" s="25">
        <v>1</v>
      </c>
      <c r="AV174" s="25">
        <v>1</v>
      </c>
      <c r="AW174" s="25">
        <v>1</v>
      </c>
      <c r="AX174" s="25">
        <v>1</v>
      </c>
      <c r="AY174" s="25">
        <v>1</v>
      </c>
      <c r="AZ174" s="25">
        <v>1</v>
      </c>
      <c r="BA174" s="25">
        <v>1</v>
      </c>
      <c r="BB174" s="25">
        <v>1</v>
      </c>
      <c r="BC174" s="25">
        <v>1</v>
      </c>
      <c r="BD174" s="25">
        <v>1</v>
      </c>
    </row>
    <row r="175" spans="27:56" x14ac:dyDescent="0.25">
      <c r="AA175" s="68" t="str">
        <f t="shared" si="9"/>
        <v>Fotos\\.jpg</v>
      </c>
      <c r="AB175" s="53">
        <f t="shared" si="10"/>
        <v>5.7142857142857143E-3</v>
      </c>
      <c r="AC175" s="25">
        <f t="shared" si="11"/>
        <v>175</v>
      </c>
      <c r="AD175" s="51">
        <f t="shared" si="12"/>
        <v>1</v>
      </c>
      <c r="AE175" s="25">
        <v>1</v>
      </c>
      <c r="AF175" s="25">
        <v>1</v>
      </c>
      <c r="AG175" s="25">
        <v>1</v>
      </c>
      <c r="AH175" s="25">
        <v>1</v>
      </c>
      <c r="AI175" s="25">
        <f>IF(OR(Apresentação!$E$3='Base de Dados e filtragem'!AI$2,Apresentação!$E$3='Base de Dados e filtragem'!E175),1,0)</f>
        <v>1</v>
      </c>
      <c r="AJ175" s="25">
        <f>IF(OR(Apresentação!$E$4='Base de Dados e filtragem'!AJ$2,Apresentação!$E$4='Base de Dados e filtragem'!F175),1,0)</f>
        <v>1</v>
      </c>
      <c r="AK175" s="25">
        <f>IF(OR(Apresentação!$E$5='Base de Dados e filtragem'!AK$2,Apresentação!$E$5='Base de Dados e filtragem'!G175),1,0)</f>
        <v>1</v>
      </c>
      <c r="AL175" s="25">
        <f>IF(OR(Apresentação!$E$6='Base de Dados e filtragem'!AL$2,Apresentação!$E$6='Base de Dados e filtragem'!H175),1,0)</f>
        <v>1</v>
      </c>
      <c r="AM175" s="25">
        <f>IF(OR(Apresentação!$I$2='Base de Dados e filtragem'!AM$2,Apresentação!$I$2='Base de Dados e filtragem'!I175),1,0)</f>
        <v>1</v>
      </c>
      <c r="AN175" s="25">
        <f>IF(OR(Apresentação!$I$3='Base de Dados e filtragem'!AN$2,Apresentação!$I$3='Base de Dados e filtragem'!J175),1,0)</f>
        <v>1</v>
      </c>
      <c r="AO175" s="25">
        <f>IF(OR(Apresentação!$I$4='Base de Dados e filtragem'!AO$2,Apresentação!$I$4='Base de Dados e filtragem'!K175),1,0)</f>
        <v>1</v>
      </c>
      <c r="AP175" s="25">
        <f>IF(OR(Apresentação!$I$5='Base de Dados e filtragem'!AP$2,Apresentação!$I$5='Base de Dados e filtragem'!L175),1,0)</f>
        <v>1</v>
      </c>
      <c r="AQ175" s="25">
        <f>IF(OR(Apresentação!$I$6='Base de Dados e filtragem'!AQ$2,Apresentação!$I$6='Base de Dados e filtragem'!M175),1,0)</f>
        <v>1</v>
      </c>
      <c r="AR175" s="25">
        <v>1</v>
      </c>
      <c r="AS175" s="25">
        <v>1</v>
      </c>
      <c r="AT175" s="25">
        <v>1</v>
      </c>
      <c r="AU175" s="25">
        <v>1</v>
      </c>
      <c r="AV175" s="25">
        <v>1</v>
      </c>
      <c r="AW175" s="25">
        <v>1</v>
      </c>
      <c r="AX175" s="25">
        <v>1</v>
      </c>
      <c r="AY175" s="25">
        <v>1</v>
      </c>
      <c r="AZ175" s="25">
        <v>1</v>
      </c>
      <c r="BA175" s="25">
        <v>1</v>
      </c>
      <c r="BB175" s="25">
        <v>1</v>
      </c>
      <c r="BC175" s="25">
        <v>1</v>
      </c>
      <c r="BD175" s="25">
        <v>1</v>
      </c>
    </row>
    <row r="176" spans="27:56" x14ac:dyDescent="0.25">
      <c r="AA176" s="68" t="str">
        <f t="shared" si="9"/>
        <v>Fotos\\.jpg</v>
      </c>
      <c r="AB176" s="53">
        <f t="shared" si="10"/>
        <v>5.681818181818182E-3</v>
      </c>
      <c r="AC176" s="25">
        <f t="shared" si="11"/>
        <v>176</v>
      </c>
      <c r="AD176" s="51">
        <f t="shared" si="12"/>
        <v>1</v>
      </c>
      <c r="AE176" s="25">
        <v>1</v>
      </c>
      <c r="AF176" s="25">
        <v>1</v>
      </c>
      <c r="AG176" s="25">
        <v>1</v>
      </c>
      <c r="AH176" s="25">
        <v>1</v>
      </c>
      <c r="AI176" s="25">
        <f>IF(OR(Apresentação!$E$3='Base de Dados e filtragem'!AI$2,Apresentação!$E$3='Base de Dados e filtragem'!E176),1,0)</f>
        <v>1</v>
      </c>
      <c r="AJ176" s="25">
        <f>IF(OR(Apresentação!$E$4='Base de Dados e filtragem'!AJ$2,Apresentação!$E$4='Base de Dados e filtragem'!F176),1,0)</f>
        <v>1</v>
      </c>
      <c r="AK176" s="25">
        <f>IF(OR(Apresentação!$E$5='Base de Dados e filtragem'!AK$2,Apresentação!$E$5='Base de Dados e filtragem'!G176),1,0)</f>
        <v>1</v>
      </c>
      <c r="AL176" s="25">
        <f>IF(OR(Apresentação!$E$6='Base de Dados e filtragem'!AL$2,Apresentação!$E$6='Base de Dados e filtragem'!H176),1,0)</f>
        <v>1</v>
      </c>
      <c r="AM176" s="25">
        <f>IF(OR(Apresentação!$I$2='Base de Dados e filtragem'!AM$2,Apresentação!$I$2='Base de Dados e filtragem'!I176),1,0)</f>
        <v>1</v>
      </c>
      <c r="AN176" s="25">
        <f>IF(OR(Apresentação!$I$3='Base de Dados e filtragem'!AN$2,Apresentação!$I$3='Base de Dados e filtragem'!J176),1,0)</f>
        <v>1</v>
      </c>
      <c r="AO176" s="25">
        <f>IF(OR(Apresentação!$I$4='Base de Dados e filtragem'!AO$2,Apresentação!$I$4='Base de Dados e filtragem'!K176),1,0)</f>
        <v>1</v>
      </c>
      <c r="AP176" s="25">
        <f>IF(OR(Apresentação!$I$5='Base de Dados e filtragem'!AP$2,Apresentação!$I$5='Base de Dados e filtragem'!L176),1,0)</f>
        <v>1</v>
      </c>
      <c r="AQ176" s="25">
        <f>IF(OR(Apresentação!$I$6='Base de Dados e filtragem'!AQ$2,Apresentação!$I$6='Base de Dados e filtragem'!M176),1,0)</f>
        <v>1</v>
      </c>
      <c r="AR176" s="25">
        <v>1</v>
      </c>
      <c r="AS176" s="25">
        <v>1</v>
      </c>
      <c r="AT176" s="25">
        <v>1</v>
      </c>
      <c r="AU176" s="25">
        <v>1</v>
      </c>
      <c r="AV176" s="25">
        <v>1</v>
      </c>
      <c r="AW176" s="25">
        <v>1</v>
      </c>
      <c r="AX176" s="25">
        <v>1</v>
      </c>
      <c r="AY176" s="25">
        <v>1</v>
      </c>
      <c r="AZ176" s="25">
        <v>1</v>
      </c>
      <c r="BA176" s="25">
        <v>1</v>
      </c>
      <c r="BB176" s="25">
        <v>1</v>
      </c>
      <c r="BC176" s="25">
        <v>1</v>
      </c>
      <c r="BD176" s="25">
        <v>1</v>
      </c>
    </row>
    <row r="177" spans="27:56" x14ac:dyDescent="0.25">
      <c r="AA177" s="68" t="str">
        <f t="shared" si="9"/>
        <v>Fotos\\.jpg</v>
      </c>
      <c r="AB177" s="53">
        <f t="shared" si="10"/>
        <v>5.6497175141242938E-3</v>
      </c>
      <c r="AC177" s="25">
        <f t="shared" si="11"/>
        <v>177</v>
      </c>
      <c r="AD177" s="51">
        <f t="shared" si="12"/>
        <v>1</v>
      </c>
      <c r="AE177" s="25">
        <v>1</v>
      </c>
      <c r="AF177" s="25">
        <v>1</v>
      </c>
      <c r="AG177" s="25">
        <v>1</v>
      </c>
      <c r="AH177" s="25">
        <v>1</v>
      </c>
      <c r="AI177" s="25">
        <f>IF(OR(Apresentação!$E$3='Base de Dados e filtragem'!AI$2,Apresentação!$E$3='Base de Dados e filtragem'!E177),1,0)</f>
        <v>1</v>
      </c>
      <c r="AJ177" s="25">
        <f>IF(OR(Apresentação!$E$4='Base de Dados e filtragem'!AJ$2,Apresentação!$E$4='Base de Dados e filtragem'!F177),1,0)</f>
        <v>1</v>
      </c>
      <c r="AK177" s="25">
        <f>IF(OR(Apresentação!$E$5='Base de Dados e filtragem'!AK$2,Apresentação!$E$5='Base de Dados e filtragem'!G177),1,0)</f>
        <v>1</v>
      </c>
      <c r="AL177" s="25">
        <f>IF(OR(Apresentação!$E$6='Base de Dados e filtragem'!AL$2,Apresentação!$E$6='Base de Dados e filtragem'!H177),1,0)</f>
        <v>1</v>
      </c>
      <c r="AM177" s="25">
        <f>IF(OR(Apresentação!$I$2='Base de Dados e filtragem'!AM$2,Apresentação!$I$2='Base de Dados e filtragem'!I177),1,0)</f>
        <v>1</v>
      </c>
      <c r="AN177" s="25">
        <f>IF(OR(Apresentação!$I$3='Base de Dados e filtragem'!AN$2,Apresentação!$I$3='Base de Dados e filtragem'!J177),1,0)</f>
        <v>1</v>
      </c>
      <c r="AO177" s="25">
        <f>IF(OR(Apresentação!$I$4='Base de Dados e filtragem'!AO$2,Apresentação!$I$4='Base de Dados e filtragem'!K177),1,0)</f>
        <v>1</v>
      </c>
      <c r="AP177" s="25">
        <f>IF(OR(Apresentação!$I$5='Base de Dados e filtragem'!AP$2,Apresentação!$I$5='Base de Dados e filtragem'!L177),1,0)</f>
        <v>1</v>
      </c>
      <c r="AQ177" s="25">
        <f>IF(OR(Apresentação!$I$6='Base de Dados e filtragem'!AQ$2,Apresentação!$I$6='Base de Dados e filtragem'!M177),1,0)</f>
        <v>1</v>
      </c>
      <c r="AR177" s="25">
        <v>1</v>
      </c>
      <c r="AS177" s="25">
        <v>1</v>
      </c>
      <c r="AT177" s="25">
        <v>1</v>
      </c>
      <c r="AU177" s="25">
        <v>1</v>
      </c>
      <c r="AV177" s="25">
        <v>1</v>
      </c>
      <c r="AW177" s="25">
        <v>1</v>
      </c>
      <c r="AX177" s="25">
        <v>1</v>
      </c>
      <c r="AY177" s="25">
        <v>1</v>
      </c>
      <c r="AZ177" s="25">
        <v>1</v>
      </c>
      <c r="BA177" s="25">
        <v>1</v>
      </c>
      <c r="BB177" s="25">
        <v>1</v>
      </c>
      <c r="BC177" s="25">
        <v>1</v>
      </c>
      <c r="BD177" s="25">
        <v>1</v>
      </c>
    </row>
    <row r="178" spans="27:56" x14ac:dyDescent="0.25">
      <c r="AA178" s="68" t="str">
        <f t="shared" si="9"/>
        <v>Fotos\\.jpg</v>
      </c>
      <c r="AB178" s="53">
        <f t="shared" si="10"/>
        <v>5.6179775280898875E-3</v>
      </c>
      <c r="AC178" s="25">
        <f t="shared" si="11"/>
        <v>178</v>
      </c>
      <c r="AD178" s="51">
        <f t="shared" si="12"/>
        <v>1</v>
      </c>
      <c r="AE178" s="25">
        <v>1</v>
      </c>
      <c r="AF178" s="25">
        <v>1</v>
      </c>
      <c r="AG178" s="25">
        <v>1</v>
      </c>
      <c r="AH178" s="25">
        <v>1</v>
      </c>
      <c r="AI178" s="25">
        <f>IF(OR(Apresentação!$E$3='Base de Dados e filtragem'!AI$2,Apresentação!$E$3='Base de Dados e filtragem'!E178),1,0)</f>
        <v>1</v>
      </c>
      <c r="AJ178" s="25">
        <f>IF(OR(Apresentação!$E$4='Base de Dados e filtragem'!AJ$2,Apresentação!$E$4='Base de Dados e filtragem'!F178),1,0)</f>
        <v>1</v>
      </c>
      <c r="AK178" s="25">
        <f>IF(OR(Apresentação!$E$5='Base de Dados e filtragem'!AK$2,Apresentação!$E$5='Base de Dados e filtragem'!G178),1,0)</f>
        <v>1</v>
      </c>
      <c r="AL178" s="25">
        <f>IF(OR(Apresentação!$E$6='Base de Dados e filtragem'!AL$2,Apresentação!$E$6='Base de Dados e filtragem'!H178),1,0)</f>
        <v>1</v>
      </c>
      <c r="AM178" s="25">
        <f>IF(OR(Apresentação!$I$2='Base de Dados e filtragem'!AM$2,Apresentação!$I$2='Base de Dados e filtragem'!I178),1,0)</f>
        <v>1</v>
      </c>
      <c r="AN178" s="25">
        <f>IF(OR(Apresentação!$I$3='Base de Dados e filtragem'!AN$2,Apresentação!$I$3='Base de Dados e filtragem'!J178),1,0)</f>
        <v>1</v>
      </c>
      <c r="AO178" s="25">
        <f>IF(OR(Apresentação!$I$4='Base de Dados e filtragem'!AO$2,Apresentação!$I$4='Base de Dados e filtragem'!K178),1,0)</f>
        <v>1</v>
      </c>
      <c r="AP178" s="25">
        <f>IF(OR(Apresentação!$I$5='Base de Dados e filtragem'!AP$2,Apresentação!$I$5='Base de Dados e filtragem'!L178),1,0)</f>
        <v>1</v>
      </c>
      <c r="AQ178" s="25">
        <f>IF(OR(Apresentação!$I$6='Base de Dados e filtragem'!AQ$2,Apresentação!$I$6='Base de Dados e filtragem'!M178),1,0)</f>
        <v>1</v>
      </c>
      <c r="AR178" s="25">
        <v>1</v>
      </c>
      <c r="AS178" s="25">
        <v>1</v>
      </c>
      <c r="AT178" s="25">
        <v>1</v>
      </c>
      <c r="AU178" s="25">
        <v>1</v>
      </c>
      <c r="AV178" s="25">
        <v>1</v>
      </c>
      <c r="AW178" s="25">
        <v>1</v>
      </c>
      <c r="AX178" s="25">
        <v>1</v>
      </c>
      <c r="AY178" s="25">
        <v>1</v>
      </c>
      <c r="AZ178" s="25">
        <v>1</v>
      </c>
      <c r="BA178" s="25">
        <v>1</v>
      </c>
      <c r="BB178" s="25">
        <v>1</v>
      </c>
      <c r="BC178" s="25">
        <v>1</v>
      </c>
      <c r="BD178" s="25">
        <v>1</v>
      </c>
    </row>
    <row r="179" spans="27:56" x14ac:dyDescent="0.25">
      <c r="AA179" s="68" t="str">
        <f t="shared" si="9"/>
        <v>Fotos\\.jpg</v>
      </c>
      <c r="AB179" s="53">
        <f t="shared" si="10"/>
        <v>5.5865921787709499E-3</v>
      </c>
      <c r="AC179" s="25">
        <f t="shared" si="11"/>
        <v>179</v>
      </c>
      <c r="AD179" s="51">
        <f t="shared" si="12"/>
        <v>1</v>
      </c>
      <c r="AE179" s="25">
        <v>1</v>
      </c>
      <c r="AF179" s="25">
        <v>1</v>
      </c>
      <c r="AG179" s="25">
        <v>1</v>
      </c>
      <c r="AH179" s="25">
        <v>1</v>
      </c>
      <c r="AI179" s="25">
        <f>IF(OR(Apresentação!$E$3='Base de Dados e filtragem'!AI$2,Apresentação!$E$3='Base de Dados e filtragem'!E179),1,0)</f>
        <v>1</v>
      </c>
      <c r="AJ179" s="25">
        <f>IF(OR(Apresentação!$E$4='Base de Dados e filtragem'!AJ$2,Apresentação!$E$4='Base de Dados e filtragem'!F179),1,0)</f>
        <v>1</v>
      </c>
      <c r="AK179" s="25">
        <f>IF(OR(Apresentação!$E$5='Base de Dados e filtragem'!AK$2,Apresentação!$E$5='Base de Dados e filtragem'!G179),1,0)</f>
        <v>1</v>
      </c>
      <c r="AL179" s="25">
        <f>IF(OR(Apresentação!$E$6='Base de Dados e filtragem'!AL$2,Apresentação!$E$6='Base de Dados e filtragem'!H179),1,0)</f>
        <v>1</v>
      </c>
      <c r="AM179" s="25">
        <f>IF(OR(Apresentação!$I$2='Base de Dados e filtragem'!AM$2,Apresentação!$I$2='Base de Dados e filtragem'!I179),1,0)</f>
        <v>1</v>
      </c>
      <c r="AN179" s="25">
        <f>IF(OR(Apresentação!$I$3='Base de Dados e filtragem'!AN$2,Apresentação!$I$3='Base de Dados e filtragem'!J179),1,0)</f>
        <v>1</v>
      </c>
      <c r="AO179" s="25">
        <f>IF(OR(Apresentação!$I$4='Base de Dados e filtragem'!AO$2,Apresentação!$I$4='Base de Dados e filtragem'!K179),1,0)</f>
        <v>1</v>
      </c>
      <c r="AP179" s="25">
        <f>IF(OR(Apresentação!$I$5='Base de Dados e filtragem'!AP$2,Apresentação!$I$5='Base de Dados e filtragem'!L179),1,0)</f>
        <v>1</v>
      </c>
      <c r="AQ179" s="25">
        <f>IF(OR(Apresentação!$I$6='Base de Dados e filtragem'!AQ$2,Apresentação!$I$6='Base de Dados e filtragem'!M179),1,0)</f>
        <v>1</v>
      </c>
      <c r="AR179" s="25">
        <v>1</v>
      </c>
      <c r="AS179" s="25">
        <v>1</v>
      </c>
      <c r="AT179" s="25">
        <v>1</v>
      </c>
      <c r="AU179" s="25">
        <v>1</v>
      </c>
      <c r="AV179" s="25">
        <v>1</v>
      </c>
      <c r="AW179" s="25">
        <v>1</v>
      </c>
      <c r="AX179" s="25">
        <v>1</v>
      </c>
      <c r="AY179" s="25">
        <v>1</v>
      </c>
      <c r="AZ179" s="25">
        <v>1</v>
      </c>
      <c r="BA179" s="25">
        <v>1</v>
      </c>
      <c r="BB179" s="25">
        <v>1</v>
      </c>
      <c r="BC179" s="25">
        <v>1</v>
      </c>
      <c r="BD179" s="25">
        <v>1</v>
      </c>
    </row>
    <row r="180" spans="27:56" x14ac:dyDescent="0.25">
      <c r="AA180" s="68" t="str">
        <f t="shared" si="9"/>
        <v>Fotos\\.jpg</v>
      </c>
      <c r="AB180" s="53">
        <f t="shared" si="10"/>
        <v>5.5555555555555558E-3</v>
      </c>
      <c r="AC180" s="25">
        <f t="shared" si="11"/>
        <v>180</v>
      </c>
      <c r="AD180" s="51">
        <f t="shared" si="12"/>
        <v>1</v>
      </c>
      <c r="AE180" s="25">
        <v>1</v>
      </c>
      <c r="AF180" s="25">
        <v>1</v>
      </c>
      <c r="AG180" s="25">
        <v>1</v>
      </c>
      <c r="AH180" s="25">
        <v>1</v>
      </c>
      <c r="AI180" s="25">
        <f>IF(OR(Apresentação!$E$3='Base de Dados e filtragem'!AI$2,Apresentação!$E$3='Base de Dados e filtragem'!E180),1,0)</f>
        <v>1</v>
      </c>
      <c r="AJ180" s="25">
        <f>IF(OR(Apresentação!$E$4='Base de Dados e filtragem'!AJ$2,Apresentação!$E$4='Base de Dados e filtragem'!F180),1,0)</f>
        <v>1</v>
      </c>
      <c r="AK180" s="25">
        <f>IF(OR(Apresentação!$E$5='Base de Dados e filtragem'!AK$2,Apresentação!$E$5='Base de Dados e filtragem'!G180),1,0)</f>
        <v>1</v>
      </c>
      <c r="AL180" s="25">
        <f>IF(OR(Apresentação!$E$6='Base de Dados e filtragem'!AL$2,Apresentação!$E$6='Base de Dados e filtragem'!H180),1,0)</f>
        <v>1</v>
      </c>
      <c r="AM180" s="25">
        <f>IF(OR(Apresentação!$I$2='Base de Dados e filtragem'!AM$2,Apresentação!$I$2='Base de Dados e filtragem'!I180),1,0)</f>
        <v>1</v>
      </c>
      <c r="AN180" s="25">
        <f>IF(OR(Apresentação!$I$3='Base de Dados e filtragem'!AN$2,Apresentação!$I$3='Base de Dados e filtragem'!J180),1,0)</f>
        <v>1</v>
      </c>
      <c r="AO180" s="25">
        <f>IF(OR(Apresentação!$I$4='Base de Dados e filtragem'!AO$2,Apresentação!$I$4='Base de Dados e filtragem'!K180),1,0)</f>
        <v>1</v>
      </c>
      <c r="AP180" s="25">
        <f>IF(OR(Apresentação!$I$5='Base de Dados e filtragem'!AP$2,Apresentação!$I$5='Base de Dados e filtragem'!L180),1,0)</f>
        <v>1</v>
      </c>
      <c r="AQ180" s="25">
        <f>IF(OR(Apresentação!$I$6='Base de Dados e filtragem'!AQ$2,Apresentação!$I$6='Base de Dados e filtragem'!M180),1,0)</f>
        <v>1</v>
      </c>
      <c r="AR180" s="25">
        <v>1</v>
      </c>
      <c r="AS180" s="25">
        <v>1</v>
      </c>
      <c r="AT180" s="25">
        <v>1</v>
      </c>
      <c r="AU180" s="25">
        <v>1</v>
      </c>
      <c r="AV180" s="25">
        <v>1</v>
      </c>
      <c r="AW180" s="25">
        <v>1</v>
      </c>
      <c r="AX180" s="25">
        <v>1</v>
      </c>
      <c r="AY180" s="25">
        <v>1</v>
      </c>
      <c r="AZ180" s="25">
        <v>1</v>
      </c>
      <c r="BA180" s="25">
        <v>1</v>
      </c>
      <c r="BB180" s="25">
        <v>1</v>
      </c>
      <c r="BC180" s="25">
        <v>1</v>
      </c>
      <c r="BD180" s="25">
        <v>1</v>
      </c>
    </row>
    <row r="181" spans="27:56" x14ac:dyDescent="0.25">
      <c r="AA181" s="68" t="str">
        <f t="shared" si="9"/>
        <v>Fotos\\.jpg</v>
      </c>
      <c r="AB181" s="53">
        <f t="shared" si="10"/>
        <v>5.5248618784530384E-3</v>
      </c>
      <c r="AC181" s="25">
        <f t="shared" si="11"/>
        <v>181</v>
      </c>
      <c r="AD181" s="51">
        <f t="shared" si="12"/>
        <v>1</v>
      </c>
      <c r="AE181" s="25">
        <v>1</v>
      </c>
      <c r="AF181" s="25">
        <v>1</v>
      </c>
      <c r="AG181" s="25">
        <v>1</v>
      </c>
      <c r="AH181" s="25">
        <v>1</v>
      </c>
      <c r="AI181" s="25">
        <f>IF(OR(Apresentação!$E$3='Base de Dados e filtragem'!AI$2,Apresentação!$E$3='Base de Dados e filtragem'!E181),1,0)</f>
        <v>1</v>
      </c>
      <c r="AJ181" s="25">
        <f>IF(OR(Apresentação!$E$4='Base de Dados e filtragem'!AJ$2,Apresentação!$E$4='Base de Dados e filtragem'!F181),1,0)</f>
        <v>1</v>
      </c>
      <c r="AK181" s="25">
        <f>IF(OR(Apresentação!$E$5='Base de Dados e filtragem'!AK$2,Apresentação!$E$5='Base de Dados e filtragem'!G181),1,0)</f>
        <v>1</v>
      </c>
      <c r="AL181" s="25">
        <f>IF(OR(Apresentação!$E$6='Base de Dados e filtragem'!AL$2,Apresentação!$E$6='Base de Dados e filtragem'!H181),1,0)</f>
        <v>1</v>
      </c>
      <c r="AM181" s="25">
        <f>IF(OR(Apresentação!$I$2='Base de Dados e filtragem'!AM$2,Apresentação!$I$2='Base de Dados e filtragem'!I181),1,0)</f>
        <v>1</v>
      </c>
      <c r="AN181" s="25">
        <f>IF(OR(Apresentação!$I$3='Base de Dados e filtragem'!AN$2,Apresentação!$I$3='Base de Dados e filtragem'!J181),1,0)</f>
        <v>1</v>
      </c>
      <c r="AO181" s="25">
        <f>IF(OR(Apresentação!$I$4='Base de Dados e filtragem'!AO$2,Apresentação!$I$4='Base de Dados e filtragem'!K181),1,0)</f>
        <v>1</v>
      </c>
      <c r="AP181" s="25">
        <f>IF(OR(Apresentação!$I$5='Base de Dados e filtragem'!AP$2,Apresentação!$I$5='Base de Dados e filtragem'!L181),1,0)</f>
        <v>1</v>
      </c>
      <c r="AQ181" s="25">
        <f>IF(OR(Apresentação!$I$6='Base de Dados e filtragem'!AQ$2,Apresentação!$I$6='Base de Dados e filtragem'!M181),1,0)</f>
        <v>1</v>
      </c>
      <c r="AR181" s="25">
        <v>1</v>
      </c>
      <c r="AS181" s="25">
        <v>1</v>
      </c>
      <c r="AT181" s="25">
        <v>1</v>
      </c>
      <c r="AU181" s="25">
        <v>1</v>
      </c>
      <c r="AV181" s="25">
        <v>1</v>
      </c>
      <c r="AW181" s="25">
        <v>1</v>
      </c>
      <c r="AX181" s="25">
        <v>1</v>
      </c>
      <c r="AY181" s="25">
        <v>1</v>
      </c>
      <c r="AZ181" s="25">
        <v>1</v>
      </c>
      <c r="BA181" s="25">
        <v>1</v>
      </c>
      <c r="BB181" s="25">
        <v>1</v>
      </c>
      <c r="BC181" s="25">
        <v>1</v>
      </c>
      <c r="BD181" s="25">
        <v>1</v>
      </c>
    </row>
    <row r="182" spans="27:56" x14ac:dyDescent="0.25">
      <c r="AA182" s="68" t="str">
        <f t="shared" si="9"/>
        <v>Fotos\\.jpg</v>
      </c>
      <c r="AB182" s="53">
        <f t="shared" si="10"/>
        <v>5.4945054945054949E-3</v>
      </c>
      <c r="AC182" s="25">
        <f t="shared" si="11"/>
        <v>182</v>
      </c>
      <c r="AD182" s="51">
        <f t="shared" si="12"/>
        <v>1</v>
      </c>
      <c r="AE182" s="25">
        <v>1</v>
      </c>
      <c r="AF182" s="25">
        <v>1</v>
      </c>
      <c r="AG182" s="25">
        <v>1</v>
      </c>
      <c r="AH182" s="25">
        <v>1</v>
      </c>
      <c r="AI182" s="25">
        <f>IF(OR(Apresentação!$E$3='Base de Dados e filtragem'!AI$2,Apresentação!$E$3='Base de Dados e filtragem'!E182),1,0)</f>
        <v>1</v>
      </c>
      <c r="AJ182" s="25">
        <f>IF(OR(Apresentação!$E$4='Base de Dados e filtragem'!AJ$2,Apresentação!$E$4='Base de Dados e filtragem'!F182),1,0)</f>
        <v>1</v>
      </c>
      <c r="AK182" s="25">
        <f>IF(OR(Apresentação!$E$5='Base de Dados e filtragem'!AK$2,Apresentação!$E$5='Base de Dados e filtragem'!G182),1,0)</f>
        <v>1</v>
      </c>
      <c r="AL182" s="25">
        <f>IF(OR(Apresentação!$E$6='Base de Dados e filtragem'!AL$2,Apresentação!$E$6='Base de Dados e filtragem'!H182),1,0)</f>
        <v>1</v>
      </c>
      <c r="AM182" s="25">
        <f>IF(OR(Apresentação!$I$2='Base de Dados e filtragem'!AM$2,Apresentação!$I$2='Base de Dados e filtragem'!I182),1,0)</f>
        <v>1</v>
      </c>
      <c r="AN182" s="25">
        <f>IF(OR(Apresentação!$I$3='Base de Dados e filtragem'!AN$2,Apresentação!$I$3='Base de Dados e filtragem'!J182),1,0)</f>
        <v>1</v>
      </c>
      <c r="AO182" s="25">
        <f>IF(OR(Apresentação!$I$4='Base de Dados e filtragem'!AO$2,Apresentação!$I$4='Base de Dados e filtragem'!K182),1,0)</f>
        <v>1</v>
      </c>
      <c r="AP182" s="25">
        <f>IF(OR(Apresentação!$I$5='Base de Dados e filtragem'!AP$2,Apresentação!$I$5='Base de Dados e filtragem'!L182),1,0)</f>
        <v>1</v>
      </c>
      <c r="AQ182" s="25">
        <f>IF(OR(Apresentação!$I$6='Base de Dados e filtragem'!AQ$2,Apresentação!$I$6='Base de Dados e filtragem'!M182),1,0)</f>
        <v>1</v>
      </c>
      <c r="AR182" s="25">
        <v>1</v>
      </c>
      <c r="AS182" s="25">
        <v>1</v>
      </c>
      <c r="AT182" s="25">
        <v>1</v>
      </c>
      <c r="AU182" s="25">
        <v>1</v>
      </c>
      <c r="AV182" s="25">
        <v>1</v>
      </c>
      <c r="AW182" s="25">
        <v>1</v>
      </c>
      <c r="AX182" s="25">
        <v>1</v>
      </c>
      <c r="AY182" s="25">
        <v>1</v>
      </c>
      <c r="AZ182" s="25">
        <v>1</v>
      </c>
      <c r="BA182" s="25">
        <v>1</v>
      </c>
      <c r="BB182" s="25">
        <v>1</v>
      </c>
      <c r="BC182" s="25">
        <v>1</v>
      </c>
      <c r="BD182" s="25">
        <v>1</v>
      </c>
    </row>
    <row r="183" spans="27:56" x14ac:dyDescent="0.25">
      <c r="AA183" s="68" t="str">
        <f t="shared" si="9"/>
        <v>Fotos\\.jpg</v>
      </c>
      <c r="AB183" s="53">
        <f t="shared" si="10"/>
        <v>5.4644808743169399E-3</v>
      </c>
      <c r="AC183" s="25">
        <f t="shared" si="11"/>
        <v>183</v>
      </c>
      <c r="AD183" s="51">
        <f t="shared" si="12"/>
        <v>1</v>
      </c>
      <c r="AE183" s="25">
        <v>1</v>
      </c>
      <c r="AF183" s="25">
        <v>1</v>
      </c>
      <c r="AG183" s="25">
        <v>1</v>
      </c>
      <c r="AH183" s="25">
        <v>1</v>
      </c>
      <c r="AI183" s="25">
        <f>IF(OR(Apresentação!$E$3='Base de Dados e filtragem'!AI$2,Apresentação!$E$3='Base de Dados e filtragem'!E183),1,0)</f>
        <v>1</v>
      </c>
      <c r="AJ183" s="25">
        <f>IF(OR(Apresentação!$E$4='Base de Dados e filtragem'!AJ$2,Apresentação!$E$4='Base de Dados e filtragem'!F183),1,0)</f>
        <v>1</v>
      </c>
      <c r="AK183" s="25">
        <f>IF(OR(Apresentação!$E$5='Base de Dados e filtragem'!AK$2,Apresentação!$E$5='Base de Dados e filtragem'!G183),1,0)</f>
        <v>1</v>
      </c>
      <c r="AL183" s="25">
        <f>IF(OR(Apresentação!$E$6='Base de Dados e filtragem'!AL$2,Apresentação!$E$6='Base de Dados e filtragem'!H183),1,0)</f>
        <v>1</v>
      </c>
      <c r="AM183" s="25">
        <f>IF(OR(Apresentação!$I$2='Base de Dados e filtragem'!AM$2,Apresentação!$I$2='Base de Dados e filtragem'!I183),1,0)</f>
        <v>1</v>
      </c>
      <c r="AN183" s="25">
        <f>IF(OR(Apresentação!$I$3='Base de Dados e filtragem'!AN$2,Apresentação!$I$3='Base de Dados e filtragem'!J183),1,0)</f>
        <v>1</v>
      </c>
      <c r="AO183" s="25">
        <f>IF(OR(Apresentação!$I$4='Base de Dados e filtragem'!AO$2,Apresentação!$I$4='Base de Dados e filtragem'!K183),1,0)</f>
        <v>1</v>
      </c>
      <c r="AP183" s="25">
        <f>IF(OR(Apresentação!$I$5='Base de Dados e filtragem'!AP$2,Apresentação!$I$5='Base de Dados e filtragem'!L183),1,0)</f>
        <v>1</v>
      </c>
      <c r="AQ183" s="25">
        <f>IF(OR(Apresentação!$I$6='Base de Dados e filtragem'!AQ$2,Apresentação!$I$6='Base de Dados e filtragem'!M183),1,0)</f>
        <v>1</v>
      </c>
      <c r="AR183" s="25">
        <v>1</v>
      </c>
      <c r="AS183" s="25">
        <v>1</v>
      </c>
      <c r="AT183" s="25">
        <v>1</v>
      </c>
      <c r="AU183" s="25">
        <v>1</v>
      </c>
      <c r="AV183" s="25">
        <v>1</v>
      </c>
      <c r="AW183" s="25">
        <v>1</v>
      </c>
      <c r="AX183" s="25">
        <v>1</v>
      </c>
      <c r="AY183" s="25">
        <v>1</v>
      </c>
      <c r="AZ183" s="25">
        <v>1</v>
      </c>
      <c r="BA183" s="25">
        <v>1</v>
      </c>
      <c r="BB183" s="25">
        <v>1</v>
      </c>
      <c r="BC183" s="25">
        <v>1</v>
      </c>
      <c r="BD183" s="25">
        <v>1</v>
      </c>
    </row>
    <row r="184" spans="27:56" x14ac:dyDescent="0.25">
      <c r="AA184" s="68" t="str">
        <f t="shared" si="9"/>
        <v>Fotos\\.jpg</v>
      </c>
      <c r="AB184" s="53">
        <f t="shared" si="10"/>
        <v>5.434782608695652E-3</v>
      </c>
      <c r="AC184" s="25">
        <f t="shared" si="11"/>
        <v>184</v>
      </c>
      <c r="AD184" s="51">
        <f t="shared" si="12"/>
        <v>1</v>
      </c>
      <c r="AE184" s="25">
        <v>1</v>
      </c>
      <c r="AF184" s="25">
        <v>1</v>
      </c>
      <c r="AG184" s="25">
        <v>1</v>
      </c>
      <c r="AH184" s="25">
        <v>1</v>
      </c>
      <c r="AI184" s="25">
        <f>IF(OR(Apresentação!$E$3='Base de Dados e filtragem'!AI$2,Apresentação!$E$3='Base de Dados e filtragem'!E184),1,0)</f>
        <v>1</v>
      </c>
      <c r="AJ184" s="25">
        <f>IF(OR(Apresentação!$E$4='Base de Dados e filtragem'!AJ$2,Apresentação!$E$4='Base de Dados e filtragem'!F184),1,0)</f>
        <v>1</v>
      </c>
      <c r="AK184" s="25">
        <f>IF(OR(Apresentação!$E$5='Base de Dados e filtragem'!AK$2,Apresentação!$E$5='Base de Dados e filtragem'!G184),1,0)</f>
        <v>1</v>
      </c>
      <c r="AL184" s="25">
        <f>IF(OR(Apresentação!$E$6='Base de Dados e filtragem'!AL$2,Apresentação!$E$6='Base de Dados e filtragem'!H184),1,0)</f>
        <v>1</v>
      </c>
      <c r="AM184" s="25">
        <f>IF(OR(Apresentação!$I$2='Base de Dados e filtragem'!AM$2,Apresentação!$I$2='Base de Dados e filtragem'!I184),1,0)</f>
        <v>1</v>
      </c>
      <c r="AN184" s="25">
        <f>IF(OR(Apresentação!$I$3='Base de Dados e filtragem'!AN$2,Apresentação!$I$3='Base de Dados e filtragem'!J184),1,0)</f>
        <v>1</v>
      </c>
      <c r="AO184" s="25">
        <f>IF(OR(Apresentação!$I$4='Base de Dados e filtragem'!AO$2,Apresentação!$I$4='Base de Dados e filtragem'!K184),1,0)</f>
        <v>1</v>
      </c>
      <c r="AP184" s="25">
        <f>IF(OR(Apresentação!$I$5='Base de Dados e filtragem'!AP$2,Apresentação!$I$5='Base de Dados e filtragem'!L184),1,0)</f>
        <v>1</v>
      </c>
      <c r="AQ184" s="25">
        <f>IF(OR(Apresentação!$I$6='Base de Dados e filtragem'!AQ$2,Apresentação!$I$6='Base de Dados e filtragem'!M184),1,0)</f>
        <v>1</v>
      </c>
      <c r="AR184" s="25">
        <v>1</v>
      </c>
      <c r="AS184" s="25">
        <v>1</v>
      </c>
      <c r="AT184" s="25">
        <v>1</v>
      </c>
      <c r="AU184" s="25">
        <v>1</v>
      </c>
      <c r="AV184" s="25">
        <v>1</v>
      </c>
      <c r="AW184" s="25">
        <v>1</v>
      </c>
      <c r="AX184" s="25">
        <v>1</v>
      </c>
      <c r="AY184" s="25">
        <v>1</v>
      </c>
      <c r="AZ184" s="25">
        <v>1</v>
      </c>
      <c r="BA184" s="25">
        <v>1</v>
      </c>
      <c r="BB184" s="25">
        <v>1</v>
      </c>
      <c r="BC184" s="25">
        <v>1</v>
      </c>
      <c r="BD184" s="25">
        <v>1</v>
      </c>
    </row>
    <row r="185" spans="27:56" x14ac:dyDescent="0.25">
      <c r="AA185" s="68" t="str">
        <f t="shared" si="9"/>
        <v>Fotos\\.jpg</v>
      </c>
      <c r="AB185" s="53">
        <f t="shared" si="10"/>
        <v>5.4054054054054057E-3</v>
      </c>
      <c r="AC185" s="25">
        <f t="shared" si="11"/>
        <v>185</v>
      </c>
      <c r="AD185" s="51">
        <f t="shared" si="12"/>
        <v>1</v>
      </c>
      <c r="AE185" s="25">
        <v>1</v>
      </c>
      <c r="AF185" s="25">
        <v>1</v>
      </c>
      <c r="AG185" s="25">
        <v>1</v>
      </c>
      <c r="AH185" s="25">
        <v>1</v>
      </c>
      <c r="AI185" s="25">
        <f>IF(OR(Apresentação!$E$3='Base de Dados e filtragem'!AI$2,Apresentação!$E$3='Base de Dados e filtragem'!E185),1,0)</f>
        <v>1</v>
      </c>
      <c r="AJ185" s="25">
        <f>IF(OR(Apresentação!$E$4='Base de Dados e filtragem'!AJ$2,Apresentação!$E$4='Base de Dados e filtragem'!F185),1,0)</f>
        <v>1</v>
      </c>
      <c r="AK185" s="25">
        <f>IF(OR(Apresentação!$E$5='Base de Dados e filtragem'!AK$2,Apresentação!$E$5='Base de Dados e filtragem'!G185),1,0)</f>
        <v>1</v>
      </c>
      <c r="AL185" s="25">
        <f>IF(OR(Apresentação!$E$6='Base de Dados e filtragem'!AL$2,Apresentação!$E$6='Base de Dados e filtragem'!H185),1,0)</f>
        <v>1</v>
      </c>
      <c r="AM185" s="25">
        <f>IF(OR(Apresentação!$I$2='Base de Dados e filtragem'!AM$2,Apresentação!$I$2='Base de Dados e filtragem'!I185),1,0)</f>
        <v>1</v>
      </c>
      <c r="AN185" s="25">
        <f>IF(OR(Apresentação!$I$3='Base de Dados e filtragem'!AN$2,Apresentação!$I$3='Base de Dados e filtragem'!J185),1,0)</f>
        <v>1</v>
      </c>
      <c r="AO185" s="25">
        <f>IF(OR(Apresentação!$I$4='Base de Dados e filtragem'!AO$2,Apresentação!$I$4='Base de Dados e filtragem'!K185),1,0)</f>
        <v>1</v>
      </c>
      <c r="AP185" s="25">
        <f>IF(OR(Apresentação!$I$5='Base de Dados e filtragem'!AP$2,Apresentação!$I$5='Base de Dados e filtragem'!L185),1,0)</f>
        <v>1</v>
      </c>
      <c r="AQ185" s="25">
        <f>IF(OR(Apresentação!$I$6='Base de Dados e filtragem'!AQ$2,Apresentação!$I$6='Base de Dados e filtragem'!M185),1,0)</f>
        <v>1</v>
      </c>
      <c r="AR185" s="25">
        <v>1</v>
      </c>
      <c r="AS185" s="25">
        <v>1</v>
      </c>
      <c r="AT185" s="25">
        <v>1</v>
      </c>
      <c r="AU185" s="25">
        <v>1</v>
      </c>
      <c r="AV185" s="25">
        <v>1</v>
      </c>
      <c r="AW185" s="25">
        <v>1</v>
      </c>
      <c r="AX185" s="25">
        <v>1</v>
      </c>
      <c r="AY185" s="25">
        <v>1</v>
      </c>
      <c r="AZ185" s="25">
        <v>1</v>
      </c>
      <c r="BA185" s="25">
        <v>1</v>
      </c>
      <c r="BB185" s="25">
        <v>1</v>
      </c>
      <c r="BC185" s="25">
        <v>1</v>
      </c>
      <c r="BD185" s="25">
        <v>1</v>
      </c>
    </row>
    <row r="186" spans="27:56" x14ac:dyDescent="0.25">
      <c r="AA186" s="68" t="str">
        <f t="shared" si="9"/>
        <v>Fotos\\.jpg</v>
      </c>
      <c r="AB186" s="53">
        <f t="shared" si="10"/>
        <v>5.3763440860215058E-3</v>
      </c>
      <c r="AC186" s="25">
        <f t="shared" si="11"/>
        <v>186</v>
      </c>
      <c r="AD186" s="51">
        <f t="shared" si="12"/>
        <v>1</v>
      </c>
      <c r="AE186" s="25">
        <v>1</v>
      </c>
      <c r="AF186" s="25">
        <v>1</v>
      </c>
      <c r="AG186" s="25">
        <v>1</v>
      </c>
      <c r="AH186" s="25">
        <v>1</v>
      </c>
      <c r="AI186" s="25">
        <f>IF(OR(Apresentação!$E$3='Base de Dados e filtragem'!AI$2,Apresentação!$E$3='Base de Dados e filtragem'!E186),1,0)</f>
        <v>1</v>
      </c>
      <c r="AJ186" s="25">
        <f>IF(OR(Apresentação!$E$4='Base de Dados e filtragem'!AJ$2,Apresentação!$E$4='Base de Dados e filtragem'!F186),1,0)</f>
        <v>1</v>
      </c>
      <c r="AK186" s="25">
        <f>IF(OR(Apresentação!$E$5='Base de Dados e filtragem'!AK$2,Apresentação!$E$5='Base de Dados e filtragem'!G186),1,0)</f>
        <v>1</v>
      </c>
      <c r="AL186" s="25">
        <f>IF(OR(Apresentação!$E$6='Base de Dados e filtragem'!AL$2,Apresentação!$E$6='Base de Dados e filtragem'!H186),1,0)</f>
        <v>1</v>
      </c>
      <c r="AM186" s="25">
        <f>IF(OR(Apresentação!$I$2='Base de Dados e filtragem'!AM$2,Apresentação!$I$2='Base de Dados e filtragem'!I186),1,0)</f>
        <v>1</v>
      </c>
      <c r="AN186" s="25">
        <f>IF(OR(Apresentação!$I$3='Base de Dados e filtragem'!AN$2,Apresentação!$I$3='Base de Dados e filtragem'!J186),1,0)</f>
        <v>1</v>
      </c>
      <c r="AO186" s="25">
        <f>IF(OR(Apresentação!$I$4='Base de Dados e filtragem'!AO$2,Apresentação!$I$4='Base de Dados e filtragem'!K186),1,0)</f>
        <v>1</v>
      </c>
      <c r="AP186" s="25">
        <f>IF(OR(Apresentação!$I$5='Base de Dados e filtragem'!AP$2,Apresentação!$I$5='Base de Dados e filtragem'!L186),1,0)</f>
        <v>1</v>
      </c>
      <c r="AQ186" s="25">
        <f>IF(OR(Apresentação!$I$6='Base de Dados e filtragem'!AQ$2,Apresentação!$I$6='Base de Dados e filtragem'!M186),1,0)</f>
        <v>1</v>
      </c>
      <c r="AR186" s="25">
        <v>1</v>
      </c>
      <c r="AS186" s="25">
        <v>1</v>
      </c>
      <c r="AT186" s="25">
        <v>1</v>
      </c>
      <c r="AU186" s="25">
        <v>1</v>
      </c>
      <c r="AV186" s="25">
        <v>1</v>
      </c>
      <c r="AW186" s="25">
        <v>1</v>
      </c>
      <c r="AX186" s="25">
        <v>1</v>
      </c>
      <c r="AY186" s="25">
        <v>1</v>
      </c>
      <c r="AZ186" s="25">
        <v>1</v>
      </c>
      <c r="BA186" s="25">
        <v>1</v>
      </c>
      <c r="BB186" s="25">
        <v>1</v>
      </c>
      <c r="BC186" s="25">
        <v>1</v>
      </c>
      <c r="BD186" s="25">
        <v>1</v>
      </c>
    </row>
    <row r="187" spans="27:56" x14ac:dyDescent="0.25">
      <c r="AA187" s="68" t="str">
        <f t="shared" si="9"/>
        <v>Fotos\\.jpg</v>
      </c>
      <c r="AB187" s="53">
        <f t="shared" si="10"/>
        <v>5.3475935828877002E-3</v>
      </c>
      <c r="AC187" s="25">
        <f t="shared" si="11"/>
        <v>187</v>
      </c>
      <c r="AD187" s="51">
        <f t="shared" si="12"/>
        <v>1</v>
      </c>
      <c r="AE187" s="25">
        <v>1</v>
      </c>
      <c r="AF187" s="25">
        <v>1</v>
      </c>
      <c r="AG187" s="25">
        <v>1</v>
      </c>
      <c r="AH187" s="25">
        <v>1</v>
      </c>
      <c r="AI187" s="25">
        <f>IF(OR(Apresentação!$E$3='Base de Dados e filtragem'!AI$2,Apresentação!$E$3='Base de Dados e filtragem'!E187),1,0)</f>
        <v>1</v>
      </c>
      <c r="AJ187" s="25">
        <f>IF(OR(Apresentação!$E$4='Base de Dados e filtragem'!AJ$2,Apresentação!$E$4='Base de Dados e filtragem'!F187),1,0)</f>
        <v>1</v>
      </c>
      <c r="AK187" s="25">
        <f>IF(OR(Apresentação!$E$5='Base de Dados e filtragem'!AK$2,Apresentação!$E$5='Base de Dados e filtragem'!G187),1,0)</f>
        <v>1</v>
      </c>
      <c r="AL187" s="25">
        <f>IF(OR(Apresentação!$E$6='Base de Dados e filtragem'!AL$2,Apresentação!$E$6='Base de Dados e filtragem'!H187),1,0)</f>
        <v>1</v>
      </c>
      <c r="AM187" s="25">
        <f>IF(OR(Apresentação!$I$2='Base de Dados e filtragem'!AM$2,Apresentação!$I$2='Base de Dados e filtragem'!I187),1,0)</f>
        <v>1</v>
      </c>
      <c r="AN187" s="25">
        <f>IF(OR(Apresentação!$I$3='Base de Dados e filtragem'!AN$2,Apresentação!$I$3='Base de Dados e filtragem'!J187),1,0)</f>
        <v>1</v>
      </c>
      <c r="AO187" s="25">
        <f>IF(OR(Apresentação!$I$4='Base de Dados e filtragem'!AO$2,Apresentação!$I$4='Base de Dados e filtragem'!K187),1,0)</f>
        <v>1</v>
      </c>
      <c r="AP187" s="25">
        <f>IF(OR(Apresentação!$I$5='Base de Dados e filtragem'!AP$2,Apresentação!$I$5='Base de Dados e filtragem'!L187),1,0)</f>
        <v>1</v>
      </c>
      <c r="AQ187" s="25">
        <f>IF(OR(Apresentação!$I$6='Base de Dados e filtragem'!AQ$2,Apresentação!$I$6='Base de Dados e filtragem'!M187),1,0)</f>
        <v>1</v>
      </c>
      <c r="AR187" s="25">
        <v>1</v>
      </c>
      <c r="AS187" s="25">
        <v>1</v>
      </c>
      <c r="AT187" s="25">
        <v>1</v>
      </c>
      <c r="AU187" s="25">
        <v>1</v>
      </c>
      <c r="AV187" s="25">
        <v>1</v>
      </c>
      <c r="AW187" s="25">
        <v>1</v>
      </c>
      <c r="AX187" s="25">
        <v>1</v>
      </c>
      <c r="AY187" s="25">
        <v>1</v>
      </c>
      <c r="AZ187" s="25">
        <v>1</v>
      </c>
      <c r="BA187" s="25">
        <v>1</v>
      </c>
      <c r="BB187" s="25">
        <v>1</v>
      </c>
      <c r="BC187" s="25">
        <v>1</v>
      </c>
      <c r="BD187" s="25">
        <v>1</v>
      </c>
    </row>
    <row r="188" spans="27:56" x14ac:dyDescent="0.25">
      <c r="AA188" s="68" t="str">
        <f t="shared" si="9"/>
        <v>Fotos\\.jpg</v>
      </c>
      <c r="AB188" s="53">
        <f t="shared" si="10"/>
        <v>5.3191489361702126E-3</v>
      </c>
      <c r="AC188" s="25">
        <f t="shared" si="11"/>
        <v>188</v>
      </c>
      <c r="AD188" s="51">
        <f t="shared" si="12"/>
        <v>1</v>
      </c>
      <c r="AE188" s="25">
        <v>1</v>
      </c>
      <c r="AF188" s="25">
        <v>1</v>
      </c>
      <c r="AG188" s="25">
        <v>1</v>
      </c>
      <c r="AH188" s="25">
        <v>1</v>
      </c>
      <c r="AI188" s="25">
        <f>IF(OR(Apresentação!$E$3='Base de Dados e filtragem'!AI$2,Apresentação!$E$3='Base de Dados e filtragem'!E188),1,0)</f>
        <v>1</v>
      </c>
      <c r="AJ188" s="25">
        <f>IF(OR(Apresentação!$E$4='Base de Dados e filtragem'!AJ$2,Apresentação!$E$4='Base de Dados e filtragem'!F188),1,0)</f>
        <v>1</v>
      </c>
      <c r="AK188" s="25">
        <f>IF(OR(Apresentação!$E$5='Base de Dados e filtragem'!AK$2,Apresentação!$E$5='Base de Dados e filtragem'!G188),1,0)</f>
        <v>1</v>
      </c>
      <c r="AL188" s="25">
        <f>IF(OR(Apresentação!$E$6='Base de Dados e filtragem'!AL$2,Apresentação!$E$6='Base de Dados e filtragem'!H188),1,0)</f>
        <v>1</v>
      </c>
      <c r="AM188" s="25">
        <f>IF(OR(Apresentação!$I$2='Base de Dados e filtragem'!AM$2,Apresentação!$I$2='Base de Dados e filtragem'!I188),1,0)</f>
        <v>1</v>
      </c>
      <c r="AN188" s="25">
        <f>IF(OR(Apresentação!$I$3='Base de Dados e filtragem'!AN$2,Apresentação!$I$3='Base de Dados e filtragem'!J188),1,0)</f>
        <v>1</v>
      </c>
      <c r="AO188" s="25">
        <f>IF(OR(Apresentação!$I$4='Base de Dados e filtragem'!AO$2,Apresentação!$I$4='Base de Dados e filtragem'!K188),1,0)</f>
        <v>1</v>
      </c>
      <c r="AP188" s="25">
        <f>IF(OR(Apresentação!$I$5='Base de Dados e filtragem'!AP$2,Apresentação!$I$5='Base de Dados e filtragem'!L188),1,0)</f>
        <v>1</v>
      </c>
      <c r="AQ188" s="25">
        <f>IF(OR(Apresentação!$I$6='Base de Dados e filtragem'!AQ$2,Apresentação!$I$6='Base de Dados e filtragem'!M188),1,0)</f>
        <v>1</v>
      </c>
      <c r="AR188" s="25">
        <v>1</v>
      </c>
      <c r="AS188" s="25">
        <v>1</v>
      </c>
      <c r="AT188" s="25">
        <v>1</v>
      </c>
      <c r="AU188" s="25">
        <v>1</v>
      </c>
      <c r="AV188" s="25">
        <v>1</v>
      </c>
      <c r="AW188" s="25">
        <v>1</v>
      </c>
      <c r="AX188" s="25">
        <v>1</v>
      </c>
      <c r="AY188" s="25">
        <v>1</v>
      </c>
      <c r="AZ188" s="25">
        <v>1</v>
      </c>
      <c r="BA188" s="25">
        <v>1</v>
      </c>
      <c r="BB188" s="25">
        <v>1</v>
      </c>
      <c r="BC188" s="25">
        <v>1</v>
      </c>
      <c r="BD188" s="25">
        <v>1</v>
      </c>
    </row>
    <row r="189" spans="27:56" x14ac:dyDescent="0.25">
      <c r="AA189" s="68" t="str">
        <f t="shared" si="9"/>
        <v>Fotos\\.jpg</v>
      </c>
      <c r="AB189" s="53">
        <f t="shared" si="10"/>
        <v>5.2910052910052907E-3</v>
      </c>
      <c r="AC189" s="25">
        <f t="shared" si="11"/>
        <v>189</v>
      </c>
      <c r="AD189" s="51">
        <f t="shared" si="12"/>
        <v>1</v>
      </c>
      <c r="AE189" s="25">
        <v>1</v>
      </c>
      <c r="AF189" s="25">
        <v>1</v>
      </c>
      <c r="AG189" s="25">
        <v>1</v>
      </c>
      <c r="AH189" s="25">
        <v>1</v>
      </c>
      <c r="AI189" s="25">
        <f>IF(OR(Apresentação!$E$3='Base de Dados e filtragem'!AI$2,Apresentação!$E$3='Base de Dados e filtragem'!E189),1,0)</f>
        <v>1</v>
      </c>
      <c r="AJ189" s="25">
        <f>IF(OR(Apresentação!$E$4='Base de Dados e filtragem'!AJ$2,Apresentação!$E$4='Base de Dados e filtragem'!F189),1,0)</f>
        <v>1</v>
      </c>
      <c r="AK189" s="25">
        <f>IF(OR(Apresentação!$E$5='Base de Dados e filtragem'!AK$2,Apresentação!$E$5='Base de Dados e filtragem'!G189),1,0)</f>
        <v>1</v>
      </c>
      <c r="AL189" s="25">
        <f>IF(OR(Apresentação!$E$6='Base de Dados e filtragem'!AL$2,Apresentação!$E$6='Base de Dados e filtragem'!H189),1,0)</f>
        <v>1</v>
      </c>
      <c r="AM189" s="25">
        <f>IF(OR(Apresentação!$I$2='Base de Dados e filtragem'!AM$2,Apresentação!$I$2='Base de Dados e filtragem'!I189),1,0)</f>
        <v>1</v>
      </c>
      <c r="AN189" s="25">
        <f>IF(OR(Apresentação!$I$3='Base de Dados e filtragem'!AN$2,Apresentação!$I$3='Base de Dados e filtragem'!J189),1,0)</f>
        <v>1</v>
      </c>
      <c r="AO189" s="25">
        <f>IF(OR(Apresentação!$I$4='Base de Dados e filtragem'!AO$2,Apresentação!$I$4='Base de Dados e filtragem'!K189),1,0)</f>
        <v>1</v>
      </c>
      <c r="AP189" s="25">
        <f>IF(OR(Apresentação!$I$5='Base de Dados e filtragem'!AP$2,Apresentação!$I$5='Base de Dados e filtragem'!L189),1,0)</f>
        <v>1</v>
      </c>
      <c r="AQ189" s="25">
        <f>IF(OR(Apresentação!$I$6='Base de Dados e filtragem'!AQ$2,Apresentação!$I$6='Base de Dados e filtragem'!M189),1,0)</f>
        <v>1</v>
      </c>
      <c r="AR189" s="25">
        <v>1</v>
      </c>
      <c r="AS189" s="25">
        <v>1</v>
      </c>
      <c r="AT189" s="25">
        <v>1</v>
      </c>
      <c r="AU189" s="25">
        <v>1</v>
      </c>
      <c r="AV189" s="25">
        <v>1</v>
      </c>
      <c r="AW189" s="25">
        <v>1</v>
      </c>
      <c r="AX189" s="25">
        <v>1</v>
      </c>
      <c r="AY189" s="25">
        <v>1</v>
      </c>
      <c r="AZ189" s="25">
        <v>1</v>
      </c>
      <c r="BA189" s="25">
        <v>1</v>
      </c>
      <c r="BB189" s="25">
        <v>1</v>
      </c>
      <c r="BC189" s="25">
        <v>1</v>
      </c>
      <c r="BD189" s="25">
        <v>1</v>
      </c>
    </row>
    <row r="190" spans="27:56" x14ac:dyDescent="0.25">
      <c r="AA190" s="68" t="str">
        <f t="shared" si="9"/>
        <v>Fotos\\.jpg</v>
      </c>
      <c r="AB190" s="53">
        <f t="shared" si="10"/>
        <v>5.263157894736842E-3</v>
      </c>
      <c r="AC190" s="25">
        <f t="shared" si="11"/>
        <v>190</v>
      </c>
      <c r="AD190" s="51">
        <f t="shared" si="12"/>
        <v>1</v>
      </c>
      <c r="AE190" s="25">
        <v>1</v>
      </c>
      <c r="AF190" s="25">
        <v>1</v>
      </c>
      <c r="AG190" s="25">
        <v>1</v>
      </c>
      <c r="AH190" s="25">
        <v>1</v>
      </c>
      <c r="AI190" s="25">
        <f>IF(OR(Apresentação!$E$3='Base de Dados e filtragem'!AI$2,Apresentação!$E$3='Base de Dados e filtragem'!E190),1,0)</f>
        <v>1</v>
      </c>
      <c r="AJ190" s="25">
        <f>IF(OR(Apresentação!$E$4='Base de Dados e filtragem'!AJ$2,Apresentação!$E$4='Base de Dados e filtragem'!F190),1,0)</f>
        <v>1</v>
      </c>
      <c r="AK190" s="25">
        <f>IF(OR(Apresentação!$E$5='Base de Dados e filtragem'!AK$2,Apresentação!$E$5='Base de Dados e filtragem'!G190),1,0)</f>
        <v>1</v>
      </c>
      <c r="AL190" s="25">
        <f>IF(OR(Apresentação!$E$6='Base de Dados e filtragem'!AL$2,Apresentação!$E$6='Base de Dados e filtragem'!H190),1,0)</f>
        <v>1</v>
      </c>
      <c r="AM190" s="25">
        <f>IF(OR(Apresentação!$I$2='Base de Dados e filtragem'!AM$2,Apresentação!$I$2='Base de Dados e filtragem'!I190),1,0)</f>
        <v>1</v>
      </c>
      <c r="AN190" s="25">
        <f>IF(OR(Apresentação!$I$3='Base de Dados e filtragem'!AN$2,Apresentação!$I$3='Base de Dados e filtragem'!J190),1,0)</f>
        <v>1</v>
      </c>
      <c r="AO190" s="25">
        <f>IF(OR(Apresentação!$I$4='Base de Dados e filtragem'!AO$2,Apresentação!$I$4='Base de Dados e filtragem'!K190),1,0)</f>
        <v>1</v>
      </c>
      <c r="AP190" s="25">
        <f>IF(OR(Apresentação!$I$5='Base de Dados e filtragem'!AP$2,Apresentação!$I$5='Base de Dados e filtragem'!L190),1,0)</f>
        <v>1</v>
      </c>
      <c r="AQ190" s="25">
        <f>IF(OR(Apresentação!$I$6='Base de Dados e filtragem'!AQ$2,Apresentação!$I$6='Base de Dados e filtragem'!M190),1,0)</f>
        <v>1</v>
      </c>
      <c r="AR190" s="25">
        <v>1</v>
      </c>
      <c r="AS190" s="25">
        <v>1</v>
      </c>
      <c r="AT190" s="25">
        <v>1</v>
      </c>
      <c r="AU190" s="25">
        <v>1</v>
      </c>
      <c r="AV190" s="25">
        <v>1</v>
      </c>
      <c r="AW190" s="25">
        <v>1</v>
      </c>
      <c r="AX190" s="25">
        <v>1</v>
      </c>
      <c r="AY190" s="25">
        <v>1</v>
      </c>
      <c r="AZ190" s="25">
        <v>1</v>
      </c>
      <c r="BA190" s="25">
        <v>1</v>
      </c>
      <c r="BB190" s="25">
        <v>1</v>
      </c>
      <c r="BC190" s="25">
        <v>1</v>
      </c>
      <c r="BD190" s="25">
        <v>1</v>
      </c>
    </row>
    <row r="191" spans="27:56" x14ac:dyDescent="0.25">
      <c r="AA191" s="68" t="str">
        <f t="shared" si="9"/>
        <v>Fotos\\.jpg</v>
      </c>
      <c r="AB191" s="53">
        <f t="shared" si="10"/>
        <v>5.235602094240838E-3</v>
      </c>
      <c r="AC191" s="25">
        <f t="shared" si="11"/>
        <v>191</v>
      </c>
      <c r="AD191" s="51">
        <f t="shared" si="12"/>
        <v>1</v>
      </c>
      <c r="AE191" s="25">
        <v>1</v>
      </c>
      <c r="AF191" s="25">
        <v>1</v>
      </c>
      <c r="AG191" s="25">
        <v>1</v>
      </c>
      <c r="AH191" s="25">
        <v>1</v>
      </c>
      <c r="AI191" s="25">
        <f>IF(OR(Apresentação!$E$3='Base de Dados e filtragem'!AI$2,Apresentação!$E$3='Base de Dados e filtragem'!E191),1,0)</f>
        <v>1</v>
      </c>
      <c r="AJ191" s="25">
        <f>IF(OR(Apresentação!$E$4='Base de Dados e filtragem'!AJ$2,Apresentação!$E$4='Base de Dados e filtragem'!F191),1,0)</f>
        <v>1</v>
      </c>
      <c r="AK191" s="25">
        <f>IF(OR(Apresentação!$E$5='Base de Dados e filtragem'!AK$2,Apresentação!$E$5='Base de Dados e filtragem'!G191),1,0)</f>
        <v>1</v>
      </c>
      <c r="AL191" s="25">
        <f>IF(OR(Apresentação!$E$6='Base de Dados e filtragem'!AL$2,Apresentação!$E$6='Base de Dados e filtragem'!H191),1,0)</f>
        <v>1</v>
      </c>
      <c r="AM191" s="25">
        <f>IF(OR(Apresentação!$I$2='Base de Dados e filtragem'!AM$2,Apresentação!$I$2='Base de Dados e filtragem'!I191),1,0)</f>
        <v>1</v>
      </c>
      <c r="AN191" s="25">
        <f>IF(OR(Apresentação!$I$3='Base de Dados e filtragem'!AN$2,Apresentação!$I$3='Base de Dados e filtragem'!J191),1,0)</f>
        <v>1</v>
      </c>
      <c r="AO191" s="25">
        <f>IF(OR(Apresentação!$I$4='Base de Dados e filtragem'!AO$2,Apresentação!$I$4='Base de Dados e filtragem'!K191),1,0)</f>
        <v>1</v>
      </c>
      <c r="AP191" s="25">
        <f>IF(OR(Apresentação!$I$5='Base de Dados e filtragem'!AP$2,Apresentação!$I$5='Base de Dados e filtragem'!L191),1,0)</f>
        <v>1</v>
      </c>
      <c r="AQ191" s="25">
        <f>IF(OR(Apresentação!$I$6='Base de Dados e filtragem'!AQ$2,Apresentação!$I$6='Base de Dados e filtragem'!M191),1,0)</f>
        <v>1</v>
      </c>
      <c r="AR191" s="25">
        <v>1</v>
      </c>
      <c r="AS191" s="25">
        <v>1</v>
      </c>
      <c r="AT191" s="25">
        <v>1</v>
      </c>
      <c r="AU191" s="25">
        <v>1</v>
      </c>
      <c r="AV191" s="25">
        <v>1</v>
      </c>
      <c r="AW191" s="25">
        <v>1</v>
      </c>
      <c r="AX191" s="25">
        <v>1</v>
      </c>
      <c r="AY191" s="25">
        <v>1</v>
      </c>
      <c r="AZ191" s="25">
        <v>1</v>
      </c>
      <c r="BA191" s="25">
        <v>1</v>
      </c>
      <c r="BB191" s="25">
        <v>1</v>
      </c>
      <c r="BC191" s="25">
        <v>1</v>
      </c>
      <c r="BD191" s="25">
        <v>1</v>
      </c>
    </row>
    <row r="192" spans="27:56" x14ac:dyDescent="0.25">
      <c r="AA192" s="68" t="str">
        <f t="shared" si="9"/>
        <v>Fotos\\.jpg</v>
      </c>
      <c r="AB192" s="53">
        <f t="shared" si="10"/>
        <v>5.208333333333333E-3</v>
      </c>
      <c r="AC192" s="25">
        <f t="shared" si="11"/>
        <v>192</v>
      </c>
      <c r="AD192" s="51">
        <f t="shared" si="12"/>
        <v>1</v>
      </c>
      <c r="AE192" s="25">
        <v>1</v>
      </c>
      <c r="AF192" s="25">
        <v>1</v>
      </c>
      <c r="AG192" s="25">
        <v>1</v>
      </c>
      <c r="AH192" s="25">
        <v>1</v>
      </c>
      <c r="AI192" s="25">
        <f>IF(OR(Apresentação!$E$3='Base de Dados e filtragem'!AI$2,Apresentação!$E$3='Base de Dados e filtragem'!E192),1,0)</f>
        <v>1</v>
      </c>
      <c r="AJ192" s="25">
        <f>IF(OR(Apresentação!$E$4='Base de Dados e filtragem'!AJ$2,Apresentação!$E$4='Base de Dados e filtragem'!F192),1,0)</f>
        <v>1</v>
      </c>
      <c r="AK192" s="25">
        <f>IF(OR(Apresentação!$E$5='Base de Dados e filtragem'!AK$2,Apresentação!$E$5='Base de Dados e filtragem'!G192),1,0)</f>
        <v>1</v>
      </c>
      <c r="AL192" s="25">
        <f>IF(OR(Apresentação!$E$6='Base de Dados e filtragem'!AL$2,Apresentação!$E$6='Base de Dados e filtragem'!H192),1,0)</f>
        <v>1</v>
      </c>
      <c r="AM192" s="25">
        <f>IF(OR(Apresentação!$I$2='Base de Dados e filtragem'!AM$2,Apresentação!$I$2='Base de Dados e filtragem'!I192),1,0)</f>
        <v>1</v>
      </c>
      <c r="AN192" s="25">
        <f>IF(OR(Apresentação!$I$3='Base de Dados e filtragem'!AN$2,Apresentação!$I$3='Base de Dados e filtragem'!J192),1,0)</f>
        <v>1</v>
      </c>
      <c r="AO192" s="25">
        <f>IF(OR(Apresentação!$I$4='Base de Dados e filtragem'!AO$2,Apresentação!$I$4='Base de Dados e filtragem'!K192),1,0)</f>
        <v>1</v>
      </c>
      <c r="AP192" s="25">
        <f>IF(OR(Apresentação!$I$5='Base de Dados e filtragem'!AP$2,Apresentação!$I$5='Base de Dados e filtragem'!L192),1,0)</f>
        <v>1</v>
      </c>
      <c r="AQ192" s="25">
        <f>IF(OR(Apresentação!$I$6='Base de Dados e filtragem'!AQ$2,Apresentação!$I$6='Base de Dados e filtragem'!M192),1,0)</f>
        <v>1</v>
      </c>
      <c r="AR192" s="25">
        <v>1</v>
      </c>
      <c r="AS192" s="25">
        <v>1</v>
      </c>
      <c r="AT192" s="25">
        <v>1</v>
      </c>
      <c r="AU192" s="25">
        <v>1</v>
      </c>
      <c r="AV192" s="25">
        <v>1</v>
      </c>
      <c r="AW192" s="25">
        <v>1</v>
      </c>
      <c r="AX192" s="25">
        <v>1</v>
      </c>
      <c r="AY192" s="25">
        <v>1</v>
      </c>
      <c r="AZ192" s="25">
        <v>1</v>
      </c>
      <c r="BA192" s="25">
        <v>1</v>
      </c>
      <c r="BB192" s="25">
        <v>1</v>
      </c>
      <c r="BC192" s="25">
        <v>1</v>
      </c>
      <c r="BD192" s="25">
        <v>1</v>
      </c>
    </row>
    <row r="193" spans="27:56" x14ac:dyDescent="0.25">
      <c r="AA193" s="68" t="str">
        <f t="shared" si="9"/>
        <v>Fotos\\.jpg</v>
      </c>
      <c r="AB193" s="53">
        <f t="shared" si="10"/>
        <v>5.1813471502590676E-3</v>
      </c>
      <c r="AC193" s="25">
        <f t="shared" si="11"/>
        <v>193</v>
      </c>
      <c r="AD193" s="51">
        <f t="shared" si="12"/>
        <v>1</v>
      </c>
      <c r="AE193" s="25">
        <v>1</v>
      </c>
      <c r="AF193" s="25">
        <v>1</v>
      </c>
      <c r="AG193" s="25">
        <v>1</v>
      </c>
      <c r="AH193" s="25">
        <v>1</v>
      </c>
      <c r="AI193" s="25">
        <f>IF(OR(Apresentação!$E$3='Base de Dados e filtragem'!AI$2,Apresentação!$E$3='Base de Dados e filtragem'!E193),1,0)</f>
        <v>1</v>
      </c>
      <c r="AJ193" s="25">
        <f>IF(OR(Apresentação!$E$4='Base de Dados e filtragem'!AJ$2,Apresentação!$E$4='Base de Dados e filtragem'!F193),1,0)</f>
        <v>1</v>
      </c>
      <c r="AK193" s="25">
        <f>IF(OR(Apresentação!$E$5='Base de Dados e filtragem'!AK$2,Apresentação!$E$5='Base de Dados e filtragem'!G193),1,0)</f>
        <v>1</v>
      </c>
      <c r="AL193" s="25">
        <f>IF(OR(Apresentação!$E$6='Base de Dados e filtragem'!AL$2,Apresentação!$E$6='Base de Dados e filtragem'!H193),1,0)</f>
        <v>1</v>
      </c>
      <c r="AM193" s="25">
        <f>IF(OR(Apresentação!$I$2='Base de Dados e filtragem'!AM$2,Apresentação!$I$2='Base de Dados e filtragem'!I193),1,0)</f>
        <v>1</v>
      </c>
      <c r="AN193" s="25">
        <f>IF(OR(Apresentação!$I$3='Base de Dados e filtragem'!AN$2,Apresentação!$I$3='Base de Dados e filtragem'!J193),1,0)</f>
        <v>1</v>
      </c>
      <c r="AO193" s="25">
        <f>IF(OR(Apresentação!$I$4='Base de Dados e filtragem'!AO$2,Apresentação!$I$4='Base de Dados e filtragem'!K193),1,0)</f>
        <v>1</v>
      </c>
      <c r="AP193" s="25">
        <f>IF(OR(Apresentação!$I$5='Base de Dados e filtragem'!AP$2,Apresentação!$I$5='Base de Dados e filtragem'!L193),1,0)</f>
        <v>1</v>
      </c>
      <c r="AQ193" s="25">
        <f>IF(OR(Apresentação!$I$6='Base de Dados e filtragem'!AQ$2,Apresentação!$I$6='Base de Dados e filtragem'!M193),1,0)</f>
        <v>1</v>
      </c>
      <c r="AR193" s="25">
        <v>1</v>
      </c>
      <c r="AS193" s="25">
        <v>1</v>
      </c>
      <c r="AT193" s="25">
        <v>1</v>
      </c>
      <c r="AU193" s="25">
        <v>1</v>
      </c>
      <c r="AV193" s="25">
        <v>1</v>
      </c>
      <c r="AW193" s="25">
        <v>1</v>
      </c>
      <c r="AX193" s="25">
        <v>1</v>
      </c>
      <c r="AY193" s="25">
        <v>1</v>
      </c>
      <c r="AZ193" s="25">
        <v>1</v>
      </c>
      <c r="BA193" s="25">
        <v>1</v>
      </c>
      <c r="BB193" s="25">
        <v>1</v>
      </c>
      <c r="BC193" s="25">
        <v>1</v>
      </c>
      <c r="BD193" s="25">
        <v>1</v>
      </c>
    </row>
    <row r="194" spans="27:56" x14ac:dyDescent="0.25">
      <c r="AA194" s="68" t="str">
        <f t="shared" si="9"/>
        <v>Fotos\\.jpg</v>
      </c>
      <c r="AB194" s="53">
        <f t="shared" si="10"/>
        <v>5.1546391752577319E-3</v>
      </c>
      <c r="AC194" s="25">
        <f t="shared" si="11"/>
        <v>194</v>
      </c>
      <c r="AD194" s="51">
        <f t="shared" si="12"/>
        <v>1</v>
      </c>
      <c r="AE194" s="25">
        <v>1</v>
      </c>
      <c r="AF194" s="25">
        <v>1</v>
      </c>
      <c r="AG194" s="25">
        <v>1</v>
      </c>
      <c r="AH194" s="25">
        <v>1</v>
      </c>
      <c r="AI194" s="25">
        <f>IF(OR(Apresentação!$E$3='Base de Dados e filtragem'!AI$2,Apresentação!$E$3='Base de Dados e filtragem'!E194),1,0)</f>
        <v>1</v>
      </c>
      <c r="AJ194" s="25">
        <f>IF(OR(Apresentação!$E$4='Base de Dados e filtragem'!AJ$2,Apresentação!$E$4='Base de Dados e filtragem'!F194),1,0)</f>
        <v>1</v>
      </c>
      <c r="AK194" s="25">
        <f>IF(OR(Apresentação!$E$5='Base de Dados e filtragem'!AK$2,Apresentação!$E$5='Base de Dados e filtragem'!G194),1,0)</f>
        <v>1</v>
      </c>
      <c r="AL194" s="25">
        <f>IF(OR(Apresentação!$E$6='Base de Dados e filtragem'!AL$2,Apresentação!$E$6='Base de Dados e filtragem'!H194),1,0)</f>
        <v>1</v>
      </c>
      <c r="AM194" s="25">
        <f>IF(OR(Apresentação!$I$2='Base de Dados e filtragem'!AM$2,Apresentação!$I$2='Base de Dados e filtragem'!I194),1,0)</f>
        <v>1</v>
      </c>
      <c r="AN194" s="25">
        <f>IF(OR(Apresentação!$I$3='Base de Dados e filtragem'!AN$2,Apresentação!$I$3='Base de Dados e filtragem'!J194),1,0)</f>
        <v>1</v>
      </c>
      <c r="AO194" s="25">
        <f>IF(OR(Apresentação!$I$4='Base de Dados e filtragem'!AO$2,Apresentação!$I$4='Base de Dados e filtragem'!K194),1,0)</f>
        <v>1</v>
      </c>
      <c r="AP194" s="25">
        <f>IF(OR(Apresentação!$I$5='Base de Dados e filtragem'!AP$2,Apresentação!$I$5='Base de Dados e filtragem'!L194),1,0)</f>
        <v>1</v>
      </c>
      <c r="AQ194" s="25">
        <f>IF(OR(Apresentação!$I$6='Base de Dados e filtragem'!AQ$2,Apresentação!$I$6='Base de Dados e filtragem'!M194),1,0)</f>
        <v>1</v>
      </c>
      <c r="AR194" s="25">
        <v>1</v>
      </c>
      <c r="AS194" s="25">
        <v>1</v>
      </c>
      <c r="AT194" s="25">
        <v>1</v>
      </c>
      <c r="AU194" s="25">
        <v>1</v>
      </c>
      <c r="AV194" s="25">
        <v>1</v>
      </c>
      <c r="AW194" s="25">
        <v>1</v>
      </c>
      <c r="AX194" s="25">
        <v>1</v>
      </c>
      <c r="AY194" s="25">
        <v>1</v>
      </c>
      <c r="AZ194" s="25">
        <v>1</v>
      </c>
      <c r="BA194" s="25">
        <v>1</v>
      </c>
      <c r="BB194" s="25">
        <v>1</v>
      </c>
      <c r="BC194" s="25">
        <v>1</v>
      </c>
      <c r="BD194" s="25">
        <v>1</v>
      </c>
    </row>
    <row r="195" spans="27:56" x14ac:dyDescent="0.25">
      <c r="AA195" s="68" t="str">
        <f t="shared" si="9"/>
        <v>Fotos\\.jpg</v>
      </c>
      <c r="AB195" s="53">
        <f t="shared" si="10"/>
        <v>5.1282051282051282E-3</v>
      </c>
      <c r="AC195" s="25">
        <f t="shared" si="11"/>
        <v>195</v>
      </c>
      <c r="AD195" s="51">
        <f t="shared" si="12"/>
        <v>1</v>
      </c>
      <c r="AE195" s="25">
        <v>1</v>
      </c>
      <c r="AF195" s="25">
        <v>1</v>
      </c>
      <c r="AG195" s="25">
        <v>1</v>
      </c>
      <c r="AH195" s="25">
        <v>1</v>
      </c>
      <c r="AI195" s="25">
        <f>IF(OR(Apresentação!$E$3='Base de Dados e filtragem'!AI$2,Apresentação!$E$3='Base de Dados e filtragem'!E195),1,0)</f>
        <v>1</v>
      </c>
      <c r="AJ195" s="25">
        <f>IF(OR(Apresentação!$E$4='Base de Dados e filtragem'!AJ$2,Apresentação!$E$4='Base de Dados e filtragem'!F195),1,0)</f>
        <v>1</v>
      </c>
      <c r="AK195" s="25">
        <f>IF(OR(Apresentação!$E$5='Base de Dados e filtragem'!AK$2,Apresentação!$E$5='Base de Dados e filtragem'!G195),1,0)</f>
        <v>1</v>
      </c>
      <c r="AL195" s="25">
        <f>IF(OR(Apresentação!$E$6='Base de Dados e filtragem'!AL$2,Apresentação!$E$6='Base de Dados e filtragem'!H195),1,0)</f>
        <v>1</v>
      </c>
      <c r="AM195" s="25">
        <f>IF(OR(Apresentação!$I$2='Base de Dados e filtragem'!AM$2,Apresentação!$I$2='Base de Dados e filtragem'!I195),1,0)</f>
        <v>1</v>
      </c>
      <c r="AN195" s="25">
        <f>IF(OR(Apresentação!$I$3='Base de Dados e filtragem'!AN$2,Apresentação!$I$3='Base de Dados e filtragem'!J195),1,0)</f>
        <v>1</v>
      </c>
      <c r="AO195" s="25">
        <f>IF(OR(Apresentação!$I$4='Base de Dados e filtragem'!AO$2,Apresentação!$I$4='Base de Dados e filtragem'!K195),1,0)</f>
        <v>1</v>
      </c>
      <c r="AP195" s="25">
        <f>IF(OR(Apresentação!$I$5='Base de Dados e filtragem'!AP$2,Apresentação!$I$5='Base de Dados e filtragem'!L195),1,0)</f>
        <v>1</v>
      </c>
      <c r="AQ195" s="25">
        <f>IF(OR(Apresentação!$I$6='Base de Dados e filtragem'!AQ$2,Apresentação!$I$6='Base de Dados e filtragem'!M195),1,0)</f>
        <v>1</v>
      </c>
      <c r="AR195" s="25">
        <v>1</v>
      </c>
      <c r="AS195" s="25">
        <v>1</v>
      </c>
      <c r="AT195" s="25">
        <v>1</v>
      </c>
      <c r="AU195" s="25">
        <v>1</v>
      </c>
      <c r="AV195" s="25">
        <v>1</v>
      </c>
      <c r="AW195" s="25">
        <v>1</v>
      </c>
      <c r="AX195" s="25">
        <v>1</v>
      </c>
      <c r="AY195" s="25">
        <v>1</v>
      </c>
      <c r="AZ195" s="25">
        <v>1</v>
      </c>
      <c r="BA195" s="25">
        <v>1</v>
      </c>
      <c r="BB195" s="25">
        <v>1</v>
      </c>
      <c r="BC195" s="25">
        <v>1</v>
      </c>
      <c r="BD195" s="25">
        <v>1</v>
      </c>
    </row>
    <row r="196" spans="27:56" x14ac:dyDescent="0.25">
      <c r="AA196" s="68" t="str">
        <f t="shared" ref="AA196:AA259" si="13">"Fotos\"&amp;I196&amp;"\"&amp;A196&amp;".jpg"</f>
        <v>Fotos\\.jpg</v>
      </c>
      <c r="AB196" s="53">
        <f t="shared" ref="AB196:AB259" si="14">AD196/AC196</f>
        <v>5.1020408163265302E-3</v>
      </c>
      <c r="AC196" s="25">
        <f t="shared" ref="AC196:AC259" si="15">AC195+1</f>
        <v>196</v>
      </c>
      <c r="AD196" s="51">
        <f t="shared" ref="AD196:AD259" si="16">PRODUCT(AE196:BD196)</f>
        <v>1</v>
      </c>
      <c r="AE196" s="25">
        <v>1</v>
      </c>
      <c r="AF196" s="25">
        <v>1</v>
      </c>
      <c r="AG196" s="25">
        <v>1</v>
      </c>
      <c r="AH196" s="25">
        <v>1</v>
      </c>
      <c r="AI196" s="25">
        <f>IF(OR(Apresentação!$E$3='Base de Dados e filtragem'!AI$2,Apresentação!$E$3='Base de Dados e filtragem'!E196),1,0)</f>
        <v>1</v>
      </c>
      <c r="AJ196" s="25">
        <f>IF(OR(Apresentação!$E$4='Base de Dados e filtragem'!AJ$2,Apresentação!$E$4='Base de Dados e filtragem'!F196),1,0)</f>
        <v>1</v>
      </c>
      <c r="AK196" s="25">
        <f>IF(OR(Apresentação!$E$5='Base de Dados e filtragem'!AK$2,Apresentação!$E$5='Base de Dados e filtragem'!G196),1,0)</f>
        <v>1</v>
      </c>
      <c r="AL196" s="25">
        <f>IF(OR(Apresentação!$E$6='Base de Dados e filtragem'!AL$2,Apresentação!$E$6='Base de Dados e filtragem'!H196),1,0)</f>
        <v>1</v>
      </c>
      <c r="AM196" s="25">
        <f>IF(OR(Apresentação!$I$2='Base de Dados e filtragem'!AM$2,Apresentação!$I$2='Base de Dados e filtragem'!I196),1,0)</f>
        <v>1</v>
      </c>
      <c r="AN196" s="25">
        <f>IF(OR(Apresentação!$I$3='Base de Dados e filtragem'!AN$2,Apresentação!$I$3='Base de Dados e filtragem'!J196),1,0)</f>
        <v>1</v>
      </c>
      <c r="AO196" s="25">
        <f>IF(OR(Apresentação!$I$4='Base de Dados e filtragem'!AO$2,Apresentação!$I$4='Base de Dados e filtragem'!K196),1,0)</f>
        <v>1</v>
      </c>
      <c r="AP196" s="25">
        <f>IF(OR(Apresentação!$I$5='Base de Dados e filtragem'!AP$2,Apresentação!$I$5='Base de Dados e filtragem'!L196),1,0)</f>
        <v>1</v>
      </c>
      <c r="AQ196" s="25">
        <f>IF(OR(Apresentação!$I$6='Base de Dados e filtragem'!AQ$2,Apresentação!$I$6='Base de Dados e filtragem'!M196),1,0)</f>
        <v>1</v>
      </c>
      <c r="AR196" s="25">
        <v>1</v>
      </c>
      <c r="AS196" s="25">
        <v>1</v>
      </c>
      <c r="AT196" s="25">
        <v>1</v>
      </c>
      <c r="AU196" s="25">
        <v>1</v>
      </c>
      <c r="AV196" s="25">
        <v>1</v>
      </c>
      <c r="AW196" s="25">
        <v>1</v>
      </c>
      <c r="AX196" s="25">
        <v>1</v>
      </c>
      <c r="AY196" s="25">
        <v>1</v>
      </c>
      <c r="AZ196" s="25">
        <v>1</v>
      </c>
      <c r="BA196" s="25">
        <v>1</v>
      </c>
      <c r="BB196" s="25">
        <v>1</v>
      </c>
      <c r="BC196" s="25">
        <v>1</v>
      </c>
      <c r="BD196" s="25">
        <v>1</v>
      </c>
    </row>
    <row r="197" spans="27:56" x14ac:dyDescent="0.25">
      <c r="AA197" s="68" t="str">
        <f t="shared" si="13"/>
        <v>Fotos\\.jpg</v>
      </c>
      <c r="AB197" s="53">
        <f t="shared" si="14"/>
        <v>5.076142131979695E-3</v>
      </c>
      <c r="AC197" s="25">
        <f t="shared" si="15"/>
        <v>197</v>
      </c>
      <c r="AD197" s="51">
        <f t="shared" si="16"/>
        <v>1</v>
      </c>
      <c r="AE197" s="25">
        <v>1</v>
      </c>
      <c r="AF197" s="25">
        <v>1</v>
      </c>
      <c r="AG197" s="25">
        <v>1</v>
      </c>
      <c r="AH197" s="25">
        <v>1</v>
      </c>
      <c r="AI197" s="25">
        <f>IF(OR(Apresentação!$E$3='Base de Dados e filtragem'!AI$2,Apresentação!$E$3='Base de Dados e filtragem'!E197),1,0)</f>
        <v>1</v>
      </c>
      <c r="AJ197" s="25">
        <f>IF(OR(Apresentação!$E$4='Base de Dados e filtragem'!AJ$2,Apresentação!$E$4='Base de Dados e filtragem'!F197),1,0)</f>
        <v>1</v>
      </c>
      <c r="AK197" s="25">
        <f>IF(OR(Apresentação!$E$5='Base de Dados e filtragem'!AK$2,Apresentação!$E$5='Base de Dados e filtragem'!G197),1,0)</f>
        <v>1</v>
      </c>
      <c r="AL197" s="25">
        <f>IF(OR(Apresentação!$E$6='Base de Dados e filtragem'!AL$2,Apresentação!$E$6='Base de Dados e filtragem'!H197),1,0)</f>
        <v>1</v>
      </c>
      <c r="AM197" s="25">
        <f>IF(OR(Apresentação!$I$2='Base de Dados e filtragem'!AM$2,Apresentação!$I$2='Base de Dados e filtragem'!I197),1,0)</f>
        <v>1</v>
      </c>
      <c r="AN197" s="25">
        <f>IF(OR(Apresentação!$I$3='Base de Dados e filtragem'!AN$2,Apresentação!$I$3='Base de Dados e filtragem'!J197),1,0)</f>
        <v>1</v>
      </c>
      <c r="AO197" s="25">
        <f>IF(OR(Apresentação!$I$4='Base de Dados e filtragem'!AO$2,Apresentação!$I$4='Base de Dados e filtragem'!K197),1,0)</f>
        <v>1</v>
      </c>
      <c r="AP197" s="25">
        <f>IF(OR(Apresentação!$I$5='Base de Dados e filtragem'!AP$2,Apresentação!$I$5='Base de Dados e filtragem'!L197),1,0)</f>
        <v>1</v>
      </c>
      <c r="AQ197" s="25">
        <f>IF(OR(Apresentação!$I$6='Base de Dados e filtragem'!AQ$2,Apresentação!$I$6='Base de Dados e filtragem'!M197),1,0)</f>
        <v>1</v>
      </c>
      <c r="AR197" s="25">
        <v>1</v>
      </c>
      <c r="AS197" s="25">
        <v>1</v>
      </c>
      <c r="AT197" s="25">
        <v>1</v>
      </c>
      <c r="AU197" s="25">
        <v>1</v>
      </c>
      <c r="AV197" s="25">
        <v>1</v>
      </c>
      <c r="AW197" s="25">
        <v>1</v>
      </c>
      <c r="AX197" s="25">
        <v>1</v>
      </c>
      <c r="AY197" s="25">
        <v>1</v>
      </c>
      <c r="AZ197" s="25">
        <v>1</v>
      </c>
      <c r="BA197" s="25">
        <v>1</v>
      </c>
      <c r="BB197" s="25">
        <v>1</v>
      </c>
      <c r="BC197" s="25">
        <v>1</v>
      </c>
      <c r="BD197" s="25">
        <v>1</v>
      </c>
    </row>
    <row r="198" spans="27:56" x14ac:dyDescent="0.25">
      <c r="AA198" s="68" t="str">
        <f t="shared" si="13"/>
        <v>Fotos\\.jpg</v>
      </c>
      <c r="AB198" s="53">
        <f t="shared" si="14"/>
        <v>5.0505050505050509E-3</v>
      </c>
      <c r="AC198" s="25">
        <f t="shared" si="15"/>
        <v>198</v>
      </c>
      <c r="AD198" s="51">
        <f t="shared" si="16"/>
        <v>1</v>
      </c>
      <c r="AE198" s="25">
        <v>1</v>
      </c>
      <c r="AF198" s="25">
        <v>1</v>
      </c>
      <c r="AG198" s="25">
        <v>1</v>
      </c>
      <c r="AH198" s="25">
        <v>1</v>
      </c>
      <c r="AI198" s="25">
        <f>IF(OR(Apresentação!$E$3='Base de Dados e filtragem'!AI$2,Apresentação!$E$3='Base de Dados e filtragem'!E198),1,0)</f>
        <v>1</v>
      </c>
      <c r="AJ198" s="25">
        <f>IF(OR(Apresentação!$E$4='Base de Dados e filtragem'!AJ$2,Apresentação!$E$4='Base de Dados e filtragem'!F198),1,0)</f>
        <v>1</v>
      </c>
      <c r="AK198" s="25">
        <f>IF(OR(Apresentação!$E$5='Base de Dados e filtragem'!AK$2,Apresentação!$E$5='Base de Dados e filtragem'!G198),1,0)</f>
        <v>1</v>
      </c>
      <c r="AL198" s="25">
        <f>IF(OR(Apresentação!$E$6='Base de Dados e filtragem'!AL$2,Apresentação!$E$6='Base de Dados e filtragem'!H198),1,0)</f>
        <v>1</v>
      </c>
      <c r="AM198" s="25">
        <f>IF(OR(Apresentação!$I$2='Base de Dados e filtragem'!AM$2,Apresentação!$I$2='Base de Dados e filtragem'!I198),1,0)</f>
        <v>1</v>
      </c>
      <c r="AN198" s="25">
        <f>IF(OR(Apresentação!$I$3='Base de Dados e filtragem'!AN$2,Apresentação!$I$3='Base de Dados e filtragem'!J198),1,0)</f>
        <v>1</v>
      </c>
      <c r="AO198" s="25">
        <f>IF(OR(Apresentação!$I$4='Base de Dados e filtragem'!AO$2,Apresentação!$I$4='Base de Dados e filtragem'!K198),1,0)</f>
        <v>1</v>
      </c>
      <c r="AP198" s="25">
        <f>IF(OR(Apresentação!$I$5='Base de Dados e filtragem'!AP$2,Apresentação!$I$5='Base de Dados e filtragem'!L198),1,0)</f>
        <v>1</v>
      </c>
      <c r="AQ198" s="25">
        <f>IF(OR(Apresentação!$I$6='Base de Dados e filtragem'!AQ$2,Apresentação!$I$6='Base de Dados e filtragem'!M198),1,0)</f>
        <v>1</v>
      </c>
      <c r="AR198" s="25">
        <v>1</v>
      </c>
      <c r="AS198" s="25">
        <v>1</v>
      </c>
      <c r="AT198" s="25">
        <v>1</v>
      </c>
      <c r="AU198" s="25">
        <v>1</v>
      </c>
      <c r="AV198" s="25">
        <v>1</v>
      </c>
      <c r="AW198" s="25">
        <v>1</v>
      </c>
      <c r="AX198" s="25">
        <v>1</v>
      </c>
      <c r="AY198" s="25">
        <v>1</v>
      </c>
      <c r="AZ198" s="25">
        <v>1</v>
      </c>
      <c r="BA198" s="25">
        <v>1</v>
      </c>
      <c r="BB198" s="25">
        <v>1</v>
      </c>
      <c r="BC198" s="25">
        <v>1</v>
      </c>
      <c r="BD198" s="25">
        <v>1</v>
      </c>
    </row>
    <row r="199" spans="27:56" x14ac:dyDescent="0.25">
      <c r="AA199" s="68" t="str">
        <f t="shared" si="13"/>
        <v>Fotos\\.jpg</v>
      </c>
      <c r="AB199" s="53">
        <f t="shared" si="14"/>
        <v>5.0251256281407036E-3</v>
      </c>
      <c r="AC199" s="25">
        <f t="shared" si="15"/>
        <v>199</v>
      </c>
      <c r="AD199" s="51">
        <f t="shared" si="16"/>
        <v>1</v>
      </c>
      <c r="AE199" s="25">
        <v>1</v>
      </c>
      <c r="AF199" s="25">
        <v>1</v>
      </c>
      <c r="AG199" s="25">
        <v>1</v>
      </c>
      <c r="AH199" s="25">
        <v>1</v>
      </c>
      <c r="AI199" s="25">
        <f>IF(OR(Apresentação!$E$3='Base de Dados e filtragem'!AI$2,Apresentação!$E$3='Base de Dados e filtragem'!E199),1,0)</f>
        <v>1</v>
      </c>
      <c r="AJ199" s="25">
        <f>IF(OR(Apresentação!$E$4='Base de Dados e filtragem'!AJ$2,Apresentação!$E$4='Base de Dados e filtragem'!F199),1,0)</f>
        <v>1</v>
      </c>
      <c r="AK199" s="25">
        <f>IF(OR(Apresentação!$E$5='Base de Dados e filtragem'!AK$2,Apresentação!$E$5='Base de Dados e filtragem'!G199),1,0)</f>
        <v>1</v>
      </c>
      <c r="AL199" s="25">
        <f>IF(OR(Apresentação!$E$6='Base de Dados e filtragem'!AL$2,Apresentação!$E$6='Base de Dados e filtragem'!H199),1,0)</f>
        <v>1</v>
      </c>
      <c r="AM199" s="25">
        <f>IF(OR(Apresentação!$I$2='Base de Dados e filtragem'!AM$2,Apresentação!$I$2='Base de Dados e filtragem'!I199),1,0)</f>
        <v>1</v>
      </c>
      <c r="AN199" s="25">
        <f>IF(OR(Apresentação!$I$3='Base de Dados e filtragem'!AN$2,Apresentação!$I$3='Base de Dados e filtragem'!J199),1,0)</f>
        <v>1</v>
      </c>
      <c r="AO199" s="25">
        <f>IF(OR(Apresentação!$I$4='Base de Dados e filtragem'!AO$2,Apresentação!$I$4='Base de Dados e filtragem'!K199),1,0)</f>
        <v>1</v>
      </c>
      <c r="AP199" s="25">
        <f>IF(OR(Apresentação!$I$5='Base de Dados e filtragem'!AP$2,Apresentação!$I$5='Base de Dados e filtragem'!L199),1,0)</f>
        <v>1</v>
      </c>
      <c r="AQ199" s="25">
        <f>IF(OR(Apresentação!$I$6='Base de Dados e filtragem'!AQ$2,Apresentação!$I$6='Base de Dados e filtragem'!M199),1,0)</f>
        <v>1</v>
      </c>
      <c r="AR199" s="25">
        <v>1</v>
      </c>
      <c r="AS199" s="25">
        <v>1</v>
      </c>
      <c r="AT199" s="25">
        <v>1</v>
      </c>
      <c r="AU199" s="25">
        <v>1</v>
      </c>
      <c r="AV199" s="25">
        <v>1</v>
      </c>
      <c r="AW199" s="25">
        <v>1</v>
      </c>
      <c r="AX199" s="25">
        <v>1</v>
      </c>
      <c r="AY199" s="25">
        <v>1</v>
      </c>
      <c r="AZ199" s="25">
        <v>1</v>
      </c>
      <c r="BA199" s="25">
        <v>1</v>
      </c>
      <c r="BB199" s="25">
        <v>1</v>
      </c>
      <c r="BC199" s="25">
        <v>1</v>
      </c>
      <c r="BD199" s="25">
        <v>1</v>
      </c>
    </row>
    <row r="200" spans="27:56" x14ac:dyDescent="0.25">
      <c r="AA200" s="68" t="str">
        <f t="shared" si="13"/>
        <v>Fotos\\.jpg</v>
      </c>
      <c r="AB200" s="53">
        <f t="shared" si="14"/>
        <v>5.0000000000000001E-3</v>
      </c>
      <c r="AC200" s="25">
        <f t="shared" si="15"/>
        <v>200</v>
      </c>
      <c r="AD200" s="51">
        <f t="shared" si="16"/>
        <v>1</v>
      </c>
      <c r="AE200" s="25">
        <v>1</v>
      </c>
      <c r="AF200" s="25">
        <v>1</v>
      </c>
      <c r="AG200" s="25">
        <v>1</v>
      </c>
      <c r="AH200" s="25">
        <v>1</v>
      </c>
      <c r="AI200" s="25">
        <f>IF(OR(Apresentação!$E$3='Base de Dados e filtragem'!AI$2,Apresentação!$E$3='Base de Dados e filtragem'!E200),1,0)</f>
        <v>1</v>
      </c>
      <c r="AJ200" s="25">
        <f>IF(OR(Apresentação!$E$4='Base de Dados e filtragem'!AJ$2,Apresentação!$E$4='Base de Dados e filtragem'!F200),1,0)</f>
        <v>1</v>
      </c>
      <c r="AK200" s="25">
        <f>IF(OR(Apresentação!$E$5='Base de Dados e filtragem'!AK$2,Apresentação!$E$5='Base de Dados e filtragem'!G200),1,0)</f>
        <v>1</v>
      </c>
      <c r="AL200" s="25">
        <f>IF(OR(Apresentação!$E$6='Base de Dados e filtragem'!AL$2,Apresentação!$E$6='Base de Dados e filtragem'!H200),1,0)</f>
        <v>1</v>
      </c>
      <c r="AM200" s="25">
        <f>IF(OR(Apresentação!$I$2='Base de Dados e filtragem'!AM$2,Apresentação!$I$2='Base de Dados e filtragem'!I200),1,0)</f>
        <v>1</v>
      </c>
      <c r="AN200" s="25">
        <f>IF(OR(Apresentação!$I$3='Base de Dados e filtragem'!AN$2,Apresentação!$I$3='Base de Dados e filtragem'!J200),1,0)</f>
        <v>1</v>
      </c>
      <c r="AO200" s="25">
        <f>IF(OR(Apresentação!$I$4='Base de Dados e filtragem'!AO$2,Apresentação!$I$4='Base de Dados e filtragem'!K200),1,0)</f>
        <v>1</v>
      </c>
      <c r="AP200" s="25">
        <f>IF(OR(Apresentação!$I$5='Base de Dados e filtragem'!AP$2,Apresentação!$I$5='Base de Dados e filtragem'!L200),1,0)</f>
        <v>1</v>
      </c>
      <c r="AQ200" s="25">
        <f>IF(OR(Apresentação!$I$6='Base de Dados e filtragem'!AQ$2,Apresentação!$I$6='Base de Dados e filtragem'!M200),1,0)</f>
        <v>1</v>
      </c>
      <c r="AR200" s="25">
        <v>1</v>
      </c>
      <c r="AS200" s="25">
        <v>1</v>
      </c>
      <c r="AT200" s="25">
        <v>1</v>
      </c>
      <c r="AU200" s="25">
        <v>1</v>
      </c>
      <c r="AV200" s="25">
        <v>1</v>
      </c>
      <c r="AW200" s="25">
        <v>1</v>
      </c>
      <c r="AX200" s="25">
        <v>1</v>
      </c>
      <c r="AY200" s="25">
        <v>1</v>
      </c>
      <c r="AZ200" s="25">
        <v>1</v>
      </c>
      <c r="BA200" s="25">
        <v>1</v>
      </c>
      <c r="BB200" s="25">
        <v>1</v>
      </c>
      <c r="BC200" s="25">
        <v>1</v>
      </c>
      <c r="BD200" s="25">
        <v>1</v>
      </c>
    </row>
    <row r="201" spans="27:56" x14ac:dyDescent="0.25">
      <c r="AA201" s="68" t="str">
        <f t="shared" si="13"/>
        <v>Fotos\\.jpg</v>
      </c>
      <c r="AB201" s="53">
        <f t="shared" si="14"/>
        <v>4.9751243781094526E-3</v>
      </c>
      <c r="AC201" s="25">
        <f t="shared" si="15"/>
        <v>201</v>
      </c>
      <c r="AD201" s="51">
        <f t="shared" si="16"/>
        <v>1</v>
      </c>
      <c r="AE201" s="25">
        <v>1</v>
      </c>
      <c r="AF201" s="25">
        <v>1</v>
      </c>
      <c r="AG201" s="25">
        <v>1</v>
      </c>
      <c r="AH201" s="25">
        <v>1</v>
      </c>
      <c r="AI201" s="25">
        <f>IF(OR(Apresentação!$E$3='Base de Dados e filtragem'!AI$2,Apresentação!$E$3='Base de Dados e filtragem'!E201),1,0)</f>
        <v>1</v>
      </c>
      <c r="AJ201" s="25">
        <f>IF(OR(Apresentação!$E$4='Base de Dados e filtragem'!AJ$2,Apresentação!$E$4='Base de Dados e filtragem'!F201),1,0)</f>
        <v>1</v>
      </c>
      <c r="AK201" s="25">
        <f>IF(OR(Apresentação!$E$5='Base de Dados e filtragem'!AK$2,Apresentação!$E$5='Base de Dados e filtragem'!G201),1,0)</f>
        <v>1</v>
      </c>
      <c r="AL201" s="25">
        <f>IF(OR(Apresentação!$E$6='Base de Dados e filtragem'!AL$2,Apresentação!$E$6='Base de Dados e filtragem'!H201),1,0)</f>
        <v>1</v>
      </c>
      <c r="AM201" s="25">
        <f>IF(OR(Apresentação!$I$2='Base de Dados e filtragem'!AM$2,Apresentação!$I$2='Base de Dados e filtragem'!I201),1,0)</f>
        <v>1</v>
      </c>
      <c r="AN201" s="25">
        <f>IF(OR(Apresentação!$I$3='Base de Dados e filtragem'!AN$2,Apresentação!$I$3='Base de Dados e filtragem'!J201),1,0)</f>
        <v>1</v>
      </c>
      <c r="AO201" s="25">
        <f>IF(OR(Apresentação!$I$4='Base de Dados e filtragem'!AO$2,Apresentação!$I$4='Base de Dados e filtragem'!K201),1,0)</f>
        <v>1</v>
      </c>
      <c r="AP201" s="25">
        <f>IF(OR(Apresentação!$I$5='Base de Dados e filtragem'!AP$2,Apresentação!$I$5='Base de Dados e filtragem'!L201),1,0)</f>
        <v>1</v>
      </c>
      <c r="AQ201" s="25">
        <f>IF(OR(Apresentação!$I$6='Base de Dados e filtragem'!AQ$2,Apresentação!$I$6='Base de Dados e filtragem'!M201),1,0)</f>
        <v>1</v>
      </c>
      <c r="AR201" s="25">
        <v>1</v>
      </c>
      <c r="AS201" s="25">
        <v>1</v>
      </c>
      <c r="AT201" s="25">
        <v>1</v>
      </c>
      <c r="AU201" s="25">
        <v>1</v>
      </c>
      <c r="AV201" s="25">
        <v>1</v>
      </c>
      <c r="AW201" s="25">
        <v>1</v>
      </c>
      <c r="AX201" s="25">
        <v>1</v>
      </c>
      <c r="AY201" s="25">
        <v>1</v>
      </c>
      <c r="AZ201" s="25">
        <v>1</v>
      </c>
      <c r="BA201" s="25">
        <v>1</v>
      </c>
      <c r="BB201" s="25">
        <v>1</v>
      </c>
      <c r="BC201" s="25">
        <v>1</v>
      </c>
      <c r="BD201" s="25">
        <v>1</v>
      </c>
    </row>
    <row r="202" spans="27:56" x14ac:dyDescent="0.25">
      <c r="AA202" s="68" t="str">
        <f t="shared" si="13"/>
        <v>Fotos\\.jpg</v>
      </c>
      <c r="AB202" s="53">
        <f t="shared" si="14"/>
        <v>4.9504950495049506E-3</v>
      </c>
      <c r="AC202" s="25">
        <f t="shared" si="15"/>
        <v>202</v>
      </c>
      <c r="AD202" s="51">
        <f t="shared" si="16"/>
        <v>1</v>
      </c>
      <c r="AE202" s="25">
        <v>1</v>
      </c>
      <c r="AF202" s="25">
        <v>1</v>
      </c>
      <c r="AG202" s="25">
        <v>1</v>
      </c>
      <c r="AH202" s="25">
        <v>1</v>
      </c>
      <c r="AI202" s="25">
        <f>IF(OR(Apresentação!$E$3='Base de Dados e filtragem'!AI$2,Apresentação!$E$3='Base de Dados e filtragem'!E202),1,0)</f>
        <v>1</v>
      </c>
      <c r="AJ202" s="25">
        <f>IF(OR(Apresentação!$E$4='Base de Dados e filtragem'!AJ$2,Apresentação!$E$4='Base de Dados e filtragem'!F202),1,0)</f>
        <v>1</v>
      </c>
      <c r="AK202" s="25">
        <f>IF(OR(Apresentação!$E$5='Base de Dados e filtragem'!AK$2,Apresentação!$E$5='Base de Dados e filtragem'!G202),1,0)</f>
        <v>1</v>
      </c>
      <c r="AL202" s="25">
        <f>IF(OR(Apresentação!$E$6='Base de Dados e filtragem'!AL$2,Apresentação!$E$6='Base de Dados e filtragem'!H202),1,0)</f>
        <v>1</v>
      </c>
      <c r="AM202" s="25">
        <f>IF(OR(Apresentação!$I$2='Base de Dados e filtragem'!AM$2,Apresentação!$I$2='Base de Dados e filtragem'!I202),1,0)</f>
        <v>1</v>
      </c>
      <c r="AN202" s="25">
        <f>IF(OR(Apresentação!$I$3='Base de Dados e filtragem'!AN$2,Apresentação!$I$3='Base de Dados e filtragem'!J202),1,0)</f>
        <v>1</v>
      </c>
      <c r="AO202" s="25">
        <f>IF(OR(Apresentação!$I$4='Base de Dados e filtragem'!AO$2,Apresentação!$I$4='Base de Dados e filtragem'!K202),1,0)</f>
        <v>1</v>
      </c>
      <c r="AP202" s="25">
        <f>IF(OR(Apresentação!$I$5='Base de Dados e filtragem'!AP$2,Apresentação!$I$5='Base de Dados e filtragem'!L202),1,0)</f>
        <v>1</v>
      </c>
      <c r="AQ202" s="25">
        <f>IF(OR(Apresentação!$I$6='Base de Dados e filtragem'!AQ$2,Apresentação!$I$6='Base de Dados e filtragem'!M202),1,0)</f>
        <v>1</v>
      </c>
      <c r="AR202" s="25">
        <v>1</v>
      </c>
      <c r="AS202" s="25">
        <v>1</v>
      </c>
      <c r="AT202" s="25">
        <v>1</v>
      </c>
      <c r="AU202" s="25">
        <v>1</v>
      </c>
      <c r="AV202" s="25">
        <v>1</v>
      </c>
      <c r="AW202" s="25">
        <v>1</v>
      </c>
      <c r="AX202" s="25">
        <v>1</v>
      </c>
      <c r="AY202" s="25">
        <v>1</v>
      </c>
      <c r="AZ202" s="25">
        <v>1</v>
      </c>
      <c r="BA202" s="25">
        <v>1</v>
      </c>
      <c r="BB202" s="25">
        <v>1</v>
      </c>
      <c r="BC202" s="25">
        <v>1</v>
      </c>
      <c r="BD202" s="25">
        <v>1</v>
      </c>
    </row>
    <row r="203" spans="27:56" x14ac:dyDescent="0.25">
      <c r="AA203" s="68" t="str">
        <f t="shared" si="13"/>
        <v>Fotos\\.jpg</v>
      </c>
      <c r="AB203" s="53">
        <f t="shared" si="14"/>
        <v>4.9261083743842365E-3</v>
      </c>
      <c r="AC203" s="25">
        <f t="shared" si="15"/>
        <v>203</v>
      </c>
      <c r="AD203" s="51">
        <f t="shared" si="16"/>
        <v>1</v>
      </c>
      <c r="AE203" s="25">
        <v>1</v>
      </c>
      <c r="AF203" s="25">
        <v>1</v>
      </c>
      <c r="AG203" s="25">
        <v>1</v>
      </c>
      <c r="AH203" s="25">
        <v>1</v>
      </c>
      <c r="AI203" s="25">
        <f>IF(OR(Apresentação!$E$3='Base de Dados e filtragem'!AI$2,Apresentação!$E$3='Base de Dados e filtragem'!E203),1,0)</f>
        <v>1</v>
      </c>
      <c r="AJ203" s="25">
        <f>IF(OR(Apresentação!$E$4='Base de Dados e filtragem'!AJ$2,Apresentação!$E$4='Base de Dados e filtragem'!F203),1,0)</f>
        <v>1</v>
      </c>
      <c r="AK203" s="25">
        <f>IF(OR(Apresentação!$E$5='Base de Dados e filtragem'!AK$2,Apresentação!$E$5='Base de Dados e filtragem'!G203),1,0)</f>
        <v>1</v>
      </c>
      <c r="AL203" s="25">
        <f>IF(OR(Apresentação!$E$6='Base de Dados e filtragem'!AL$2,Apresentação!$E$6='Base de Dados e filtragem'!H203),1,0)</f>
        <v>1</v>
      </c>
      <c r="AM203" s="25">
        <f>IF(OR(Apresentação!$I$2='Base de Dados e filtragem'!AM$2,Apresentação!$I$2='Base de Dados e filtragem'!I203),1,0)</f>
        <v>1</v>
      </c>
      <c r="AN203" s="25">
        <f>IF(OR(Apresentação!$I$3='Base de Dados e filtragem'!AN$2,Apresentação!$I$3='Base de Dados e filtragem'!J203),1,0)</f>
        <v>1</v>
      </c>
      <c r="AO203" s="25">
        <f>IF(OR(Apresentação!$I$4='Base de Dados e filtragem'!AO$2,Apresentação!$I$4='Base de Dados e filtragem'!K203),1,0)</f>
        <v>1</v>
      </c>
      <c r="AP203" s="25">
        <f>IF(OR(Apresentação!$I$5='Base de Dados e filtragem'!AP$2,Apresentação!$I$5='Base de Dados e filtragem'!L203),1,0)</f>
        <v>1</v>
      </c>
      <c r="AQ203" s="25">
        <f>IF(OR(Apresentação!$I$6='Base de Dados e filtragem'!AQ$2,Apresentação!$I$6='Base de Dados e filtragem'!M203),1,0)</f>
        <v>1</v>
      </c>
      <c r="AR203" s="25">
        <v>1</v>
      </c>
      <c r="AS203" s="25">
        <v>1</v>
      </c>
      <c r="AT203" s="25">
        <v>1</v>
      </c>
      <c r="AU203" s="25">
        <v>1</v>
      </c>
      <c r="AV203" s="25">
        <v>1</v>
      </c>
      <c r="AW203" s="25">
        <v>1</v>
      </c>
      <c r="AX203" s="25">
        <v>1</v>
      </c>
      <c r="AY203" s="25">
        <v>1</v>
      </c>
      <c r="AZ203" s="25">
        <v>1</v>
      </c>
      <c r="BA203" s="25">
        <v>1</v>
      </c>
      <c r="BB203" s="25">
        <v>1</v>
      </c>
      <c r="BC203" s="25">
        <v>1</v>
      </c>
      <c r="BD203" s="25">
        <v>1</v>
      </c>
    </row>
    <row r="204" spans="27:56" x14ac:dyDescent="0.25">
      <c r="AA204" s="68" t="str">
        <f t="shared" si="13"/>
        <v>Fotos\\.jpg</v>
      </c>
      <c r="AB204" s="53">
        <f t="shared" si="14"/>
        <v>4.9019607843137254E-3</v>
      </c>
      <c r="AC204" s="25">
        <f t="shared" si="15"/>
        <v>204</v>
      </c>
      <c r="AD204" s="51">
        <f t="shared" si="16"/>
        <v>1</v>
      </c>
      <c r="AE204" s="25">
        <v>1</v>
      </c>
      <c r="AF204" s="25">
        <v>1</v>
      </c>
      <c r="AG204" s="25">
        <v>1</v>
      </c>
      <c r="AH204" s="25">
        <v>1</v>
      </c>
      <c r="AI204" s="25">
        <f>IF(OR(Apresentação!$E$3='Base de Dados e filtragem'!AI$2,Apresentação!$E$3='Base de Dados e filtragem'!E204),1,0)</f>
        <v>1</v>
      </c>
      <c r="AJ204" s="25">
        <f>IF(OR(Apresentação!$E$4='Base de Dados e filtragem'!AJ$2,Apresentação!$E$4='Base de Dados e filtragem'!F204),1,0)</f>
        <v>1</v>
      </c>
      <c r="AK204" s="25">
        <f>IF(OR(Apresentação!$E$5='Base de Dados e filtragem'!AK$2,Apresentação!$E$5='Base de Dados e filtragem'!G204),1,0)</f>
        <v>1</v>
      </c>
      <c r="AL204" s="25">
        <f>IF(OR(Apresentação!$E$6='Base de Dados e filtragem'!AL$2,Apresentação!$E$6='Base de Dados e filtragem'!H204),1,0)</f>
        <v>1</v>
      </c>
      <c r="AM204" s="25">
        <f>IF(OR(Apresentação!$I$2='Base de Dados e filtragem'!AM$2,Apresentação!$I$2='Base de Dados e filtragem'!I204),1,0)</f>
        <v>1</v>
      </c>
      <c r="AN204" s="25">
        <f>IF(OR(Apresentação!$I$3='Base de Dados e filtragem'!AN$2,Apresentação!$I$3='Base de Dados e filtragem'!J204),1,0)</f>
        <v>1</v>
      </c>
      <c r="AO204" s="25">
        <f>IF(OR(Apresentação!$I$4='Base de Dados e filtragem'!AO$2,Apresentação!$I$4='Base de Dados e filtragem'!K204),1,0)</f>
        <v>1</v>
      </c>
      <c r="AP204" s="25">
        <f>IF(OR(Apresentação!$I$5='Base de Dados e filtragem'!AP$2,Apresentação!$I$5='Base de Dados e filtragem'!L204),1,0)</f>
        <v>1</v>
      </c>
      <c r="AQ204" s="25">
        <f>IF(OR(Apresentação!$I$6='Base de Dados e filtragem'!AQ$2,Apresentação!$I$6='Base de Dados e filtragem'!M204),1,0)</f>
        <v>1</v>
      </c>
      <c r="AR204" s="25">
        <v>1</v>
      </c>
      <c r="AS204" s="25">
        <v>1</v>
      </c>
      <c r="AT204" s="25">
        <v>1</v>
      </c>
      <c r="AU204" s="25">
        <v>1</v>
      </c>
      <c r="AV204" s="25">
        <v>1</v>
      </c>
      <c r="AW204" s="25">
        <v>1</v>
      </c>
      <c r="AX204" s="25">
        <v>1</v>
      </c>
      <c r="AY204" s="25">
        <v>1</v>
      </c>
      <c r="AZ204" s="25">
        <v>1</v>
      </c>
      <c r="BA204" s="25">
        <v>1</v>
      </c>
      <c r="BB204" s="25">
        <v>1</v>
      </c>
      <c r="BC204" s="25">
        <v>1</v>
      </c>
      <c r="BD204" s="25">
        <v>1</v>
      </c>
    </row>
    <row r="205" spans="27:56" x14ac:dyDescent="0.25">
      <c r="AA205" s="68" t="str">
        <f t="shared" si="13"/>
        <v>Fotos\\.jpg</v>
      </c>
      <c r="AB205" s="53">
        <f t="shared" si="14"/>
        <v>4.8780487804878049E-3</v>
      </c>
      <c r="AC205" s="25">
        <f t="shared" si="15"/>
        <v>205</v>
      </c>
      <c r="AD205" s="51">
        <f t="shared" si="16"/>
        <v>1</v>
      </c>
      <c r="AE205" s="25">
        <v>1</v>
      </c>
      <c r="AF205" s="25">
        <v>1</v>
      </c>
      <c r="AG205" s="25">
        <v>1</v>
      </c>
      <c r="AH205" s="25">
        <v>1</v>
      </c>
      <c r="AI205" s="25">
        <f>IF(OR(Apresentação!$E$3='Base de Dados e filtragem'!AI$2,Apresentação!$E$3='Base de Dados e filtragem'!E205),1,0)</f>
        <v>1</v>
      </c>
      <c r="AJ205" s="25">
        <f>IF(OR(Apresentação!$E$4='Base de Dados e filtragem'!AJ$2,Apresentação!$E$4='Base de Dados e filtragem'!F205),1,0)</f>
        <v>1</v>
      </c>
      <c r="AK205" s="25">
        <f>IF(OR(Apresentação!$E$5='Base de Dados e filtragem'!AK$2,Apresentação!$E$5='Base de Dados e filtragem'!G205),1,0)</f>
        <v>1</v>
      </c>
      <c r="AL205" s="25">
        <f>IF(OR(Apresentação!$E$6='Base de Dados e filtragem'!AL$2,Apresentação!$E$6='Base de Dados e filtragem'!H205),1,0)</f>
        <v>1</v>
      </c>
      <c r="AM205" s="25">
        <f>IF(OR(Apresentação!$I$2='Base de Dados e filtragem'!AM$2,Apresentação!$I$2='Base de Dados e filtragem'!I205),1,0)</f>
        <v>1</v>
      </c>
      <c r="AN205" s="25">
        <f>IF(OR(Apresentação!$I$3='Base de Dados e filtragem'!AN$2,Apresentação!$I$3='Base de Dados e filtragem'!J205),1,0)</f>
        <v>1</v>
      </c>
      <c r="AO205" s="25">
        <f>IF(OR(Apresentação!$I$4='Base de Dados e filtragem'!AO$2,Apresentação!$I$4='Base de Dados e filtragem'!K205),1,0)</f>
        <v>1</v>
      </c>
      <c r="AP205" s="25">
        <f>IF(OR(Apresentação!$I$5='Base de Dados e filtragem'!AP$2,Apresentação!$I$5='Base de Dados e filtragem'!L205),1,0)</f>
        <v>1</v>
      </c>
      <c r="AQ205" s="25">
        <f>IF(OR(Apresentação!$I$6='Base de Dados e filtragem'!AQ$2,Apresentação!$I$6='Base de Dados e filtragem'!M205),1,0)</f>
        <v>1</v>
      </c>
      <c r="AR205" s="25">
        <v>1</v>
      </c>
      <c r="AS205" s="25">
        <v>1</v>
      </c>
      <c r="AT205" s="25">
        <v>1</v>
      </c>
      <c r="AU205" s="25">
        <v>1</v>
      </c>
      <c r="AV205" s="25">
        <v>1</v>
      </c>
      <c r="AW205" s="25">
        <v>1</v>
      </c>
      <c r="AX205" s="25">
        <v>1</v>
      </c>
      <c r="AY205" s="25">
        <v>1</v>
      </c>
      <c r="AZ205" s="25">
        <v>1</v>
      </c>
      <c r="BA205" s="25">
        <v>1</v>
      </c>
      <c r="BB205" s="25">
        <v>1</v>
      </c>
      <c r="BC205" s="25">
        <v>1</v>
      </c>
      <c r="BD205" s="25">
        <v>1</v>
      </c>
    </row>
    <row r="206" spans="27:56" x14ac:dyDescent="0.25">
      <c r="AA206" s="68" t="str">
        <f t="shared" si="13"/>
        <v>Fotos\\.jpg</v>
      </c>
      <c r="AB206" s="53">
        <f t="shared" si="14"/>
        <v>4.8543689320388345E-3</v>
      </c>
      <c r="AC206" s="25">
        <f t="shared" si="15"/>
        <v>206</v>
      </c>
      <c r="AD206" s="51">
        <f t="shared" si="16"/>
        <v>1</v>
      </c>
      <c r="AE206" s="25">
        <v>1</v>
      </c>
      <c r="AF206" s="25">
        <v>1</v>
      </c>
      <c r="AG206" s="25">
        <v>1</v>
      </c>
      <c r="AH206" s="25">
        <v>1</v>
      </c>
      <c r="AI206" s="25">
        <f>IF(OR(Apresentação!$E$3='Base de Dados e filtragem'!AI$2,Apresentação!$E$3='Base de Dados e filtragem'!E206),1,0)</f>
        <v>1</v>
      </c>
      <c r="AJ206" s="25">
        <f>IF(OR(Apresentação!$E$4='Base de Dados e filtragem'!AJ$2,Apresentação!$E$4='Base de Dados e filtragem'!F206),1,0)</f>
        <v>1</v>
      </c>
      <c r="AK206" s="25">
        <f>IF(OR(Apresentação!$E$5='Base de Dados e filtragem'!AK$2,Apresentação!$E$5='Base de Dados e filtragem'!G206),1,0)</f>
        <v>1</v>
      </c>
      <c r="AL206" s="25">
        <f>IF(OR(Apresentação!$E$6='Base de Dados e filtragem'!AL$2,Apresentação!$E$6='Base de Dados e filtragem'!H206),1,0)</f>
        <v>1</v>
      </c>
      <c r="AM206" s="25">
        <f>IF(OR(Apresentação!$I$2='Base de Dados e filtragem'!AM$2,Apresentação!$I$2='Base de Dados e filtragem'!I206),1,0)</f>
        <v>1</v>
      </c>
      <c r="AN206" s="25">
        <f>IF(OR(Apresentação!$I$3='Base de Dados e filtragem'!AN$2,Apresentação!$I$3='Base de Dados e filtragem'!J206),1,0)</f>
        <v>1</v>
      </c>
      <c r="AO206" s="25">
        <f>IF(OR(Apresentação!$I$4='Base de Dados e filtragem'!AO$2,Apresentação!$I$4='Base de Dados e filtragem'!K206),1,0)</f>
        <v>1</v>
      </c>
      <c r="AP206" s="25">
        <f>IF(OR(Apresentação!$I$5='Base de Dados e filtragem'!AP$2,Apresentação!$I$5='Base de Dados e filtragem'!L206),1,0)</f>
        <v>1</v>
      </c>
      <c r="AQ206" s="25">
        <f>IF(OR(Apresentação!$I$6='Base de Dados e filtragem'!AQ$2,Apresentação!$I$6='Base de Dados e filtragem'!M206),1,0)</f>
        <v>1</v>
      </c>
      <c r="AR206" s="25">
        <v>1</v>
      </c>
      <c r="AS206" s="25">
        <v>1</v>
      </c>
      <c r="AT206" s="25">
        <v>1</v>
      </c>
      <c r="AU206" s="25">
        <v>1</v>
      </c>
      <c r="AV206" s="25">
        <v>1</v>
      </c>
      <c r="AW206" s="25">
        <v>1</v>
      </c>
      <c r="AX206" s="25">
        <v>1</v>
      </c>
      <c r="AY206" s="25">
        <v>1</v>
      </c>
      <c r="AZ206" s="25">
        <v>1</v>
      </c>
      <c r="BA206" s="25">
        <v>1</v>
      </c>
      <c r="BB206" s="25">
        <v>1</v>
      </c>
      <c r="BC206" s="25">
        <v>1</v>
      </c>
      <c r="BD206" s="25">
        <v>1</v>
      </c>
    </row>
    <row r="207" spans="27:56" x14ac:dyDescent="0.25">
      <c r="AA207" s="68" t="str">
        <f t="shared" si="13"/>
        <v>Fotos\\.jpg</v>
      </c>
      <c r="AB207" s="53">
        <f t="shared" si="14"/>
        <v>4.830917874396135E-3</v>
      </c>
      <c r="AC207" s="25">
        <f t="shared" si="15"/>
        <v>207</v>
      </c>
      <c r="AD207" s="51">
        <f t="shared" si="16"/>
        <v>1</v>
      </c>
      <c r="AE207" s="25">
        <v>1</v>
      </c>
      <c r="AF207" s="25">
        <v>1</v>
      </c>
      <c r="AG207" s="25">
        <v>1</v>
      </c>
      <c r="AH207" s="25">
        <v>1</v>
      </c>
      <c r="AI207" s="25">
        <f>IF(OR(Apresentação!$E$3='Base de Dados e filtragem'!AI$2,Apresentação!$E$3='Base de Dados e filtragem'!E207),1,0)</f>
        <v>1</v>
      </c>
      <c r="AJ207" s="25">
        <f>IF(OR(Apresentação!$E$4='Base de Dados e filtragem'!AJ$2,Apresentação!$E$4='Base de Dados e filtragem'!F207),1,0)</f>
        <v>1</v>
      </c>
      <c r="AK207" s="25">
        <f>IF(OR(Apresentação!$E$5='Base de Dados e filtragem'!AK$2,Apresentação!$E$5='Base de Dados e filtragem'!G207),1,0)</f>
        <v>1</v>
      </c>
      <c r="AL207" s="25">
        <f>IF(OR(Apresentação!$E$6='Base de Dados e filtragem'!AL$2,Apresentação!$E$6='Base de Dados e filtragem'!H207),1,0)</f>
        <v>1</v>
      </c>
      <c r="AM207" s="25">
        <f>IF(OR(Apresentação!$I$2='Base de Dados e filtragem'!AM$2,Apresentação!$I$2='Base de Dados e filtragem'!I207),1,0)</f>
        <v>1</v>
      </c>
      <c r="AN207" s="25">
        <f>IF(OR(Apresentação!$I$3='Base de Dados e filtragem'!AN$2,Apresentação!$I$3='Base de Dados e filtragem'!J207),1,0)</f>
        <v>1</v>
      </c>
      <c r="AO207" s="25">
        <f>IF(OR(Apresentação!$I$4='Base de Dados e filtragem'!AO$2,Apresentação!$I$4='Base de Dados e filtragem'!K207),1,0)</f>
        <v>1</v>
      </c>
      <c r="AP207" s="25">
        <f>IF(OR(Apresentação!$I$5='Base de Dados e filtragem'!AP$2,Apresentação!$I$5='Base de Dados e filtragem'!L207),1,0)</f>
        <v>1</v>
      </c>
      <c r="AQ207" s="25">
        <f>IF(OR(Apresentação!$I$6='Base de Dados e filtragem'!AQ$2,Apresentação!$I$6='Base de Dados e filtragem'!M207),1,0)</f>
        <v>1</v>
      </c>
      <c r="AR207" s="25">
        <v>1</v>
      </c>
      <c r="AS207" s="25">
        <v>1</v>
      </c>
      <c r="AT207" s="25">
        <v>1</v>
      </c>
      <c r="AU207" s="25">
        <v>1</v>
      </c>
      <c r="AV207" s="25">
        <v>1</v>
      </c>
      <c r="AW207" s="25">
        <v>1</v>
      </c>
      <c r="AX207" s="25">
        <v>1</v>
      </c>
      <c r="AY207" s="25">
        <v>1</v>
      </c>
      <c r="AZ207" s="25">
        <v>1</v>
      </c>
      <c r="BA207" s="25">
        <v>1</v>
      </c>
      <c r="BB207" s="25">
        <v>1</v>
      </c>
      <c r="BC207" s="25">
        <v>1</v>
      </c>
      <c r="BD207" s="25">
        <v>1</v>
      </c>
    </row>
    <row r="208" spans="27:56" x14ac:dyDescent="0.25">
      <c r="AA208" s="68" t="str">
        <f t="shared" si="13"/>
        <v>Fotos\\.jpg</v>
      </c>
      <c r="AB208" s="53">
        <f t="shared" si="14"/>
        <v>4.807692307692308E-3</v>
      </c>
      <c r="AC208" s="25">
        <f t="shared" si="15"/>
        <v>208</v>
      </c>
      <c r="AD208" s="51">
        <f t="shared" si="16"/>
        <v>1</v>
      </c>
      <c r="AE208" s="25">
        <v>1</v>
      </c>
      <c r="AF208" s="25">
        <v>1</v>
      </c>
      <c r="AG208" s="25">
        <v>1</v>
      </c>
      <c r="AH208" s="25">
        <v>1</v>
      </c>
      <c r="AI208" s="25">
        <f>IF(OR(Apresentação!$E$3='Base de Dados e filtragem'!AI$2,Apresentação!$E$3='Base de Dados e filtragem'!E208),1,0)</f>
        <v>1</v>
      </c>
      <c r="AJ208" s="25">
        <f>IF(OR(Apresentação!$E$4='Base de Dados e filtragem'!AJ$2,Apresentação!$E$4='Base de Dados e filtragem'!F208),1,0)</f>
        <v>1</v>
      </c>
      <c r="AK208" s="25">
        <f>IF(OR(Apresentação!$E$5='Base de Dados e filtragem'!AK$2,Apresentação!$E$5='Base de Dados e filtragem'!G208),1,0)</f>
        <v>1</v>
      </c>
      <c r="AL208" s="25">
        <f>IF(OR(Apresentação!$E$6='Base de Dados e filtragem'!AL$2,Apresentação!$E$6='Base de Dados e filtragem'!H208),1,0)</f>
        <v>1</v>
      </c>
      <c r="AM208" s="25">
        <f>IF(OR(Apresentação!$I$2='Base de Dados e filtragem'!AM$2,Apresentação!$I$2='Base de Dados e filtragem'!I208),1,0)</f>
        <v>1</v>
      </c>
      <c r="AN208" s="25">
        <f>IF(OR(Apresentação!$I$3='Base de Dados e filtragem'!AN$2,Apresentação!$I$3='Base de Dados e filtragem'!J208),1,0)</f>
        <v>1</v>
      </c>
      <c r="AO208" s="25">
        <f>IF(OR(Apresentação!$I$4='Base de Dados e filtragem'!AO$2,Apresentação!$I$4='Base de Dados e filtragem'!K208),1,0)</f>
        <v>1</v>
      </c>
      <c r="AP208" s="25">
        <f>IF(OR(Apresentação!$I$5='Base de Dados e filtragem'!AP$2,Apresentação!$I$5='Base de Dados e filtragem'!L208),1,0)</f>
        <v>1</v>
      </c>
      <c r="AQ208" s="25">
        <f>IF(OR(Apresentação!$I$6='Base de Dados e filtragem'!AQ$2,Apresentação!$I$6='Base de Dados e filtragem'!M208),1,0)</f>
        <v>1</v>
      </c>
      <c r="AR208" s="25">
        <v>1</v>
      </c>
      <c r="AS208" s="25">
        <v>1</v>
      </c>
      <c r="AT208" s="25">
        <v>1</v>
      </c>
      <c r="AU208" s="25">
        <v>1</v>
      </c>
      <c r="AV208" s="25">
        <v>1</v>
      </c>
      <c r="AW208" s="25">
        <v>1</v>
      </c>
      <c r="AX208" s="25">
        <v>1</v>
      </c>
      <c r="AY208" s="25">
        <v>1</v>
      </c>
      <c r="AZ208" s="25">
        <v>1</v>
      </c>
      <c r="BA208" s="25">
        <v>1</v>
      </c>
      <c r="BB208" s="25">
        <v>1</v>
      </c>
      <c r="BC208" s="25">
        <v>1</v>
      </c>
      <c r="BD208" s="25">
        <v>1</v>
      </c>
    </row>
    <row r="209" spans="27:56" x14ac:dyDescent="0.25">
      <c r="AA209" s="68" t="str">
        <f t="shared" si="13"/>
        <v>Fotos\\.jpg</v>
      </c>
      <c r="AB209" s="53">
        <f t="shared" si="14"/>
        <v>4.7846889952153108E-3</v>
      </c>
      <c r="AC209" s="25">
        <f t="shared" si="15"/>
        <v>209</v>
      </c>
      <c r="AD209" s="51">
        <f t="shared" si="16"/>
        <v>1</v>
      </c>
      <c r="AE209" s="25">
        <v>1</v>
      </c>
      <c r="AF209" s="25">
        <v>1</v>
      </c>
      <c r="AG209" s="25">
        <v>1</v>
      </c>
      <c r="AH209" s="25">
        <v>1</v>
      </c>
      <c r="AI209" s="25">
        <f>IF(OR(Apresentação!$E$3='Base de Dados e filtragem'!AI$2,Apresentação!$E$3='Base de Dados e filtragem'!E209),1,0)</f>
        <v>1</v>
      </c>
      <c r="AJ209" s="25">
        <f>IF(OR(Apresentação!$E$4='Base de Dados e filtragem'!AJ$2,Apresentação!$E$4='Base de Dados e filtragem'!F209),1,0)</f>
        <v>1</v>
      </c>
      <c r="AK209" s="25">
        <f>IF(OR(Apresentação!$E$5='Base de Dados e filtragem'!AK$2,Apresentação!$E$5='Base de Dados e filtragem'!G209),1,0)</f>
        <v>1</v>
      </c>
      <c r="AL209" s="25">
        <f>IF(OR(Apresentação!$E$6='Base de Dados e filtragem'!AL$2,Apresentação!$E$6='Base de Dados e filtragem'!H209),1,0)</f>
        <v>1</v>
      </c>
      <c r="AM209" s="25">
        <f>IF(OR(Apresentação!$I$2='Base de Dados e filtragem'!AM$2,Apresentação!$I$2='Base de Dados e filtragem'!I209),1,0)</f>
        <v>1</v>
      </c>
      <c r="AN209" s="25">
        <f>IF(OR(Apresentação!$I$3='Base de Dados e filtragem'!AN$2,Apresentação!$I$3='Base de Dados e filtragem'!J209),1,0)</f>
        <v>1</v>
      </c>
      <c r="AO209" s="25">
        <f>IF(OR(Apresentação!$I$4='Base de Dados e filtragem'!AO$2,Apresentação!$I$4='Base de Dados e filtragem'!K209),1,0)</f>
        <v>1</v>
      </c>
      <c r="AP209" s="25">
        <f>IF(OR(Apresentação!$I$5='Base de Dados e filtragem'!AP$2,Apresentação!$I$5='Base de Dados e filtragem'!L209),1,0)</f>
        <v>1</v>
      </c>
      <c r="AQ209" s="25">
        <f>IF(OR(Apresentação!$I$6='Base de Dados e filtragem'!AQ$2,Apresentação!$I$6='Base de Dados e filtragem'!M209),1,0)</f>
        <v>1</v>
      </c>
      <c r="AR209" s="25">
        <v>1</v>
      </c>
      <c r="AS209" s="25">
        <v>1</v>
      </c>
      <c r="AT209" s="25">
        <v>1</v>
      </c>
      <c r="AU209" s="25">
        <v>1</v>
      </c>
      <c r="AV209" s="25">
        <v>1</v>
      </c>
      <c r="AW209" s="25">
        <v>1</v>
      </c>
      <c r="AX209" s="25">
        <v>1</v>
      </c>
      <c r="AY209" s="25">
        <v>1</v>
      </c>
      <c r="AZ209" s="25">
        <v>1</v>
      </c>
      <c r="BA209" s="25">
        <v>1</v>
      </c>
      <c r="BB209" s="25">
        <v>1</v>
      </c>
      <c r="BC209" s="25">
        <v>1</v>
      </c>
      <c r="BD209" s="25">
        <v>1</v>
      </c>
    </row>
    <row r="210" spans="27:56" x14ac:dyDescent="0.25">
      <c r="AA210" s="68" t="str">
        <f t="shared" si="13"/>
        <v>Fotos\\.jpg</v>
      </c>
      <c r="AB210" s="53">
        <f t="shared" si="14"/>
        <v>4.7619047619047623E-3</v>
      </c>
      <c r="AC210" s="25">
        <f t="shared" si="15"/>
        <v>210</v>
      </c>
      <c r="AD210" s="51">
        <f t="shared" si="16"/>
        <v>1</v>
      </c>
      <c r="AE210" s="25">
        <v>1</v>
      </c>
      <c r="AF210" s="25">
        <v>1</v>
      </c>
      <c r="AG210" s="25">
        <v>1</v>
      </c>
      <c r="AH210" s="25">
        <v>1</v>
      </c>
      <c r="AI210" s="25">
        <f>IF(OR(Apresentação!$E$3='Base de Dados e filtragem'!AI$2,Apresentação!$E$3='Base de Dados e filtragem'!E210),1,0)</f>
        <v>1</v>
      </c>
      <c r="AJ210" s="25">
        <f>IF(OR(Apresentação!$E$4='Base de Dados e filtragem'!AJ$2,Apresentação!$E$4='Base de Dados e filtragem'!F210),1,0)</f>
        <v>1</v>
      </c>
      <c r="AK210" s="25">
        <f>IF(OR(Apresentação!$E$5='Base de Dados e filtragem'!AK$2,Apresentação!$E$5='Base de Dados e filtragem'!G210),1,0)</f>
        <v>1</v>
      </c>
      <c r="AL210" s="25">
        <f>IF(OR(Apresentação!$E$6='Base de Dados e filtragem'!AL$2,Apresentação!$E$6='Base de Dados e filtragem'!H210),1,0)</f>
        <v>1</v>
      </c>
      <c r="AM210" s="25">
        <f>IF(OR(Apresentação!$I$2='Base de Dados e filtragem'!AM$2,Apresentação!$I$2='Base de Dados e filtragem'!I210),1,0)</f>
        <v>1</v>
      </c>
      <c r="AN210" s="25">
        <f>IF(OR(Apresentação!$I$3='Base de Dados e filtragem'!AN$2,Apresentação!$I$3='Base de Dados e filtragem'!J210),1,0)</f>
        <v>1</v>
      </c>
      <c r="AO210" s="25">
        <f>IF(OR(Apresentação!$I$4='Base de Dados e filtragem'!AO$2,Apresentação!$I$4='Base de Dados e filtragem'!K210),1,0)</f>
        <v>1</v>
      </c>
      <c r="AP210" s="25">
        <f>IF(OR(Apresentação!$I$5='Base de Dados e filtragem'!AP$2,Apresentação!$I$5='Base de Dados e filtragem'!L210),1,0)</f>
        <v>1</v>
      </c>
      <c r="AQ210" s="25">
        <f>IF(OR(Apresentação!$I$6='Base de Dados e filtragem'!AQ$2,Apresentação!$I$6='Base de Dados e filtragem'!M210),1,0)</f>
        <v>1</v>
      </c>
      <c r="AR210" s="25">
        <v>1</v>
      </c>
      <c r="AS210" s="25">
        <v>1</v>
      </c>
      <c r="AT210" s="25">
        <v>1</v>
      </c>
      <c r="AU210" s="25">
        <v>1</v>
      </c>
      <c r="AV210" s="25">
        <v>1</v>
      </c>
      <c r="AW210" s="25">
        <v>1</v>
      </c>
      <c r="AX210" s="25">
        <v>1</v>
      </c>
      <c r="AY210" s="25">
        <v>1</v>
      </c>
      <c r="AZ210" s="25">
        <v>1</v>
      </c>
      <c r="BA210" s="25">
        <v>1</v>
      </c>
      <c r="BB210" s="25">
        <v>1</v>
      </c>
      <c r="BC210" s="25">
        <v>1</v>
      </c>
      <c r="BD210" s="25">
        <v>1</v>
      </c>
    </row>
    <row r="211" spans="27:56" x14ac:dyDescent="0.25">
      <c r="AA211" s="68" t="str">
        <f t="shared" si="13"/>
        <v>Fotos\\.jpg</v>
      </c>
      <c r="AB211" s="53">
        <f t="shared" si="14"/>
        <v>4.7393364928909956E-3</v>
      </c>
      <c r="AC211" s="25">
        <f t="shared" si="15"/>
        <v>211</v>
      </c>
      <c r="AD211" s="51">
        <f t="shared" si="16"/>
        <v>1</v>
      </c>
      <c r="AE211" s="25">
        <v>1</v>
      </c>
      <c r="AF211" s="25">
        <v>1</v>
      </c>
      <c r="AG211" s="25">
        <v>1</v>
      </c>
      <c r="AH211" s="25">
        <v>1</v>
      </c>
      <c r="AI211" s="25">
        <f>IF(OR(Apresentação!$E$3='Base de Dados e filtragem'!AI$2,Apresentação!$E$3='Base de Dados e filtragem'!E211),1,0)</f>
        <v>1</v>
      </c>
      <c r="AJ211" s="25">
        <f>IF(OR(Apresentação!$E$4='Base de Dados e filtragem'!AJ$2,Apresentação!$E$4='Base de Dados e filtragem'!F211),1,0)</f>
        <v>1</v>
      </c>
      <c r="AK211" s="25">
        <f>IF(OR(Apresentação!$E$5='Base de Dados e filtragem'!AK$2,Apresentação!$E$5='Base de Dados e filtragem'!G211),1,0)</f>
        <v>1</v>
      </c>
      <c r="AL211" s="25">
        <f>IF(OR(Apresentação!$E$6='Base de Dados e filtragem'!AL$2,Apresentação!$E$6='Base de Dados e filtragem'!H211),1,0)</f>
        <v>1</v>
      </c>
      <c r="AM211" s="25">
        <f>IF(OR(Apresentação!$I$2='Base de Dados e filtragem'!AM$2,Apresentação!$I$2='Base de Dados e filtragem'!I211),1,0)</f>
        <v>1</v>
      </c>
      <c r="AN211" s="25">
        <f>IF(OR(Apresentação!$I$3='Base de Dados e filtragem'!AN$2,Apresentação!$I$3='Base de Dados e filtragem'!J211),1,0)</f>
        <v>1</v>
      </c>
      <c r="AO211" s="25">
        <f>IF(OR(Apresentação!$I$4='Base de Dados e filtragem'!AO$2,Apresentação!$I$4='Base de Dados e filtragem'!K211),1,0)</f>
        <v>1</v>
      </c>
      <c r="AP211" s="25">
        <f>IF(OR(Apresentação!$I$5='Base de Dados e filtragem'!AP$2,Apresentação!$I$5='Base de Dados e filtragem'!L211),1,0)</f>
        <v>1</v>
      </c>
      <c r="AQ211" s="25">
        <f>IF(OR(Apresentação!$I$6='Base de Dados e filtragem'!AQ$2,Apresentação!$I$6='Base de Dados e filtragem'!M211),1,0)</f>
        <v>1</v>
      </c>
      <c r="AR211" s="25">
        <v>1</v>
      </c>
      <c r="AS211" s="25">
        <v>1</v>
      </c>
      <c r="AT211" s="25">
        <v>1</v>
      </c>
      <c r="AU211" s="25">
        <v>1</v>
      </c>
      <c r="AV211" s="25">
        <v>1</v>
      </c>
      <c r="AW211" s="25">
        <v>1</v>
      </c>
      <c r="AX211" s="25">
        <v>1</v>
      </c>
      <c r="AY211" s="25">
        <v>1</v>
      </c>
      <c r="AZ211" s="25">
        <v>1</v>
      </c>
      <c r="BA211" s="25">
        <v>1</v>
      </c>
      <c r="BB211" s="25">
        <v>1</v>
      </c>
      <c r="BC211" s="25">
        <v>1</v>
      </c>
      <c r="BD211" s="25">
        <v>1</v>
      </c>
    </row>
    <row r="212" spans="27:56" x14ac:dyDescent="0.25">
      <c r="AA212" s="68" t="str">
        <f t="shared" si="13"/>
        <v>Fotos\\.jpg</v>
      </c>
      <c r="AB212" s="53">
        <f t="shared" si="14"/>
        <v>4.7169811320754715E-3</v>
      </c>
      <c r="AC212" s="25">
        <f t="shared" si="15"/>
        <v>212</v>
      </c>
      <c r="AD212" s="51">
        <f t="shared" si="16"/>
        <v>1</v>
      </c>
      <c r="AE212" s="25">
        <v>1</v>
      </c>
      <c r="AF212" s="25">
        <v>1</v>
      </c>
      <c r="AG212" s="25">
        <v>1</v>
      </c>
      <c r="AH212" s="25">
        <v>1</v>
      </c>
      <c r="AI212" s="25">
        <f>IF(OR(Apresentação!$E$3='Base de Dados e filtragem'!AI$2,Apresentação!$E$3='Base de Dados e filtragem'!E212),1,0)</f>
        <v>1</v>
      </c>
      <c r="AJ212" s="25">
        <f>IF(OR(Apresentação!$E$4='Base de Dados e filtragem'!AJ$2,Apresentação!$E$4='Base de Dados e filtragem'!F212),1,0)</f>
        <v>1</v>
      </c>
      <c r="AK212" s="25">
        <f>IF(OR(Apresentação!$E$5='Base de Dados e filtragem'!AK$2,Apresentação!$E$5='Base de Dados e filtragem'!G212),1,0)</f>
        <v>1</v>
      </c>
      <c r="AL212" s="25">
        <f>IF(OR(Apresentação!$E$6='Base de Dados e filtragem'!AL$2,Apresentação!$E$6='Base de Dados e filtragem'!H212),1,0)</f>
        <v>1</v>
      </c>
      <c r="AM212" s="25">
        <f>IF(OR(Apresentação!$I$2='Base de Dados e filtragem'!AM$2,Apresentação!$I$2='Base de Dados e filtragem'!I212),1,0)</f>
        <v>1</v>
      </c>
      <c r="AN212" s="25">
        <f>IF(OR(Apresentação!$I$3='Base de Dados e filtragem'!AN$2,Apresentação!$I$3='Base de Dados e filtragem'!J212),1,0)</f>
        <v>1</v>
      </c>
      <c r="AO212" s="25">
        <f>IF(OR(Apresentação!$I$4='Base de Dados e filtragem'!AO$2,Apresentação!$I$4='Base de Dados e filtragem'!K212),1,0)</f>
        <v>1</v>
      </c>
      <c r="AP212" s="25">
        <f>IF(OR(Apresentação!$I$5='Base de Dados e filtragem'!AP$2,Apresentação!$I$5='Base de Dados e filtragem'!L212),1,0)</f>
        <v>1</v>
      </c>
      <c r="AQ212" s="25">
        <f>IF(OR(Apresentação!$I$6='Base de Dados e filtragem'!AQ$2,Apresentação!$I$6='Base de Dados e filtragem'!M212),1,0)</f>
        <v>1</v>
      </c>
      <c r="AR212" s="25">
        <v>1</v>
      </c>
      <c r="AS212" s="25">
        <v>1</v>
      </c>
      <c r="AT212" s="25">
        <v>1</v>
      </c>
      <c r="AU212" s="25">
        <v>1</v>
      </c>
      <c r="AV212" s="25">
        <v>1</v>
      </c>
      <c r="AW212" s="25">
        <v>1</v>
      </c>
      <c r="AX212" s="25">
        <v>1</v>
      </c>
      <c r="AY212" s="25">
        <v>1</v>
      </c>
      <c r="AZ212" s="25">
        <v>1</v>
      </c>
      <c r="BA212" s="25">
        <v>1</v>
      </c>
      <c r="BB212" s="25">
        <v>1</v>
      </c>
      <c r="BC212" s="25">
        <v>1</v>
      </c>
      <c r="BD212" s="25">
        <v>1</v>
      </c>
    </row>
    <row r="213" spans="27:56" x14ac:dyDescent="0.25">
      <c r="AA213" s="68" t="str">
        <f t="shared" si="13"/>
        <v>Fotos\\.jpg</v>
      </c>
      <c r="AB213" s="53">
        <f t="shared" si="14"/>
        <v>4.6948356807511738E-3</v>
      </c>
      <c r="AC213" s="25">
        <f t="shared" si="15"/>
        <v>213</v>
      </c>
      <c r="AD213" s="51">
        <f t="shared" si="16"/>
        <v>1</v>
      </c>
      <c r="AE213" s="25">
        <v>1</v>
      </c>
      <c r="AF213" s="25">
        <v>1</v>
      </c>
      <c r="AG213" s="25">
        <v>1</v>
      </c>
      <c r="AH213" s="25">
        <v>1</v>
      </c>
      <c r="AI213" s="25">
        <f>IF(OR(Apresentação!$E$3='Base de Dados e filtragem'!AI$2,Apresentação!$E$3='Base de Dados e filtragem'!E213),1,0)</f>
        <v>1</v>
      </c>
      <c r="AJ213" s="25">
        <f>IF(OR(Apresentação!$E$4='Base de Dados e filtragem'!AJ$2,Apresentação!$E$4='Base de Dados e filtragem'!F213),1,0)</f>
        <v>1</v>
      </c>
      <c r="AK213" s="25">
        <f>IF(OR(Apresentação!$E$5='Base de Dados e filtragem'!AK$2,Apresentação!$E$5='Base de Dados e filtragem'!G213),1,0)</f>
        <v>1</v>
      </c>
      <c r="AL213" s="25">
        <f>IF(OR(Apresentação!$E$6='Base de Dados e filtragem'!AL$2,Apresentação!$E$6='Base de Dados e filtragem'!H213),1,0)</f>
        <v>1</v>
      </c>
      <c r="AM213" s="25">
        <f>IF(OR(Apresentação!$I$2='Base de Dados e filtragem'!AM$2,Apresentação!$I$2='Base de Dados e filtragem'!I213),1,0)</f>
        <v>1</v>
      </c>
      <c r="AN213" s="25">
        <f>IF(OR(Apresentação!$I$3='Base de Dados e filtragem'!AN$2,Apresentação!$I$3='Base de Dados e filtragem'!J213),1,0)</f>
        <v>1</v>
      </c>
      <c r="AO213" s="25">
        <f>IF(OR(Apresentação!$I$4='Base de Dados e filtragem'!AO$2,Apresentação!$I$4='Base de Dados e filtragem'!K213),1,0)</f>
        <v>1</v>
      </c>
      <c r="AP213" s="25">
        <f>IF(OR(Apresentação!$I$5='Base de Dados e filtragem'!AP$2,Apresentação!$I$5='Base de Dados e filtragem'!L213),1,0)</f>
        <v>1</v>
      </c>
      <c r="AQ213" s="25">
        <f>IF(OR(Apresentação!$I$6='Base de Dados e filtragem'!AQ$2,Apresentação!$I$6='Base de Dados e filtragem'!M213),1,0)</f>
        <v>1</v>
      </c>
      <c r="AR213" s="25">
        <v>1</v>
      </c>
      <c r="AS213" s="25">
        <v>1</v>
      </c>
      <c r="AT213" s="25">
        <v>1</v>
      </c>
      <c r="AU213" s="25">
        <v>1</v>
      </c>
      <c r="AV213" s="25">
        <v>1</v>
      </c>
      <c r="AW213" s="25">
        <v>1</v>
      </c>
      <c r="AX213" s="25">
        <v>1</v>
      </c>
      <c r="AY213" s="25">
        <v>1</v>
      </c>
      <c r="AZ213" s="25">
        <v>1</v>
      </c>
      <c r="BA213" s="25">
        <v>1</v>
      </c>
      <c r="BB213" s="25">
        <v>1</v>
      </c>
      <c r="BC213" s="25">
        <v>1</v>
      </c>
      <c r="BD213" s="25">
        <v>1</v>
      </c>
    </row>
    <row r="214" spans="27:56" x14ac:dyDescent="0.25">
      <c r="AA214" s="68" t="str">
        <f t="shared" si="13"/>
        <v>Fotos\\.jpg</v>
      </c>
      <c r="AB214" s="53">
        <f t="shared" si="14"/>
        <v>4.6728971962616819E-3</v>
      </c>
      <c r="AC214" s="25">
        <f t="shared" si="15"/>
        <v>214</v>
      </c>
      <c r="AD214" s="51">
        <f t="shared" si="16"/>
        <v>1</v>
      </c>
      <c r="AE214" s="25">
        <v>1</v>
      </c>
      <c r="AF214" s="25">
        <v>1</v>
      </c>
      <c r="AG214" s="25">
        <v>1</v>
      </c>
      <c r="AH214" s="25">
        <v>1</v>
      </c>
      <c r="AI214" s="25">
        <f>IF(OR(Apresentação!$E$3='Base de Dados e filtragem'!AI$2,Apresentação!$E$3='Base de Dados e filtragem'!E214),1,0)</f>
        <v>1</v>
      </c>
      <c r="AJ214" s="25">
        <f>IF(OR(Apresentação!$E$4='Base de Dados e filtragem'!AJ$2,Apresentação!$E$4='Base de Dados e filtragem'!F214),1,0)</f>
        <v>1</v>
      </c>
      <c r="AK214" s="25">
        <f>IF(OR(Apresentação!$E$5='Base de Dados e filtragem'!AK$2,Apresentação!$E$5='Base de Dados e filtragem'!G214),1,0)</f>
        <v>1</v>
      </c>
      <c r="AL214" s="25">
        <f>IF(OR(Apresentação!$E$6='Base de Dados e filtragem'!AL$2,Apresentação!$E$6='Base de Dados e filtragem'!H214),1,0)</f>
        <v>1</v>
      </c>
      <c r="AM214" s="25">
        <f>IF(OR(Apresentação!$I$2='Base de Dados e filtragem'!AM$2,Apresentação!$I$2='Base de Dados e filtragem'!I214),1,0)</f>
        <v>1</v>
      </c>
      <c r="AN214" s="25">
        <f>IF(OR(Apresentação!$I$3='Base de Dados e filtragem'!AN$2,Apresentação!$I$3='Base de Dados e filtragem'!J214),1,0)</f>
        <v>1</v>
      </c>
      <c r="AO214" s="25">
        <f>IF(OR(Apresentação!$I$4='Base de Dados e filtragem'!AO$2,Apresentação!$I$4='Base de Dados e filtragem'!K214),1,0)</f>
        <v>1</v>
      </c>
      <c r="AP214" s="25">
        <f>IF(OR(Apresentação!$I$5='Base de Dados e filtragem'!AP$2,Apresentação!$I$5='Base de Dados e filtragem'!L214),1,0)</f>
        <v>1</v>
      </c>
      <c r="AQ214" s="25">
        <f>IF(OR(Apresentação!$I$6='Base de Dados e filtragem'!AQ$2,Apresentação!$I$6='Base de Dados e filtragem'!M214),1,0)</f>
        <v>1</v>
      </c>
      <c r="AR214" s="25">
        <v>1</v>
      </c>
      <c r="AS214" s="25">
        <v>1</v>
      </c>
      <c r="AT214" s="25">
        <v>1</v>
      </c>
      <c r="AU214" s="25">
        <v>1</v>
      </c>
      <c r="AV214" s="25">
        <v>1</v>
      </c>
      <c r="AW214" s="25">
        <v>1</v>
      </c>
      <c r="AX214" s="25">
        <v>1</v>
      </c>
      <c r="AY214" s="25">
        <v>1</v>
      </c>
      <c r="AZ214" s="25">
        <v>1</v>
      </c>
      <c r="BA214" s="25">
        <v>1</v>
      </c>
      <c r="BB214" s="25">
        <v>1</v>
      </c>
      <c r="BC214" s="25">
        <v>1</v>
      </c>
      <c r="BD214" s="25">
        <v>1</v>
      </c>
    </row>
    <row r="215" spans="27:56" x14ac:dyDescent="0.25">
      <c r="AA215" s="68" t="str">
        <f t="shared" si="13"/>
        <v>Fotos\\.jpg</v>
      </c>
      <c r="AB215" s="53">
        <f t="shared" si="14"/>
        <v>4.6511627906976744E-3</v>
      </c>
      <c r="AC215" s="25">
        <f t="shared" si="15"/>
        <v>215</v>
      </c>
      <c r="AD215" s="51">
        <f t="shared" si="16"/>
        <v>1</v>
      </c>
      <c r="AE215" s="25">
        <v>1</v>
      </c>
      <c r="AF215" s="25">
        <v>1</v>
      </c>
      <c r="AG215" s="25">
        <v>1</v>
      </c>
      <c r="AH215" s="25">
        <v>1</v>
      </c>
      <c r="AI215" s="25">
        <f>IF(OR(Apresentação!$E$3='Base de Dados e filtragem'!AI$2,Apresentação!$E$3='Base de Dados e filtragem'!E215),1,0)</f>
        <v>1</v>
      </c>
      <c r="AJ215" s="25">
        <f>IF(OR(Apresentação!$E$4='Base de Dados e filtragem'!AJ$2,Apresentação!$E$4='Base de Dados e filtragem'!F215),1,0)</f>
        <v>1</v>
      </c>
      <c r="AK215" s="25">
        <f>IF(OR(Apresentação!$E$5='Base de Dados e filtragem'!AK$2,Apresentação!$E$5='Base de Dados e filtragem'!G215),1,0)</f>
        <v>1</v>
      </c>
      <c r="AL215" s="25">
        <f>IF(OR(Apresentação!$E$6='Base de Dados e filtragem'!AL$2,Apresentação!$E$6='Base de Dados e filtragem'!H215),1,0)</f>
        <v>1</v>
      </c>
      <c r="AM215" s="25">
        <f>IF(OR(Apresentação!$I$2='Base de Dados e filtragem'!AM$2,Apresentação!$I$2='Base de Dados e filtragem'!I215),1,0)</f>
        <v>1</v>
      </c>
      <c r="AN215" s="25">
        <f>IF(OR(Apresentação!$I$3='Base de Dados e filtragem'!AN$2,Apresentação!$I$3='Base de Dados e filtragem'!J215),1,0)</f>
        <v>1</v>
      </c>
      <c r="AO215" s="25">
        <f>IF(OR(Apresentação!$I$4='Base de Dados e filtragem'!AO$2,Apresentação!$I$4='Base de Dados e filtragem'!K215),1,0)</f>
        <v>1</v>
      </c>
      <c r="AP215" s="25">
        <f>IF(OR(Apresentação!$I$5='Base de Dados e filtragem'!AP$2,Apresentação!$I$5='Base de Dados e filtragem'!L215),1,0)</f>
        <v>1</v>
      </c>
      <c r="AQ215" s="25">
        <f>IF(OR(Apresentação!$I$6='Base de Dados e filtragem'!AQ$2,Apresentação!$I$6='Base de Dados e filtragem'!M215),1,0)</f>
        <v>1</v>
      </c>
      <c r="AR215" s="25">
        <v>1</v>
      </c>
      <c r="AS215" s="25">
        <v>1</v>
      </c>
      <c r="AT215" s="25">
        <v>1</v>
      </c>
      <c r="AU215" s="25">
        <v>1</v>
      </c>
      <c r="AV215" s="25">
        <v>1</v>
      </c>
      <c r="AW215" s="25">
        <v>1</v>
      </c>
      <c r="AX215" s="25">
        <v>1</v>
      </c>
      <c r="AY215" s="25">
        <v>1</v>
      </c>
      <c r="AZ215" s="25">
        <v>1</v>
      </c>
      <c r="BA215" s="25">
        <v>1</v>
      </c>
      <c r="BB215" s="25">
        <v>1</v>
      </c>
      <c r="BC215" s="25">
        <v>1</v>
      </c>
      <c r="BD215" s="25">
        <v>1</v>
      </c>
    </row>
    <row r="216" spans="27:56" x14ac:dyDescent="0.25">
      <c r="AA216" s="68" t="str">
        <f t="shared" si="13"/>
        <v>Fotos\\.jpg</v>
      </c>
      <c r="AB216" s="53">
        <f t="shared" si="14"/>
        <v>4.6296296296296294E-3</v>
      </c>
      <c r="AC216" s="25">
        <f t="shared" si="15"/>
        <v>216</v>
      </c>
      <c r="AD216" s="51">
        <f t="shared" si="16"/>
        <v>1</v>
      </c>
      <c r="AE216" s="25">
        <v>1</v>
      </c>
      <c r="AF216" s="25">
        <v>1</v>
      </c>
      <c r="AG216" s="25">
        <v>1</v>
      </c>
      <c r="AH216" s="25">
        <v>1</v>
      </c>
      <c r="AI216" s="25">
        <f>IF(OR(Apresentação!$E$3='Base de Dados e filtragem'!AI$2,Apresentação!$E$3='Base de Dados e filtragem'!E216),1,0)</f>
        <v>1</v>
      </c>
      <c r="AJ216" s="25">
        <f>IF(OR(Apresentação!$E$4='Base de Dados e filtragem'!AJ$2,Apresentação!$E$4='Base de Dados e filtragem'!F216),1,0)</f>
        <v>1</v>
      </c>
      <c r="AK216" s="25">
        <f>IF(OR(Apresentação!$E$5='Base de Dados e filtragem'!AK$2,Apresentação!$E$5='Base de Dados e filtragem'!G216),1,0)</f>
        <v>1</v>
      </c>
      <c r="AL216" s="25">
        <f>IF(OR(Apresentação!$E$6='Base de Dados e filtragem'!AL$2,Apresentação!$E$6='Base de Dados e filtragem'!H216),1,0)</f>
        <v>1</v>
      </c>
      <c r="AM216" s="25">
        <f>IF(OR(Apresentação!$I$2='Base de Dados e filtragem'!AM$2,Apresentação!$I$2='Base de Dados e filtragem'!I216),1,0)</f>
        <v>1</v>
      </c>
      <c r="AN216" s="25">
        <f>IF(OR(Apresentação!$I$3='Base de Dados e filtragem'!AN$2,Apresentação!$I$3='Base de Dados e filtragem'!J216),1,0)</f>
        <v>1</v>
      </c>
      <c r="AO216" s="25">
        <f>IF(OR(Apresentação!$I$4='Base de Dados e filtragem'!AO$2,Apresentação!$I$4='Base de Dados e filtragem'!K216),1,0)</f>
        <v>1</v>
      </c>
      <c r="AP216" s="25">
        <f>IF(OR(Apresentação!$I$5='Base de Dados e filtragem'!AP$2,Apresentação!$I$5='Base de Dados e filtragem'!L216),1,0)</f>
        <v>1</v>
      </c>
      <c r="AQ216" s="25">
        <f>IF(OR(Apresentação!$I$6='Base de Dados e filtragem'!AQ$2,Apresentação!$I$6='Base de Dados e filtragem'!M216),1,0)</f>
        <v>1</v>
      </c>
      <c r="AR216" s="25">
        <v>1</v>
      </c>
      <c r="AS216" s="25">
        <v>1</v>
      </c>
      <c r="AT216" s="25">
        <v>1</v>
      </c>
      <c r="AU216" s="25">
        <v>1</v>
      </c>
      <c r="AV216" s="25">
        <v>1</v>
      </c>
      <c r="AW216" s="25">
        <v>1</v>
      </c>
      <c r="AX216" s="25">
        <v>1</v>
      </c>
      <c r="AY216" s="25">
        <v>1</v>
      </c>
      <c r="AZ216" s="25">
        <v>1</v>
      </c>
      <c r="BA216" s="25">
        <v>1</v>
      </c>
      <c r="BB216" s="25">
        <v>1</v>
      </c>
      <c r="BC216" s="25">
        <v>1</v>
      </c>
      <c r="BD216" s="25">
        <v>1</v>
      </c>
    </row>
    <row r="217" spans="27:56" x14ac:dyDescent="0.25">
      <c r="AA217" s="68" t="str">
        <f t="shared" si="13"/>
        <v>Fotos\\.jpg</v>
      </c>
      <c r="AB217" s="53">
        <f t="shared" si="14"/>
        <v>4.608294930875576E-3</v>
      </c>
      <c r="AC217" s="25">
        <f t="shared" si="15"/>
        <v>217</v>
      </c>
      <c r="AD217" s="51">
        <f t="shared" si="16"/>
        <v>1</v>
      </c>
      <c r="AE217" s="25">
        <v>1</v>
      </c>
      <c r="AF217" s="25">
        <v>1</v>
      </c>
      <c r="AG217" s="25">
        <v>1</v>
      </c>
      <c r="AH217" s="25">
        <v>1</v>
      </c>
      <c r="AI217" s="25">
        <f>IF(OR(Apresentação!$E$3='Base de Dados e filtragem'!AI$2,Apresentação!$E$3='Base de Dados e filtragem'!E217),1,0)</f>
        <v>1</v>
      </c>
      <c r="AJ217" s="25">
        <f>IF(OR(Apresentação!$E$4='Base de Dados e filtragem'!AJ$2,Apresentação!$E$4='Base de Dados e filtragem'!F217),1,0)</f>
        <v>1</v>
      </c>
      <c r="AK217" s="25">
        <f>IF(OR(Apresentação!$E$5='Base de Dados e filtragem'!AK$2,Apresentação!$E$5='Base de Dados e filtragem'!G217),1,0)</f>
        <v>1</v>
      </c>
      <c r="AL217" s="25">
        <f>IF(OR(Apresentação!$E$6='Base de Dados e filtragem'!AL$2,Apresentação!$E$6='Base de Dados e filtragem'!H217),1,0)</f>
        <v>1</v>
      </c>
      <c r="AM217" s="25">
        <f>IF(OR(Apresentação!$I$2='Base de Dados e filtragem'!AM$2,Apresentação!$I$2='Base de Dados e filtragem'!I217),1,0)</f>
        <v>1</v>
      </c>
      <c r="AN217" s="25">
        <f>IF(OR(Apresentação!$I$3='Base de Dados e filtragem'!AN$2,Apresentação!$I$3='Base de Dados e filtragem'!J217),1,0)</f>
        <v>1</v>
      </c>
      <c r="AO217" s="25">
        <f>IF(OR(Apresentação!$I$4='Base de Dados e filtragem'!AO$2,Apresentação!$I$4='Base de Dados e filtragem'!K217),1,0)</f>
        <v>1</v>
      </c>
      <c r="AP217" s="25">
        <f>IF(OR(Apresentação!$I$5='Base de Dados e filtragem'!AP$2,Apresentação!$I$5='Base de Dados e filtragem'!L217),1,0)</f>
        <v>1</v>
      </c>
      <c r="AQ217" s="25">
        <f>IF(OR(Apresentação!$I$6='Base de Dados e filtragem'!AQ$2,Apresentação!$I$6='Base de Dados e filtragem'!M217),1,0)</f>
        <v>1</v>
      </c>
      <c r="AR217" s="25">
        <v>1</v>
      </c>
      <c r="AS217" s="25">
        <v>1</v>
      </c>
      <c r="AT217" s="25">
        <v>1</v>
      </c>
      <c r="AU217" s="25">
        <v>1</v>
      </c>
      <c r="AV217" s="25">
        <v>1</v>
      </c>
      <c r="AW217" s="25">
        <v>1</v>
      </c>
      <c r="AX217" s="25">
        <v>1</v>
      </c>
      <c r="AY217" s="25">
        <v>1</v>
      </c>
      <c r="AZ217" s="25">
        <v>1</v>
      </c>
      <c r="BA217" s="25">
        <v>1</v>
      </c>
      <c r="BB217" s="25">
        <v>1</v>
      </c>
      <c r="BC217" s="25">
        <v>1</v>
      </c>
      <c r="BD217" s="25">
        <v>1</v>
      </c>
    </row>
    <row r="218" spans="27:56" x14ac:dyDescent="0.25">
      <c r="AA218" s="68" t="str">
        <f t="shared" si="13"/>
        <v>Fotos\\.jpg</v>
      </c>
      <c r="AB218" s="53">
        <f t="shared" si="14"/>
        <v>4.5871559633027525E-3</v>
      </c>
      <c r="AC218" s="25">
        <f t="shared" si="15"/>
        <v>218</v>
      </c>
      <c r="AD218" s="51">
        <f t="shared" si="16"/>
        <v>1</v>
      </c>
      <c r="AE218" s="25">
        <v>1</v>
      </c>
      <c r="AF218" s="25">
        <v>1</v>
      </c>
      <c r="AG218" s="25">
        <v>1</v>
      </c>
      <c r="AH218" s="25">
        <v>1</v>
      </c>
      <c r="AI218" s="25">
        <f>IF(OR(Apresentação!$E$3='Base de Dados e filtragem'!AI$2,Apresentação!$E$3='Base de Dados e filtragem'!E218),1,0)</f>
        <v>1</v>
      </c>
      <c r="AJ218" s="25">
        <f>IF(OR(Apresentação!$E$4='Base de Dados e filtragem'!AJ$2,Apresentação!$E$4='Base de Dados e filtragem'!F218),1,0)</f>
        <v>1</v>
      </c>
      <c r="AK218" s="25">
        <f>IF(OR(Apresentação!$E$5='Base de Dados e filtragem'!AK$2,Apresentação!$E$5='Base de Dados e filtragem'!G218),1,0)</f>
        <v>1</v>
      </c>
      <c r="AL218" s="25">
        <f>IF(OR(Apresentação!$E$6='Base de Dados e filtragem'!AL$2,Apresentação!$E$6='Base de Dados e filtragem'!H218),1,0)</f>
        <v>1</v>
      </c>
      <c r="AM218" s="25">
        <f>IF(OR(Apresentação!$I$2='Base de Dados e filtragem'!AM$2,Apresentação!$I$2='Base de Dados e filtragem'!I218),1,0)</f>
        <v>1</v>
      </c>
      <c r="AN218" s="25">
        <f>IF(OR(Apresentação!$I$3='Base de Dados e filtragem'!AN$2,Apresentação!$I$3='Base de Dados e filtragem'!J218),1,0)</f>
        <v>1</v>
      </c>
      <c r="AO218" s="25">
        <f>IF(OR(Apresentação!$I$4='Base de Dados e filtragem'!AO$2,Apresentação!$I$4='Base de Dados e filtragem'!K218),1,0)</f>
        <v>1</v>
      </c>
      <c r="AP218" s="25">
        <f>IF(OR(Apresentação!$I$5='Base de Dados e filtragem'!AP$2,Apresentação!$I$5='Base de Dados e filtragem'!L218),1,0)</f>
        <v>1</v>
      </c>
      <c r="AQ218" s="25">
        <f>IF(OR(Apresentação!$I$6='Base de Dados e filtragem'!AQ$2,Apresentação!$I$6='Base de Dados e filtragem'!M218),1,0)</f>
        <v>1</v>
      </c>
      <c r="AR218" s="25">
        <v>1</v>
      </c>
      <c r="AS218" s="25">
        <v>1</v>
      </c>
      <c r="AT218" s="25">
        <v>1</v>
      </c>
      <c r="AU218" s="25">
        <v>1</v>
      </c>
      <c r="AV218" s="25">
        <v>1</v>
      </c>
      <c r="AW218" s="25">
        <v>1</v>
      </c>
      <c r="AX218" s="25">
        <v>1</v>
      </c>
      <c r="AY218" s="25">
        <v>1</v>
      </c>
      <c r="AZ218" s="25">
        <v>1</v>
      </c>
      <c r="BA218" s="25">
        <v>1</v>
      </c>
      <c r="BB218" s="25">
        <v>1</v>
      </c>
      <c r="BC218" s="25">
        <v>1</v>
      </c>
      <c r="BD218" s="25">
        <v>1</v>
      </c>
    </row>
    <row r="219" spans="27:56" x14ac:dyDescent="0.25">
      <c r="AA219" s="68" t="str">
        <f t="shared" si="13"/>
        <v>Fotos\\.jpg</v>
      </c>
      <c r="AB219" s="53">
        <f t="shared" si="14"/>
        <v>4.5662100456621002E-3</v>
      </c>
      <c r="AC219" s="25">
        <f t="shared" si="15"/>
        <v>219</v>
      </c>
      <c r="AD219" s="51">
        <f t="shared" si="16"/>
        <v>1</v>
      </c>
      <c r="AE219" s="25">
        <v>1</v>
      </c>
      <c r="AF219" s="25">
        <v>1</v>
      </c>
      <c r="AG219" s="25">
        <v>1</v>
      </c>
      <c r="AH219" s="25">
        <v>1</v>
      </c>
      <c r="AI219" s="25">
        <f>IF(OR(Apresentação!$E$3='Base de Dados e filtragem'!AI$2,Apresentação!$E$3='Base de Dados e filtragem'!E219),1,0)</f>
        <v>1</v>
      </c>
      <c r="AJ219" s="25">
        <f>IF(OR(Apresentação!$E$4='Base de Dados e filtragem'!AJ$2,Apresentação!$E$4='Base de Dados e filtragem'!F219),1,0)</f>
        <v>1</v>
      </c>
      <c r="AK219" s="25">
        <f>IF(OR(Apresentação!$E$5='Base de Dados e filtragem'!AK$2,Apresentação!$E$5='Base de Dados e filtragem'!G219),1,0)</f>
        <v>1</v>
      </c>
      <c r="AL219" s="25">
        <f>IF(OR(Apresentação!$E$6='Base de Dados e filtragem'!AL$2,Apresentação!$E$6='Base de Dados e filtragem'!H219),1,0)</f>
        <v>1</v>
      </c>
      <c r="AM219" s="25">
        <f>IF(OR(Apresentação!$I$2='Base de Dados e filtragem'!AM$2,Apresentação!$I$2='Base de Dados e filtragem'!I219),1,0)</f>
        <v>1</v>
      </c>
      <c r="AN219" s="25">
        <f>IF(OR(Apresentação!$I$3='Base de Dados e filtragem'!AN$2,Apresentação!$I$3='Base de Dados e filtragem'!J219),1,0)</f>
        <v>1</v>
      </c>
      <c r="AO219" s="25">
        <f>IF(OR(Apresentação!$I$4='Base de Dados e filtragem'!AO$2,Apresentação!$I$4='Base de Dados e filtragem'!K219),1,0)</f>
        <v>1</v>
      </c>
      <c r="AP219" s="25">
        <f>IF(OR(Apresentação!$I$5='Base de Dados e filtragem'!AP$2,Apresentação!$I$5='Base de Dados e filtragem'!L219),1,0)</f>
        <v>1</v>
      </c>
      <c r="AQ219" s="25">
        <f>IF(OR(Apresentação!$I$6='Base de Dados e filtragem'!AQ$2,Apresentação!$I$6='Base de Dados e filtragem'!M219),1,0)</f>
        <v>1</v>
      </c>
      <c r="AR219" s="25">
        <v>1</v>
      </c>
      <c r="AS219" s="25">
        <v>1</v>
      </c>
      <c r="AT219" s="25">
        <v>1</v>
      </c>
      <c r="AU219" s="25">
        <v>1</v>
      </c>
      <c r="AV219" s="25">
        <v>1</v>
      </c>
      <c r="AW219" s="25">
        <v>1</v>
      </c>
      <c r="AX219" s="25">
        <v>1</v>
      </c>
      <c r="AY219" s="25">
        <v>1</v>
      </c>
      <c r="AZ219" s="25">
        <v>1</v>
      </c>
      <c r="BA219" s="25">
        <v>1</v>
      </c>
      <c r="BB219" s="25">
        <v>1</v>
      </c>
      <c r="BC219" s="25">
        <v>1</v>
      </c>
      <c r="BD219" s="25">
        <v>1</v>
      </c>
    </row>
    <row r="220" spans="27:56" x14ac:dyDescent="0.25">
      <c r="AA220" s="68" t="str">
        <f t="shared" si="13"/>
        <v>Fotos\\.jpg</v>
      </c>
      <c r="AB220" s="53">
        <f t="shared" si="14"/>
        <v>4.5454545454545452E-3</v>
      </c>
      <c r="AC220" s="25">
        <f t="shared" si="15"/>
        <v>220</v>
      </c>
      <c r="AD220" s="51">
        <f t="shared" si="16"/>
        <v>1</v>
      </c>
      <c r="AE220" s="25">
        <v>1</v>
      </c>
      <c r="AF220" s="25">
        <v>1</v>
      </c>
      <c r="AG220" s="25">
        <v>1</v>
      </c>
      <c r="AH220" s="25">
        <v>1</v>
      </c>
      <c r="AI220" s="25">
        <f>IF(OR(Apresentação!$E$3='Base de Dados e filtragem'!AI$2,Apresentação!$E$3='Base de Dados e filtragem'!E220),1,0)</f>
        <v>1</v>
      </c>
      <c r="AJ220" s="25">
        <f>IF(OR(Apresentação!$E$4='Base de Dados e filtragem'!AJ$2,Apresentação!$E$4='Base de Dados e filtragem'!F220),1,0)</f>
        <v>1</v>
      </c>
      <c r="AK220" s="25">
        <f>IF(OR(Apresentação!$E$5='Base de Dados e filtragem'!AK$2,Apresentação!$E$5='Base de Dados e filtragem'!G220),1,0)</f>
        <v>1</v>
      </c>
      <c r="AL220" s="25">
        <f>IF(OR(Apresentação!$E$6='Base de Dados e filtragem'!AL$2,Apresentação!$E$6='Base de Dados e filtragem'!H220),1,0)</f>
        <v>1</v>
      </c>
      <c r="AM220" s="25">
        <f>IF(OR(Apresentação!$I$2='Base de Dados e filtragem'!AM$2,Apresentação!$I$2='Base de Dados e filtragem'!I220),1,0)</f>
        <v>1</v>
      </c>
      <c r="AN220" s="25">
        <f>IF(OR(Apresentação!$I$3='Base de Dados e filtragem'!AN$2,Apresentação!$I$3='Base de Dados e filtragem'!J220),1,0)</f>
        <v>1</v>
      </c>
      <c r="AO220" s="25">
        <f>IF(OR(Apresentação!$I$4='Base de Dados e filtragem'!AO$2,Apresentação!$I$4='Base de Dados e filtragem'!K220),1,0)</f>
        <v>1</v>
      </c>
      <c r="AP220" s="25">
        <f>IF(OR(Apresentação!$I$5='Base de Dados e filtragem'!AP$2,Apresentação!$I$5='Base de Dados e filtragem'!L220),1,0)</f>
        <v>1</v>
      </c>
      <c r="AQ220" s="25">
        <f>IF(OR(Apresentação!$I$6='Base de Dados e filtragem'!AQ$2,Apresentação!$I$6='Base de Dados e filtragem'!M220),1,0)</f>
        <v>1</v>
      </c>
      <c r="AR220" s="25">
        <v>1</v>
      </c>
      <c r="AS220" s="25">
        <v>1</v>
      </c>
      <c r="AT220" s="25">
        <v>1</v>
      </c>
      <c r="AU220" s="25">
        <v>1</v>
      </c>
      <c r="AV220" s="25">
        <v>1</v>
      </c>
      <c r="AW220" s="25">
        <v>1</v>
      </c>
      <c r="AX220" s="25">
        <v>1</v>
      </c>
      <c r="AY220" s="25">
        <v>1</v>
      </c>
      <c r="AZ220" s="25">
        <v>1</v>
      </c>
      <c r="BA220" s="25">
        <v>1</v>
      </c>
      <c r="BB220" s="25">
        <v>1</v>
      </c>
      <c r="BC220" s="25">
        <v>1</v>
      </c>
      <c r="BD220" s="25">
        <v>1</v>
      </c>
    </row>
    <row r="221" spans="27:56" x14ac:dyDescent="0.25">
      <c r="AA221" s="68" t="str">
        <f t="shared" si="13"/>
        <v>Fotos\\.jpg</v>
      </c>
      <c r="AB221" s="53">
        <f t="shared" si="14"/>
        <v>4.5248868778280547E-3</v>
      </c>
      <c r="AC221" s="25">
        <f t="shared" si="15"/>
        <v>221</v>
      </c>
      <c r="AD221" s="51">
        <f t="shared" si="16"/>
        <v>1</v>
      </c>
      <c r="AE221" s="25">
        <v>1</v>
      </c>
      <c r="AF221" s="25">
        <v>1</v>
      </c>
      <c r="AG221" s="25">
        <v>1</v>
      </c>
      <c r="AH221" s="25">
        <v>1</v>
      </c>
      <c r="AI221" s="25">
        <f>IF(OR(Apresentação!$E$3='Base de Dados e filtragem'!AI$2,Apresentação!$E$3='Base de Dados e filtragem'!E221),1,0)</f>
        <v>1</v>
      </c>
      <c r="AJ221" s="25">
        <f>IF(OR(Apresentação!$E$4='Base de Dados e filtragem'!AJ$2,Apresentação!$E$4='Base de Dados e filtragem'!F221),1,0)</f>
        <v>1</v>
      </c>
      <c r="AK221" s="25">
        <f>IF(OR(Apresentação!$E$5='Base de Dados e filtragem'!AK$2,Apresentação!$E$5='Base de Dados e filtragem'!G221),1,0)</f>
        <v>1</v>
      </c>
      <c r="AL221" s="25">
        <f>IF(OR(Apresentação!$E$6='Base de Dados e filtragem'!AL$2,Apresentação!$E$6='Base de Dados e filtragem'!H221),1,0)</f>
        <v>1</v>
      </c>
      <c r="AM221" s="25">
        <f>IF(OR(Apresentação!$I$2='Base de Dados e filtragem'!AM$2,Apresentação!$I$2='Base de Dados e filtragem'!I221),1,0)</f>
        <v>1</v>
      </c>
      <c r="AN221" s="25">
        <f>IF(OR(Apresentação!$I$3='Base de Dados e filtragem'!AN$2,Apresentação!$I$3='Base de Dados e filtragem'!J221),1,0)</f>
        <v>1</v>
      </c>
      <c r="AO221" s="25">
        <f>IF(OR(Apresentação!$I$4='Base de Dados e filtragem'!AO$2,Apresentação!$I$4='Base de Dados e filtragem'!K221),1,0)</f>
        <v>1</v>
      </c>
      <c r="AP221" s="25">
        <f>IF(OR(Apresentação!$I$5='Base de Dados e filtragem'!AP$2,Apresentação!$I$5='Base de Dados e filtragem'!L221),1,0)</f>
        <v>1</v>
      </c>
      <c r="AQ221" s="25">
        <f>IF(OR(Apresentação!$I$6='Base de Dados e filtragem'!AQ$2,Apresentação!$I$6='Base de Dados e filtragem'!M221),1,0)</f>
        <v>1</v>
      </c>
      <c r="AR221" s="25">
        <v>1</v>
      </c>
      <c r="AS221" s="25">
        <v>1</v>
      </c>
      <c r="AT221" s="25">
        <v>1</v>
      </c>
      <c r="AU221" s="25">
        <v>1</v>
      </c>
      <c r="AV221" s="25">
        <v>1</v>
      </c>
      <c r="AW221" s="25">
        <v>1</v>
      </c>
      <c r="AX221" s="25">
        <v>1</v>
      </c>
      <c r="AY221" s="25">
        <v>1</v>
      </c>
      <c r="AZ221" s="25">
        <v>1</v>
      </c>
      <c r="BA221" s="25">
        <v>1</v>
      </c>
      <c r="BB221" s="25">
        <v>1</v>
      </c>
      <c r="BC221" s="25">
        <v>1</v>
      </c>
      <c r="BD221" s="25">
        <v>1</v>
      </c>
    </row>
    <row r="222" spans="27:56" x14ac:dyDescent="0.25">
      <c r="AA222" s="68" t="str">
        <f t="shared" si="13"/>
        <v>Fotos\\.jpg</v>
      </c>
      <c r="AB222" s="53">
        <f t="shared" si="14"/>
        <v>4.5045045045045045E-3</v>
      </c>
      <c r="AC222" s="25">
        <f t="shared" si="15"/>
        <v>222</v>
      </c>
      <c r="AD222" s="51">
        <f t="shared" si="16"/>
        <v>1</v>
      </c>
      <c r="AE222" s="25">
        <v>1</v>
      </c>
      <c r="AF222" s="25">
        <v>1</v>
      </c>
      <c r="AG222" s="25">
        <v>1</v>
      </c>
      <c r="AH222" s="25">
        <v>1</v>
      </c>
      <c r="AI222" s="25">
        <f>IF(OR(Apresentação!$E$3='Base de Dados e filtragem'!AI$2,Apresentação!$E$3='Base de Dados e filtragem'!E222),1,0)</f>
        <v>1</v>
      </c>
      <c r="AJ222" s="25">
        <f>IF(OR(Apresentação!$E$4='Base de Dados e filtragem'!AJ$2,Apresentação!$E$4='Base de Dados e filtragem'!F222),1,0)</f>
        <v>1</v>
      </c>
      <c r="AK222" s="25">
        <f>IF(OR(Apresentação!$E$5='Base de Dados e filtragem'!AK$2,Apresentação!$E$5='Base de Dados e filtragem'!G222),1,0)</f>
        <v>1</v>
      </c>
      <c r="AL222" s="25">
        <f>IF(OR(Apresentação!$E$6='Base de Dados e filtragem'!AL$2,Apresentação!$E$6='Base de Dados e filtragem'!H222),1,0)</f>
        <v>1</v>
      </c>
      <c r="AM222" s="25">
        <f>IF(OR(Apresentação!$I$2='Base de Dados e filtragem'!AM$2,Apresentação!$I$2='Base de Dados e filtragem'!I222),1,0)</f>
        <v>1</v>
      </c>
      <c r="AN222" s="25">
        <f>IF(OR(Apresentação!$I$3='Base de Dados e filtragem'!AN$2,Apresentação!$I$3='Base de Dados e filtragem'!J222),1,0)</f>
        <v>1</v>
      </c>
      <c r="AO222" s="25">
        <f>IF(OR(Apresentação!$I$4='Base de Dados e filtragem'!AO$2,Apresentação!$I$4='Base de Dados e filtragem'!K222),1,0)</f>
        <v>1</v>
      </c>
      <c r="AP222" s="25">
        <f>IF(OR(Apresentação!$I$5='Base de Dados e filtragem'!AP$2,Apresentação!$I$5='Base de Dados e filtragem'!L222),1,0)</f>
        <v>1</v>
      </c>
      <c r="AQ222" s="25">
        <f>IF(OR(Apresentação!$I$6='Base de Dados e filtragem'!AQ$2,Apresentação!$I$6='Base de Dados e filtragem'!M222),1,0)</f>
        <v>1</v>
      </c>
      <c r="AR222" s="25">
        <v>1</v>
      </c>
      <c r="AS222" s="25">
        <v>1</v>
      </c>
      <c r="AT222" s="25">
        <v>1</v>
      </c>
      <c r="AU222" s="25">
        <v>1</v>
      </c>
      <c r="AV222" s="25">
        <v>1</v>
      </c>
      <c r="AW222" s="25">
        <v>1</v>
      </c>
      <c r="AX222" s="25">
        <v>1</v>
      </c>
      <c r="AY222" s="25">
        <v>1</v>
      </c>
      <c r="AZ222" s="25">
        <v>1</v>
      </c>
      <c r="BA222" s="25">
        <v>1</v>
      </c>
      <c r="BB222" s="25">
        <v>1</v>
      </c>
      <c r="BC222" s="25">
        <v>1</v>
      </c>
      <c r="BD222" s="25">
        <v>1</v>
      </c>
    </row>
    <row r="223" spans="27:56" x14ac:dyDescent="0.25">
      <c r="AA223" s="68" t="str">
        <f t="shared" si="13"/>
        <v>Fotos\\.jpg</v>
      </c>
      <c r="AB223" s="53">
        <f t="shared" si="14"/>
        <v>4.4843049327354259E-3</v>
      </c>
      <c r="AC223" s="25">
        <f t="shared" si="15"/>
        <v>223</v>
      </c>
      <c r="AD223" s="51">
        <f t="shared" si="16"/>
        <v>1</v>
      </c>
      <c r="AE223" s="25">
        <v>1</v>
      </c>
      <c r="AF223" s="25">
        <v>1</v>
      </c>
      <c r="AG223" s="25">
        <v>1</v>
      </c>
      <c r="AH223" s="25">
        <v>1</v>
      </c>
      <c r="AI223" s="25">
        <f>IF(OR(Apresentação!$E$3='Base de Dados e filtragem'!AI$2,Apresentação!$E$3='Base de Dados e filtragem'!E223),1,0)</f>
        <v>1</v>
      </c>
      <c r="AJ223" s="25">
        <f>IF(OR(Apresentação!$E$4='Base de Dados e filtragem'!AJ$2,Apresentação!$E$4='Base de Dados e filtragem'!F223),1,0)</f>
        <v>1</v>
      </c>
      <c r="AK223" s="25">
        <f>IF(OR(Apresentação!$E$5='Base de Dados e filtragem'!AK$2,Apresentação!$E$5='Base de Dados e filtragem'!G223),1,0)</f>
        <v>1</v>
      </c>
      <c r="AL223" s="25">
        <f>IF(OR(Apresentação!$E$6='Base de Dados e filtragem'!AL$2,Apresentação!$E$6='Base de Dados e filtragem'!H223),1,0)</f>
        <v>1</v>
      </c>
      <c r="AM223" s="25">
        <f>IF(OR(Apresentação!$I$2='Base de Dados e filtragem'!AM$2,Apresentação!$I$2='Base de Dados e filtragem'!I223),1,0)</f>
        <v>1</v>
      </c>
      <c r="AN223" s="25">
        <f>IF(OR(Apresentação!$I$3='Base de Dados e filtragem'!AN$2,Apresentação!$I$3='Base de Dados e filtragem'!J223),1,0)</f>
        <v>1</v>
      </c>
      <c r="AO223" s="25">
        <f>IF(OR(Apresentação!$I$4='Base de Dados e filtragem'!AO$2,Apresentação!$I$4='Base de Dados e filtragem'!K223),1,0)</f>
        <v>1</v>
      </c>
      <c r="AP223" s="25">
        <f>IF(OR(Apresentação!$I$5='Base de Dados e filtragem'!AP$2,Apresentação!$I$5='Base de Dados e filtragem'!L223),1,0)</f>
        <v>1</v>
      </c>
      <c r="AQ223" s="25">
        <f>IF(OR(Apresentação!$I$6='Base de Dados e filtragem'!AQ$2,Apresentação!$I$6='Base de Dados e filtragem'!M223),1,0)</f>
        <v>1</v>
      </c>
      <c r="AR223" s="25">
        <v>1</v>
      </c>
      <c r="AS223" s="25">
        <v>1</v>
      </c>
      <c r="AT223" s="25">
        <v>1</v>
      </c>
      <c r="AU223" s="25">
        <v>1</v>
      </c>
      <c r="AV223" s="25">
        <v>1</v>
      </c>
      <c r="AW223" s="25">
        <v>1</v>
      </c>
      <c r="AX223" s="25">
        <v>1</v>
      </c>
      <c r="AY223" s="25">
        <v>1</v>
      </c>
      <c r="AZ223" s="25">
        <v>1</v>
      </c>
      <c r="BA223" s="25">
        <v>1</v>
      </c>
      <c r="BB223" s="25">
        <v>1</v>
      </c>
      <c r="BC223" s="25">
        <v>1</v>
      </c>
      <c r="BD223" s="25">
        <v>1</v>
      </c>
    </row>
    <row r="224" spans="27:56" x14ac:dyDescent="0.25">
      <c r="AA224" s="68" t="str">
        <f t="shared" si="13"/>
        <v>Fotos\\.jpg</v>
      </c>
      <c r="AB224" s="53">
        <f t="shared" si="14"/>
        <v>4.464285714285714E-3</v>
      </c>
      <c r="AC224" s="25">
        <f t="shared" si="15"/>
        <v>224</v>
      </c>
      <c r="AD224" s="51">
        <f t="shared" si="16"/>
        <v>1</v>
      </c>
      <c r="AE224" s="25">
        <v>1</v>
      </c>
      <c r="AF224" s="25">
        <v>1</v>
      </c>
      <c r="AG224" s="25">
        <v>1</v>
      </c>
      <c r="AH224" s="25">
        <v>1</v>
      </c>
      <c r="AI224" s="25">
        <f>IF(OR(Apresentação!$E$3='Base de Dados e filtragem'!AI$2,Apresentação!$E$3='Base de Dados e filtragem'!E224),1,0)</f>
        <v>1</v>
      </c>
      <c r="AJ224" s="25">
        <f>IF(OR(Apresentação!$E$4='Base de Dados e filtragem'!AJ$2,Apresentação!$E$4='Base de Dados e filtragem'!F224),1,0)</f>
        <v>1</v>
      </c>
      <c r="AK224" s="25">
        <f>IF(OR(Apresentação!$E$5='Base de Dados e filtragem'!AK$2,Apresentação!$E$5='Base de Dados e filtragem'!G224),1,0)</f>
        <v>1</v>
      </c>
      <c r="AL224" s="25">
        <f>IF(OR(Apresentação!$E$6='Base de Dados e filtragem'!AL$2,Apresentação!$E$6='Base de Dados e filtragem'!H224),1,0)</f>
        <v>1</v>
      </c>
      <c r="AM224" s="25">
        <f>IF(OR(Apresentação!$I$2='Base de Dados e filtragem'!AM$2,Apresentação!$I$2='Base de Dados e filtragem'!I224),1,0)</f>
        <v>1</v>
      </c>
      <c r="AN224" s="25">
        <f>IF(OR(Apresentação!$I$3='Base de Dados e filtragem'!AN$2,Apresentação!$I$3='Base de Dados e filtragem'!J224),1,0)</f>
        <v>1</v>
      </c>
      <c r="AO224" s="25">
        <f>IF(OR(Apresentação!$I$4='Base de Dados e filtragem'!AO$2,Apresentação!$I$4='Base de Dados e filtragem'!K224),1,0)</f>
        <v>1</v>
      </c>
      <c r="AP224" s="25">
        <f>IF(OR(Apresentação!$I$5='Base de Dados e filtragem'!AP$2,Apresentação!$I$5='Base de Dados e filtragem'!L224),1,0)</f>
        <v>1</v>
      </c>
      <c r="AQ224" s="25">
        <f>IF(OR(Apresentação!$I$6='Base de Dados e filtragem'!AQ$2,Apresentação!$I$6='Base de Dados e filtragem'!M224),1,0)</f>
        <v>1</v>
      </c>
      <c r="AR224" s="25">
        <v>1</v>
      </c>
      <c r="AS224" s="25">
        <v>1</v>
      </c>
      <c r="AT224" s="25">
        <v>1</v>
      </c>
      <c r="AU224" s="25">
        <v>1</v>
      </c>
      <c r="AV224" s="25">
        <v>1</v>
      </c>
      <c r="AW224" s="25">
        <v>1</v>
      </c>
      <c r="AX224" s="25">
        <v>1</v>
      </c>
      <c r="AY224" s="25">
        <v>1</v>
      </c>
      <c r="AZ224" s="25">
        <v>1</v>
      </c>
      <c r="BA224" s="25">
        <v>1</v>
      </c>
      <c r="BB224" s="25">
        <v>1</v>
      </c>
      <c r="BC224" s="25">
        <v>1</v>
      </c>
      <c r="BD224" s="25">
        <v>1</v>
      </c>
    </row>
    <row r="225" spans="27:56" x14ac:dyDescent="0.25">
      <c r="AA225" s="68" t="str">
        <f t="shared" si="13"/>
        <v>Fotos\\.jpg</v>
      </c>
      <c r="AB225" s="53">
        <f t="shared" si="14"/>
        <v>4.4444444444444444E-3</v>
      </c>
      <c r="AC225" s="25">
        <f t="shared" si="15"/>
        <v>225</v>
      </c>
      <c r="AD225" s="51">
        <f t="shared" si="16"/>
        <v>1</v>
      </c>
      <c r="AE225" s="25">
        <v>1</v>
      </c>
      <c r="AF225" s="25">
        <v>1</v>
      </c>
      <c r="AG225" s="25">
        <v>1</v>
      </c>
      <c r="AH225" s="25">
        <v>1</v>
      </c>
      <c r="AI225" s="25">
        <f>IF(OR(Apresentação!$E$3='Base de Dados e filtragem'!AI$2,Apresentação!$E$3='Base de Dados e filtragem'!E225),1,0)</f>
        <v>1</v>
      </c>
      <c r="AJ225" s="25">
        <f>IF(OR(Apresentação!$E$4='Base de Dados e filtragem'!AJ$2,Apresentação!$E$4='Base de Dados e filtragem'!F225),1,0)</f>
        <v>1</v>
      </c>
      <c r="AK225" s="25">
        <f>IF(OR(Apresentação!$E$5='Base de Dados e filtragem'!AK$2,Apresentação!$E$5='Base de Dados e filtragem'!G225),1,0)</f>
        <v>1</v>
      </c>
      <c r="AL225" s="25">
        <f>IF(OR(Apresentação!$E$6='Base de Dados e filtragem'!AL$2,Apresentação!$E$6='Base de Dados e filtragem'!H225),1,0)</f>
        <v>1</v>
      </c>
      <c r="AM225" s="25">
        <f>IF(OR(Apresentação!$I$2='Base de Dados e filtragem'!AM$2,Apresentação!$I$2='Base de Dados e filtragem'!I225),1,0)</f>
        <v>1</v>
      </c>
      <c r="AN225" s="25">
        <f>IF(OR(Apresentação!$I$3='Base de Dados e filtragem'!AN$2,Apresentação!$I$3='Base de Dados e filtragem'!J225),1,0)</f>
        <v>1</v>
      </c>
      <c r="AO225" s="25">
        <f>IF(OR(Apresentação!$I$4='Base de Dados e filtragem'!AO$2,Apresentação!$I$4='Base de Dados e filtragem'!K225),1,0)</f>
        <v>1</v>
      </c>
      <c r="AP225" s="25">
        <f>IF(OR(Apresentação!$I$5='Base de Dados e filtragem'!AP$2,Apresentação!$I$5='Base de Dados e filtragem'!L225),1,0)</f>
        <v>1</v>
      </c>
      <c r="AQ225" s="25">
        <f>IF(OR(Apresentação!$I$6='Base de Dados e filtragem'!AQ$2,Apresentação!$I$6='Base de Dados e filtragem'!M225),1,0)</f>
        <v>1</v>
      </c>
      <c r="AR225" s="25">
        <v>1</v>
      </c>
      <c r="AS225" s="25">
        <v>1</v>
      </c>
      <c r="AT225" s="25">
        <v>1</v>
      </c>
      <c r="AU225" s="25">
        <v>1</v>
      </c>
      <c r="AV225" s="25">
        <v>1</v>
      </c>
      <c r="AW225" s="25">
        <v>1</v>
      </c>
      <c r="AX225" s="25">
        <v>1</v>
      </c>
      <c r="AY225" s="25">
        <v>1</v>
      </c>
      <c r="AZ225" s="25">
        <v>1</v>
      </c>
      <c r="BA225" s="25">
        <v>1</v>
      </c>
      <c r="BB225" s="25">
        <v>1</v>
      </c>
      <c r="BC225" s="25">
        <v>1</v>
      </c>
      <c r="BD225" s="25">
        <v>1</v>
      </c>
    </row>
    <row r="226" spans="27:56" x14ac:dyDescent="0.25">
      <c r="AA226" s="68" t="str">
        <f t="shared" si="13"/>
        <v>Fotos\\.jpg</v>
      </c>
      <c r="AB226" s="53">
        <f t="shared" si="14"/>
        <v>4.4247787610619468E-3</v>
      </c>
      <c r="AC226" s="25">
        <f t="shared" si="15"/>
        <v>226</v>
      </c>
      <c r="AD226" s="51">
        <f t="shared" si="16"/>
        <v>1</v>
      </c>
      <c r="AE226" s="25">
        <v>1</v>
      </c>
      <c r="AF226" s="25">
        <v>1</v>
      </c>
      <c r="AG226" s="25">
        <v>1</v>
      </c>
      <c r="AH226" s="25">
        <v>1</v>
      </c>
      <c r="AI226" s="25">
        <f>IF(OR(Apresentação!$E$3='Base de Dados e filtragem'!AI$2,Apresentação!$E$3='Base de Dados e filtragem'!E226),1,0)</f>
        <v>1</v>
      </c>
      <c r="AJ226" s="25">
        <f>IF(OR(Apresentação!$E$4='Base de Dados e filtragem'!AJ$2,Apresentação!$E$4='Base de Dados e filtragem'!F226),1,0)</f>
        <v>1</v>
      </c>
      <c r="AK226" s="25">
        <f>IF(OR(Apresentação!$E$5='Base de Dados e filtragem'!AK$2,Apresentação!$E$5='Base de Dados e filtragem'!G226),1,0)</f>
        <v>1</v>
      </c>
      <c r="AL226" s="25">
        <f>IF(OR(Apresentação!$E$6='Base de Dados e filtragem'!AL$2,Apresentação!$E$6='Base de Dados e filtragem'!H226),1,0)</f>
        <v>1</v>
      </c>
      <c r="AM226" s="25">
        <f>IF(OR(Apresentação!$I$2='Base de Dados e filtragem'!AM$2,Apresentação!$I$2='Base de Dados e filtragem'!I226),1,0)</f>
        <v>1</v>
      </c>
      <c r="AN226" s="25">
        <f>IF(OR(Apresentação!$I$3='Base de Dados e filtragem'!AN$2,Apresentação!$I$3='Base de Dados e filtragem'!J226),1,0)</f>
        <v>1</v>
      </c>
      <c r="AO226" s="25">
        <f>IF(OR(Apresentação!$I$4='Base de Dados e filtragem'!AO$2,Apresentação!$I$4='Base de Dados e filtragem'!K226),1,0)</f>
        <v>1</v>
      </c>
      <c r="AP226" s="25">
        <f>IF(OR(Apresentação!$I$5='Base de Dados e filtragem'!AP$2,Apresentação!$I$5='Base de Dados e filtragem'!L226),1,0)</f>
        <v>1</v>
      </c>
      <c r="AQ226" s="25">
        <f>IF(OR(Apresentação!$I$6='Base de Dados e filtragem'!AQ$2,Apresentação!$I$6='Base de Dados e filtragem'!M226),1,0)</f>
        <v>1</v>
      </c>
      <c r="AR226" s="25">
        <v>1</v>
      </c>
      <c r="AS226" s="25">
        <v>1</v>
      </c>
      <c r="AT226" s="25">
        <v>1</v>
      </c>
      <c r="AU226" s="25">
        <v>1</v>
      </c>
      <c r="AV226" s="25">
        <v>1</v>
      </c>
      <c r="AW226" s="25">
        <v>1</v>
      </c>
      <c r="AX226" s="25">
        <v>1</v>
      </c>
      <c r="AY226" s="25">
        <v>1</v>
      </c>
      <c r="AZ226" s="25">
        <v>1</v>
      </c>
      <c r="BA226" s="25">
        <v>1</v>
      </c>
      <c r="BB226" s="25">
        <v>1</v>
      </c>
      <c r="BC226" s="25">
        <v>1</v>
      </c>
      <c r="BD226" s="25">
        <v>1</v>
      </c>
    </row>
    <row r="227" spans="27:56" x14ac:dyDescent="0.25">
      <c r="AA227" s="68" t="str">
        <f t="shared" si="13"/>
        <v>Fotos\\.jpg</v>
      </c>
      <c r="AB227" s="53">
        <f t="shared" si="14"/>
        <v>4.4052863436123352E-3</v>
      </c>
      <c r="AC227" s="25">
        <f t="shared" si="15"/>
        <v>227</v>
      </c>
      <c r="AD227" s="51">
        <f t="shared" si="16"/>
        <v>1</v>
      </c>
      <c r="AE227" s="25">
        <v>1</v>
      </c>
      <c r="AF227" s="25">
        <v>1</v>
      </c>
      <c r="AG227" s="25">
        <v>1</v>
      </c>
      <c r="AH227" s="25">
        <v>1</v>
      </c>
      <c r="AI227" s="25">
        <f>IF(OR(Apresentação!$E$3='Base de Dados e filtragem'!AI$2,Apresentação!$E$3='Base de Dados e filtragem'!E227),1,0)</f>
        <v>1</v>
      </c>
      <c r="AJ227" s="25">
        <f>IF(OR(Apresentação!$E$4='Base de Dados e filtragem'!AJ$2,Apresentação!$E$4='Base de Dados e filtragem'!F227),1,0)</f>
        <v>1</v>
      </c>
      <c r="AK227" s="25">
        <f>IF(OR(Apresentação!$E$5='Base de Dados e filtragem'!AK$2,Apresentação!$E$5='Base de Dados e filtragem'!G227),1,0)</f>
        <v>1</v>
      </c>
      <c r="AL227" s="25">
        <f>IF(OR(Apresentação!$E$6='Base de Dados e filtragem'!AL$2,Apresentação!$E$6='Base de Dados e filtragem'!H227),1,0)</f>
        <v>1</v>
      </c>
      <c r="AM227" s="25">
        <f>IF(OR(Apresentação!$I$2='Base de Dados e filtragem'!AM$2,Apresentação!$I$2='Base de Dados e filtragem'!I227),1,0)</f>
        <v>1</v>
      </c>
      <c r="AN227" s="25">
        <f>IF(OR(Apresentação!$I$3='Base de Dados e filtragem'!AN$2,Apresentação!$I$3='Base de Dados e filtragem'!J227),1,0)</f>
        <v>1</v>
      </c>
      <c r="AO227" s="25">
        <f>IF(OR(Apresentação!$I$4='Base de Dados e filtragem'!AO$2,Apresentação!$I$4='Base de Dados e filtragem'!K227),1,0)</f>
        <v>1</v>
      </c>
      <c r="AP227" s="25">
        <f>IF(OR(Apresentação!$I$5='Base de Dados e filtragem'!AP$2,Apresentação!$I$5='Base de Dados e filtragem'!L227),1,0)</f>
        <v>1</v>
      </c>
      <c r="AQ227" s="25">
        <f>IF(OR(Apresentação!$I$6='Base de Dados e filtragem'!AQ$2,Apresentação!$I$6='Base de Dados e filtragem'!M227),1,0)</f>
        <v>1</v>
      </c>
      <c r="AR227" s="25">
        <v>1</v>
      </c>
      <c r="AS227" s="25">
        <v>1</v>
      </c>
      <c r="AT227" s="25">
        <v>1</v>
      </c>
      <c r="AU227" s="25">
        <v>1</v>
      </c>
      <c r="AV227" s="25">
        <v>1</v>
      </c>
      <c r="AW227" s="25">
        <v>1</v>
      </c>
      <c r="AX227" s="25">
        <v>1</v>
      </c>
      <c r="AY227" s="25">
        <v>1</v>
      </c>
      <c r="AZ227" s="25">
        <v>1</v>
      </c>
      <c r="BA227" s="25">
        <v>1</v>
      </c>
      <c r="BB227" s="25">
        <v>1</v>
      </c>
      <c r="BC227" s="25">
        <v>1</v>
      </c>
      <c r="BD227" s="25">
        <v>1</v>
      </c>
    </row>
    <row r="228" spans="27:56" x14ac:dyDescent="0.25">
      <c r="AA228" s="68" t="str">
        <f t="shared" si="13"/>
        <v>Fotos\\.jpg</v>
      </c>
      <c r="AB228" s="53">
        <f t="shared" si="14"/>
        <v>4.3859649122807015E-3</v>
      </c>
      <c r="AC228" s="25">
        <f t="shared" si="15"/>
        <v>228</v>
      </c>
      <c r="AD228" s="51">
        <f t="shared" si="16"/>
        <v>1</v>
      </c>
      <c r="AE228" s="25">
        <v>1</v>
      </c>
      <c r="AF228" s="25">
        <v>1</v>
      </c>
      <c r="AG228" s="25">
        <v>1</v>
      </c>
      <c r="AH228" s="25">
        <v>1</v>
      </c>
      <c r="AI228" s="25">
        <f>IF(OR(Apresentação!$E$3='Base de Dados e filtragem'!AI$2,Apresentação!$E$3='Base de Dados e filtragem'!E228),1,0)</f>
        <v>1</v>
      </c>
      <c r="AJ228" s="25">
        <f>IF(OR(Apresentação!$E$4='Base de Dados e filtragem'!AJ$2,Apresentação!$E$4='Base de Dados e filtragem'!F228),1,0)</f>
        <v>1</v>
      </c>
      <c r="AK228" s="25">
        <f>IF(OR(Apresentação!$E$5='Base de Dados e filtragem'!AK$2,Apresentação!$E$5='Base de Dados e filtragem'!G228),1,0)</f>
        <v>1</v>
      </c>
      <c r="AL228" s="25">
        <f>IF(OR(Apresentação!$E$6='Base de Dados e filtragem'!AL$2,Apresentação!$E$6='Base de Dados e filtragem'!H228),1,0)</f>
        <v>1</v>
      </c>
      <c r="AM228" s="25">
        <f>IF(OR(Apresentação!$I$2='Base de Dados e filtragem'!AM$2,Apresentação!$I$2='Base de Dados e filtragem'!I228),1,0)</f>
        <v>1</v>
      </c>
      <c r="AN228" s="25">
        <f>IF(OR(Apresentação!$I$3='Base de Dados e filtragem'!AN$2,Apresentação!$I$3='Base de Dados e filtragem'!J228),1,0)</f>
        <v>1</v>
      </c>
      <c r="AO228" s="25">
        <f>IF(OR(Apresentação!$I$4='Base de Dados e filtragem'!AO$2,Apresentação!$I$4='Base de Dados e filtragem'!K228),1,0)</f>
        <v>1</v>
      </c>
      <c r="AP228" s="25">
        <f>IF(OR(Apresentação!$I$5='Base de Dados e filtragem'!AP$2,Apresentação!$I$5='Base de Dados e filtragem'!L228),1,0)</f>
        <v>1</v>
      </c>
      <c r="AQ228" s="25">
        <f>IF(OR(Apresentação!$I$6='Base de Dados e filtragem'!AQ$2,Apresentação!$I$6='Base de Dados e filtragem'!M228),1,0)</f>
        <v>1</v>
      </c>
      <c r="AR228" s="25">
        <v>1</v>
      </c>
      <c r="AS228" s="25">
        <v>1</v>
      </c>
      <c r="AT228" s="25">
        <v>1</v>
      </c>
      <c r="AU228" s="25">
        <v>1</v>
      </c>
      <c r="AV228" s="25">
        <v>1</v>
      </c>
      <c r="AW228" s="25">
        <v>1</v>
      </c>
      <c r="AX228" s="25">
        <v>1</v>
      </c>
      <c r="AY228" s="25">
        <v>1</v>
      </c>
      <c r="AZ228" s="25">
        <v>1</v>
      </c>
      <c r="BA228" s="25">
        <v>1</v>
      </c>
      <c r="BB228" s="25">
        <v>1</v>
      </c>
      <c r="BC228" s="25">
        <v>1</v>
      </c>
      <c r="BD228" s="25">
        <v>1</v>
      </c>
    </row>
    <row r="229" spans="27:56" x14ac:dyDescent="0.25">
      <c r="AA229" s="68" t="str">
        <f t="shared" si="13"/>
        <v>Fotos\\.jpg</v>
      </c>
      <c r="AB229" s="53">
        <f t="shared" si="14"/>
        <v>4.3668122270742356E-3</v>
      </c>
      <c r="AC229" s="25">
        <f t="shared" si="15"/>
        <v>229</v>
      </c>
      <c r="AD229" s="51">
        <f t="shared" si="16"/>
        <v>1</v>
      </c>
      <c r="AE229" s="25">
        <v>1</v>
      </c>
      <c r="AF229" s="25">
        <v>1</v>
      </c>
      <c r="AG229" s="25">
        <v>1</v>
      </c>
      <c r="AH229" s="25">
        <v>1</v>
      </c>
      <c r="AI229" s="25">
        <f>IF(OR(Apresentação!$E$3='Base de Dados e filtragem'!AI$2,Apresentação!$E$3='Base de Dados e filtragem'!E229),1,0)</f>
        <v>1</v>
      </c>
      <c r="AJ229" s="25">
        <f>IF(OR(Apresentação!$E$4='Base de Dados e filtragem'!AJ$2,Apresentação!$E$4='Base de Dados e filtragem'!F229),1,0)</f>
        <v>1</v>
      </c>
      <c r="AK229" s="25">
        <f>IF(OR(Apresentação!$E$5='Base de Dados e filtragem'!AK$2,Apresentação!$E$5='Base de Dados e filtragem'!G229),1,0)</f>
        <v>1</v>
      </c>
      <c r="AL229" s="25">
        <f>IF(OR(Apresentação!$E$6='Base de Dados e filtragem'!AL$2,Apresentação!$E$6='Base de Dados e filtragem'!H229),1,0)</f>
        <v>1</v>
      </c>
      <c r="AM229" s="25">
        <f>IF(OR(Apresentação!$I$2='Base de Dados e filtragem'!AM$2,Apresentação!$I$2='Base de Dados e filtragem'!I229),1,0)</f>
        <v>1</v>
      </c>
      <c r="AN229" s="25">
        <f>IF(OR(Apresentação!$I$3='Base de Dados e filtragem'!AN$2,Apresentação!$I$3='Base de Dados e filtragem'!J229),1,0)</f>
        <v>1</v>
      </c>
      <c r="AO229" s="25">
        <f>IF(OR(Apresentação!$I$4='Base de Dados e filtragem'!AO$2,Apresentação!$I$4='Base de Dados e filtragem'!K229),1,0)</f>
        <v>1</v>
      </c>
      <c r="AP229" s="25">
        <f>IF(OR(Apresentação!$I$5='Base de Dados e filtragem'!AP$2,Apresentação!$I$5='Base de Dados e filtragem'!L229),1,0)</f>
        <v>1</v>
      </c>
      <c r="AQ229" s="25">
        <f>IF(OR(Apresentação!$I$6='Base de Dados e filtragem'!AQ$2,Apresentação!$I$6='Base de Dados e filtragem'!M229),1,0)</f>
        <v>1</v>
      </c>
      <c r="AR229" s="25">
        <v>1</v>
      </c>
      <c r="AS229" s="25">
        <v>1</v>
      </c>
      <c r="AT229" s="25">
        <v>1</v>
      </c>
      <c r="AU229" s="25">
        <v>1</v>
      </c>
      <c r="AV229" s="25">
        <v>1</v>
      </c>
      <c r="AW229" s="25">
        <v>1</v>
      </c>
      <c r="AX229" s="25">
        <v>1</v>
      </c>
      <c r="AY229" s="25">
        <v>1</v>
      </c>
      <c r="AZ229" s="25">
        <v>1</v>
      </c>
      <c r="BA229" s="25">
        <v>1</v>
      </c>
      <c r="BB229" s="25">
        <v>1</v>
      </c>
      <c r="BC229" s="25">
        <v>1</v>
      </c>
      <c r="BD229" s="25">
        <v>1</v>
      </c>
    </row>
    <row r="230" spans="27:56" x14ac:dyDescent="0.25">
      <c r="AA230" s="68" t="str">
        <f t="shared" si="13"/>
        <v>Fotos\\.jpg</v>
      </c>
      <c r="AB230" s="53">
        <f t="shared" si="14"/>
        <v>4.3478260869565218E-3</v>
      </c>
      <c r="AC230" s="25">
        <f t="shared" si="15"/>
        <v>230</v>
      </c>
      <c r="AD230" s="51">
        <f t="shared" si="16"/>
        <v>1</v>
      </c>
      <c r="AE230" s="25">
        <v>1</v>
      </c>
      <c r="AF230" s="25">
        <v>1</v>
      </c>
      <c r="AG230" s="25">
        <v>1</v>
      </c>
      <c r="AH230" s="25">
        <v>1</v>
      </c>
      <c r="AI230" s="25">
        <f>IF(OR(Apresentação!$E$3='Base de Dados e filtragem'!AI$2,Apresentação!$E$3='Base de Dados e filtragem'!E230),1,0)</f>
        <v>1</v>
      </c>
      <c r="AJ230" s="25">
        <f>IF(OR(Apresentação!$E$4='Base de Dados e filtragem'!AJ$2,Apresentação!$E$4='Base de Dados e filtragem'!F230),1,0)</f>
        <v>1</v>
      </c>
      <c r="AK230" s="25">
        <f>IF(OR(Apresentação!$E$5='Base de Dados e filtragem'!AK$2,Apresentação!$E$5='Base de Dados e filtragem'!G230),1,0)</f>
        <v>1</v>
      </c>
      <c r="AL230" s="25">
        <f>IF(OR(Apresentação!$E$6='Base de Dados e filtragem'!AL$2,Apresentação!$E$6='Base de Dados e filtragem'!H230),1,0)</f>
        <v>1</v>
      </c>
      <c r="AM230" s="25">
        <f>IF(OR(Apresentação!$I$2='Base de Dados e filtragem'!AM$2,Apresentação!$I$2='Base de Dados e filtragem'!I230),1,0)</f>
        <v>1</v>
      </c>
      <c r="AN230" s="25">
        <f>IF(OR(Apresentação!$I$3='Base de Dados e filtragem'!AN$2,Apresentação!$I$3='Base de Dados e filtragem'!J230),1,0)</f>
        <v>1</v>
      </c>
      <c r="AO230" s="25">
        <f>IF(OR(Apresentação!$I$4='Base de Dados e filtragem'!AO$2,Apresentação!$I$4='Base de Dados e filtragem'!K230),1,0)</f>
        <v>1</v>
      </c>
      <c r="AP230" s="25">
        <f>IF(OR(Apresentação!$I$5='Base de Dados e filtragem'!AP$2,Apresentação!$I$5='Base de Dados e filtragem'!L230),1,0)</f>
        <v>1</v>
      </c>
      <c r="AQ230" s="25">
        <f>IF(OR(Apresentação!$I$6='Base de Dados e filtragem'!AQ$2,Apresentação!$I$6='Base de Dados e filtragem'!M230),1,0)</f>
        <v>1</v>
      </c>
      <c r="AR230" s="25">
        <v>1</v>
      </c>
      <c r="AS230" s="25">
        <v>1</v>
      </c>
      <c r="AT230" s="25">
        <v>1</v>
      </c>
      <c r="AU230" s="25">
        <v>1</v>
      </c>
      <c r="AV230" s="25">
        <v>1</v>
      </c>
      <c r="AW230" s="25">
        <v>1</v>
      </c>
      <c r="AX230" s="25">
        <v>1</v>
      </c>
      <c r="AY230" s="25">
        <v>1</v>
      </c>
      <c r="AZ230" s="25">
        <v>1</v>
      </c>
      <c r="BA230" s="25">
        <v>1</v>
      </c>
      <c r="BB230" s="25">
        <v>1</v>
      </c>
      <c r="BC230" s="25">
        <v>1</v>
      </c>
      <c r="BD230" s="25">
        <v>1</v>
      </c>
    </row>
    <row r="231" spans="27:56" x14ac:dyDescent="0.25">
      <c r="AA231" s="68" t="str">
        <f t="shared" si="13"/>
        <v>Fotos\\.jpg</v>
      </c>
      <c r="AB231" s="53">
        <f t="shared" si="14"/>
        <v>4.329004329004329E-3</v>
      </c>
      <c r="AC231" s="25">
        <f t="shared" si="15"/>
        <v>231</v>
      </c>
      <c r="AD231" s="51">
        <f t="shared" si="16"/>
        <v>1</v>
      </c>
      <c r="AE231" s="25">
        <v>1</v>
      </c>
      <c r="AF231" s="25">
        <v>1</v>
      </c>
      <c r="AG231" s="25">
        <v>1</v>
      </c>
      <c r="AH231" s="25">
        <v>1</v>
      </c>
      <c r="AI231" s="25">
        <f>IF(OR(Apresentação!$E$3='Base de Dados e filtragem'!AI$2,Apresentação!$E$3='Base de Dados e filtragem'!E231),1,0)</f>
        <v>1</v>
      </c>
      <c r="AJ231" s="25">
        <f>IF(OR(Apresentação!$E$4='Base de Dados e filtragem'!AJ$2,Apresentação!$E$4='Base de Dados e filtragem'!F231),1,0)</f>
        <v>1</v>
      </c>
      <c r="AK231" s="25">
        <f>IF(OR(Apresentação!$E$5='Base de Dados e filtragem'!AK$2,Apresentação!$E$5='Base de Dados e filtragem'!G231),1,0)</f>
        <v>1</v>
      </c>
      <c r="AL231" s="25">
        <f>IF(OR(Apresentação!$E$6='Base de Dados e filtragem'!AL$2,Apresentação!$E$6='Base de Dados e filtragem'!H231),1,0)</f>
        <v>1</v>
      </c>
      <c r="AM231" s="25">
        <f>IF(OR(Apresentação!$I$2='Base de Dados e filtragem'!AM$2,Apresentação!$I$2='Base de Dados e filtragem'!I231),1,0)</f>
        <v>1</v>
      </c>
      <c r="AN231" s="25">
        <f>IF(OR(Apresentação!$I$3='Base de Dados e filtragem'!AN$2,Apresentação!$I$3='Base de Dados e filtragem'!J231),1,0)</f>
        <v>1</v>
      </c>
      <c r="AO231" s="25">
        <f>IF(OR(Apresentação!$I$4='Base de Dados e filtragem'!AO$2,Apresentação!$I$4='Base de Dados e filtragem'!K231),1,0)</f>
        <v>1</v>
      </c>
      <c r="AP231" s="25">
        <f>IF(OR(Apresentação!$I$5='Base de Dados e filtragem'!AP$2,Apresentação!$I$5='Base de Dados e filtragem'!L231),1,0)</f>
        <v>1</v>
      </c>
      <c r="AQ231" s="25">
        <f>IF(OR(Apresentação!$I$6='Base de Dados e filtragem'!AQ$2,Apresentação!$I$6='Base de Dados e filtragem'!M231),1,0)</f>
        <v>1</v>
      </c>
      <c r="AR231" s="25">
        <v>1</v>
      </c>
      <c r="AS231" s="25">
        <v>1</v>
      </c>
      <c r="AT231" s="25">
        <v>1</v>
      </c>
      <c r="AU231" s="25">
        <v>1</v>
      </c>
      <c r="AV231" s="25">
        <v>1</v>
      </c>
      <c r="AW231" s="25">
        <v>1</v>
      </c>
      <c r="AX231" s="25">
        <v>1</v>
      </c>
      <c r="AY231" s="25">
        <v>1</v>
      </c>
      <c r="AZ231" s="25">
        <v>1</v>
      </c>
      <c r="BA231" s="25">
        <v>1</v>
      </c>
      <c r="BB231" s="25">
        <v>1</v>
      </c>
      <c r="BC231" s="25">
        <v>1</v>
      </c>
      <c r="BD231" s="25">
        <v>1</v>
      </c>
    </row>
    <row r="232" spans="27:56" x14ac:dyDescent="0.25">
      <c r="AA232" s="68" t="str">
        <f t="shared" si="13"/>
        <v>Fotos\\.jpg</v>
      </c>
      <c r="AB232" s="53">
        <f t="shared" si="14"/>
        <v>4.3103448275862068E-3</v>
      </c>
      <c r="AC232" s="25">
        <f t="shared" si="15"/>
        <v>232</v>
      </c>
      <c r="AD232" s="51">
        <f t="shared" si="16"/>
        <v>1</v>
      </c>
      <c r="AE232" s="25">
        <v>1</v>
      </c>
      <c r="AF232" s="25">
        <v>1</v>
      </c>
      <c r="AG232" s="25">
        <v>1</v>
      </c>
      <c r="AH232" s="25">
        <v>1</v>
      </c>
      <c r="AI232" s="25">
        <f>IF(OR(Apresentação!$E$3='Base de Dados e filtragem'!AI$2,Apresentação!$E$3='Base de Dados e filtragem'!E232),1,0)</f>
        <v>1</v>
      </c>
      <c r="AJ232" s="25">
        <f>IF(OR(Apresentação!$E$4='Base de Dados e filtragem'!AJ$2,Apresentação!$E$4='Base de Dados e filtragem'!F232),1,0)</f>
        <v>1</v>
      </c>
      <c r="AK232" s="25">
        <f>IF(OR(Apresentação!$E$5='Base de Dados e filtragem'!AK$2,Apresentação!$E$5='Base de Dados e filtragem'!G232),1,0)</f>
        <v>1</v>
      </c>
      <c r="AL232" s="25">
        <f>IF(OR(Apresentação!$E$6='Base de Dados e filtragem'!AL$2,Apresentação!$E$6='Base de Dados e filtragem'!H232),1,0)</f>
        <v>1</v>
      </c>
      <c r="AM232" s="25">
        <f>IF(OR(Apresentação!$I$2='Base de Dados e filtragem'!AM$2,Apresentação!$I$2='Base de Dados e filtragem'!I232),1,0)</f>
        <v>1</v>
      </c>
      <c r="AN232" s="25">
        <f>IF(OR(Apresentação!$I$3='Base de Dados e filtragem'!AN$2,Apresentação!$I$3='Base de Dados e filtragem'!J232),1,0)</f>
        <v>1</v>
      </c>
      <c r="AO232" s="25">
        <f>IF(OR(Apresentação!$I$4='Base de Dados e filtragem'!AO$2,Apresentação!$I$4='Base de Dados e filtragem'!K232),1,0)</f>
        <v>1</v>
      </c>
      <c r="AP232" s="25">
        <f>IF(OR(Apresentação!$I$5='Base de Dados e filtragem'!AP$2,Apresentação!$I$5='Base de Dados e filtragem'!L232),1,0)</f>
        <v>1</v>
      </c>
      <c r="AQ232" s="25">
        <f>IF(OR(Apresentação!$I$6='Base de Dados e filtragem'!AQ$2,Apresentação!$I$6='Base de Dados e filtragem'!M232),1,0)</f>
        <v>1</v>
      </c>
      <c r="AR232" s="25">
        <v>1</v>
      </c>
      <c r="AS232" s="25">
        <v>1</v>
      </c>
      <c r="AT232" s="25">
        <v>1</v>
      </c>
      <c r="AU232" s="25">
        <v>1</v>
      </c>
      <c r="AV232" s="25">
        <v>1</v>
      </c>
      <c r="AW232" s="25">
        <v>1</v>
      </c>
      <c r="AX232" s="25">
        <v>1</v>
      </c>
      <c r="AY232" s="25">
        <v>1</v>
      </c>
      <c r="AZ232" s="25">
        <v>1</v>
      </c>
      <c r="BA232" s="25">
        <v>1</v>
      </c>
      <c r="BB232" s="25">
        <v>1</v>
      </c>
      <c r="BC232" s="25">
        <v>1</v>
      </c>
      <c r="BD232" s="25">
        <v>1</v>
      </c>
    </row>
    <row r="233" spans="27:56" x14ac:dyDescent="0.25">
      <c r="AA233" s="68" t="str">
        <f t="shared" si="13"/>
        <v>Fotos\\.jpg</v>
      </c>
      <c r="AB233" s="53">
        <f t="shared" si="14"/>
        <v>4.2918454935622317E-3</v>
      </c>
      <c r="AC233" s="25">
        <f t="shared" si="15"/>
        <v>233</v>
      </c>
      <c r="AD233" s="51">
        <f t="shared" si="16"/>
        <v>1</v>
      </c>
      <c r="AE233" s="25">
        <v>1</v>
      </c>
      <c r="AF233" s="25">
        <v>1</v>
      </c>
      <c r="AG233" s="25">
        <v>1</v>
      </c>
      <c r="AH233" s="25">
        <v>1</v>
      </c>
      <c r="AI233" s="25">
        <f>IF(OR(Apresentação!$E$3='Base de Dados e filtragem'!AI$2,Apresentação!$E$3='Base de Dados e filtragem'!E233),1,0)</f>
        <v>1</v>
      </c>
      <c r="AJ233" s="25">
        <f>IF(OR(Apresentação!$E$4='Base de Dados e filtragem'!AJ$2,Apresentação!$E$4='Base de Dados e filtragem'!F233),1,0)</f>
        <v>1</v>
      </c>
      <c r="AK233" s="25">
        <f>IF(OR(Apresentação!$E$5='Base de Dados e filtragem'!AK$2,Apresentação!$E$5='Base de Dados e filtragem'!G233),1,0)</f>
        <v>1</v>
      </c>
      <c r="AL233" s="25">
        <f>IF(OR(Apresentação!$E$6='Base de Dados e filtragem'!AL$2,Apresentação!$E$6='Base de Dados e filtragem'!H233),1,0)</f>
        <v>1</v>
      </c>
      <c r="AM233" s="25">
        <f>IF(OR(Apresentação!$I$2='Base de Dados e filtragem'!AM$2,Apresentação!$I$2='Base de Dados e filtragem'!I233),1,0)</f>
        <v>1</v>
      </c>
      <c r="AN233" s="25">
        <f>IF(OR(Apresentação!$I$3='Base de Dados e filtragem'!AN$2,Apresentação!$I$3='Base de Dados e filtragem'!J233),1,0)</f>
        <v>1</v>
      </c>
      <c r="AO233" s="25">
        <f>IF(OR(Apresentação!$I$4='Base de Dados e filtragem'!AO$2,Apresentação!$I$4='Base de Dados e filtragem'!K233),1,0)</f>
        <v>1</v>
      </c>
      <c r="AP233" s="25">
        <f>IF(OR(Apresentação!$I$5='Base de Dados e filtragem'!AP$2,Apresentação!$I$5='Base de Dados e filtragem'!L233),1,0)</f>
        <v>1</v>
      </c>
      <c r="AQ233" s="25">
        <f>IF(OR(Apresentação!$I$6='Base de Dados e filtragem'!AQ$2,Apresentação!$I$6='Base de Dados e filtragem'!M233),1,0)</f>
        <v>1</v>
      </c>
      <c r="AR233" s="25">
        <v>1</v>
      </c>
      <c r="AS233" s="25">
        <v>1</v>
      </c>
      <c r="AT233" s="25">
        <v>1</v>
      </c>
      <c r="AU233" s="25">
        <v>1</v>
      </c>
      <c r="AV233" s="25">
        <v>1</v>
      </c>
      <c r="AW233" s="25">
        <v>1</v>
      </c>
      <c r="AX233" s="25">
        <v>1</v>
      </c>
      <c r="AY233" s="25">
        <v>1</v>
      </c>
      <c r="AZ233" s="25">
        <v>1</v>
      </c>
      <c r="BA233" s="25">
        <v>1</v>
      </c>
      <c r="BB233" s="25">
        <v>1</v>
      </c>
      <c r="BC233" s="25">
        <v>1</v>
      </c>
      <c r="BD233" s="25">
        <v>1</v>
      </c>
    </row>
    <row r="234" spans="27:56" x14ac:dyDescent="0.25">
      <c r="AA234" s="68" t="str">
        <f t="shared" si="13"/>
        <v>Fotos\\.jpg</v>
      </c>
      <c r="AB234" s="53">
        <f t="shared" si="14"/>
        <v>4.2735042735042739E-3</v>
      </c>
      <c r="AC234" s="25">
        <f t="shared" si="15"/>
        <v>234</v>
      </c>
      <c r="AD234" s="51">
        <f t="shared" si="16"/>
        <v>1</v>
      </c>
      <c r="AE234" s="25">
        <v>1</v>
      </c>
      <c r="AF234" s="25">
        <v>1</v>
      </c>
      <c r="AG234" s="25">
        <v>1</v>
      </c>
      <c r="AH234" s="25">
        <v>1</v>
      </c>
      <c r="AI234" s="25">
        <f>IF(OR(Apresentação!$E$3='Base de Dados e filtragem'!AI$2,Apresentação!$E$3='Base de Dados e filtragem'!E234),1,0)</f>
        <v>1</v>
      </c>
      <c r="AJ234" s="25">
        <f>IF(OR(Apresentação!$E$4='Base de Dados e filtragem'!AJ$2,Apresentação!$E$4='Base de Dados e filtragem'!F234),1,0)</f>
        <v>1</v>
      </c>
      <c r="AK234" s="25">
        <f>IF(OR(Apresentação!$E$5='Base de Dados e filtragem'!AK$2,Apresentação!$E$5='Base de Dados e filtragem'!G234),1,0)</f>
        <v>1</v>
      </c>
      <c r="AL234" s="25">
        <f>IF(OR(Apresentação!$E$6='Base de Dados e filtragem'!AL$2,Apresentação!$E$6='Base de Dados e filtragem'!H234),1,0)</f>
        <v>1</v>
      </c>
      <c r="AM234" s="25">
        <f>IF(OR(Apresentação!$I$2='Base de Dados e filtragem'!AM$2,Apresentação!$I$2='Base de Dados e filtragem'!I234),1,0)</f>
        <v>1</v>
      </c>
      <c r="AN234" s="25">
        <f>IF(OR(Apresentação!$I$3='Base de Dados e filtragem'!AN$2,Apresentação!$I$3='Base de Dados e filtragem'!J234),1,0)</f>
        <v>1</v>
      </c>
      <c r="AO234" s="25">
        <f>IF(OR(Apresentação!$I$4='Base de Dados e filtragem'!AO$2,Apresentação!$I$4='Base de Dados e filtragem'!K234),1,0)</f>
        <v>1</v>
      </c>
      <c r="AP234" s="25">
        <f>IF(OR(Apresentação!$I$5='Base de Dados e filtragem'!AP$2,Apresentação!$I$5='Base de Dados e filtragem'!L234),1,0)</f>
        <v>1</v>
      </c>
      <c r="AQ234" s="25">
        <f>IF(OR(Apresentação!$I$6='Base de Dados e filtragem'!AQ$2,Apresentação!$I$6='Base de Dados e filtragem'!M234),1,0)</f>
        <v>1</v>
      </c>
      <c r="AR234" s="25">
        <v>1</v>
      </c>
      <c r="AS234" s="25">
        <v>1</v>
      </c>
      <c r="AT234" s="25">
        <v>1</v>
      </c>
      <c r="AU234" s="25">
        <v>1</v>
      </c>
      <c r="AV234" s="25">
        <v>1</v>
      </c>
      <c r="AW234" s="25">
        <v>1</v>
      </c>
      <c r="AX234" s="25">
        <v>1</v>
      </c>
      <c r="AY234" s="25">
        <v>1</v>
      </c>
      <c r="AZ234" s="25">
        <v>1</v>
      </c>
      <c r="BA234" s="25">
        <v>1</v>
      </c>
      <c r="BB234" s="25">
        <v>1</v>
      </c>
      <c r="BC234" s="25">
        <v>1</v>
      </c>
      <c r="BD234" s="25">
        <v>1</v>
      </c>
    </row>
    <row r="235" spans="27:56" x14ac:dyDescent="0.25">
      <c r="AA235" s="68" t="str">
        <f t="shared" si="13"/>
        <v>Fotos\\.jpg</v>
      </c>
      <c r="AB235" s="53">
        <f t="shared" si="14"/>
        <v>4.2553191489361703E-3</v>
      </c>
      <c r="AC235" s="25">
        <f t="shared" si="15"/>
        <v>235</v>
      </c>
      <c r="AD235" s="51">
        <f t="shared" si="16"/>
        <v>1</v>
      </c>
      <c r="AE235" s="25">
        <v>1</v>
      </c>
      <c r="AF235" s="25">
        <v>1</v>
      </c>
      <c r="AG235" s="25">
        <v>1</v>
      </c>
      <c r="AH235" s="25">
        <v>1</v>
      </c>
      <c r="AI235" s="25">
        <f>IF(OR(Apresentação!$E$3='Base de Dados e filtragem'!AI$2,Apresentação!$E$3='Base de Dados e filtragem'!E235),1,0)</f>
        <v>1</v>
      </c>
      <c r="AJ235" s="25">
        <f>IF(OR(Apresentação!$E$4='Base de Dados e filtragem'!AJ$2,Apresentação!$E$4='Base de Dados e filtragem'!F235),1,0)</f>
        <v>1</v>
      </c>
      <c r="AK235" s="25">
        <f>IF(OR(Apresentação!$E$5='Base de Dados e filtragem'!AK$2,Apresentação!$E$5='Base de Dados e filtragem'!G235),1,0)</f>
        <v>1</v>
      </c>
      <c r="AL235" s="25">
        <f>IF(OR(Apresentação!$E$6='Base de Dados e filtragem'!AL$2,Apresentação!$E$6='Base de Dados e filtragem'!H235),1,0)</f>
        <v>1</v>
      </c>
      <c r="AM235" s="25">
        <f>IF(OR(Apresentação!$I$2='Base de Dados e filtragem'!AM$2,Apresentação!$I$2='Base de Dados e filtragem'!I235),1,0)</f>
        <v>1</v>
      </c>
      <c r="AN235" s="25">
        <f>IF(OR(Apresentação!$I$3='Base de Dados e filtragem'!AN$2,Apresentação!$I$3='Base de Dados e filtragem'!J235),1,0)</f>
        <v>1</v>
      </c>
      <c r="AO235" s="25">
        <f>IF(OR(Apresentação!$I$4='Base de Dados e filtragem'!AO$2,Apresentação!$I$4='Base de Dados e filtragem'!K235),1,0)</f>
        <v>1</v>
      </c>
      <c r="AP235" s="25">
        <f>IF(OR(Apresentação!$I$5='Base de Dados e filtragem'!AP$2,Apresentação!$I$5='Base de Dados e filtragem'!L235),1,0)</f>
        <v>1</v>
      </c>
      <c r="AQ235" s="25">
        <f>IF(OR(Apresentação!$I$6='Base de Dados e filtragem'!AQ$2,Apresentação!$I$6='Base de Dados e filtragem'!M235),1,0)</f>
        <v>1</v>
      </c>
      <c r="AR235" s="25">
        <v>1</v>
      </c>
      <c r="AS235" s="25">
        <v>1</v>
      </c>
      <c r="AT235" s="25">
        <v>1</v>
      </c>
      <c r="AU235" s="25">
        <v>1</v>
      </c>
      <c r="AV235" s="25">
        <v>1</v>
      </c>
      <c r="AW235" s="25">
        <v>1</v>
      </c>
      <c r="AX235" s="25">
        <v>1</v>
      </c>
      <c r="AY235" s="25">
        <v>1</v>
      </c>
      <c r="AZ235" s="25">
        <v>1</v>
      </c>
      <c r="BA235" s="25">
        <v>1</v>
      </c>
      <c r="BB235" s="25">
        <v>1</v>
      </c>
      <c r="BC235" s="25">
        <v>1</v>
      </c>
      <c r="BD235" s="25">
        <v>1</v>
      </c>
    </row>
    <row r="236" spans="27:56" x14ac:dyDescent="0.25">
      <c r="AA236" s="68" t="str">
        <f t="shared" si="13"/>
        <v>Fotos\\.jpg</v>
      </c>
      <c r="AB236" s="53">
        <f t="shared" si="14"/>
        <v>4.2372881355932203E-3</v>
      </c>
      <c r="AC236" s="25">
        <f t="shared" si="15"/>
        <v>236</v>
      </c>
      <c r="AD236" s="51">
        <f t="shared" si="16"/>
        <v>1</v>
      </c>
      <c r="AE236" s="25">
        <v>1</v>
      </c>
      <c r="AF236" s="25">
        <v>1</v>
      </c>
      <c r="AG236" s="25">
        <v>1</v>
      </c>
      <c r="AH236" s="25">
        <v>1</v>
      </c>
      <c r="AI236" s="25">
        <f>IF(OR(Apresentação!$E$3='Base de Dados e filtragem'!AI$2,Apresentação!$E$3='Base de Dados e filtragem'!E236),1,0)</f>
        <v>1</v>
      </c>
      <c r="AJ236" s="25">
        <f>IF(OR(Apresentação!$E$4='Base de Dados e filtragem'!AJ$2,Apresentação!$E$4='Base de Dados e filtragem'!F236),1,0)</f>
        <v>1</v>
      </c>
      <c r="AK236" s="25">
        <f>IF(OR(Apresentação!$E$5='Base de Dados e filtragem'!AK$2,Apresentação!$E$5='Base de Dados e filtragem'!G236),1,0)</f>
        <v>1</v>
      </c>
      <c r="AL236" s="25">
        <f>IF(OR(Apresentação!$E$6='Base de Dados e filtragem'!AL$2,Apresentação!$E$6='Base de Dados e filtragem'!H236),1,0)</f>
        <v>1</v>
      </c>
      <c r="AM236" s="25">
        <f>IF(OR(Apresentação!$I$2='Base de Dados e filtragem'!AM$2,Apresentação!$I$2='Base de Dados e filtragem'!I236),1,0)</f>
        <v>1</v>
      </c>
      <c r="AN236" s="25">
        <f>IF(OR(Apresentação!$I$3='Base de Dados e filtragem'!AN$2,Apresentação!$I$3='Base de Dados e filtragem'!J236),1,0)</f>
        <v>1</v>
      </c>
      <c r="AO236" s="25">
        <f>IF(OR(Apresentação!$I$4='Base de Dados e filtragem'!AO$2,Apresentação!$I$4='Base de Dados e filtragem'!K236),1,0)</f>
        <v>1</v>
      </c>
      <c r="AP236" s="25">
        <f>IF(OR(Apresentação!$I$5='Base de Dados e filtragem'!AP$2,Apresentação!$I$5='Base de Dados e filtragem'!L236),1,0)</f>
        <v>1</v>
      </c>
      <c r="AQ236" s="25">
        <f>IF(OR(Apresentação!$I$6='Base de Dados e filtragem'!AQ$2,Apresentação!$I$6='Base de Dados e filtragem'!M236),1,0)</f>
        <v>1</v>
      </c>
      <c r="AR236" s="25">
        <v>1</v>
      </c>
      <c r="AS236" s="25">
        <v>1</v>
      </c>
      <c r="AT236" s="25">
        <v>1</v>
      </c>
      <c r="AU236" s="25">
        <v>1</v>
      </c>
      <c r="AV236" s="25">
        <v>1</v>
      </c>
      <c r="AW236" s="25">
        <v>1</v>
      </c>
      <c r="AX236" s="25">
        <v>1</v>
      </c>
      <c r="AY236" s="25">
        <v>1</v>
      </c>
      <c r="AZ236" s="25">
        <v>1</v>
      </c>
      <c r="BA236" s="25">
        <v>1</v>
      </c>
      <c r="BB236" s="25">
        <v>1</v>
      </c>
      <c r="BC236" s="25">
        <v>1</v>
      </c>
      <c r="BD236" s="25">
        <v>1</v>
      </c>
    </row>
    <row r="237" spans="27:56" x14ac:dyDescent="0.25">
      <c r="AA237" s="68" t="str">
        <f t="shared" si="13"/>
        <v>Fotos\\.jpg</v>
      </c>
      <c r="AB237" s="53">
        <f t="shared" si="14"/>
        <v>4.2194092827004216E-3</v>
      </c>
      <c r="AC237" s="25">
        <f t="shared" si="15"/>
        <v>237</v>
      </c>
      <c r="AD237" s="51">
        <f t="shared" si="16"/>
        <v>1</v>
      </c>
      <c r="AE237" s="25">
        <v>1</v>
      </c>
      <c r="AF237" s="25">
        <v>1</v>
      </c>
      <c r="AG237" s="25">
        <v>1</v>
      </c>
      <c r="AH237" s="25">
        <v>1</v>
      </c>
      <c r="AI237" s="25">
        <f>IF(OR(Apresentação!$E$3='Base de Dados e filtragem'!AI$2,Apresentação!$E$3='Base de Dados e filtragem'!E237),1,0)</f>
        <v>1</v>
      </c>
      <c r="AJ237" s="25">
        <f>IF(OR(Apresentação!$E$4='Base de Dados e filtragem'!AJ$2,Apresentação!$E$4='Base de Dados e filtragem'!F237),1,0)</f>
        <v>1</v>
      </c>
      <c r="AK237" s="25">
        <f>IF(OR(Apresentação!$E$5='Base de Dados e filtragem'!AK$2,Apresentação!$E$5='Base de Dados e filtragem'!G237),1,0)</f>
        <v>1</v>
      </c>
      <c r="AL237" s="25">
        <f>IF(OR(Apresentação!$E$6='Base de Dados e filtragem'!AL$2,Apresentação!$E$6='Base de Dados e filtragem'!H237),1,0)</f>
        <v>1</v>
      </c>
      <c r="AM237" s="25">
        <f>IF(OR(Apresentação!$I$2='Base de Dados e filtragem'!AM$2,Apresentação!$I$2='Base de Dados e filtragem'!I237),1,0)</f>
        <v>1</v>
      </c>
      <c r="AN237" s="25">
        <f>IF(OR(Apresentação!$I$3='Base de Dados e filtragem'!AN$2,Apresentação!$I$3='Base de Dados e filtragem'!J237),1,0)</f>
        <v>1</v>
      </c>
      <c r="AO237" s="25">
        <f>IF(OR(Apresentação!$I$4='Base de Dados e filtragem'!AO$2,Apresentação!$I$4='Base de Dados e filtragem'!K237),1,0)</f>
        <v>1</v>
      </c>
      <c r="AP237" s="25">
        <f>IF(OR(Apresentação!$I$5='Base de Dados e filtragem'!AP$2,Apresentação!$I$5='Base de Dados e filtragem'!L237),1,0)</f>
        <v>1</v>
      </c>
      <c r="AQ237" s="25">
        <f>IF(OR(Apresentação!$I$6='Base de Dados e filtragem'!AQ$2,Apresentação!$I$6='Base de Dados e filtragem'!M237),1,0)</f>
        <v>1</v>
      </c>
      <c r="AR237" s="25">
        <v>1</v>
      </c>
      <c r="AS237" s="25">
        <v>1</v>
      </c>
      <c r="AT237" s="25">
        <v>1</v>
      </c>
      <c r="AU237" s="25">
        <v>1</v>
      </c>
      <c r="AV237" s="25">
        <v>1</v>
      </c>
      <c r="AW237" s="25">
        <v>1</v>
      </c>
      <c r="AX237" s="25">
        <v>1</v>
      </c>
      <c r="AY237" s="25">
        <v>1</v>
      </c>
      <c r="AZ237" s="25">
        <v>1</v>
      </c>
      <c r="BA237" s="25">
        <v>1</v>
      </c>
      <c r="BB237" s="25">
        <v>1</v>
      </c>
      <c r="BC237" s="25">
        <v>1</v>
      </c>
      <c r="BD237" s="25">
        <v>1</v>
      </c>
    </row>
    <row r="238" spans="27:56" x14ac:dyDescent="0.25">
      <c r="AA238" s="68" t="str">
        <f t="shared" si="13"/>
        <v>Fotos\\.jpg</v>
      </c>
      <c r="AB238" s="53">
        <f t="shared" si="14"/>
        <v>4.2016806722689074E-3</v>
      </c>
      <c r="AC238" s="25">
        <f t="shared" si="15"/>
        <v>238</v>
      </c>
      <c r="AD238" s="51">
        <f t="shared" si="16"/>
        <v>1</v>
      </c>
      <c r="AE238" s="25">
        <v>1</v>
      </c>
      <c r="AF238" s="25">
        <v>1</v>
      </c>
      <c r="AG238" s="25">
        <v>1</v>
      </c>
      <c r="AH238" s="25">
        <v>1</v>
      </c>
      <c r="AI238" s="25">
        <f>IF(OR(Apresentação!$E$3='Base de Dados e filtragem'!AI$2,Apresentação!$E$3='Base de Dados e filtragem'!E238),1,0)</f>
        <v>1</v>
      </c>
      <c r="AJ238" s="25">
        <f>IF(OR(Apresentação!$E$4='Base de Dados e filtragem'!AJ$2,Apresentação!$E$4='Base de Dados e filtragem'!F238),1,0)</f>
        <v>1</v>
      </c>
      <c r="AK238" s="25">
        <f>IF(OR(Apresentação!$E$5='Base de Dados e filtragem'!AK$2,Apresentação!$E$5='Base de Dados e filtragem'!G238),1,0)</f>
        <v>1</v>
      </c>
      <c r="AL238" s="25">
        <f>IF(OR(Apresentação!$E$6='Base de Dados e filtragem'!AL$2,Apresentação!$E$6='Base de Dados e filtragem'!H238),1,0)</f>
        <v>1</v>
      </c>
      <c r="AM238" s="25">
        <f>IF(OR(Apresentação!$I$2='Base de Dados e filtragem'!AM$2,Apresentação!$I$2='Base de Dados e filtragem'!I238),1,0)</f>
        <v>1</v>
      </c>
      <c r="AN238" s="25">
        <f>IF(OR(Apresentação!$I$3='Base de Dados e filtragem'!AN$2,Apresentação!$I$3='Base de Dados e filtragem'!J238),1,0)</f>
        <v>1</v>
      </c>
      <c r="AO238" s="25">
        <f>IF(OR(Apresentação!$I$4='Base de Dados e filtragem'!AO$2,Apresentação!$I$4='Base de Dados e filtragem'!K238),1,0)</f>
        <v>1</v>
      </c>
      <c r="AP238" s="25">
        <f>IF(OR(Apresentação!$I$5='Base de Dados e filtragem'!AP$2,Apresentação!$I$5='Base de Dados e filtragem'!L238),1,0)</f>
        <v>1</v>
      </c>
      <c r="AQ238" s="25">
        <f>IF(OR(Apresentação!$I$6='Base de Dados e filtragem'!AQ$2,Apresentação!$I$6='Base de Dados e filtragem'!M238),1,0)</f>
        <v>1</v>
      </c>
      <c r="AR238" s="25">
        <v>1</v>
      </c>
      <c r="AS238" s="25">
        <v>1</v>
      </c>
      <c r="AT238" s="25">
        <v>1</v>
      </c>
      <c r="AU238" s="25">
        <v>1</v>
      </c>
      <c r="AV238" s="25">
        <v>1</v>
      </c>
      <c r="AW238" s="25">
        <v>1</v>
      </c>
      <c r="AX238" s="25">
        <v>1</v>
      </c>
      <c r="AY238" s="25">
        <v>1</v>
      </c>
      <c r="AZ238" s="25">
        <v>1</v>
      </c>
      <c r="BA238" s="25">
        <v>1</v>
      </c>
      <c r="BB238" s="25">
        <v>1</v>
      </c>
      <c r="BC238" s="25">
        <v>1</v>
      </c>
      <c r="BD238" s="25">
        <v>1</v>
      </c>
    </row>
    <row r="239" spans="27:56" x14ac:dyDescent="0.25">
      <c r="AA239" s="68" t="str">
        <f t="shared" si="13"/>
        <v>Fotos\\.jpg</v>
      </c>
      <c r="AB239" s="53">
        <f t="shared" si="14"/>
        <v>4.1841004184100415E-3</v>
      </c>
      <c r="AC239" s="25">
        <f t="shared" si="15"/>
        <v>239</v>
      </c>
      <c r="AD239" s="51">
        <f t="shared" si="16"/>
        <v>1</v>
      </c>
      <c r="AE239" s="25">
        <v>1</v>
      </c>
      <c r="AF239" s="25">
        <v>1</v>
      </c>
      <c r="AG239" s="25">
        <v>1</v>
      </c>
      <c r="AH239" s="25">
        <v>1</v>
      </c>
      <c r="AI239" s="25">
        <f>IF(OR(Apresentação!$E$3='Base de Dados e filtragem'!AI$2,Apresentação!$E$3='Base de Dados e filtragem'!E239),1,0)</f>
        <v>1</v>
      </c>
      <c r="AJ239" s="25">
        <f>IF(OR(Apresentação!$E$4='Base de Dados e filtragem'!AJ$2,Apresentação!$E$4='Base de Dados e filtragem'!F239),1,0)</f>
        <v>1</v>
      </c>
      <c r="AK239" s="25">
        <f>IF(OR(Apresentação!$E$5='Base de Dados e filtragem'!AK$2,Apresentação!$E$5='Base de Dados e filtragem'!G239),1,0)</f>
        <v>1</v>
      </c>
      <c r="AL239" s="25">
        <f>IF(OR(Apresentação!$E$6='Base de Dados e filtragem'!AL$2,Apresentação!$E$6='Base de Dados e filtragem'!H239),1,0)</f>
        <v>1</v>
      </c>
      <c r="AM239" s="25">
        <f>IF(OR(Apresentação!$I$2='Base de Dados e filtragem'!AM$2,Apresentação!$I$2='Base de Dados e filtragem'!I239),1,0)</f>
        <v>1</v>
      </c>
      <c r="AN239" s="25">
        <f>IF(OR(Apresentação!$I$3='Base de Dados e filtragem'!AN$2,Apresentação!$I$3='Base de Dados e filtragem'!J239),1,0)</f>
        <v>1</v>
      </c>
      <c r="AO239" s="25">
        <f>IF(OR(Apresentação!$I$4='Base de Dados e filtragem'!AO$2,Apresentação!$I$4='Base de Dados e filtragem'!K239),1,0)</f>
        <v>1</v>
      </c>
      <c r="AP239" s="25">
        <f>IF(OR(Apresentação!$I$5='Base de Dados e filtragem'!AP$2,Apresentação!$I$5='Base de Dados e filtragem'!L239),1,0)</f>
        <v>1</v>
      </c>
      <c r="AQ239" s="25">
        <f>IF(OR(Apresentação!$I$6='Base de Dados e filtragem'!AQ$2,Apresentação!$I$6='Base de Dados e filtragem'!M239),1,0)</f>
        <v>1</v>
      </c>
      <c r="AR239" s="25">
        <v>1</v>
      </c>
      <c r="AS239" s="25">
        <v>1</v>
      </c>
      <c r="AT239" s="25">
        <v>1</v>
      </c>
      <c r="AU239" s="25">
        <v>1</v>
      </c>
      <c r="AV239" s="25">
        <v>1</v>
      </c>
      <c r="AW239" s="25">
        <v>1</v>
      </c>
      <c r="AX239" s="25">
        <v>1</v>
      </c>
      <c r="AY239" s="25">
        <v>1</v>
      </c>
      <c r="AZ239" s="25">
        <v>1</v>
      </c>
      <c r="BA239" s="25">
        <v>1</v>
      </c>
      <c r="BB239" s="25">
        <v>1</v>
      </c>
      <c r="BC239" s="25">
        <v>1</v>
      </c>
      <c r="BD239" s="25">
        <v>1</v>
      </c>
    </row>
    <row r="240" spans="27:56" x14ac:dyDescent="0.25">
      <c r="AA240" s="68" t="str">
        <f t="shared" si="13"/>
        <v>Fotos\\.jpg</v>
      </c>
      <c r="AB240" s="53">
        <f t="shared" si="14"/>
        <v>4.1666666666666666E-3</v>
      </c>
      <c r="AC240" s="25">
        <f t="shared" si="15"/>
        <v>240</v>
      </c>
      <c r="AD240" s="51">
        <f t="shared" si="16"/>
        <v>1</v>
      </c>
      <c r="AE240" s="25">
        <v>1</v>
      </c>
      <c r="AF240" s="25">
        <v>1</v>
      </c>
      <c r="AG240" s="25">
        <v>1</v>
      </c>
      <c r="AH240" s="25">
        <v>1</v>
      </c>
      <c r="AI240" s="25">
        <f>IF(OR(Apresentação!$E$3='Base de Dados e filtragem'!AI$2,Apresentação!$E$3='Base de Dados e filtragem'!E240),1,0)</f>
        <v>1</v>
      </c>
      <c r="AJ240" s="25">
        <f>IF(OR(Apresentação!$E$4='Base de Dados e filtragem'!AJ$2,Apresentação!$E$4='Base de Dados e filtragem'!F240),1,0)</f>
        <v>1</v>
      </c>
      <c r="AK240" s="25">
        <f>IF(OR(Apresentação!$E$5='Base de Dados e filtragem'!AK$2,Apresentação!$E$5='Base de Dados e filtragem'!G240),1,0)</f>
        <v>1</v>
      </c>
      <c r="AL240" s="25">
        <f>IF(OR(Apresentação!$E$6='Base de Dados e filtragem'!AL$2,Apresentação!$E$6='Base de Dados e filtragem'!H240),1,0)</f>
        <v>1</v>
      </c>
      <c r="AM240" s="25">
        <f>IF(OR(Apresentação!$I$2='Base de Dados e filtragem'!AM$2,Apresentação!$I$2='Base de Dados e filtragem'!I240),1,0)</f>
        <v>1</v>
      </c>
      <c r="AN240" s="25">
        <f>IF(OR(Apresentação!$I$3='Base de Dados e filtragem'!AN$2,Apresentação!$I$3='Base de Dados e filtragem'!J240),1,0)</f>
        <v>1</v>
      </c>
      <c r="AO240" s="25">
        <f>IF(OR(Apresentação!$I$4='Base de Dados e filtragem'!AO$2,Apresentação!$I$4='Base de Dados e filtragem'!K240),1,0)</f>
        <v>1</v>
      </c>
      <c r="AP240" s="25">
        <f>IF(OR(Apresentação!$I$5='Base de Dados e filtragem'!AP$2,Apresentação!$I$5='Base de Dados e filtragem'!L240),1,0)</f>
        <v>1</v>
      </c>
      <c r="AQ240" s="25">
        <f>IF(OR(Apresentação!$I$6='Base de Dados e filtragem'!AQ$2,Apresentação!$I$6='Base de Dados e filtragem'!M240),1,0)</f>
        <v>1</v>
      </c>
      <c r="AR240" s="25">
        <v>1</v>
      </c>
      <c r="AS240" s="25">
        <v>1</v>
      </c>
      <c r="AT240" s="25">
        <v>1</v>
      </c>
      <c r="AU240" s="25">
        <v>1</v>
      </c>
      <c r="AV240" s="25">
        <v>1</v>
      </c>
      <c r="AW240" s="25">
        <v>1</v>
      </c>
      <c r="AX240" s="25">
        <v>1</v>
      </c>
      <c r="AY240" s="25">
        <v>1</v>
      </c>
      <c r="AZ240" s="25">
        <v>1</v>
      </c>
      <c r="BA240" s="25">
        <v>1</v>
      </c>
      <c r="BB240" s="25">
        <v>1</v>
      </c>
      <c r="BC240" s="25">
        <v>1</v>
      </c>
      <c r="BD240" s="25">
        <v>1</v>
      </c>
    </row>
    <row r="241" spans="27:56" x14ac:dyDescent="0.25">
      <c r="AA241" s="68" t="str">
        <f t="shared" si="13"/>
        <v>Fotos\\.jpg</v>
      </c>
      <c r="AB241" s="53">
        <f t="shared" si="14"/>
        <v>4.1493775933609959E-3</v>
      </c>
      <c r="AC241" s="25">
        <f t="shared" si="15"/>
        <v>241</v>
      </c>
      <c r="AD241" s="51">
        <f t="shared" si="16"/>
        <v>1</v>
      </c>
      <c r="AE241" s="25">
        <v>1</v>
      </c>
      <c r="AF241" s="25">
        <v>1</v>
      </c>
      <c r="AG241" s="25">
        <v>1</v>
      </c>
      <c r="AH241" s="25">
        <v>1</v>
      </c>
      <c r="AI241" s="25">
        <f>IF(OR(Apresentação!$E$3='Base de Dados e filtragem'!AI$2,Apresentação!$E$3='Base de Dados e filtragem'!E241),1,0)</f>
        <v>1</v>
      </c>
      <c r="AJ241" s="25">
        <f>IF(OR(Apresentação!$E$4='Base de Dados e filtragem'!AJ$2,Apresentação!$E$4='Base de Dados e filtragem'!F241),1,0)</f>
        <v>1</v>
      </c>
      <c r="AK241" s="25">
        <f>IF(OR(Apresentação!$E$5='Base de Dados e filtragem'!AK$2,Apresentação!$E$5='Base de Dados e filtragem'!G241),1,0)</f>
        <v>1</v>
      </c>
      <c r="AL241" s="25">
        <f>IF(OR(Apresentação!$E$6='Base de Dados e filtragem'!AL$2,Apresentação!$E$6='Base de Dados e filtragem'!H241),1,0)</f>
        <v>1</v>
      </c>
      <c r="AM241" s="25">
        <f>IF(OR(Apresentação!$I$2='Base de Dados e filtragem'!AM$2,Apresentação!$I$2='Base de Dados e filtragem'!I241),1,0)</f>
        <v>1</v>
      </c>
      <c r="AN241" s="25">
        <f>IF(OR(Apresentação!$I$3='Base de Dados e filtragem'!AN$2,Apresentação!$I$3='Base de Dados e filtragem'!J241),1,0)</f>
        <v>1</v>
      </c>
      <c r="AO241" s="25">
        <f>IF(OR(Apresentação!$I$4='Base de Dados e filtragem'!AO$2,Apresentação!$I$4='Base de Dados e filtragem'!K241),1,0)</f>
        <v>1</v>
      </c>
      <c r="AP241" s="25">
        <f>IF(OR(Apresentação!$I$5='Base de Dados e filtragem'!AP$2,Apresentação!$I$5='Base de Dados e filtragem'!L241),1,0)</f>
        <v>1</v>
      </c>
      <c r="AQ241" s="25">
        <f>IF(OR(Apresentação!$I$6='Base de Dados e filtragem'!AQ$2,Apresentação!$I$6='Base de Dados e filtragem'!M241),1,0)</f>
        <v>1</v>
      </c>
      <c r="AR241" s="25">
        <v>1</v>
      </c>
      <c r="AS241" s="25">
        <v>1</v>
      </c>
      <c r="AT241" s="25">
        <v>1</v>
      </c>
      <c r="AU241" s="25">
        <v>1</v>
      </c>
      <c r="AV241" s="25">
        <v>1</v>
      </c>
      <c r="AW241" s="25">
        <v>1</v>
      </c>
      <c r="AX241" s="25">
        <v>1</v>
      </c>
      <c r="AY241" s="25">
        <v>1</v>
      </c>
      <c r="AZ241" s="25">
        <v>1</v>
      </c>
      <c r="BA241" s="25">
        <v>1</v>
      </c>
      <c r="BB241" s="25">
        <v>1</v>
      </c>
      <c r="BC241" s="25">
        <v>1</v>
      </c>
      <c r="BD241" s="25">
        <v>1</v>
      </c>
    </row>
    <row r="242" spans="27:56" x14ac:dyDescent="0.25">
      <c r="AA242" s="68" t="str">
        <f t="shared" si="13"/>
        <v>Fotos\\.jpg</v>
      </c>
      <c r="AB242" s="53">
        <f t="shared" si="14"/>
        <v>4.1322314049586778E-3</v>
      </c>
      <c r="AC242" s="25">
        <f t="shared" si="15"/>
        <v>242</v>
      </c>
      <c r="AD242" s="51">
        <f t="shared" si="16"/>
        <v>1</v>
      </c>
      <c r="AE242" s="25">
        <v>1</v>
      </c>
      <c r="AF242" s="25">
        <v>1</v>
      </c>
      <c r="AG242" s="25">
        <v>1</v>
      </c>
      <c r="AH242" s="25">
        <v>1</v>
      </c>
      <c r="AI242" s="25">
        <f>IF(OR(Apresentação!$E$3='Base de Dados e filtragem'!AI$2,Apresentação!$E$3='Base de Dados e filtragem'!E242),1,0)</f>
        <v>1</v>
      </c>
      <c r="AJ242" s="25">
        <f>IF(OR(Apresentação!$E$4='Base de Dados e filtragem'!AJ$2,Apresentação!$E$4='Base de Dados e filtragem'!F242),1,0)</f>
        <v>1</v>
      </c>
      <c r="AK242" s="25">
        <f>IF(OR(Apresentação!$E$5='Base de Dados e filtragem'!AK$2,Apresentação!$E$5='Base de Dados e filtragem'!G242),1,0)</f>
        <v>1</v>
      </c>
      <c r="AL242" s="25">
        <f>IF(OR(Apresentação!$E$6='Base de Dados e filtragem'!AL$2,Apresentação!$E$6='Base de Dados e filtragem'!H242),1,0)</f>
        <v>1</v>
      </c>
      <c r="AM242" s="25">
        <f>IF(OR(Apresentação!$I$2='Base de Dados e filtragem'!AM$2,Apresentação!$I$2='Base de Dados e filtragem'!I242),1,0)</f>
        <v>1</v>
      </c>
      <c r="AN242" s="25">
        <f>IF(OR(Apresentação!$I$3='Base de Dados e filtragem'!AN$2,Apresentação!$I$3='Base de Dados e filtragem'!J242),1,0)</f>
        <v>1</v>
      </c>
      <c r="AO242" s="25">
        <f>IF(OR(Apresentação!$I$4='Base de Dados e filtragem'!AO$2,Apresentação!$I$4='Base de Dados e filtragem'!K242),1,0)</f>
        <v>1</v>
      </c>
      <c r="AP242" s="25">
        <f>IF(OR(Apresentação!$I$5='Base de Dados e filtragem'!AP$2,Apresentação!$I$5='Base de Dados e filtragem'!L242),1,0)</f>
        <v>1</v>
      </c>
      <c r="AQ242" s="25">
        <f>IF(OR(Apresentação!$I$6='Base de Dados e filtragem'!AQ$2,Apresentação!$I$6='Base de Dados e filtragem'!M242),1,0)</f>
        <v>1</v>
      </c>
      <c r="AR242" s="25">
        <v>1</v>
      </c>
      <c r="AS242" s="25">
        <v>1</v>
      </c>
      <c r="AT242" s="25">
        <v>1</v>
      </c>
      <c r="AU242" s="25">
        <v>1</v>
      </c>
      <c r="AV242" s="25">
        <v>1</v>
      </c>
      <c r="AW242" s="25">
        <v>1</v>
      </c>
      <c r="AX242" s="25">
        <v>1</v>
      </c>
      <c r="AY242" s="25">
        <v>1</v>
      </c>
      <c r="AZ242" s="25">
        <v>1</v>
      </c>
      <c r="BA242" s="25">
        <v>1</v>
      </c>
      <c r="BB242" s="25">
        <v>1</v>
      </c>
      <c r="BC242" s="25">
        <v>1</v>
      </c>
      <c r="BD242" s="25">
        <v>1</v>
      </c>
    </row>
    <row r="243" spans="27:56" x14ac:dyDescent="0.25">
      <c r="AA243" s="68" t="str">
        <f t="shared" si="13"/>
        <v>Fotos\\.jpg</v>
      </c>
      <c r="AB243" s="53">
        <f t="shared" si="14"/>
        <v>4.11522633744856E-3</v>
      </c>
      <c r="AC243" s="25">
        <f t="shared" si="15"/>
        <v>243</v>
      </c>
      <c r="AD243" s="51">
        <f t="shared" si="16"/>
        <v>1</v>
      </c>
      <c r="AE243" s="25">
        <v>1</v>
      </c>
      <c r="AF243" s="25">
        <v>1</v>
      </c>
      <c r="AG243" s="25">
        <v>1</v>
      </c>
      <c r="AH243" s="25">
        <v>1</v>
      </c>
      <c r="AI243" s="25">
        <f>IF(OR(Apresentação!$E$3='Base de Dados e filtragem'!AI$2,Apresentação!$E$3='Base de Dados e filtragem'!E243),1,0)</f>
        <v>1</v>
      </c>
      <c r="AJ243" s="25">
        <f>IF(OR(Apresentação!$E$4='Base de Dados e filtragem'!AJ$2,Apresentação!$E$4='Base de Dados e filtragem'!F243),1,0)</f>
        <v>1</v>
      </c>
      <c r="AK243" s="25">
        <f>IF(OR(Apresentação!$E$5='Base de Dados e filtragem'!AK$2,Apresentação!$E$5='Base de Dados e filtragem'!G243),1,0)</f>
        <v>1</v>
      </c>
      <c r="AL243" s="25">
        <f>IF(OR(Apresentação!$E$6='Base de Dados e filtragem'!AL$2,Apresentação!$E$6='Base de Dados e filtragem'!H243),1,0)</f>
        <v>1</v>
      </c>
      <c r="AM243" s="25">
        <f>IF(OR(Apresentação!$I$2='Base de Dados e filtragem'!AM$2,Apresentação!$I$2='Base de Dados e filtragem'!I243),1,0)</f>
        <v>1</v>
      </c>
      <c r="AN243" s="25">
        <f>IF(OR(Apresentação!$I$3='Base de Dados e filtragem'!AN$2,Apresentação!$I$3='Base de Dados e filtragem'!J243),1,0)</f>
        <v>1</v>
      </c>
      <c r="AO243" s="25">
        <f>IF(OR(Apresentação!$I$4='Base de Dados e filtragem'!AO$2,Apresentação!$I$4='Base de Dados e filtragem'!K243),1,0)</f>
        <v>1</v>
      </c>
      <c r="AP243" s="25">
        <f>IF(OR(Apresentação!$I$5='Base de Dados e filtragem'!AP$2,Apresentação!$I$5='Base de Dados e filtragem'!L243),1,0)</f>
        <v>1</v>
      </c>
      <c r="AQ243" s="25">
        <f>IF(OR(Apresentação!$I$6='Base de Dados e filtragem'!AQ$2,Apresentação!$I$6='Base de Dados e filtragem'!M243),1,0)</f>
        <v>1</v>
      </c>
      <c r="AR243" s="25">
        <v>1</v>
      </c>
      <c r="AS243" s="25">
        <v>1</v>
      </c>
      <c r="AT243" s="25">
        <v>1</v>
      </c>
      <c r="AU243" s="25">
        <v>1</v>
      </c>
      <c r="AV243" s="25">
        <v>1</v>
      </c>
      <c r="AW243" s="25">
        <v>1</v>
      </c>
      <c r="AX243" s="25">
        <v>1</v>
      </c>
      <c r="AY243" s="25">
        <v>1</v>
      </c>
      <c r="AZ243" s="25">
        <v>1</v>
      </c>
      <c r="BA243" s="25">
        <v>1</v>
      </c>
      <c r="BB243" s="25">
        <v>1</v>
      </c>
      <c r="BC243" s="25">
        <v>1</v>
      </c>
      <c r="BD243" s="25">
        <v>1</v>
      </c>
    </row>
    <row r="244" spans="27:56" x14ac:dyDescent="0.25">
      <c r="AA244" s="68" t="str">
        <f t="shared" si="13"/>
        <v>Fotos\\.jpg</v>
      </c>
      <c r="AB244" s="53">
        <f t="shared" si="14"/>
        <v>4.0983606557377051E-3</v>
      </c>
      <c r="AC244" s="25">
        <f t="shared" si="15"/>
        <v>244</v>
      </c>
      <c r="AD244" s="51">
        <f t="shared" si="16"/>
        <v>1</v>
      </c>
      <c r="AE244" s="25">
        <v>1</v>
      </c>
      <c r="AF244" s="25">
        <v>1</v>
      </c>
      <c r="AG244" s="25">
        <v>1</v>
      </c>
      <c r="AH244" s="25">
        <v>1</v>
      </c>
      <c r="AI244" s="25">
        <f>IF(OR(Apresentação!$E$3='Base de Dados e filtragem'!AI$2,Apresentação!$E$3='Base de Dados e filtragem'!E244),1,0)</f>
        <v>1</v>
      </c>
      <c r="AJ244" s="25">
        <f>IF(OR(Apresentação!$E$4='Base de Dados e filtragem'!AJ$2,Apresentação!$E$4='Base de Dados e filtragem'!F244),1,0)</f>
        <v>1</v>
      </c>
      <c r="AK244" s="25">
        <f>IF(OR(Apresentação!$E$5='Base de Dados e filtragem'!AK$2,Apresentação!$E$5='Base de Dados e filtragem'!G244),1,0)</f>
        <v>1</v>
      </c>
      <c r="AL244" s="25">
        <f>IF(OR(Apresentação!$E$6='Base de Dados e filtragem'!AL$2,Apresentação!$E$6='Base de Dados e filtragem'!H244),1,0)</f>
        <v>1</v>
      </c>
      <c r="AM244" s="25">
        <f>IF(OR(Apresentação!$I$2='Base de Dados e filtragem'!AM$2,Apresentação!$I$2='Base de Dados e filtragem'!I244),1,0)</f>
        <v>1</v>
      </c>
      <c r="AN244" s="25">
        <f>IF(OR(Apresentação!$I$3='Base de Dados e filtragem'!AN$2,Apresentação!$I$3='Base de Dados e filtragem'!J244),1,0)</f>
        <v>1</v>
      </c>
      <c r="AO244" s="25">
        <f>IF(OR(Apresentação!$I$4='Base de Dados e filtragem'!AO$2,Apresentação!$I$4='Base de Dados e filtragem'!K244),1,0)</f>
        <v>1</v>
      </c>
      <c r="AP244" s="25">
        <f>IF(OR(Apresentação!$I$5='Base de Dados e filtragem'!AP$2,Apresentação!$I$5='Base de Dados e filtragem'!L244),1,0)</f>
        <v>1</v>
      </c>
      <c r="AQ244" s="25">
        <f>IF(OR(Apresentação!$I$6='Base de Dados e filtragem'!AQ$2,Apresentação!$I$6='Base de Dados e filtragem'!M244),1,0)</f>
        <v>1</v>
      </c>
      <c r="AR244" s="25">
        <v>1</v>
      </c>
      <c r="AS244" s="25">
        <v>1</v>
      </c>
      <c r="AT244" s="25">
        <v>1</v>
      </c>
      <c r="AU244" s="25">
        <v>1</v>
      </c>
      <c r="AV244" s="25">
        <v>1</v>
      </c>
      <c r="AW244" s="25">
        <v>1</v>
      </c>
      <c r="AX244" s="25">
        <v>1</v>
      </c>
      <c r="AY244" s="25">
        <v>1</v>
      </c>
      <c r="AZ244" s="25">
        <v>1</v>
      </c>
      <c r="BA244" s="25">
        <v>1</v>
      </c>
      <c r="BB244" s="25">
        <v>1</v>
      </c>
      <c r="BC244" s="25">
        <v>1</v>
      </c>
      <c r="BD244" s="25">
        <v>1</v>
      </c>
    </row>
    <row r="245" spans="27:56" x14ac:dyDescent="0.25">
      <c r="AA245" s="68" t="str">
        <f t="shared" si="13"/>
        <v>Fotos\\.jpg</v>
      </c>
      <c r="AB245" s="53">
        <f t="shared" si="14"/>
        <v>4.0816326530612249E-3</v>
      </c>
      <c r="AC245" s="25">
        <f t="shared" si="15"/>
        <v>245</v>
      </c>
      <c r="AD245" s="51">
        <f t="shared" si="16"/>
        <v>1</v>
      </c>
      <c r="AE245" s="25">
        <v>1</v>
      </c>
      <c r="AF245" s="25">
        <v>1</v>
      </c>
      <c r="AG245" s="25">
        <v>1</v>
      </c>
      <c r="AH245" s="25">
        <v>1</v>
      </c>
      <c r="AI245" s="25">
        <f>IF(OR(Apresentação!$E$3='Base de Dados e filtragem'!AI$2,Apresentação!$E$3='Base de Dados e filtragem'!E245),1,0)</f>
        <v>1</v>
      </c>
      <c r="AJ245" s="25">
        <f>IF(OR(Apresentação!$E$4='Base de Dados e filtragem'!AJ$2,Apresentação!$E$4='Base de Dados e filtragem'!F245),1,0)</f>
        <v>1</v>
      </c>
      <c r="AK245" s="25">
        <f>IF(OR(Apresentação!$E$5='Base de Dados e filtragem'!AK$2,Apresentação!$E$5='Base de Dados e filtragem'!G245),1,0)</f>
        <v>1</v>
      </c>
      <c r="AL245" s="25">
        <f>IF(OR(Apresentação!$E$6='Base de Dados e filtragem'!AL$2,Apresentação!$E$6='Base de Dados e filtragem'!H245),1,0)</f>
        <v>1</v>
      </c>
      <c r="AM245" s="25">
        <f>IF(OR(Apresentação!$I$2='Base de Dados e filtragem'!AM$2,Apresentação!$I$2='Base de Dados e filtragem'!I245),1,0)</f>
        <v>1</v>
      </c>
      <c r="AN245" s="25">
        <f>IF(OR(Apresentação!$I$3='Base de Dados e filtragem'!AN$2,Apresentação!$I$3='Base de Dados e filtragem'!J245),1,0)</f>
        <v>1</v>
      </c>
      <c r="AO245" s="25">
        <f>IF(OR(Apresentação!$I$4='Base de Dados e filtragem'!AO$2,Apresentação!$I$4='Base de Dados e filtragem'!K245),1,0)</f>
        <v>1</v>
      </c>
      <c r="AP245" s="25">
        <f>IF(OR(Apresentação!$I$5='Base de Dados e filtragem'!AP$2,Apresentação!$I$5='Base de Dados e filtragem'!L245),1,0)</f>
        <v>1</v>
      </c>
      <c r="AQ245" s="25">
        <f>IF(OR(Apresentação!$I$6='Base de Dados e filtragem'!AQ$2,Apresentação!$I$6='Base de Dados e filtragem'!M245),1,0)</f>
        <v>1</v>
      </c>
      <c r="AR245" s="25">
        <v>1</v>
      </c>
      <c r="AS245" s="25">
        <v>1</v>
      </c>
      <c r="AT245" s="25">
        <v>1</v>
      </c>
      <c r="AU245" s="25">
        <v>1</v>
      </c>
      <c r="AV245" s="25">
        <v>1</v>
      </c>
      <c r="AW245" s="25">
        <v>1</v>
      </c>
      <c r="AX245" s="25">
        <v>1</v>
      </c>
      <c r="AY245" s="25">
        <v>1</v>
      </c>
      <c r="AZ245" s="25">
        <v>1</v>
      </c>
      <c r="BA245" s="25">
        <v>1</v>
      </c>
      <c r="BB245" s="25">
        <v>1</v>
      </c>
      <c r="BC245" s="25">
        <v>1</v>
      </c>
      <c r="BD245" s="25">
        <v>1</v>
      </c>
    </row>
    <row r="246" spans="27:56" x14ac:dyDescent="0.25">
      <c r="AA246" s="68" t="str">
        <f t="shared" si="13"/>
        <v>Fotos\\.jpg</v>
      </c>
      <c r="AB246" s="53">
        <f t="shared" si="14"/>
        <v>4.0650406504065045E-3</v>
      </c>
      <c r="AC246" s="25">
        <f t="shared" si="15"/>
        <v>246</v>
      </c>
      <c r="AD246" s="51">
        <f t="shared" si="16"/>
        <v>1</v>
      </c>
      <c r="AE246" s="25">
        <v>1</v>
      </c>
      <c r="AF246" s="25">
        <v>1</v>
      </c>
      <c r="AG246" s="25">
        <v>1</v>
      </c>
      <c r="AH246" s="25">
        <v>1</v>
      </c>
      <c r="AI246" s="25">
        <f>IF(OR(Apresentação!$E$3='Base de Dados e filtragem'!AI$2,Apresentação!$E$3='Base de Dados e filtragem'!E246),1,0)</f>
        <v>1</v>
      </c>
      <c r="AJ246" s="25">
        <f>IF(OR(Apresentação!$E$4='Base de Dados e filtragem'!AJ$2,Apresentação!$E$4='Base de Dados e filtragem'!F246),1,0)</f>
        <v>1</v>
      </c>
      <c r="AK246" s="25">
        <f>IF(OR(Apresentação!$E$5='Base de Dados e filtragem'!AK$2,Apresentação!$E$5='Base de Dados e filtragem'!G246),1,0)</f>
        <v>1</v>
      </c>
      <c r="AL246" s="25">
        <f>IF(OR(Apresentação!$E$6='Base de Dados e filtragem'!AL$2,Apresentação!$E$6='Base de Dados e filtragem'!H246),1,0)</f>
        <v>1</v>
      </c>
      <c r="AM246" s="25">
        <f>IF(OR(Apresentação!$I$2='Base de Dados e filtragem'!AM$2,Apresentação!$I$2='Base de Dados e filtragem'!I246),1,0)</f>
        <v>1</v>
      </c>
      <c r="AN246" s="25">
        <f>IF(OR(Apresentação!$I$3='Base de Dados e filtragem'!AN$2,Apresentação!$I$3='Base de Dados e filtragem'!J246),1,0)</f>
        <v>1</v>
      </c>
      <c r="AO246" s="25">
        <f>IF(OR(Apresentação!$I$4='Base de Dados e filtragem'!AO$2,Apresentação!$I$4='Base de Dados e filtragem'!K246),1,0)</f>
        <v>1</v>
      </c>
      <c r="AP246" s="25">
        <f>IF(OR(Apresentação!$I$5='Base de Dados e filtragem'!AP$2,Apresentação!$I$5='Base de Dados e filtragem'!L246),1,0)</f>
        <v>1</v>
      </c>
      <c r="AQ246" s="25">
        <f>IF(OR(Apresentação!$I$6='Base de Dados e filtragem'!AQ$2,Apresentação!$I$6='Base de Dados e filtragem'!M246),1,0)</f>
        <v>1</v>
      </c>
      <c r="AR246" s="25">
        <v>1</v>
      </c>
      <c r="AS246" s="25">
        <v>1</v>
      </c>
      <c r="AT246" s="25">
        <v>1</v>
      </c>
      <c r="AU246" s="25">
        <v>1</v>
      </c>
      <c r="AV246" s="25">
        <v>1</v>
      </c>
      <c r="AW246" s="25">
        <v>1</v>
      </c>
      <c r="AX246" s="25">
        <v>1</v>
      </c>
      <c r="AY246" s="25">
        <v>1</v>
      </c>
      <c r="AZ246" s="25">
        <v>1</v>
      </c>
      <c r="BA246" s="25">
        <v>1</v>
      </c>
      <c r="BB246" s="25">
        <v>1</v>
      </c>
      <c r="BC246" s="25">
        <v>1</v>
      </c>
      <c r="BD246" s="25">
        <v>1</v>
      </c>
    </row>
    <row r="247" spans="27:56" x14ac:dyDescent="0.25">
      <c r="AA247" s="68" t="str">
        <f t="shared" si="13"/>
        <v>Fotos\\.jpg</v>
      </c>
      <c r="AB247" s="53">
        <f t="shared" si="14"/>
        <v>4.048582995951417E-3</v>
      </c>
      <c r="AC247" s="25">
        <f t="shared" si="15"/>
        <v>247</v>
      </c>
      <c r="AD247" s="51">
        <f t="shared" si="16"/>
        <v>1</v>
      </c>
      <c r="AE247" s="25">
        <v>1</v>
      </c>
      <c r="AF247" s="25">
        <v>1</v>
      </c>
      <c r="AG247" s="25">
        <v>1</v>
      </c>
      <c r="AH247" s="25">
        <v>1</v>
      </c>
      <c r="AI247" s="25">
        <f>IF(OR(Apresentação!$E$3='Base de Dados e filtragem'!AI$2,Apresentação!$E$3='Base de Dados e filtragem'!E247),1,0)</f>
        <v>1</v>
      </c>
      <c r="AJ247" s="25">
        <f>IF(OR(Apresentação!$E$4='Base de Dados e filtragem'!AJ$2,Apresentação!$E$4='Base de Dados e filtragem'!F247),1,0)</f>
        <v>1</v>
      </c>
      <c r="AK247" s="25">
        <f>IF(OR(Apresentação!$E$5='Base de Dados e filtragem'!AK$2,Apresentação!$E$5='Base de Dados e filtragem'!G247),1,0)</f>
        <v>1</v>
      </c>
      <c r="AL247" s="25">
        <f>IF(OR(Apresentação!$E$6='Base de Dados e filtragem'!AL$2,Apresentação!$E$6='Base de Dados e filtragem'!H247),1,0)</f>
        <v>1</v>
      </c>
      <c r="AM247" s="25">
        <f>IF(OR(Apresentação!$I$2='Base de Dados e filtragem'!AM$2,Apresentação!$I$2='Base de Dados e filtragem'!I247),1,0)</f>
        <v>1</v>
      </c>
      <c r="AN247" s="25">
        <f>IF(OR(Apresentação!$I$3='Base de Dados e filtragem'!AN$2,Apresentação!$I$3='Base de Dados e filtragem'!J247),1,0)</f>
        <v>1</v>
      </c>
      <c r="AO247" s="25">
        <f>IF(OR(Apresentação!$I$4='Base de Dados e filtragem'!AO$2,Apresentação!$I$4='Base de Dados e filtragem'!K247),1,0)</f>
        <v>1</v>
      </c>
      <c r="AP247" s="25">
        <f>IF(OR(Apresentação!$I$5='Base de Dados e filtragem'!AP$2,Apresentação!$I$5='Base de Dados e filtragem'!L247),1,0)</f>
        <v>1</v>
      </c>
      <c r="AQ247" s="25">
        <f>IF(OR(Apresentação!$I$6='Base de Dados e filtragem'!AQ$2,Apresentação!$I$6='Base de Dados e filtragem'!M247),1,0)</f>
        <v>1</v>
      </c>
      <c r="AR247" s="25">
        <v>1</v>
      </c>
      <c r="AS247" s="25">
        <v>1</v>
      </c>
      <c r="AT247" s="25">
        <v>1</v>
      </c>
      <c r="AU247" s="25">
        <v>1</v>
      </c>
      <c r="AV247" s="25">
        <v>1</v>
      </c>
      <c r="AW247" s="25">
        <v>1</v>
      </c>
      <c r="AX247" s="25">
        <v>1</v>
      </c>
      <c r="AY247" s="25">
        <v>1</v>
      </c>
      <c r="AZ247" s="25">
        <v>1</v>
      </c>
      <c r="BA247" s="25">
        <v>1</v>
      </c>
      <c r="BB247" s="25">
        <v>1</v>
      </c>
      <c r="BC247" s="25">
        <v>1</v>
      </c>
      <c r="BD247" s="25">
        <v>1</v>
      </c>
    </row>
    <row r="248" spans="27:56" x14ac:dyDescent="0.25">
      <c r="AA248" s="68" t="str">
        <f t="shared" si="13"/>
        <v>Fotos\\.jpg</v>
      </c>
      <c r="AB248" s="53">
        <f t="shared" si="14"/>
        <v>4.0322580645161289E-3</v>
      </c>
      <c r="AC248" s="25">
        <f t="shared" si="15"/>
        <v>248</v>
      </c>
      <c r="AD248" s="51">
        <f t="shared" si="16"/>
        <v>1</v>
      </c>
      <c r="AE248" s="25">
        <v>1</v>
      </c>
      <c r="AF248" s="25">
        <v>1</v>
      </c>
      <c r="AG248" s="25">
        <v>1</v>
      </c>
      <c r="AH248" s="25">
        <v>1</v>
      </c>
      <c r="AI248" s="25">
        <f>IF(OR(Apresentação!$E$3='Base de Dados e filtragem'!AI$2,Apresentação!$E$3='Base de Dados e filtragem'!E248),1,0)</f>
        <v>1</v>
      </c>
      <c r="AJ248" s="25">
        <f>IF(OR(Apresentação!$E$4='Base de Dados e filtragem'!AJ$2,Apresentação!$E$4='Base de Dados e filtragem'!F248),1,0)</f>
        <v>1</v>
      </c>
      <c r="AK248" s="25">
        <f>IF(OR(Apresentação!$E$5='Base de Dados e filtragem'!AK$2,Apresentação!$E$5='Base de Dados e filtragem'!G248),1,0)</f>
        <v>1</v>
      </c>
      <c r="AL248" s="25">
        <f>IF(OR(Apresentação!$E$6='Base de Dados e filtragem'!AL$2,Apresentação!$E$6='Base de Dados e filtragem'!H248),1,0)</f>
        <v>1</v>
      </c>
      <c r="AM248" s="25">
        <f>IF(OR(Apresentação!$I$2='Base de Dados e filtragem'!AM$2,Apresentação!$I$2='Base de Dados e filtragem'!I248),1,0)</f>
        <v>1</v>
      </c>
      <c r="AN248" s="25">
        <f>IF(OR(Apresentação!$I$3='Base de Dados e filtragem'!AN$2,Apresentação!$I$3='Base de Dados e filtragem'!J248),1,0)</f>
        <v>1</v>
      </c>
      <c r="AO248" s="25">
        <f>IF(OR(Apresentação!$I$4='Base de Dados e filtragem'!AO$2,Apresentação!$I$4='Base de Dados e filtragem'!K248),1,0)</f>
        <v>1</v>
      </c>
      <c r="AP248" s="25">
        <f>IF(OR(Apresentação!$I$5='Base de Dados e filtragem'!AP$2,Apresentação!$I$5='Base de Dados e filtragem'!L248),1,0)</f>
        <v>1</v>
      </c>
      <c r="AQ248" s="25">
        <f>IF(OR(Apresentação!$I$6='Base de Dados e filtragem'!AQ$2,Apresentação!$I$6='Base de Dados e filtragem'!M248),1,0)</f>
        <v>1</v>
      </c>
      <c r="AR248" s="25">
        <v>1</v>
      </c>
      <c r="AS248" s="25">
        <v>1</v>
      </c>
      <c r="AT248" s="25">
        <v>1</v>
      </c>
      <c r="AU248" s="25">
        <v>1</v>
      </c>
      <c r="AV248" s="25">
        <v>1</v>
      </c>
      <c r="AW248" s="25">
        <v>1</v>
      </c>
      <c r="AX248" s="25">
        <v>1</v>
      </c>
      <c r="AY248" s="25">
        <v>1</v>
      </c>
      <c r="AZ248" s="25">
        <v>1</v>
      </c>
      <c r="BA248" s="25">
        <v>1</v>
      </c>
      <c r="BB248" s="25">
        <v>1</v>
      </c>
      <c r="BC248" s="25">
        <v>1</v>
      </c>
      <c r="BD248" s="25">
        <v>1</v>
      </c>
    </row>
    <row r="249" spans="27:56" x14ac:dyDescent="0.25">
      <c r="AA249" s="68" t="str">
        <f t="shared" si="13"/>
        <v>Fotos\\.jpg</v>
      </c>
      <c r="AB249" s="53">
        <f t="shared" si="14"/>
        <v>4.0160642570281121E-3</v>
      </c>
      <c r="AC249" s="25">
        <f t="shared" si="15"/>
        <v>249</v>
      </c>
      <c r="AD249" s="51">
        <f t="shared" si="16"/>
        <v>1</v>
      </c>
      <c r="AE249" s="25">
        <v>1</v>
      </c>
      <c r="AF249" s="25">
        <v>1</v>
      </c>
      <c r="AG249" s="25">
        <v>1</v>
      </c>
      <c r="AH249" s="25">
        <v>1</v>
      </c>
      <c r="AI249" s="25">
        <f>IF(OR(Apresentação!$E$3='Base de Dados e filtragem'!AI$2,Apresentação!$E$3='Base de Dados e filtragem'!E249),1,0)</f>
        <v>1</v>
      </c>
      <c r="AJ249" s="25">
        <f>IF(OR(Apresentação!$E$4='Base de Dados e filtragem'!AJ$2,Apresentação!$E$4='Base de Dados e filtragem'!F249),1,0)</f>
        <v>1</v>
      </c>
      <c r="AK249" s="25">
        <f>IF(OR(Apresentação!$E$5='Base de Dados e filtragem'!AK$2,Apresentação!$E$5='Base de Dados e filtragem'!G249),1,0)</f>
        <v>1</v>
      </c>
      <c r="AL249" s="25">
        <f>IF(OR(Apresentação!$E$6='Base de Dados e filtragem'!AL$2,Apresentação!$E$6='Base de Dados e filtragem'!H249),1,0)</f>
        <v>1</v>
      </c>
      <c r="AM249" s="25">
        <f>IF(OR(Apresentação!$I$2='Base de Dados e filtragem'!AM$2,Apresentação!$I$2='Base de Dados e filtragem'!I249),1,0)</f>
        <v>1</v>
      </c>
      <c r="AN249" s="25">
        <f>IF(OR(Apresentação!$I$3='Base de Dados e filtragem'!AN$2,Apresentação!$I$3='Base de Dados e filtragem'!J249),1,0)</f>
        <v>1</v>
      </c>
      <c r="AO249" s="25">
        <f>IF(OR(Apresentação!$I$4='Base de Dados e filtragem'!AO$2,Apresentação!$I$4='Base de Dados e filtragem'!K249),1,0)</f>
        <v>1</v>
      </c>
      <c r="AP249" s="25">
        <f>IF(OR(Apresentação!$I$5='Base de Dados e filtragem'!AP$2,Apresentação!$I$5='Base de Dados e filtragem'!L249),1,0)</f>
        <v>1</v>
      </c>
      <c r="AQ249" s="25">
        <f>IF(OR(Apresentação!$I$6='Base de Dados e filtragem'!AQ$2,Apresentação!$I$6='Base de Dados e filtragem'!M249),1,0)</f>
        <v>1</v>
      </c>
      <c r="AR249" s="25">
        <v>1</v>
      </c>
      <c r="AS249" s="25">
        <v>1</v>
      </c>
      <c r="AT249" s="25">
        <v>1</v>
      </c>
      <c r="AU249" s="25">
        <v>1</v>
      </c>
      <c r="AV249" s="25">
        <v>1</v>
      </c>
      <c r="AW249" s="25">
        <v>1</v>
      </c>
      <c r="AX249" s="25">
        <v>1</v>
      </c>
      <c r="AY249" s="25">
        <v>1</v>
      </c>
      <c r="AZ249" s="25">
        <v>1</v>
      </c>
      <c r="BA249" s="25">
        <v>1</v>
      </c>
      <c r="BB249" s="25">
        <v>1</v>
      </c>
      <c r="BC249" s="25">
        <v>1</v>
      </c>
      <c r="BD249" s="25">
        <v>1</v>
      </c>
    </row>
    <row r="250" spans="27:56" x14ac:dyDescent="0.25">
      <c r="AA250" s="68" t="str">
        <f t="shared" si="13"/>
        <v>Fotos\\.jpg</v>
      </c>
      <c r="AB250" s="53">
        <f t="shared" si="14"/>
        <v>4.0000000000000001E-3</v>
      </c>
      <c r="AC250" s="25">
        <f t="shared" si="15"/>
        <v>250</v>
      </c>
      <c r="AD250" s="51">
        <f t="shared" si="16"/>
        <v>1</v>
      </c>
      <c r="AE250" s="25">
        <v>1</v>
      </c>
      <c r="AF250" s="25">
        <v>1</v>
      </c>
      <c r="AG250" s="25">
        <v>1</v>
      </c>
      <c r="AH250" s="25">
        <v>1</v>
      </c>
      <c r="AI250" s="25">
        <f>IF(OR(Apresentação!$E$3='Base de Dados e filtragem'!AI$2,Apresentação!$E$3='Base de Dados e filtragem'!E250),1,0)</f>
        <v>1</v>
      </c>
      <c r="AJ250" s="25">
        <f>IF(OR(Apresentação!$E$4='Base de Dados e filtragem'!AJ$2,Apresentação!$E$4='Base de Dados e filtragem'!F250),1,0)</f>
        <v>1</v>
      </c>
      <c r="AK250" s="25">
        <f>IF(OR(Apresentação!$E$5='Base de Dados e filtragem'!AK$2,Apresentação!$E$5='Base de Dados e filtragem'!G250),1,0)</f>
        <v>1</v>
      </c>
      <c r="AL250" s="25">
        <f>IF(OR(Apresentação!$E$6='Base de Dados e filtragem'!AL$2,Apresentação!$E$6='Base de Dados e filtragem'!H250),1,0)</f>
        <v>1</v>
      </c>
      <c r="AM250" s="25">
        <f>IF(OR(Apresentação!$I$2='Base de Dados e filtragem'!AM$2,Apresentação!$I$2='Base de Dados e filtragem'!I250),1,0)</f>
        <v>1</v>
      </c>
      <c r="AN250" s="25">
        <f>IF(OR(Apresentação!$I$3='Base de Dados e filtragem'!AN$2,Apresentação!$I$3='Base de Dados e filtragem'!J250),1,0)</f>
        <v>1</v>
      </c>
      <c r="AO250" s="25">
        <f>IF(OR(Apresentação!$I$4='Base de Dados e filtragem'!AO$2,Apresentação!$I$4='Base de Dados e filtragem'!K250),1,0)</f>
        <v>1</v>
      </c>
      <c r="AP250" s="25">
        <f>IF(OR(Apresentação!$I$5='Base de Dados e filtragem'!AP$2,Apresentação!$I$5='Base de Dados e filtragem'!L250),1,0)</f>
        <v>1</v>
      </c>
      <c r="AQ250" s="25">
        <f>IF(OR(Apresentação!$I$6='Base de Dados e filtragem'!AQ$2,Apresentação!$I$6='Base de Dados e filtragem'!M250),1,0)</f>
        <v>1</v>
      </c>
      <c r="AR250" s="25">
        <v>1</v>
      </c>
      <c r="AS250" s="25">
        <v>1</v>
      </c>
      <c r="AT250" s="25">
        <v>1</v>
      </c>
      <c r="AU250" s="25">
        <v>1</v>
      </c>
      <c r="AV250" s="25">
        <v>1</v>
      </c>
      <c r="AW250" s="25">
        <v>1</v>
      </c>
      <c r="AX250" s="25">
        <v>1</v>
      </c>
      <c r="AY250" s="25">
        <v>1</v>
      </c>
      <c r="AZ250" s="25">
        <v>1</v>
      </c>
      <c r="BA250" s="25">
        <v>1</v>
      </c>
      <c r="BB250" s="25">
        <v>1</v>
      </c>
      <c r="BC250" s="25">
        <v>1</v>
      </c>
      <c r="BD250" s="25">
        <v>1</v>
      </c>
    </row>
    <row r="251" spans="27:56" x14ac:dyDescent="0.25">
      <c r="AA251" s="68" t="str">
        <f t="shared" si="13"/>
        <v>Fotos\\.jpg</v>
      </c>
      <c r="AB251" s="53">
        <f t="shared" si="14"/>
        <v>3.9840637450199202E-3</v>
      </c>
      <c r="AC251" s="25">
        <f t="shared" si="15"/>
        <v>251</v>
      </c>
      <c r="AD251" s="51">
        <f t="shared" si="16"/>
        <v>1</v>
      </c>
      <c r="AE251" s="25">
        <v>1</v>
      </c>
      <c r="AF251" s="25">
        <v>1</v>
      </c>
      <c r="AG251" s="25">
        <v>1</v>
      </c>
      <c r="AH251" s="25">
        <v>1</v>
      </c>
      <c r="AI251" s="25">
        <f>IF(OR(Apresentação!$E$3='Base de Dados e filtragem'!AI$2,Apresentação!$E$3='Base de Dados e filtragem'!E251),1,0)</f>
        <v>1</v>
      </c>
      <c r="AJ251" s="25">
        <f>IF(OR(Apresentação!$E$4='Base de Dados e filtragem'!AJ$2,Apresentação!$E$4='Base de Dados e filtragem'!F251),1,0)</f>
        <v>1</v>
      </c>
      <c r="AK251" s="25">
        <f>IF(OR(Apresentação!$E$5='Base de Dados e filtragem'!AK$2,Apresentação!$E$5='Base de Dados e filtragem'!G251),1,0)</f>
        <v>1</v>
      </c>
      <c r="AL251" s="25">
        <f>IF(OR(Apresentação!$E$6='Base de Dados e filtragem'!AL$2,Apresentação!$E$6='Base de Dados e filtragem'!H251),1,0)</f>
        <v>1</v>
      </c>
      <c r="AM251" s="25">
        <f>IF(OR(Apresentação!$I$2='Base de Dados e filtragem'!AM$2,Apresentação!$I$2='Base de Dados e filtragem'!I251),1,0)</f>
        <v>1</v>
      </c>
      <c r="AN251" s="25">
        <f>IF(OR(Apresentação!$I$3='Base de Dados e filtragem'!AN$2,Apresentação!$I$3='Base de Dados e filtragem'!J251),1,0)</f>
        <v>1</v>
      </c>
      <c r="AO251" s="25">
        <f>IF(OR(Apresentação!$I$4='Base de Dados e filtragem'!AO$2,Apresentação!$I$4='Base de Dados e filtragem'!K251),1,0)</f>
        <v>1</v>
      </c>
      <c r="AP251" s="25">
        <f>IF(OR(Apresentação!$I$5='Base de Dados e filtragem'!AP$2,Apresentação!$I$5='Base de Dados e filtragem'!L251),1,0)</f>
        <v>1</v>
      </c>
      <c r="AQ251" s="25">
        <f>IF(OR(Apresentação!$I$6='Base de Dados e filtragem'!AQ$2,Apresentação!$I$6='Base de Dados e filtragem'!M251),1,0)</f>
        <v>1</v>
      </c>
      <c r="AR251" s="25">
        <v>1</v>
      </c>
      <c r="AS251" s="25">
        <v>1</v>
      </c>
      <c r="AT251" s="25">
        <v>1</v>
      </c>
      <c r="AU251" s="25">
        <v>1</v>
      </c>
      <c r="AV251" s="25">
        <v>1</v>
      </c>
      <c r="AW251" s="25">
        <v>1</v>
      </c>
      <c r="AX251" s="25">
        <v>1</v>
      </c>
      <c r="AY251" s="25">
        <v>1</v>
      </c>
      <c r="AZ251" s="25">
        <v>1</v>
      </c>
      <c r="BA251" s="25">
        <v>1</v>
      </c>
      <c r="BB251" s="25">
        <v>1</v>
      </c>
      <c r="BC251" s="25">
        <v>1</v>
      </c>
      <c r="BD251" s="25">
        <v>1</v>
      </c>
    </row>
    <row r="252" spans="27:56" x14ac:dyDescent="0.25">
      <c r="AA252" s="68" t="str">
        <f t="shared" si="13"/>
        <v>Fotos\\.jpg</v>
      </c>
      <c r="AB252" s="53">
        <f t="shared" si="14"/>
        <v>3.968253968253968E-3</v>
      </c>
      <c r="AC252" s="25">
        <f t="shared" si="15"/>
        <v>252</v>
      </c>
      <c r="AD252" s="51">
        <f t="shared" si="16"/>
        <v>1</v>
      </c>
      <c r="AE252" s="25">
        <v>1</v>
      </c>
      <c r="AF252" s="25">
        <v>1</v>
      </c>
      <c r="AG252" s="25">
        <v>1</v>
      </c>
      <c r="AH252" s="25">
        <v>1</v>
      </c>
      <c r="AI252" s="25">
        <f>IF(OR(Apresentação!$E$3='Base de Dados e filtragem'!AI$2,Apresentação!$E$3='Base de Dados e filtragem'!E252),1,0)</f>
        <v>1</v>
      </c>
      <c r="AJ252" s="25">
        <f>IF(OR(Apresentação!$E$4='Base de Dados e filtragem'!AJ$2,Apresentação!$E$4='Base de Dados e filtragem'!F252),1,0)</f>
        <v>1</v>
      </c>
      <c r="AK252" s="25">
        <f>IF(OR(Apresentação!$E$5='Base de Dados e filtragem'!AK$2,Apresentação!$E$5='Base de Dados e filtragem'!G252),1,0)</f>
        <v>1</v>
      </c>
      <c r="AL252" s="25">
        <f>IF(OR(Apresentação!$E$6='Base de Dados e filtragem'!AL$2,Apresentação!$E$6='Base de Dados e filtragem'!H252),1,0)</f>
        <v>1</v>
      </c>
      <c r="AM252" s="25">
        <f>IF(OR(Apresentação!$I$2='Base de Dados e filtragem'!AM$2,Apresentação!$I$2='Base de Dados e filtragem'!I252),1,0)</f>
        <v>1</v>
      </c>
      <c r="AN252" s="25">
        <f>IF(OR(Apresentação!$I$3='Base de Dados e filtragem'!AN$2,Apresentação!$I$3='Base de Dados e filtragem'!J252),1,0)</f>
        <v>1</v>
      </c>
      <c r="AO252" s="25">
        <f>IF(OR(Apresentação!$I$4='Base de Dados e filtragem'!AO$2,Apresentação!$I$4='Base de Dados e filtragem'!K252),1,0)</f>
        <v>1</v>
      </c>
      <c r="AP252" s="25">
        <f>IF(OR(Apresentação!$I$5='Base de Dados e filtragem'!AP$2,Apresentação!$I$5='Base de Dados e filtragem'!L252),1,0)</f>
        <v>1</v>
      </c>
      <c r="AQ252" s="25">
        <f>IF(OR(Apresentação!$I$6='Base de Dados e filtragem'!AQ$2,Apresentação!$I$6='Base de Dados e filtragem'!M252),1,0)</f>
        <v>1</v>
      </c>
      <c r="AR252" s="25">
        <v>1</v>
      </c>
      <c r="AS252" s="25">
        <v>1</v>
      </c>
      <c r="AT252" s="25">
        <v>1</v>
      </c>
      <c r="AU252" s="25">
        <v>1</v>
      </c>
      <c r="AV252" s="25">
        <v>1</v>
      </c>
      <c r="AW252" s="25">
        <v>1</v>
      </c>
      <c r="AX252" s="25">
        <v>1</v>
      </c>
      <c r="AY252" s="25">
        <v>1</v>
      </c>
      <c r="AZ252" s="25">
        <v>1</v>
      </c>
      <c r="BA252" s="25">
        <v>1</v>
      </c>
      <c r="BB252" s="25">
        <v>1</v>
      </c>
      <c r="BC252" s="25">
        <v>1</v>
      </c>
      <c r="BD252" s="25">
        <v>1</v>
      </c>
    </row>
    <row r="253" spans="27:56" x14ac:dyDescent="0.25">
      <c r="AA253" s="68" t="str">
        <f t="shared" si="13"/>
        <v>Fotos\\.jpg</v>
      </c>
      <c r="AB253" s="53">
        <f t="shared" si="14"/>
        <v>3.952569169960474E-3</v>
      </c>
      <c r="AC253" s="25">
        <f t="shared" si="15"/>
        <v>253</v>
      </c>
      <c r="AD253" s="51">
        <f t="shared" si="16"/>
        <v>1</v>
      </c>
      <c r="AE253" s="25">
        <v>1</v>
      </c>
      <c r="AF253" s="25">
        <v>1</v>
      </c>
      <c r="AG253" s="25">
        <v>1</v>
      </c>
      <c r="AH253" s="25">
        <v>1</v>
      </c>
      <c r="AI253" s="25">
        <f>IF(OR(Apresentação!$E$3='Base de Dados e filtragem'!AI$2,Apresentação!$E$3='Base de Dados e filtragem'!E253),1,0)</f>
        <v>1</v>
      </c>
      <c r="AJ253" s="25">
        <f>IF(OR(Apresentação!$E$4='Base de Dados e filtragem'!AJ$2,Apresentação!$E$4='Base de Dados e filtragem'!F253),1,0)</f>
        <v>1</v>
      </c>
      <c r="AK253" s="25">
        <f>IF(OR(Apresentação!$E$5='Base de Dados e filtragem'!AK$2,Apresentação!$E$5='Base de Dados e filtragem'!G253),1,0)</f>
        <v>1</v>
      </c>
      <c r="AL253" s="25">
        <f>IF(OR(Apresentação!$E$6='Base de Dados e filtragem'!AL$2,Apresentação!$E$6='Base de Dados e filtragem'!H253),1,0)</f>
        <v>1</v>
      </c>
      <c r="AM253" s="25">
        <f>IF(OR(Apresentação!$I$2='Base de Dados e filtragem'!AM$2,Apresentação!$I$2='Base de Dados e filtragem'!I253),1,0)</f>
        <v>1</v>
      </c>
      <c r="AN253" s="25">
        <f>IF(OR(Apresentação!$I$3='Base de Dados e filtragem'!AN$2,Apresentação!$I$3='Base de Dados e filtragem'!J253),1,0)</f>
        <v>1</v>
      </c>
      <c r="AO253" s="25">
        <f>IF(OR(Apresentação!$I$4='Base de Dados e filtragem'!AO$2,Apresentação!$I$4='Base de Dados e filtragem'!K253),1,0)</f>
        <v>1</v>
      </c>
      <c r="AP253" s="25">
        <f>IF(OR(Apresentação!$I$5='Base de Dados e filtragem'!AP$2,Apresentação!$I$5='Base de Dados e filtragem'!L253),1,0)</f>
        <v>1</v>
      </c>
      <c r="AQ253" s="25">
        <f>IF(OR(Apresentação!$I$6='Base de Dados e filtragem'!AQ$2,Apresentação!$I$6='Base de Dados e filtragem'!M253),1,0)</f>
        <v>1</v>
      </c>
      <c r="AR253" s="25">
        <v>1</v>
      </c>
      <c r="AS253" s="25">
        <v>1</v>
      </c>
      <c r="AT253" s="25">
        <v>1</v>
      </c>
      <c r="AU253" s="25">
        <v>1</v>
      </c>
      <c r="AV253" s="25">
        <v>1</v>
      </c>
      <c r="AW253" s="25">
        <v>1</v>
      </c>
      <c r="AX253" s="25">
        <v>1</v>
      </c>
      <c r="AY253" s="25">
        <v>1</v>
      </c>
      <c r="AZ253" s="25">
        <v>1</v>
      </c>
      <c r="BA253" s="25">
        <v>1</v>
      </c>
      <c r="BB253" s="25">
        <v>1</v>
      </c>
      <c r="BC253" s="25">
        <v>1</v>
      </c>
      <c r="BD253" s="25">
        <v>1</v>
      </c>
    </row>
    <row r="254" spans="27:56" x14ac:dyDescent="0.25">
      <c r="AA254" s="68" t="str">
        <f t="shared" si="13"/>
        <v>Fotos\\.jpg</v>
      </c>
      <c r="AB254" s="53">
        <f t="shared" si="14"/>
        <v>3.937007874015748E-3</v>
      </c>
      <c r="AC254" s="25">
        <f t="shared" si="15"/>
        <v>254</v>
      </c>
      <c r="AD254" s="51">
        <f t="shared" si="16"/>
        <v>1</v>
      </c>
      <c r="AE254" s="25">
        <v>1</v>
      </c>
      <c r="AF254" s="25">
        <v>1</v>
      </c>
      <c r="AG254" s="25">
        <v>1</v>
      </c>
      <c r="AH254" s="25">
        <v>1</v>
      </c>
      <c r="AI254" s="25">
        <f>IF(OR(Apresentação!$E$3='Base de Dados e filtragem'!AI$2,Apresentação!$E$3='Base de Dados e filtragem'!E254),1,0)</f>
        <v>1</v>
      </c>
      <c r="AJ254" s="25">
        <f>IF(OR(Apresentação!$E$4='Base de Dados e filtragem'!AJ$2,Apresentação!$E$4='Base de Dados e filtragem'!F254),1,0)</f>
        <v>1</v>
      </c>
      <c r="AK254" s="25">
        <f>IF(OR(Apresentação!$E$5='Base de Dados e filtragem'!AK$2,Apresentação!$E$5='Base de Dados e filtragem'!G254),1,0)</f>
        <v>1</v>
      </c>
      <c r="AL254" s="25">
        <f>IF(OR(Apresentação!$E$6='Base de Dados e filtragem'!AL$2,Apresentação!$E$6='Base de Dados e filtragem'!H254),1,0)</f>
        <v>1</v>
      </c>
      <c r="AM254" s="25">
        <f>IF(OR(Apresentação!$I$2='Base de Dados e filtragem'!AM$2,Apresentação!$I$2='Base de Dados e filtragem'!I254),1,0)</f>
        <v>1</v>
      </c>
      <c r="AN254" s="25">
        <f>IF(OR(Apresentação!$I$3='Base de Dados e filtragem'!AN$2,Apresentação!$I$3='Base de Dados e filtragem'!J254),1,0)</f>
        <v>1</v>
      </c>
      <c r="AO254" s="25">
        <f>IF(OR(Apresentação!$I$4='Base de Dados e filtragem'!AO$2,Apresentação!$I$4='Base de Dados e filtragem'!K254),1,0)</f>
        <v>1</v>
      </c>
      <c r="AP254" s="25">
        <f>IF(OR(Apresentação!$I$5='Base de Dados e filtragem'!AP$2,Apresentação!$I$5='Base de Dados e filtragem'!L254),1,0)</f>
        <v>1</v>
      </c>
      <c r="AQ254" s="25">
        <f>IF(OR(Apresentação!$I$6='Base de Dados e filtragem'!AQ$2,Apresentação!$I$6='Base de Dados e filtragem'!M254),1,0)</f>
        <v>1</v>
      </c>
      <c r="AR254" s="25">
        <v>1</v>
      </c>
      <c r="AS254" s="25">
        <v>1</v>
      </c>
      <c r="AT254" s="25">
        <v>1</v>
      </c>
      <c r="AU254" s="25">
        <v>1</v>
      </c>
      <c r="AV254" s="25">
        <v>1</v>
      </c>
      <c r="AW254" s="25">
        <v>1</v>
      </c>
      <c r="AX254" s="25">
        <v>1</v>
      </c>
      <c r="AY254" s="25">
        <v>1</v>
      </c>
      <c r="AZ254" s="25">
        <v>1</v>
      </c>
      <c r="BA254" s="25">
        <v>1</v>
      </c>
      <c r="BB254" s="25">
        <v>1</v>
      </c>
      <c r="BC254" s="25">
        <v>1</v>
      </c>
      <c r="BD254" s="25">
        <v>1</v>
      </c>
    </row>
    <row r="255" spans="27:56" x14ac:dyDescent="0.25">
      <c r="AA255" s="68" t="str">
        <f t="shared" si="13"/>
        <v>Fotos\\.jpg</v>
      </c>
      <c r="AB255" s="53">
        <f t="shared" si="14"/>
        <v>3.9215686274509803E-3</v>
      </c>
      <c r="AC255" s="25">
        <f t="shared" si="15"/>
        <v>255</v>
      </c>
      <c r="AD255" s="51">
        <f t="shared" si="16"/>
        <v>1</v>
      </c>
      <c r="AE255" s="25">
        <v>1</v>
      </c>
      <c r="AF255" s="25">
        <v>1</v>
      </c>
      <c r="AG255" s="25">
        <v>1</v>
      </c>
      <c r="AH255" s="25">
        <v>1</v>
      </c>
      <c r="AI255" s="25">
        <f>IF(OR(Apresentação!$E$3='Base de Dados e filtragem'!AI$2,Apresentação!$E$3='Base de Dados e filtragem'!E255),1,0)</f>
        <v>1</v>
      </c>
      <c r="AJ255" s="25">
        <f>IF(OR(Apresentação!$E$4='Base de Dados e filtragem'!AJ$2,Apresentação!$E$4='Base de Dados e filtragem'!F255),1,0)</f>
        <v>1</v>
      </c>
      <c r="AK255" s="25">
        <f>IF(OR(Apresentação!$E$5='Base de Dados e filtragem'!AK$2,Apresentação!$E$5='Base de Dados e filtragem'!G255),1,0)</f>
        <v>1</v>
      </c>
      <c r="AL255" s="25">
        <f>IF(OR(Apresentação!$E$6='Base de Dados e filtragem'!AL$2,Apresentação!$E$6='Base de Dados e filtragem'!H255),1,0)</f>
        <v>1</v>
      </c>
      <c r="AM255" s="25">
        <f>IF(OR(Apresentação!$I$2='Base de Dados e filtragem'!AM$2,Apresentação!$I$2='Base de Dados e filtragem'!I255),1,0)</f>
        <v>1</v>
      </c>
      <c r="AN255" s="25">
        <f>IF(OR(Apresentação!$I$3='Base de Dados e filtragem'!AN$2,Apresentação!$I$3='Base de Dados e filtragem'!J255),1,0)</f>
        <v>1</v>
      </c>
      <c r="AO255" s="25">
        <f>IF(OR(Apresentação!$I$4='Base de Dados e filtragem'!AO$2,Apresentação!$I$4='Base de Dados e filtragem'!K255),1,0)</f>
        <v>1</v>
      </c>
      <c r="AP255" s="25">
        <f>IF(OR(Apresentação!$I$5='Base de Dados e filtragem'!AP$2,Apresentação!$I$5='Base de Dados e filtragem'!L255),1,0)</f>
        <v>1</v>
      </c>
      <c r="AQ255" s="25">
        <f>IF(OR(Apresentação!$I$6='Base de Dados e filtragem'!AQ$2,Apresentação!$I$6='Base de Dados e filtragem'!M255),1,0)</f>
        <v>1</v>
      </c>
      <c r="AR255" s="25">
        <v>1</v>
      </c>
      <c r="AS255" s="25">
        <v>1</v>
      </c>
      <c r="AT255" s="25">
        <v>1</v>
      </c>
      <c r="AU255" s="25">
        <v>1</v>
      </c>
      <c r="AV255" s="25">
        <v>1</v>
      </c>
      <c r="AW255" s="25">
        <v>1</v>
      </c>
      <c r="AX255" s="25">
        <v>1</v>
      </c>
      <c r="AY255" s="25">
        <v>1</v>
      </c>
      <c r="AZ255" s="25">
        <v>1</v>
      </c>
      <c r="BA255" s="25">
        <v>1</v>
      </c>
      <c r="BB255" s="25">
        <v>1</v>
      </c>
      <c r="BC255" s="25">
        <v>1</v>
      </c>
      <c r="BD255" s="25">
        <v>1</v>
      </c>
    </row>
    <row r="256" spans="27:56" x14ac:dyDescent="0.25">
      <c r="AA256" s="68" t="str">
        <f t="shared" si="13"/>
        <v>Fotos\\.jpg</v>
      </c>
      <c r="AB256" s="53">
        <f t="shared" si="14"/>
        <v>3.90625E-3</v>
      </c>
      <c r="AC256" s="25">
        <f t="shared" si="15"/>
        <v>256</v>
      </c>
      <c r="AD256" s="51">
        <f t="shared" si="16"/>
        <v>1</v>
      </c>
      <c r="AE256" s="25">
        <v>1</v>
      </c>
      <c r="AF256" s="25">
        <v>1</v>
      </c>
      <c r="AG256" s="25">
        <v>1</v>
      </c>
      <c r="AH256" s="25">
        <v>1</v>
      </c>
      <c r="AI256" s="25">
        <f>IF(OR(Apresentação!$E$3='Base de Dados e filtragem'!AI$2,Apresentação!$E$3='Base de Dados e filtragem'!E256),1,0)</f>
        <v>1</v>
      </c>
      <c r="AJ256" s="25">
        <f>IF(OR(Apresentação!$E$4='Base de Dados e filtragem'!AJ$2,Apresentação!$E$4='Base de Dados e filtragem'!F256),1,0)</f>
        <v>1</v>
      </c>
      <c r="AK256" s="25">
        <f>IF(OR(Apresentação!$E$5='Base de Dados e filtragem'!AK$2,Apresentação!$E$5='Base de Dados e filtragem'!G256),1,0)</f>
        <v>1</v>
      </c>
      <c r="AL256" s="25">
        <f>IF(OR(Apresentação!$E$6='Base de Dados e filtragem'!AL$2,Apresentação!$E$6='Base de Dados e filtragem'!H256),1,0)</f>
        <v>1</v>
      </c>
      <c r="AM256" s="25">
        <f>IF(OR(Apresentação!$I$2='Base de Dados e filtragem'!AM$2,Apresentação!$I$2='Base de Dados e filtragem'!I256),1,0)</f>
        <v>1</v>
      </c>
      <c r="AN256" s="25">
        <f>IF(OR(Apresentação!$I$3='Base de Dados e filtragem'!AN$2,Apresentação!$I$3='Base de Dados e filtragem'!J256),1,0)</f>
        <v>1</v>
      </c>
      <c r="AO256" s="25">
        <f>IF(OR(Apresentação!$I$4='Base de Dados e filtragem'!AO$2,Apresentação!$I$4='Base de Dados e filtragem'!K256),1,0)</f>
        <v>1</v>
      </c>
      <c r="AP256" s="25">
        <f>IF(OR(Apresentação!$I$5='Base de Dados e filtragem'!AP$2,Apresentação!$I$5='Base de Dados e filtragem'!L256),1,0)</f>
        <v>1</v>
      </c>
      <c r="AQ256" s="25">
        <f>IF(OR(Apresentação!$I$6='Base de Dados e filtragem'!AQ$2,Apresentação!$I$6='Base de Dados e filtragem'!M256),1,0)</f>
        <v>1</v>
      </c>
      <c r="AR256" s="25">
        <v>1</v>
      </c>
      <c r="AS256" s="25">
        <v>1</v>
      </c>
      <c r="AT256" s="25">
        <v>1</v>
      </c>
      <c r="AU256" s="25">
        <v>1</v>
      </c>
      <c r="AV256" s="25">
        <v>1</v>
      </c>
      <c r="AW256" s="25">
        <v>1</v>
      </c>
      <c r="AX256" s="25">
        <v>1</v>
      </c>
      <c r="AY256" s="25">
        <v>1</v>
      </c>
      <c r="AZ256" s="25">
        <v>1</v>
      </c>
      <c r="BA256" s="25">
        <v>1</v>
      </c>
      <c r="BB256" s="25">
        <v>1</v>
      </c>
      <c r="BC256" s="25">
        <v>1</v>
      </c>
      <c r="BD256" s="25">
        <v>1</v>
      </c>
    </row>
    <row r="257" spans="27:56" x14ac:dyDescent="0.25">
      <c r="AA257" s="68" t="str">
        <f t="shared" si="13"/>
        <v>Fotos\\.jpg</v>
      </c>
      <c r="AB257" s="53">
        <f t="shared" si="14"/>
        <v>3.8910505836575876E-3</v>
      </c>
      <c r="AC257" s="25">
        <f t="shared" si="15"/>
        <v>257</v>
      </c>
      <c r="AD257" s="51">
        <f t="shared" si="16"/>
        <v>1</v>
      </c>
      <c r="AE257" s="25">
        <v>1</v>
      </c>
      <c r="AF257" s="25">
        <v>1</v>
      </c>
      <c r="AG257" s="25">
        <v>1</v>
      </c>
      <c r="AH257" s="25">
        <v>1</v>
      </c>
      <c r="AI257" s="25">
        <f>IF(OR(Apresentação!$E$3='Base de Dados e filtragem'!AI$2,Apresentação!$E$3='Base de Dados e filtragem'!E257),1,0)</f>
        <v>1</v>
      </c>
      <c r="AJ257" s="25">
        <f>IF(OR(Apresentação!$E$4='Base de Dados e filtragem'!AJ$2,Apresentação!$E$4='Base de Dados e filtragem'!F257),1,0)</f>
        <v>1</v>
      </c>
      <c r="AK257" s="25">
        <f>IF(OR(Apresentação!$E$5='Base de Dados e filtragem'!AK$2,Apresentação!$E$5='Base de Dados e filtragem'!G257),1,0)</f>
        <v>1</v>
      </c>
      <c r="AL257" s="25">
        <f>IF(OR(Apresentação!$E$6='Base de Dados e filtragem'!AL$2,Apresentação!$E$6='Base de Dados e filtragem'!H257),1,0)</f>
        <v>1</v>
      </c>
      <c r="AM257" s="25">
        <f>IF(OR(Apresentação!$I$2='Base de Dados e filtragem'!AM$2,Apresentação!$I$2='Base de Dados e filtragem'!I257),1,0)</f>
        <v>1</v>
      </c>
      <c r="AN257" s="25">
        <f>IF(OR(Apresentação!$I$3='Base de Dados e filtragem'!AN$2,Apresentação!$I$3='Base de Dados e filtragem'!J257),1,0)</f>
        <v>1</v>
      </c>
      <c r="AO257" s="25">
        <f>IF(OR(Apresentação!$I$4='Base de Dados e filtragem'!AO$2,Apresentação!$I$4='Base de Dados e filtragem'!K257),1,0)</f>
        <v>1</v>
      </c>
      <c r="AP257" s="25">
        <f>IF(OR(Apresentação!$I$5='Base de Dados e filtragem'!AP$2,Apresentação!$I$5='Base de Dados e filtragem'!L257),1,0)</f>
        <v>1</v>
      </c>
      <c r="AQ257" s="25">
        <f>IF(OR(Apresentação!$I$6='Base de Dados e filtragem'!AQ$2,Apresentação!$I$6='Base de Dados e filtragem'!M257),1,0)</f>
        <v>1</v>
      </c>
      <c r="AR257" s="25">
        <v>1</v>
      </c>
      <c r="AS257" s="25">
        <v>1</v>
      </c>
      <c r="AT257" s="25">
        <v>1</v>
      </c>
      <c r="AU257" s="25">
        <v>1</v>
      </c>
      <c r="AV257" s="25">
        <v>1</v>
      </c>
      <c r="AW257" s="25">
        <v>1</v>
      </c>
      <c r="AX257" s="25">
        <v>1</v>
      </c>
      <c r="AY257" s="25">
        <v>1</v>
      </c>
      <c r="AZ257" s="25">
        <v>1</v>
      </c>
      <c r="BA257" s="25">
        <v>1</v>
      </c>
      <c r="BB257" s="25">
        <v>1</v>
      </c>
      <c r="BC257" s="25">
        <v>1</v>
      </c>
      <c r="BD257" s="25">
        <v>1</v>
      </c>
    </row>
    <row r="258" spans="27:56" x14ac:dyDescent="0.25">
      <c r="AA258" s="68" t="str">
        <f t="shared" si="13"/>
        <v>Fotos\\.jpg</v>
      </c>
      <c r="AB258" s="53">
        <f t="shared" si="14"/>
        <v>3.875968992248062E-3</v>
      </c>
      <c r="AC258" s="25">
        <f t="shared" si="15"/>
        <v>258</v>
      </c>
      <c r="AD258" s="51">
        <f t="shared" si="16"/>
        <v>1</v>
      </c>
      <c r="AE258" s="25">
        <v>1</v>
      </c>
      <c r="AF258" s="25">
        <v>1</v>
      </c>
      <c r="AG258" s="25">
        <v>1</v>
      </c>
      <c r="AH258" s="25">
        <v>1</v>
      </c>
      <c r="AI258" s="25">
        <f>IF(OR(Apresentação!$E$3='Base de Dados e filtragem'!AI$2,Apresentação!$E$3='Base de Dados e filtragem'!E258),1,0)</f>
        <v>1</v>
      </c>
      <c r="AJ258" s="25">
        <f>IF(OR(Apresentação!$E$4='Base de Dados e filtragem'!AJ$2,Apresentação!$E$4='Base de Dados e filtragem'!F258),1,0)</f>
        <v>1</v>
      </c>
      <c r="AK258" s="25">
        <f>IF(OR(Apresentação!$E$5='Base de Dados e filtragem'!AK$2,Apresentação!$E$5='Base de Dados e filtragem'!G258),1,0)</f>
        <v>1</v>
      </c>
      <c r="AL258" s="25">
        <f>IF(OR(Apresentação!$E$6='Base de Dados e filtragem'!AL$2,Apresentação!$E$6='Base de Dados e filtragem'!H258),1,0)</f>
        <v>1</v>
      </c>
      <c r="AM258" s="25">
        <f>IF(OR(Apresentação!$I$2='Base de Dados e filtragem'!AM$2,Apresentação!$I$2='Base de Dados e filtragem'!I258),1,0)</f>
        <v>1</v>
      </c>
      <c r="AN258" s="25">
        <f>IF(OR(Apresentação!$I$3='Base de Dados e filtragem'!AN$2,Apresentação!$I$3='Base de Dados e filtragem'!J258),1,0)</f>
        <v>1</v>
      </c>
      <c r="AO258" s="25">
        <f>IF(OR(Apresentação!$I$4='Base de Dados e filtragem'!AO$2,Apresentação!$I$4='Base de Dados e filtragem'!K258),1,0)</f>
        <v>1</v>
      </c>
      <c r="AP258" s="25">
        <f>IF(OR(Apresentação!$I$5='Base de Dados e filtragem'!AP$2,Apresentação!$I$5='Base de Dados e filtragem'!L258),1,0)</f>
        <v>1</v>
      </c>
      <c r="AQ258" s="25">
        <f>IF(OR(Apresentação!$I$6='Base de Dados e filtragem'!AQ$2,Apresentação!$I$6='Base de Dados e filtragem'!M258),1,0)</f>
        <v>1</v>
      </c>
      <c r="AR258" s="25">
        <v>1</v>
      </c>
      <c r="AS258" s="25">
        <v>1</v>
      </c>
      <c r="AT258" s="25">
        <v>1</v>
      </c>
      <c r="AU258" s="25">
        <v>1</v>
      </c>
      <c r="AV258" s="25">
        <v>1</v>
      </c>
      <c r="AW258" s="25">
        <v>1</v>
      </c>
      <c r="AX258" s="25">
        <v>1</v>
      </c>
      <c r="AY258" s="25">
        <v>1</v>
      </c>
      <c r="AZ258" s="25">
        <v>1</v>
      </c>
      <c r="BA258" s="25">
        <v>1</v>
      </c>
      <c r="BB258" s="25">
        <v>1</v>
      </c>
      <c r="BC258" s="25">
        <v>1</v>
      </c>
      <c r="BD258" s="25">
        <v>1</v>
      </c>
    </row>
    <row r="259" spans="27:56" x14ac:dyDescent="0.25">
      <c r="AA259" s="68" t="str">
        <f t="shared" si="13"/>
        <v>Fotos\\.jpg</v>
      </c>
      <c r="AB259" s="53">
        <f t="shared" si="14"/>
        <v>3.8610038610038611E-3</v>
      </c>
      <c r="AC259" s="25">
        <f t="shared" si="15"/>
        <v>259</v>
      </c>
      <c r="AD259" s="51">
        <f t="shared" si="16"/>
        <v>1</v>
      </c>
      <c r="AE259" s="25">
        <v>1</v>
      </c>
      <c r="AF259" s="25">
        <v>1</v>
      </c>
      <c r="AG259" s="25">
        <v>1</v>
      </c>
      <c r="AH259" s="25">
        <v>1</v>
      </c>
      <c r="AI259" s="25">
        <f>IF(OR(Apresentação!$E$3='Base de Dados e filtragem'!AI$2,Apresentação!$E$3='Base de Dados e filtragem'!E259),1,0)</f>
        <v>1</v>
      </c>
      <c r="AJ259" s="25">
        <f>IF(OR(Apresentação!$E$4='Base de Dados e filtragem'!AJ$2,Apresentação!$E$4='Base de Dados e filtragem'!F259),1,0)</f>
        <v>1</v>
      </c>
      <c r="AK259" s="25">
        <f>IF(OR(Apresentação!$E$5='Base de Dados e filtragem'!AK$2,Apresentação!$E$5='Base de Dados e filtragem'!G259),1,0)</f>
        <v>1</v>
      </c>
      <c r="AL259" s="25">
        <f>IF(OR(Apresentação!$E$6='Base de Dados e filtragem'!AL$2,Apresentação!$E$6='Base de Dados e filtragem'!H259),1,0)</f>
        <v>1</v>
      </c>
      <c r="AM259" s="25">
        <f>IF(OR(Apresentação!$I$2='Base de Dados e filtragem'!AM$2,Apresentação!$I$2='Base de Dados e filtragem'!I259),1,0)</f>
        <v>1</v>
      </c>
      <c r="AN259" s="25">
        <f>IF(OR(Apresentação!$I$3='Base de Dados e filtragem'!AN$2,Apresentação!$I$3='Base de Dados e filtragem'!J259),1,0)</f>
        <v>1</v>
      </c>
      <c r="AO259" s="25">
        <f>IF(OR(Apresentação!$I$4='Base de Dados e filtragem'!AO$2,Apresentação!$I$4='Base de Dados e filtragem'!K259),1,0)</f>
        <v>1</v>
      </c>
      <c r="AP259" s="25">
        <f>IF(OR(Apresentação!$I$5='Base de Dados e filtragem'!AP$2,Apresentação!$I$5='Base de Dados e filtragem'!L259),1,0)</f>
        <v>1</v>
      </c>
      <c r="AQ259" s="25">
        <f>IF(OR(Apresentação!$I$6='Base de Dados e filtragem'!AQ$2,Apresentação!$I$6='Base de Dados e filtragem'!M259),1,0)</f>
        <v>1</v>
      </c>
      <c r="AR259" s="25">
        <v>1</v>
      </c>
      <c r="AS259" s="25">
        <v>1</v>
      </c>
      <c r="AT259" s="25">
        <v>1</v>
      </c>
      <c r="AU259" s="25">
        <v>1</v>
      </c>
      <c r="AV259" s="25">
        <v>1</v>
      </c>
      <c r="AW259" s="25">
        <v>1</v>
      </c>
      <c r="AX259" s="25">
        <v>1</v>
      </c>
      <c r="AY259" s="25">
        <v>1</v>
      </c>
      <c r="AZ259" s="25">
        <v>1</v>
      </c>
      <c r="BA259" s="25">
        <v>1</v>
      </c>
      <c r="BB259" s="25">
        <v>1</v>
      </c>
      <c r="BC259" s="25">
        <v>1</v>
      </c>
      <c r="BD259" s="25">
        <v>1</v>
      </c>
    </row>
    <row r="260" spans="27:56" x14ac:dyDescent="0.25">
      <c r="AA260" s="68" t="str">
        <f t="shared" ref="AA260:AA323" si="17">"Fotos\"&amp;I260&amp;"\"&amp;A260&amp;".jpg"</f>
        <v>Fotos\\.jpg</v>
      </c>
      <c r="AB260" s="53">
        <f t="shared" ref="AB260:AB323" si="18">AD260/AC260</f>
        <v>3.8461538461538464E-3</v>
      </c>
      <c r="AC260" s="25">
        <f t="shared" ref="AC260:AC323" si="19">AC259+1</f>
        <v>260</v>
      </c>
      <c r="AD260" s="51">
        <f t="shared" ref="AD260:AD323" si="20">PRODUCT(AE260:BD260)</f>
        <v>1</v>
      </c>
      <c r="AE260" s="25">
        <v>1</v>
      </c>
      <c r="AF260" s="25">
        <v>1</v>
      </c>
      <c r="AG260" s="25">
        <v>1</v>
      </c>
      <c r="AH260" s="25">
        <v>1</v>
      </c>
      <c r="AI260" s="25">
        <f>IF(OR(Apresentação!$E$3='Base de Dados e filtragem'!AI$2,Apresentação!$E$3='Base de Dados e filtragem'!E260),1,0)</f>
        <v>1</v>
      </c>
      <c r="AJ260" s="25">
        <f>IF(OR(Apresentação!$E$4='Base de Dados e filtragem'!AJ$2,Apresentação!$E$4='Base de Dados e filtragem'!F260),1,0)</f>
        <v>1</v>
      </c>
      <c r="AK260" s="25">
        <f>IF(OR(Apresentação!$E$5='Base de Dados e filtragem'!AK$2,Apresentação!$E$5='Base de Dados e filtragem'!G260),1,0)</f>
        <v>1</v>
      </c>
      <c r="AL260" s="25">
        <f>IF(OR(Apresentação!$E$6='Base de Dados e filtragem'!AL$2,Apresentação!$E$6='Base de Dados e filtragem'!H260),1,0)</f>
        <v>1</v>
      </c>
      <c r="AM260" s="25">
        <f>IF(OR(Apresentação!$I$2='Base de Dados e filtragem'!AM$2,Apresentação!$I$2='Base de Dados e filtragem'!I260),1,0)</f>
        <v>1</v>
      </c>
      <c r="AN260" s="25">
        <f>IF(OR(Apresentação!$I$3='Base de Dados e filtragem'!AN$2,Apresentação!$I$3='Base de Dados e filtragem'!J260),1,0)</f>
        <v>1</v>
      </c>
      <c r="AO260" s="25">
        <f>IF(OR(Apresentação!$I$4='Base de Dados e filtragem'!AO$2,Apresentação!$I$4='Base de Dados e filtragem'!K260),1,0)</f>
        <v>1</v>
      </c>
      <c r="AP260" s="25">
        <f>IF(OR(Apresentação!$I$5='Base de Dados e filtragem'!AP$2,Apresentação!$I$5='Base de Dados e filtragem'!L260),1,0)</f>
        <v>1</v>
      </c>
      <c r="AQ260" s="25">
        <f>IF(OR(Apresentação!$I$6='Base de Dados e filtragem'!AQ$2,Apresentação!$I$6='Base de Dados e filtragem'!M260),1,0)</f>
        <v>1</v>
      </c>
      <c r="AR260" s="25">
        <v>1</v>
      </c>
      <c r="AS260" s="25">
        <v>1</v>
      </c>
      <c r="AT260" s="25">
        <v>1</v>
      </c>
      <c r="AU260" s="25">
        <v>1</v>
      </c>
      <c r="AV260" s="25">
        <v>1</v>
      </c>
      <c r="AW260" s="25">
        <v>1</v>
      </c>
      <c r="AX260" s="25">
        <v>1</v>
      </c>
      <c r="AY260" s="25">
        <v>1</v>
      </c>
      <c r="AZ260" s="25">
        <v>1</v>
      </c>
      <c r="BA260" s="25">
        <v>1</v>
      </c>
      <c r="BB260" s="25">
        <v>1</v>
      </c>
      <c r="BC260" s="25">
        <v>1</v>
      </c>
      <c r="BD260" s="25">
        <v>1</v>
      </c>
    </row>
    <row r="261" spans="27:56" x14ac:dyDescent="0.25">
      <c r="AA261" s="68" t="str">
        <f t="shared" si="17"/>
        <v>Fotos\\.jpg</v>
      </c>
      <c r="AB261" s="53">
        <f t="shared" si="18"/>
        <v>3.8314176245210726E-3</v>
      </c>
      <c r="AC261" s="25">
        <f t="shared" si="19"/>
        <v>261</v>
      </c>
      <c r="AD261" s="51">
        <f t="shared" si="20"/>
        <v>1</v>
      </c>
      <c r="AE261" s="25">
        <v>1</v>
      </c>
      <c r="AF261" s="25">
        <v>1</v>
      </c>
      <c r="AG261" s="25">
        <v>1</v>
      </c>
      <c r="AH261" s="25">
        <v>1</v>
      </c>
      <c r="AI261" s="25">
        <f>IF(OR(Apresentação!$E$3='Base de Dados e filtragem'!AI$2,Apresentação!$E$3='Base de Dados e filtragem'!E261),1,0)</f>
        <v>1</v>
      </c>
      <c r="AJ261" s="25">
        <f>IF(OR(Apresentação!$E$4='Base de Dados e filtragem'!AJ$2,Apresentação!$E$4='Base de Dados e filtragem'!F261),1,0)</f>
        <v>1</v>
      </c>
      <c r="AK261" s="25">
        <f>IF(OR(Apresentação!$E$5='Base de Dados e filtragem'!AK$2,Apresentação!$E$5='Base de Dados e filtragem'!G261),1,0)</f>
        <v>1</v>
      </c>
      <c r="AL261" s="25">
        <f>IF(OR(Apresentação!$E$6='Base de Dados e filtragem'!AL$2,Apresentação!$E$6='Base de Dados e filtragem'!H261),1,0)</f>
        <v>1</v>
      </c>
      <c r="AM261" s="25">
        <f>IF(OR(Apresentação!$I$2='Base de Dados e filtragem'!AM$2,Apresentação!$I$2='Base de Dados e filtragem'!I261),1,0)</f>
        <v>1</v>
      </c>
      <c r="AN261" s="25">
        <f>IF(OR(Apresentação!$I$3='Base de Dados e filtragem'!AN$2,Apresentação!$I$3='Base de Dados e filtragem'!J261),1,0)</f>
        <v>1</v>
      </c>
      <c r="AO261" s="25">
        <f>IF(OR(Apresentação!$I$4='Base de Dados e filtragem'!AO$2,Apresentação!$I$4='Base de Dados e filtragem'!K261),1,0)</f>
        <v>1</v>
      </c>
      <c r="AP261" s="25">
        <f>IF(OR(Apresentação!$I$5='Base de Dados e filtragem'!AP$2,Apresentação!$I$5='Base de Dados e filtragem'!L261),1,0)</f>
        <v>1</v>
      </c>
      <c r="AQ261" s="25">
        <f>IF(OR(Apresentação!$I$6='Base de Dados e filtragem'!AQ$2,Apresentação!$I$6='Base de Dados e filtragem'!M261),1,0)</f>
        <v>1</v>
      </c>
      <c r="AR261" s="25">
        <v>1</v>
      </c>
      <c r="AS261" s="25">
        <v>1</v>
      </c>
      <c r="AT261" s="25">
        <v>1</v>
      </c>
      <c r="AU261" s="25">
        <v>1</v>
      </c>
      <c r="AV261" s="25">
        <v>1</v>
      </c>
      <c r="AW261" s="25">
        <v>1</v>
      </c>
      <c r="AX261" s="25">
        <v>1</v>
      </c>
      <c r="AY261" s="25">
        <v>1</v>
      </c>
      <c r="AZ261" s="25">
        <v>1</v>
      </c>
      <c r="BA261" s="25">
        <v>1</v>
      </c>
      <c r="BB261" s="25">
        <v>1</v>
      </c>
      <c r="BC261" s="25">
        <v>1</v>
      </c>
      <c r="BD261" s="25">
        <v>1</v>
      </c>
    </row>
    <row r="262" spans="27:56" x14ac:dyDescent="0.25">
      <c r="AA262" s="68" t="str">
        <f t="shared" si="17"/>
        <v>Fotos\\.jpg</v>
      </c>
      <c r="AB262" s="53">
        <f t="shared" si="18"/>
        <v>3.8167938931297708E-3</v>
      </c>
      <c r="AC262" s="25">
        <f t="shared" si="19"/>
        <v>262</v>
      </c>
      <c r="AD262" s="51">
        <f t="shared" si="20"/>
        <v>1</v>
      </c>
      <c r="AE262" s="25">
        <v>1</v>
      </c>
      <c r="AF262" s="25">
        <v>1</v>
      </c>
      <c r="AG262" s="25">
        <v>1</v>
      </c>
      <c r="AH262" s="25">
        <v>1</v>
      </c>
      <c r="AI262" s="25">
        <f>IF(OR(Apresentação!$E$3='Base de Dados e filtragem'!AI$2,Apresentação!$E$3='Base de Dados e filtragem'!E262),1,0)</f>
        <v>1</v>
      </c>
      <c r="AJ262" s="25">
        <f>IF(OR(Apresentação!$E$4='Base de Dados e filtragem'!AJ$2,Apresentação!$E$4='Base de Dados e filtragem'!F262),1,0)</f>
        <v>1</v>
      </c>
      <c r="AK262" s="25">
        <f>IF(OR(Apresentação!$E$5='Base de Dados e filtragem'!AK$2,Apresentação!$E$5='Base de Dados e filtragem'!G262),1,0)</f>
        <v>1</v>
      </c>
      <c r="AL262" s="25">
        <f>IF(OR(Apresentação!$E$6='Base de Dados e filtragem'!AL$2,Apresentação!$E$6='Base de Dados e filtragem'!H262),1,0)</f>
        <v>1</v>
      </c>
      <c r="AM262" s="25">
        <f>IF(OR(Apresentação!$I$2='Base de Dados e filtragem'!AM$2,Apresentação!$I$2='Base de Dados e filtragem'!I262),1,0)</f>
        <v>1</v>
      </c>
      <c r="AN262" s="25">
        <f>IF(OR(Apresentação!$I$3='Base de Dados e filtragem'!AN$2,Apresentação!$I$3='Base de Dados e filtragem'!J262),1,0)</f>
        <v>1</v>
      </c>
      <c r="AO262" s="25">
        <f>IF(OR(Apresentação!$I$4='Base de Dados e filtragem'!AO$2,Apresentação!$I$4='Base de Dados e filtragem'!K262),1,0)</f>
        <v>1</v>
      </c>
      <c r="AP262" s="25">
        <f>IF(OR(Apresentação!$I$5='Base de Dados e filtragem'!AP$2,Apresentação!$I$5='Base de Dados e filtragem'!L262),1,0)</f>
        <v>1</v>
      </c>
      <c r="AQ262" s="25">
        <f>IF(OR(Apresentação!$I$6='Base de Dados e filtragem'!AQ$2,Apresentação!$I$6='Base de Dados e filtragem'!M262),1,0)</f>
        <v>1</v>
      </c>
      <c r="AR262" s="25">
        <v>1</v>
      </c>
      <c r="AS262" s="25">
        <v>1</v>
      </c>
      <c r="AT262" s="25">
        <v>1</v>
      </c>
      <c r="AU262" s="25">
        <v>1</v>
      </c>
      <c r="AV262" s="25">
        <v>1</v>
      </c>
      <c r="AW262" s="25">
        <v>1</v>
      </c>
      <c r="AX262" s="25">
        <v>1</v>
      </c>
      <c r="AY262" s="25">
        <v>1</v>
      </c>
      <c r="AZ262" s="25">
        <v>1</v>
      </c>
      <c r="BA262" s="25">
        <v>1</v>
      </c>
      <c r="BB262" s="25">
        <v>1</v>
      </c>
      <c r="BC262" s="25">
        <v>1</v>
      </c>
      <c r="BD262" s="25">
        <v>1</v>
      </c>
    </row>
    <row r="263" spans="27:56" x14ac:dyDescent="0.25">
      <c r="AA263" s="68" t="str">
        <f t="shared" si="17"/>
        <v>Fotos\\.jpg</v>
      </c>
      <c r="AB263" s="53">
        <f t="shared" si="18"/>
        <v>3.8022813688212928E-3</v>
      </c>
      <c r="AC263" s="25">
        <f t="shared" si="19"/>
        <v>263</v>
      </c>
      <c r="AD263" s="51">
        <f t="shared" si="20"/>
        <v>1</v>
      </c>
      <c r="AE263" s="25">
        <v>1</v>
      </c>
      <c r="AF263" s="25">
        <v>1</v>
      </c>
      <c r="AG263" s="25">
        <v>1</v>
      </c>
      <c r="AH263" s="25">
        <v>1</v>
      </c>
      <c r="AI263" s="25">
        <f>IF(OR(Apresentação!$E$3='Base de Dados e filtragem'!AI$2,Apresentação!$E$3='Base de Dados e filtragem'!E263),1,0)</f>
        <v>1</v>
      </c>
      <c r="AJ263" s="25">
        <f>IF(OR(Apresentação!$E$4='Base de Dados e filtragem'!AJ$2,Apresentação!$E$4='Base de Dados e filtragem'!F263),1,0)</f>
        <v>1</v>
      </c>
      <c r="AK263" s="25">
        <f>IF(OR(Apresentação!$E$5='Base de Dados e filtragem'!AK$2,Apresentação!$E$5='Base de Dados e filtragem'!G263),1,0)</f>
        <v>1</v>
      </c>
      <c r="AL263" s="25">
        <f>IF(OR(Apresentação!$E$6='Base de Dados e filtragem'!AL$2,Apresentação!$E$6='Base de Dados e filtragem'!H263),1,0)</f>
        <v>1</v>
      </c>
      <c r="AM263" s="25">
        <f>IF(OR(Apresentação!$I$2='Base de Dados e filtragem'!AM$2,Apresentação!$I$2='Base de Dados e filtragem'!I263),1,0)</f>
        <v>1</v>
      </c>
      <c r="AN263" s="25">
        <f>IF(OR(Apresentação!$I$3='Base de Dados e filtragem'!AN$2,Apresentação!$I$3='Base de Dados e filtragem'!J263),1,0)</f>
        <v>1</v>
      </c>
      <c r="AO263" s="25">
        <f>IF(OR(Apresentação!$I$4='Base de Dados e filtragem'!AO$2,Apresentação!$I$4='Base de Dados e filtragem'!K263),1,0)</f>
        <v>1</v>
      </c>
      <c r="AP263" s="25">
        <f>IF(OR(Apresentação!$I$5='Base de Dados e filtragem'!AP$2,Apresentação!$I$5='Base de Dados e filtragem'!L263),1,0)</f>
        <v>1</v>
      </c>
      <c r="AQ263" s="25">
        <f>IF(OR(Apresentação!$I$6='Base de Dados e filtragem'!AQ$2,Apresentação!$I$6='Base de Dados e filtragem'!M263),1,0)</f>
        <v>1</v>
      </c>
      <c r="AR263" s="25">
        <v>1</v>
      </c>
      <c r="AS263" s="25">
        <v>1</v>
      </c>
      <c r="AT263" s="25">
        <v>1</v>
      </c>
      <c r="AU263" s="25">
        <v>1</v>
      </c>
      <c r="AV263" s="25">
        <v>1</v>
      </c>
      <c r="AW263" s="25">
        <v>1</v>
      </c>
      <c r="AX263" s="25">
        <v>1</v>
      </c>
      <c r="AY263" s="25">
        <v>1</v>
      </c>
      <c r="AZ263" s="25">
        <v>1</v>
      </c>
      <c r="BA263" s="25">
        <v>1</v>
      </c>
      <c r="BB263" s="25">
        <v>1</v>
      </c>
      <c r="BC263" s="25">
        <v>1</v>
      </c>
      <c r="BD263" s="25">
        <v>1</v>
      </c>
    </row>
    <row r="264" spans="27:56" x14ac:dyDescent="0.25">
      <c r="AA264" s="68" t="str">
        <f t="shared" si="17"/>
        <v>Fotos\\.jpg</v>
      </c>
      <c r="AB264" s="53">
        <f t="shared" si="18"/>
        <v>3.787878787878788E-3</v>
      </c>
      <c r="AC264" s="25">
        <f t="shared" si="19"/>
        <v>264</v>
      </c>
      <c r="AD264" s="51">
        <f t="shared" si="20"/>
        <v>1</v>
      </c>
      <c r="AE264" s="25">
        <v>1</v>
      </c>
      <c r="AF264" s="25">
        <v>1</v>
      </c>
      <c r="AG264" s="25">
        <v>1</v>
      </c>
      <c r="AH264" s="25">
        <v>1</v>
      </c>
      <c r="AI264" s="25">
        <f>IF(OR(Apresentação!$E$3='Base de Dados e filtragem'!AI$2,Apresentação!$E$3='Base de Dados e filtragem'!E264),1,0)</f>
        <v>1</v>
      </c>
      <c r="AJ264" s="25">
        <f>IF(OR(Apresentação!$E$4='Base de Dados e filtragem'!AJ$2,Apresentação!$E$4='Base de Dados e filtragem'!F264),1,0)</f>
        <v>1</v>
      </c>
      <c r="AK264" s="25">
        <f>IF(OR(Apresentação!$E$5='Base de Dados e filtragem'!AK$2,Apresentação!$E$5='Base de Dados e filtragem'!G264),1,0)</f>
        <v>1</v>
      </c>
      <c r="AL264" s="25">
        <f>IF(OR(Apresentação!$E$6='Base de Dados e filtragem'!AL$2,Apresentação!$E$6='Base de Dados e filtragem'!H264),1,0)</f>
        <v>1</v>
      </c>
      <c r="AM264" s="25">
        <f>IF(OR(Apresentação!$I$2='Base de Dados e filtragem'!AM$2,Apresentação!$I$2='Base de Dados e filtragem'!I264),1,0)</f>
        <v>1</v>
      </c>
      <c r="AN264" s="25">
        <f>IF(OR(Apresentação!$I$3='Base de Dados e filtragem'!AN$2,Apresentação!$I$3='Base de Dados e filtragem'!J264),1,0)</f>
        <v>1</v>
      </c>
      <c r="AO264" s="25">
        <f>IF(OR(Apresentação!$I$4='Base de Dados e filtragem'!AO$2,Apresentação!$I$4='Base de Dados e filtragem'!K264),1,0)</f>
        <v>1</v>
      </c>
      <c r="AP264" s="25">
        <f>IF(OR(Apresentação!$I$5='Base de Dados e filtragem'!AP$2,Apresentação!$I$5='Base de Dados e filtragem'!L264),1,0)</f>
        <v>1</v>
      </c>
      <c r="AQ264" s="25">
        <f>IF(OR(Apresentação!$I$6='Base de Dados e filtragem'!AQ$2,Apresentação!$I$6='Base de Dados e filtragem'!M264),1,0)</f>
        <v>1</v>
      </c>
      <c r="AR264" s="25">
        <v>1</v>
      </c>
      <c r="AS264" s="25">
        <v>1</v>
      </c>
      <c r="AT264" s="25">
        <v>1</v>
      </c>
      <c r="AU264" s="25">
        <v>1</v>
      </c>
      <c r="AV264" s="25">
        <v>1</v>
      </c>
      <c r="AW264" s="25">
        <v>1</v>
      </c>
      <c r="AX264" s="25">
        <v>1</v>
      </c>
      <c r="AY264" s="25">
        <v>1</v>
      </c>
      <c r="AZ264" s="25">
        <v>1</v>
      </c>
      <c r="BA264" s="25">
        <v>1</v>
      </c>
      <c r="BB264" s="25">
        <v>1</v>
      </c>
      <c r="BC264" s="25">
        <v>1</v>
      </c>
      <c r="BD264" s="25">
        <v>1</v>
      </c>
    </row>
    <row r="265" spans="27:56" x14ac:dyDescent="0.25">
      <c r="AA265" s="68" t="str">
        <f t="shared" si="17"/>
        <v>Fotos\\.jpg</v>
      </c>
      <c r="AB265" s="53">
        <f t="shared" si="18"/>
        <v>3.7735849056603774E-3</v>
      </c>
      <c r="AC265" s="25">
        <f t="shared" si="19"/>
        <v>265</v>
      </c>
      <c r="AD265" s="51">
        <f t="shared" si="20"/>
        <v>1</v>
      </c>
      <c r="AE265" s="25">
        <v>1</v>
      </c>
      <c r="AF265" s="25">
        <v>1</v>
      </c>
      <c r="AG265" s="25">
        <v>1</v>
      </c>
      <c r="AH265" s="25">
        <v>1</v>
      </c>
      <c r="AI265" s="25">
        <f>IF(OR(Apresentação!$E$3='Base de Dados e filtragem'!AI$2,Apresentação!$E$3='Base de Dados e filtragem'!E265),1,0)</f>
        <v>1</v>
      </c>
      <c r="AJ265" s="25">
        <f>IF(OR(Apresentação!$E$4='Base de Dados e filtragem'!AJ$2,Apresentação!$E$4='Base de Dados e filtragem'!F265),1,0)</f>
        <v>1</v>
      </c>
      <c r="AK265" s="25">
        <f>IF(OR(Apresentação!$E$5='Base de Dados e filtragem'!AK$2,Apresentação!$E$5='Base de Dados e filtragem'!G265),1,0)</f>
        <v>1</v>
      </c>
      <c r="AL265" s="25">
        <f>IF(OR(Apresentação!$E$6='Base de Dados e filtragem'!AL$2,Apresentação!$E$6='Base de Dados e filtragem'!H265),1,0)</f>
        <v>1</v>
      </c>
      <c r="AM265" s="25">
        <f>IF(OR(Apresentação!$I$2='Base de Dados e filtragem'!AM$2,Apresentação!$I$2='Base de Dados e filtragem'!I265),1,0)</f>
        <v>1</v>
      </c>
      <c r="AN265" s="25">
        <f>IF(OR(Apresentação!$I$3='Base de Dados e filtragem'!AN$2,Apresentação!$I$3='Base de Dados e filtragem'!J265),1,0)</f>
        <v>1</v>
      </c>
      <c r="AO265" s="25">
        <f>IF(OR(Apresentação!$I$4='Base de Dados e filtragem'!AO$2,Apresentação!$I$4='Base de Dados e filtragem'!K265),1,0)</f>
        <v>1</v>
      </c>
      <c r="AP265" s="25">
        <f>IF(OR(Apresentação!$I$5='Base de Dados e filtragem'!AP$2,Apresentação!$I$5='Base de Dados e filtragem'!L265),1,0)</f>
        <v>1</v>
      </c>
      <c r="AQ265" s="25">
        <f>IF(OR(Apresentação!$I$6='Base de Dados e filtragem'!AQ$2,Apresentação!$I$6='Base de Dados e filtragem'!M265),1,0)</f>
        <v>1</v>
      </c>
      <c r="AR265" s="25">
        <v>1</v>
      </c>
      <c r="AS265" s="25">
        <v>1</v>
      </c>
      <c r="AT265" s="25">
        <v>1</v>
      </c>
      <c r="AU265" s="25">
        <v>1</v>
      </c>
      <c r="AV265" s="25">
        <v>1</v>
      </c>
      <c r="AW265" s="25">
        <v>1</v>
      </c>
      <c r="AX265" s="25">
        <v>1</v>
      </c>
      <c r="AY265" s="25">
        <v>1</v>
      </c>
      <c r="AZ265" s="25">
        <v>1</v>
      </c>
      <c r="BA265" s="25">
        <v>1</v>
      </c>
      <c r="BB265" s="25">
        <v>1</v>
      </c>
      <c r="BC265" s="25">
        <v>1</v>
      </c>
      <c r="BD265" s="25">
        <v>1</v>
      </c>
    </row>
    <row r="266" spans="27:56" x14ac:dyDescent="0.25">
      <c r="AA266" s="68" t="str">
        <f t="shared" si="17"/>
        <v>Fotos\\.jpg</v>
      </c>
      <c r="AB266" s="53">
        <f t="shared" si="18"/>
        <v>3.7593984962406013E-3</v>
      </c>
      <c r="AC266" s="25">
        <f t="shared" si="19"/>
        <v>266</v>
      </c>
      <c r="AD266" s="51">
        <f t="shared" si="20"/>
        <v>1</v>
      </c>
      <c r="AE266" s="25">
        <v>1</v>
      </c>
      <c r="AF266" s="25">
        <v>1</v>
      </c>
      <c r="AG266" s="25">
        <v>1</v>
      </c>
      <c r="AH266" s="25">
        <v>1</v>
      </c>
      <c r="AI266" s="25">
        <f>IF(OR(Apresentação!$E$3='Base de Dados e filtragem'!AI$2,Apresentação!$E$3='Base de Dados e filtragem'!E266),1,0)</f>
        <v>1</v>
      </c>
      <c r="AJ266" s="25">
        <f>IF(OR(Apresentação!$E$4='Base de Dados e filtragem'!AJ$2,Apresentação!$E$4='Base de Dados e filtragem'!F266),1,0)</f>
        <v>1</v>
      </c>
      <c r="AK266" s="25">
        <f>IF(OR(Apresentação!$E$5='Base de Dados e filtragem'!AK$2,Apresentação!$E$5='Base de Dados e filtragem'!G266),1,0)</f>
        <v>1</v>
      </c>
      <c r="AL266" s="25">
        <f>IF(OR(Apresentação!$E$6='Base de Dados e filtragem'!AL$2,Apresentação!$E$6='Base de Dados e filtragem'!H266),1,0)</f>
        <v>1</v>
      </c>
      <c r="AM266" s="25">
        <f>IF(OR(Apresentação!$I$2='Base de Dados e filtragem'!AM$2,Apresentação!$I$2='Base de Dados e filtragem'!I266),1,0)</f>
        <v>1</v>
      </c>
      <c r="AN266" s="25">
        <f>IF(OR(Apresentação!$I$3='Base de Dados e filtragem'!AN$2,Apresentação!$I$3='Base de Dados e filtragem'!J266),1,0)</f>
        <v>1</v>
      </c>
      <c r="AO266" s="25">
        <f>IF(OR(Apresentação!$I$4='Base de Dados e filtragem'!AO$2,Apresentação!$I$4='Base de Dados e filtragem'!K266),1,0)</f>
        <v>1</v>
      </c>
      <c r="AP266" s="25">
        <f>IF(OR(Apresentação!$I$5='Base de Dados e filtragem'!AP$2,Apresentação!$I$5='Base de Dados e filtragem'!L266),1,0)</f>
        <v>1</v>
      </c>
      <c r="AQ266" s="25">
        <f>IF(OR(Apresentação!$I$6='Base de Dados e filtragem'!AQ$2,Apresentação!$I$6='Base de Dados e filtragem'!M266),1,0)</f>
        <v>1</v>
      </c>
      <c r="AR266" s="25">
        <v>1</v>
      </c>
      <c r="AS266" s="25">
        <v>1</v>
      </c>
      <c r="AT266" s="25">
        <v>1</v>
      </c>
      <c r="AU266" s="25">
        <v>1</v>
      </c>
      <c r="AV266" s="25">
        <v>1</v>
      </c>
      <c r="AW266" s="25">
        <v>1</v>
      </c>
      <c r="AX266" s="25">
        <v>1</v>
      </c>
      <c r="AY266" s="25">
        <v>1</v>
      </c>
      <c r="AZ266" s="25">
        <v>1</v>
      </c>
      <c r="BA266" s="25">
        <v>1</v>
      </c>
      <c r="BB266" s="25">
        <v>1</v>
      </c>
      <c r="BC266" s="25">
        <v>1</v>
      </c>
      <c r="BD266" s="25">
        <v>1</v>
      </c>
    </row>
    <row r="267" spans="27:56" x14ac:dyDescent="0.25">
      <c r="AA267" s="68" t="str">
        <f t="shared" si="17"/>
        <v>Fotos\\.jpg</v>
      </c>
      <c r="AB267" s="53">
        <f t="shared" si="18"/>
        <v>3.7453183520599251E-3</v>
      </c>
      <c r="AC267" s="25">
        <f t="shared" si="19"/>
        <v>267</v>
      </c>
      <c r="AD267" s="51">
        <f t="shared" si="20"/>
        <v>1</v>
      </c>
      <c r="AE267" s="25">
        <v>1</v>
      </c>
      <c r="AF267" s="25">
        <v>1</v>
      </c>
      <c r="AG267" s="25">
        <v>1</v>
      </c>
      <c r="AH267" s="25">
        <v>1</v>
      </c>
      <c r="AI267" s="25">
        <f>IF(OR(Apresentação!$E$3='Base de Dados e filtragem'!AI$2,Apresentação!$E$3='Base de Dados e filtragem'!E267),1,0)</f>
        <v>1</v>
      </c>
      <c r="AJ267" s="25">
        <f>IF(OR(Apresentação!$E$4='Base de Dados e filtragem'!AJ$2,Apresentação!$E$4='Base de Dados e filtragem'!F267),1,0)</f>
        <v>1</v>
      </c>
      <c r="AK267" s="25">
        <f>IF(OR(Apresentação!$E$5='Base de Dados e filtragem'!AK$2,Apresentação!$E$5='Base de Dados e filtragem'!G267),1,0)</f>
        <v>1</v>
      </c>
      <c r="AL267" s="25">
        <f>IF(OR(Apresentação!$E$6='Base de Dados e filtragem'!AL$2,Apresentação!$E$6='Base de Dados e filtragem'!H267),1,0)</f>
        <v>1</v>
      </c>
      <c r="AM267" s="25">
        <f>IF(OR(Apresentação!$I$2='Base de Dados e filtragem'!AM$2,Apresentação!$I$2='Base de Dados e filtragem'!I267),1,0)</f>
        <v>1</v>
      </c>
      <c r="AN267" s="25">
        <f>IF(OR(Apresentação!$I$3='Base de Dados e filtragem'!AN$2,Apresentação!$I$3='Base de Dados e filtragem'!J267),1,0)</f>
        <v>1</v>
      </c>
      <c r="AO267" s="25">
        <f>IF(OR(Apresentação!$I$4='Base de Dados e filtragem'!AO$2,Apresentação!$I$4='Base de Dados e filtragem'!K267),1,0)</f>
        <v>1</v>
      </c>
      <c r="AP267" s="25">
        <f>IF(OR(Apresentação!$I$5='Base de Dados e filtragem'!AP$2,Apresentação!$I$5='Base de Dados e filtragem'!L267),1,0)</f>
        <v>1</v>
      </c>
      <c r="AQ267" s="25">
        <f>IF(OR(Apresentação!$I$6='Base de Dados e filtragem'!AQ$2,Apresentação!$I$6='Base de Dados e filtragem'!M267),1,0)</f>
        <v>1</v>
      </c>
      <c r="AR267" s="25">
        <v>1</v>
      </c>
      <c r="AS267" s="25">
        <v>1</v>
      </c>
      <c r="AT267" s="25">
        <v>1</v>
      </c>
      <c r="AU267" s="25">
        <v>1</v>
      </c>
      <c r="AV267" s="25">
        <v>1</v>
      </c>
      <c r="AW267" s="25">
        <v>1</v>
      </c>
      <c r="AX267" s="25">
        <v>1</v>
      </c>
      <c r="AY267" s="25">
        <v>1</v>
      </c>
      <c r="AZ267" s="25">
        <v>1</v>
      </c>
      <c r="BA267" s="25">
        <v>1</v>
      </c>
      <c r="BB267" s="25">
        <v>1</v>
      </c>
      <c r="BC267" s="25">
        <v>1</v>
      </c>
      <c r="BD267" s="25">
        <v>1</v>
      </c>
    </row>
    <row r="268" spans="27:56" x14ac:dyDescent="0.25">
      <c r="AA268" s="68" t="str">
        <f t="shared" si="17"/>
        <v>Fotos\\.jpg</v>
      </c>
      <c r="AB268" s="53">
        <f t="shared" si="18"/>
        <v>3.7313432835820895E-3</v>
      </c>
      <c r="AC268" s="25">
        <f t="shared" si="19"/>
        <v>268</v>
      </c>
      <c r="AD268" s="51">
        <f t="shared" si="20"/>
        <v>1</v>
      </c>
      <c r="AE268" s="25">
        <v>1</v>
      </c>
      <c r="AF268" s="25">
        <v>1</v>
      </c>
      <c r="AG268" s="25">
        <v>1</v>
      </c>
      <c r="AH268" s="25">
        <v>1</v>
      </c>
      <c r="AI268" s="25">
        <f>IF(OR(Apresentação!$E$3='Base de Dados e filtragem'!AI$2,Apresentação!$E$3='Base de Dados e filtragem'!E268),1,0)</f>
        <v>1</v>
      </c>
      <c r="AJ268" s="25">
        <f>IF(OR(Apresentação!$E$4='Base de Dados e filtragem'!AJ$2,Apresentação!$E$4='Base de Dados e filtragem'!F268),1,0)</f>
        <v>1</v>
      </c>
      <c r="AK268" s="25">
        <f>IF(OR(Apresentação!$E$5='Base de Dados e filtragem'!AK$2,Apresentação!$E$5='Base de Dados e filtragem'!G268),1,0)</f>
        <v>1</v>
      </c>
      <c r="AL268" s="25">
        <f>IF(OR(Apresentação!$E$6='Base de Dados e filtragem'!AL$2,Apresentação!$E$6='Base de Dados e filtragem'!H268),1,0)</f>
        <v>1</v>
      </c>
      <c r="AM268" s="25">
        <f>IF(OR(Apresentação!$I$2='Base de Dados e filtragem'!AM$2,Apresentação!$I$2='Base de Dados e filtragem'!I268),1,0)</f>
        <v>1</v>
      </c>
      <c r="AN268" s="25">
        <f>IF(OR(Apresentação!$I$3='Base de Dados e filtragem'!AN$2,Apresentação!$I$3='Base de Dados e filtragem'!J268),1,0)</f>
        <v>1</v>
      </c>
      <c r="AO268" s="25">
        <f>IF(OR(Apresentação!$I$4='Base de Dados e filtragem'!AO$2,Apresentação!$I$4='Base de Dados e filtragem'!K268),1,0)</f>
        <v>1</v>
      </c>
      <c r="AP268" s="25">
        <f>IF(OR(Apresentação!$I$5='Base de Dados e filtragem'!AP$2,Apresentação!$I$5='Base de Dados e filtragem'!L268),1,0)</f>
        <v>1</v>
      </c>
      <c r="AQ268" s="25">
        <f>IF(OR(Apresentação!$I$6='Base de Dados e filtragem'!AQ$2,Apresentação!$I$6='Base de Dados e filtragem'!M268),1,0)</f>
        <v>1</v>
      </c>
      <c r="AR268" s="25">
        <v>1</v>
      </c>
      <c r="AS268" s="25">
        <v>1</v>
      </c>
      <c r="AT268" s="25">
        <v>1</v>
      </c>
      <c r="AU268" s="25">
        <v>1</v>
      </c>
      <c r="AV268" s="25">
        <v>1</v>
      </c>
      <c r="AW268" s="25">
        <v>1</v>
      </c>
      <c r="AX268" s="25">
        <v>1</v>
      </c>
      <c r="AY268" s="25">
        <v>1</v>
      </c>
      <c r="AZ268" s="25">
        <v>1</v>
      </c>
      <c r="BA268" s="25">
        <v>1</v>
      </c>
      <c r="BB268" s="25">
        <v>1</v>
      </c>
      <c r="BC268" s="25">
        <v>1</v>
      </c>
      <c r="BD268" s="25">
        <v>1</v>
      </c>
    </row>
    <row r="269" spans="27:56" x14ac:dyDescent="0.25">
      <c r="AA269" s="68" t="str">
        <f t="shared" si="17"/>
        <v>Fotos\\.jpg</v>
      </c>
      <c r="AB269" s="53">
        <f t="shared" si="18"/>
        <v>3.7174721189591076E-3</v>
      </c>
      <c r="AC269" s="25">
        <f t="shared" si="19"/>
        <v>269</v>
      </c>
      <c r="AD269" s="51">
        <f t="shared" si="20"/>
        <v>1</v>
      </c>
      <c r="AE269" s="25">
        <v>1</v>
      </c>
      <c r="AF269" s="25">
        <v>1</v>
      </c>
      <c r="AG269" s="25">
        <v>1</v>
      </c>
      <c r="AH269" s="25">
        <v>1</v>
      </c>
      <c r="AI269" s="25">
        <f>IF(OR(Apresentação!$E$3='Base de Dados e filtragem'!AI$2,Apresentação!$E$3='Base de Dados e filtragem'!E269),1,0)</f>
        <v>1</v>
      </c>
      <c r="AJ269" s="25">
        <f>IF(OR(Apresentação!$E$4='Base de Dados e filtragem'!AJ$2,Apresentação!$E$4='Base de Dados e filtragem'!F269),1,0)</f>
        <v>1</v>
      </c>
      <c r="AK269" s="25">
        <f>IF(OR(Apresentação!$E$5='Base de Dados e filtragem'!AK$2,Apresentação!$E$5='Base de Dados e filtragem'!G269),1,0)</f>
        <v>1</v>
      </c>
      <c r="AL269" s="25">
        <f>IF(OR(Apresentação!$E$6='Base de Dados e filtragem'!AL$2,Apresentação!$E$6='Base de Dados e filtragem'!H269),1,0)</f>
        <v>1</v>
      </c>
      <c r="AM269" s="25">
        <f>IF(OR(Apresentação!$I$2='Base de Dados e filtragem'!AM$2,Apresentação!$I$2='Base de Dados e filtragem'!I269),1,0)</f>
        <v>1</v>
      </c>
      <c r="AN269" s="25">
        <f>IF(OR(Apresentação!$I$3='Base de Dados e filtragem'!AN$2,Apresentação!$I$3='Base de Dados e filtragem'!J269),1,0)</f>
        <v>1</v>
      </c>
      <c r="AO269" s="25">
        <f>IF(OR(Apresentação!$I$4='Base de Dados e filtragem'!AO$2,Apresentação!$I$4='Base de Dados e filtragem'!K269),1,0)</f>
        <v>1</v>
      </c>
      <c r="AP269" s="25">
        <f>IF(OR(Apresentação!$I$5='Base de Dados e filtragem'!AP$2,Apresentação!$I$5='Base de Dados e filtragem'!L269),1,0)</f>
        <v>1</v>
      </c>
      <c r="AQ269" s="25">
        <f>IF(OR(Apresentação!$I$6='Base de Dados e filtragem'!AQ$2,Apresentação!$I$6='Base de Dados e filtragem'!M269),1,0)</f>
        <v>1</v>
      </c>
      <c r="AR269" s="25">
        <v>1</v>
      </c>
      <c r="AS269" s="25">
        <v>1</v>
      </c>
      <c r="AT269" s="25">
        <v>1</v>
      </c>
      <c r="AU269" s="25">
        <v>1</v>
      </c>
      <c r="AV269" s="25">
        <v>1</v>
      </c>
      <c r="AW269" s="25">
        <v>1</v>
      </c>
      <c r="AX269" s="25">
        <v>1</v>
      </c>
      <c r="AY269" s="25">
        <v>1</v>
      </c>
      <c r="AZ269" s="25">
        <v>1</v>
      </c>
      <c r="BA269" s="25">
        <v>1</v>
      </c>
      <c r="BB269" s="25">
        <v>1</v>
      </c>
      <c r="BC269" s="25">
        <v>1</v>
      </c>
      <c r="BD269" s="25">
        <v>1</v>
      </c>
    </row>
    <row r="270" spans="27:56" x14ac:dyDescent="0.25">
      <c r="AA270" s="68" t="str">
        <f t="shared" si="17"/>
        <v>Fotos\\.jpg</v>
      </c>
      <c r="AB270" s="53">
        <f t="shared" si="18"/>
        <v>3.7037037037037038E-3</v>
      </c>
      <c r="AC270" s="25">
        <f t="shared" si="19"/>
        <v>270</v>
      </c>
      <c r="AD270" s="51">
        <f t="shared" si="20"/>
        <v>1</v>
      </c>
      <c r="AE270" s="25">
        <v>1</v>
      </c>
      <c r="AF270" s="25">
        <v>1</v>
      </c>
      <c r="AG270" s="25">
        <v>1</v>
      </c>
      <c r="AH270" s="25">
        <v>1</v>
      </c>
      <c r="AI270" s="25">
        <f>IF(OR(Apresentação!$E$3='Base de Dados e filtragem'!AI$2,Apresentação!$E$3='Base de Dados e filtragem'!E270),1,0)</f>
        <v>1</v>
      </c>
      <c r="AJ270" s="25">
        <f>IF(OR(Apresentação!$E$4='Base de Dados e filtragem'!AJ$2,Apresentação!$E$4='Base de Dados e filtragem'!F270),1,0)</f>
        <v>1</v>
      </c>
      <c r="AK270" s="25">
        <f>IF(OR(Apresentação!$E$5='Base de Dados e filtragem'!AK$2,Apresentação!$E$5='Base de Dados e filtragem'!G270),1,0)</f>
        <v>1</v>
      </c>
      <c r="AL270" s="25">
        <f>IF(OR(Apresentação!$E$6='Base de Dados e filtragem'!AL$2,Apresentação!$E$6='Base de Dados e filtragem'!H270),1,0)</f>
        <v>1</v>
      </c>
      <c r="AM270" s="25">
        <f>IF(OR(Apresentação!$I$2='Base de Dados e filtragem'!AM$2,Apresentação!$I$2='Base de Dados e filtragem'!I270),1,0)</f>
        <v>1</v>
      </c>
      <c r="AN270" s="25">
        <f>IF(OR(Apresentação!$I$3='Base de Dados e filtragem'!AN$2,Apresentação!$I$3='Base de Dados e filtragem'!J270),1,0)</f>
        <v>1</v>
      </c>
      <c r="AO270" s="25">
        <f>IF(OR(Apresentação!$I$4='Base de Dados e filtragem'!AO$2,Apresentação!$I$4='Base de Dados e filtragem'!K270),1,0)</f>
        <v>1</v>
      </c>
      <c r="AP270" s="25">
        <f>IF(OR(Apresentação!$I$5='Base de Dados e filtragem'!AP$2,Apresentação!$I$5='Base de Dados e filtragem'!L270),1,0)</f>
        <v>1</v>
      </c>
      <c r="AQ270" s="25">
        <f>IF(OR(Apresentação!$I$6='Base de Dados e filtragem'!AQ$2,Apresentação!$I$6='Base de Dados e filtragem'!M270),1,0)</f>
        <v>1</v>
      </c>
      <c r="AR270" s="25">
        <v>1</v>
      </c>
      <c r="AS270" s="25">
        <v>1</v>
      </c>
      <c r="AT270" s="25">
        <v>1</v>
      </c>
      <c r="AU270" s="25">
        <v>1</v>
      </c>
      <c r="AV270" s="25">
        <v>1</v>
      </c>
      <c r="AW270" s="25">
        <v>1</v>
      </c>
      <c r="AX270" s="25">
        <v>1</v>
      </c>
      <c r="AY270" s="25">
        <v>1</v>
      </c>
      <c r="AZ270" s="25">
        <v>1</v>
      </c>
      <c r="BA270" s="25">
        <v>1</v>
      </c>
      <c r="BB270" s="25">
        <v>1</v>
      </c>
      <c r="BC270" s="25">
        <v>1</v>
      </c>
      <c r="BD270" s="25">
        <v>1</v>
      </c>
    </row>
    <row r="271" spans="27:56" x14ac:dyDescent="0.25">
      <c r="AA271" s="68" t="str">
        <f t="shared" si="17"/>
        <v>Fotos\\.jpg</v>
      </c>
      <c r="AB271" s="53">
        <f t="shared" si="18"/>
        <v>3.6900369003690036E-3</v>
      </c>
      <c r="AC271" s="25">
        <f t="shared" si="19"/>
        <v>271</v>
      </c>
      <c r="AD271" s="51">
        <f t="shared" si="20"/>
        <v>1</v>
      </c>
      <c r="AE271" s="25">
        <v>1</v>
      </c>
      <c r="AF271" s="25">
        <v>1</v>
      </c>
      <c r="AG271" s="25">
        <v>1</v>
      </c>
      <c r="AH271" s="25">
        <v>1</v>
      </c>
      <c r="AI271" s="25">
        <f>IF(OR(Apresentação!$E$3='Base de Dados e filtragem'!AI$2,Apresentação!$E$3='Base de Dados e filtragem'!E271),1,0)</f>
        <v>1</v>
      </c>
      <c r="AJ271" s="25">
        <f>IF(OR(Apresentação!$E$4='Base de Dados e filtragem'!AJ$2,Apresentação!$E$4='Base de Dados e filtragem'!F271),1,0)</f>
        <v>1</v>
      </c>
      <c r="AK271" s="25">
        <f>IF(OR(Apresentação!$E$5='Base de Dados e filtragem'!AK$2,Apresentação!$E$5='Base de Dados e filtragem'!G271),1,0)</f>
        <v>1</v>
      </c>
      <c r="AL271" s="25">
        <f>IF(OR(Apresentação!$E$6='Base de Dados e filtragem'!AL$2,Apresentação!$E$6='Base de Dados e filtragem'!H271),1,0)</f>
        <v>1</v>
      </c>
      <c r="AM271" s="25">
        <f>IF(OR(Apresentação!$I$2='Base de Dados e filtragem'!AM$2,Apresentação!$I$2='Base de Dados e filtragem'!I271),1,0)</f>
        <v>1</v>
      </c>
      <c r="AN271" s="25">
        <f>IF(OR(Apresentação!$I$3='Base de Dados e filtragem'!AN$2,Apresentação!$I$3='Base de Dados e filtragem'!J271),1,0)</f>
        <v>1</v>
      </c>
      <c r="AO271" s="25">
        <f>IF(OR(Apresentação!$I$4='Base de Dados e filtragem'!AO$2,Apresentação!$I$4='Base de Dados e filtragem'!K271),1,0)</f>
        <v>1</v>
      </c>
      <c r="AP271" s="25">
        <f>IF(OR(Apresentação!$I$5='Base de Dados e filtragem'!AP$2,Apresentação!$I$5='Base de Dados e filtragem'!L271),1,0)</f>
        <v>1</v>
      </c>
      <c r="AQ271" s="25">
        <f>IF(OR(Apresentação!$I$6='Base de Dados e filtragem'!AQ$2,Apresentação!$I$6='Base de Dados e filtragem'!M271),1,0)</f>
        <v>1</v>
      </c>
      <c r="AR271" s="25">
        <v>1</v>
      </c>
      <c r="AS271" s="25">
        <v>1</v>
      </c>
      <c r="AT271" s="25">
        <v>1</v>
      </c>
      <c r="AU271" s="25">
        <v>1</v>
      </c>
      <c r="AV271" s="25">
        <v>1</v>
      </c>
      <c r="AW271" s="25">
        <v>1</v>
      </c>
      <c r="AX271" s="25">
        <v>1</v>
      </c>
      <c r="AY271" s="25">
        <v>1</v>
      </c>
      <c r="AZ271" s="25">
        <v>1</v>
      </c>
      <c r="BA271" s="25">
        <v>1</v>
      </c>
      <c r="BB271" s="25">
        <v>1</v>
      </c>
      <c r="BC271" s="25">
        <v>1</v>
      </c>
      <c r="BD271" s="25">
        <v>1</v>
      </c>
    </row>
    <row r="272" spans="27:56" x14ac:dyDescent="0.25">
      <c r="AA272" s="68" t="str">
        <f t="shared" si="17"/>
        <v>Fotos\\.jpg</v>
      </c>
      <c r="AB272" s="53">
        <f t="shared" si="18"/>
        <v>3.6764705882352941E-3</v>
      </c>
      <c r="AC272" s="25">
        <f t="shared" si="19"/>
        <v>272</v>
      </c>
      <c r="AD272" s="51">
        <f t="shared" si="20"/>
        <v>1</v>
      </c>
      <c r="AE272" s="25">
        <v>1</v>
      </c>
      <c r="AF272" s="25">
        <v>1</v>
      </c>
      <c r="AG272" s="25">
        <v>1</v>
      </c>
      <c r="AH272" s="25">
        <v>1</v>
      </c>
      <c r="AI272" s="25">
        <f>IF(OR(Apresentação!$E$3='Base de Dados e filtragem'!AI$2,Apresentação!$E$3='Base de Dados e filtragem'!E272),1,0)</f>
        <v>1</v>
      </c>
      <c r="AJ272" s="25">
        <f>IF(OR(Apresentação!$E$4='Base de Dados e filtragem'!AJ$2,Apresentação!$E$4='Base de Dados e filtragem'!F272),1,0)</f>
        <v>1</v>
      </c>
      <c r="AK272" s="25">
        <f>IF(OR(Apresentação!$E$5='Base de Dados e filtragem'!AK$2,Apresentação!$E$5='Base de Dados e filtragem'!G272),1,0)</f>
        <v>1</v>
      </c>
      <c r="AL272" s="25">
        <f>IF(OR(Apresentação!$E$6='Base de Dados e filtragem'!AL$2,Apresentação!$E$6='Base de Dados e filtragem'!H272),1,0)</f>
        <v>1</v>
      </c>
      <c r="AM272" s="25">
        <f>IF(OR(Apresentação!$I$2='Base de Dados e filtragem'!AM$2,Apresentação!$I$2='Base de Dados e filtragem'!I272),1,0)</f>
        <v>1</v>
      </c>
      <c r="AN272" s="25">
        <f>IF(OR(Apresentação!$I$3='Base de Dados e filtragem'!AN$2,Apresentação!$I$3='Base de Dados e filtragem'!J272),1,0)</f>
        <v>1</v>
      </c>
      <c r="AO272" s="25">
        <f>IF(OR(Apresentação!$I$4='Base de Dados e filtragem'!AO$2,Apresentação!$I$4='Base de Dados e filtragem'!K272),1,0)</f>
        <v>1</v>
      </c>
      <c r="AP272" s="25">
        <f>IF(OR(Apresentação!$I$5='Base de Dados e filtragem'!AP$2,Apresentação!$I$5='Base de Dados e filtragem'!L272),1,0)</f>
        <v>1</v>
      </c>
      <c r="AQ272" s="25">
        <f>IF(OR(Apresentação!$I$6='Base de Dados e filtragem'!AQ$2,Apresentação!$I$6='Base de Dados e filtragem'!M272),1,0)</f>
        <v>1</v>
      </c>
      <c r="AR272" s="25">
        <v>1</v>
      </c>
      <c r="AS272" s="25">
        <v>1</v>
      </c>
      <c r="AT272" s="25">
        <v>1</v>
      </c>
      <c r="AU272" s="25">
        <v>1</v>
      </c>
      <c r="AV272" s="25">
        <v>1</v>
      </c>
      <c r="AW272" s="25">
        <v>1</v>
      </c>
      <c r="AX272" s="25">
        <v>1</v>
      </c>
      <c r="AY272" s="25">
        <v>1</v>
      </c>
      <c r="AZ272" s="25">
        <v>1</v>
      </c>
      <c r="BA272" s="25">
        <v>1</v>
      </c>
      <c r="BB272" s="25">
        <v>1</v>
      </c>
      <c r="BC272" s="25">
        <v>1</v>
      </c>
      <c r="BD272" s="25">
        <v>1</v>
      </c>
    </row>
    <row r="273" spans="27:56" x14ac:dyDescent="0.25">
      <c r="AA273" s="68" t="str">
        <f t="shared" si="17"/>
        <v>Fotos\\.jpg</v>
      </c>
      <c r="AB273" s="53">
        <f t="shared" si="18"/>
        <v>3.663003663003663E-3</v>
      </c>
      <c r="AC273" s="25">
        <f t="shared" si="19"/>
        <v>273</v>
      </c>
      <c r="AD273" s="51">
        <f t="shared" si="20"/>
        <v>1</v>
      </c>
      <c r="AE273" s="25">
        <v>1</v>
      </c>
      <c r="AF273" s="25">
        <v>1</v>
      </c>
      <c r="AG273" s="25">
        <v>1</v>
      </c>
      <c r="AH273" s="25">
        <v>1</v>
      </c>
      <c r="AI273" s="25">
        <f>IF(OR(Apresentação!$E$3='Base de Dados e filtragem'!AI$2,Apresentação!$E$3='Base de Dados e filtragem'!E273),1,0)</f>
        <v>1</v>
      </c>
      <c r="AJ273" s="25">
        <f>IF(OR(Apresentação!$E$4='Base de Dados e filtragem'!AJ$2,Apresentação!$E$4='Base de Dados e filtragem'!F273),1,0)</f>
        <v>1</v>
      </c>
      <c r="AK273" s="25">
        <f>IF(OR(Apresentação!$E$5='Base de Dados e filtragem'!AK$2,Apresentação!$E$5='Base de Dados e filtragem'!G273),1,0)</f>
        <v>1</v>
      </c>
      <c r="AL273" s="25">
        <f>IF(OR(Apresentação!$E$6='Base de Dados e filtragem'!AL$2,Apresentação!$E$6='Base de Dados e filtragem'!H273),1,0)</f>
        <v>1</v>
      </c>
      <c r="AM273" s="25">
        <f>IF(OR(Apresentação!$I$2='Base de Dados e filtragem'!AM$2,Apresentação!$I$2='Base de Dados e filtragem'!I273),1,0)</f>
        <v>1</v>
      </c>
      <c r="AN273" s="25">
        <f>IF(OR(Apresentação!$I$3='Base de Dados e filtragem'!AN$2,Apresentação!$I$3='Base de Dados e filtragem'!J273),1,0)</f>
        <v>1</v>
      </c>
      <c r="AO273" s="25">
        <f>IF(OR(Apresentação!$I$4='Base de Dados e filtragem'!AO$2,Apresentação!$I$4='Base de Dados e filtragem'!K273),1,0)</f>
        <v>1</v>
      </c>
      <c r="AP273" s="25">
        <f>IF(OR(Apresentação!$I$5='Base de Dados e filtragem'!AP$2,Apresentação!$I$5='Base de Dados e filtragem'!L273),1,0)</f>
        <v>1</v>
      </c>
      <c r="AQ273" s="25">
        <f>IF(OR(Apresentação!$I$6='Base de Dados e filtragem'!AQ$2,Apresentação!$I$6='Base de Dados e filtragem'!M273),1,0)</f>
        <v>1</v>
      </c>
      <c r="AR273" s="25">
        <v>1</v>
      </c>
      <c r="AS273" s="25">
        <v>1</v>
      </c>
      <c r="AT273" s="25">
        <v>1</v>
      </c>
      <c r="AU273" s="25">
        <v>1</v>
      </c>
      <c r="AV273" s="25">
        <v>1</v>
      </c>
      <c r="AW273" s="25">
        <v>1</v>
      </c>
      <c r="AX273" s="25">
        <v>1</v>
      </c>
      <c r="AY273" s="25">
        <v>1</v>
      </c>
      <c r="AZ273" s="25">
        <v>1</v>
      </c>
      <c r="BA273" s="25">
        <v>1</v>
      </c>
      <c r="BB273" s="25">
        <v>1</v>
      </c>
      <c r="BC273" s="25">
        <v>1</v>
      </c>
      <c r="BD273" s="25">
        <v>1</v>
      </c>
    </row>
    <row r="274" spans="27:56" x14ac:dyDescent="0.25">
      <c r="AA274" s="68" t="str">
        <f t="shared" si="17"/>
        <v>Fotos\\.jpg</v>
      </c>
      <c r="AB274" s="53">
        <f t="shared" si="18"/>
        <v>3.6496350364963502E-3</v>
      </c>
      <c r="AC274" s="25">
        <f t="shared" si="19"/>
        <v>274</v>
      </c>
      <c r="AD274" s="51">
        <f t="shared" si="20"/>
        <v>1</v>
      </c>
      <c r="AE274" s="25">
        <v>1</v>
      </c>
      <c r="AF274" s="25">
        <v>1</v>
      </c>
      <c r="AG274" s="25">
        <v>1</v>
      </c>
      <c r="AH274" s="25">
        <v>1</v>
      </c>
      <c r="AI274" s="25">
        <f>IF(OR(Apresentação!$E$3='Base de Dados e filtragem'!AI$2,Apresentação!$E$3='Base de Dados e filtragem'!E274),1,0)</f>
        <v>1</v>
      </c>
      <c r="AJ274" s="25">
        <f>IF(OR(Apresentação!$E$4='Base de Dados e filtragem'!AJ$2,Apresentação!$E$4='Base de Dados e filtragem'!F274),1,0)</f>
        <v>1</v>
      </c>
      <c r="AK274" s="25">
        <f>IF(OR(Apresentação!$E$5='Base de Dados e filtragem'!AK$2,Apresentação!$E$5='Base de Dados e filtragem'!G274),1,0)</f>
        <v>1</v>
      </c>
      <c r="AL274" s="25">
        <f>IF(OR(Apresentação!$E$6='Base de Dados e filtragem'!AL$2,Apresentação!$E$6='Base de Dados e filtragem'!H274),1,0)</f>
        <v>1</v>
      </c>
      <c r="AM274" s="25">
        <f>IF(OR(Apresentação!$I$2='Base de Dados e filtragem'!AM$2,Apresentação!$I$2='Base de Dados e filtragem'!I274),1,0)</f>
        <v>1</v>
      </c>
      <c r="AN274" s="25">
        <f>IF(OR(Apresentação!$I$3='Base de Dados e filtragem'!AN$2,Apresentação!$I$3='Base de Dados e filtragem'!J274),1,0)</f>
        <v>1</v>
      </c>
      <c r="AO274" s="25">
        <f>IF(OR(Apresentação!$I$4='Base de Dados e filtragem'!AO$2,Apresentação!$I$4='Base de Dados e filtragem'!K274),1,0)</f>
        <v>1</v>
      </c>
      <c r="AP274" s="25">
        <f>IF(OR(Apresentação!$I$5='Base de Dados e filtragem'!AP$2,Apresentação!$I$5='Base de Dados e filtragem'!L274),1,0)</f>
        <v>1</v>
      </c>
      <c r="AQ274" s="25">
        <f>IF(OR(Apresentação!$I$6='Base de Dados e filtragem'!AQ$2,Apresentação!$I$6='Base de Dados e filtragem'!M274),1,0)</f>
        <v>1</v>
      </c>
      <c r="AR274" s="25">
        <v>1</v>
      </c>
      <c r="AS274" s="25">
        <v>1</v>
      </c>
      <c r="AT274" s="25">
        <v>1</v>
      </c>
      <c r="AU274" s="25">
        <v>1</v>
      </c>
      <c r="AV274" s="25">
        <v>1</v>
      </c>
      <c r="AW274" s="25">
        <v>1</v>
      </c>
      <c r="AX274" s="25">
        <v>1</v>
      </c>
      <c r="AY274" s="25">
        <v>1</v>
      </c>
      <c r="AZ274" s="25">
        <v>1</v>
      </c>
      <c r="BA274" s="25">
        <v>1</v>
      </c>
      <c r="BB274" s="25">
        <v>1</v>
      </c>
      <c r="BC274" s="25">
        <v>1</v>
      </c>
      <c r="BD274" s="25">
        <v>1</v>
      </c>
    </row>
    <row r="275" spans="27:56" x14ac:dyDescent="0.25">
      <c r="AA275" s="68" t="str">
        <f t="shared" si="17"/>
        <v>Fotos\\.jpg</v>
      </c>
      <c r="AB275" s="53">
        <f t="shared" si="18"/>
        <v>3.6363636363636364E-3</v>
      </c>
      <c r="AC275" s="25">
        <f t="shared" si="19"/>
        <v>275</v>
      </c>
      <c r="AD275" s="51">
        <f t="shared" si="20"/>
        <v>1</v>
      </c>
      <c r="AE275" s="25">
        <v>1</v>
      </c>
      <c r="AF275" s="25">
        <v>1</v>
      </c>
      <c r="AG275" s="25">
        <v>1</v>
      </c>
      <c r="AH275" s="25">
        <v>1</v>
      </c>
      <c r="AI275" s="25">
        <f>IF(OR(Apresentação!$E$3='Base de Dados e filtragem'!AI$2,Apresentação!$E$3='Base de Dados e filtragem'!E275),1,0)</f>
        <v>1</v>
      </c>
      <c r="AJ275" s="25">
        <f>IF(OR(Apresentação!$E$4='Base de Dados e filtragem'!AJ$2,Apresentação!$E$4='Base de Dados e filtragem'!F275),1,0)</f>
        <v>1</v>
      </c>
      <c r="AK275" s="25">
        <f>IF(OR(Apresentação!$E$5='Base de Dados e filtragem'!AK$2,Apresentação!$E$5='Base de Dados e filtragem'!G275),1,0)</f>
        <v>1</v>
      </c>
      <c r="AL275" s="25">
        <f>IF(OR(Apresentação!$E$6='Base de Dados e filtragem'!AL$2,Apresentação!$E$6='Base de Dados e filtragem'!H275),1,0)</f>
        <v>1</v>
      </c>
      <c r="AM275" s="25">
        <f>IF(OR(Apresentação!$I$2='Base de Dados e filtragem'!AM$2,Apresentação!$I$2='Base de Dados e filtragem'!I275),1,0)</f>
        <v>1</v>
      </c>
      <c r="AN275" s="25">
        <f>IF(OR(Apresentação!$I$3='Base de Dados e filtragem'!AN$2,Apresentação!$I$3='Base de Dados e filtragem'!J275),1,0)</f>
        <v>1</v>
      </c>
      <c r="AO275" s="25">
        <f>IF(OR(Apresentação!$I$4='Base de Dados e filtragem'!AO$2,Apresentação!$I$4='Base de Dados e filtragem'!K275),1,0)</f>
        <v>1</v>
      </c>
      <c r="AP275" s="25">
        <f>IF(OR(Apresentação!$I$5='Base de Dados e filtragem'!AP$2,Apresentação!$I$5='Base de Dados e filtragem'!L275),1,0)</f>
        <v>1</v>
      </c>
      <c r="AQ275" s="25">
        <f>IF(OR(Apresentação!$I$6='Base de Dados e filtragem'!AQ$2,Apresentação!$I$6='Base de Dados e filtragem'!M275),1,0)</f>
        <v>1</v>
      </c>
      <c r="AR275" s="25">
        <v>1</v>
      </c>
      <c r="AS275" s="25">
        <v>1</v>
      </c>
      <c r="AT275" s="25">
        <v>1</v>
      </c>
      <c r="AU275" s="25">
        <v>1</v>
      </c>
      <c r="AV275" s="25">
        <v>1</v>
      </c>
      <c r="AW275" s="25">
        <v>1</v>
      </c>
      <c r="AX275" s="25">
        <v>1</v>
      </c>
      <c r="AY275" s="25">
        <v>1</v>
      </c>
      <c r="AZ275" s="25">
        <v>1</v>
      </c>
      <c r="BA275" s="25">
        <v>1</v>
      </c>
      <c r="BB275" s="25">
        <v>1</v>
      </c>
      <c r="BC275" s="25">
        <v>1</v>
      </c>
      <c r="BD275" s="25">
        <v>1</v>
      </c>
    </row>
    <row r="276" spans="27:56" x14ac:dyDescent="0.25">
      <c r="AA276" s="68" t="str">
        <f t="shared" si="17"/>
        <v>Fotos\\.jpg</v>
      </c>
      <c r="AB276" s="53">
        <f t="shared" si="18"/>
        <v>3.6231884057971015E-3</v>
      </c>
      <c r="AC276" s="25">
        <f t="shared" si="19"/>
        <v>276</v>
      </c>
      <c r="AD276" s="51">
        <f t="shared" si="20"/>
        <v>1</v>
      </c>
      <c r="AE276" s="25">
        <v>1</v>
      </c>
      <c r="AF276" s="25">
        <v>1</v>
      </c>
      <c r="AG276" s="25">
        <v>1</v>
      </c>
      <c r="AH276" s="25">
        <v>1</v>
      </c>
      <c r="AI276" s="25">
        <f>IF(OR(Apresentação!$E$3='Base de Dados e filtragem'!AI$2,Apresentação!$E$3='Base de Dados e filtragem'!E276),1,0)</f>
        <v>1</v>
      </c>
      <c r="AJ276" s="25">
        <f>IF(OR(Apresentação!$E$4='Base de Dados e filtragem'!AJ$2,Apresentação!$E$4='Base de Dados e filtragem'!F276),1,0)</f>
        <v>1</v>
      </c>
      <c r="AK276" s="25">
        <f>IF(OR(Apresentação!$E$5='Base de Dados e filtragem'!AK$2,Apresentação!$E$5='Base de Dados e filtragem'!G276),1,0)</f>
        <v>1</v>
      </c>
      <c r="AL276" s="25">
        <f>IF(OR(Apresentação!$E$6='Base de Dados e filtragem'!AL$2,Apresentação!$E$6='Base de Dados e filtragem'!H276),1,0)</f>
        <v>1</v>
      </c>
      <c r="AM276" s="25">
        <f>IF(OR(Apresentação!$I$2='Base de Dados e filtragem'!AM$2,Apresentação!$I$2='Base de Dados e filtragem'!I276),1,0)</f>
        <v>1</v>
      </c>
      <c r="AN276" s="25">
        <f>IF(OR(Apresentação!$I$3='Base de Dados e filtragem'!AN$2,Apresentação!$I$3='Base de Dados e filtragem'!J276),1,0)</f>
        <v>1</v>
      </c>
      <c r="AO276" s="25">
        <f>IF(OR(Apresentação!$I$4='Base de Dados e filtragem'!AO$2,Apresentação!$I$4='Base de Dados e filtragem'!K276),1,0)</f>
        <v>1</v>
      </c>
      <c r="AP276" s="25">
        <f>IF(OR(Apresentação!$I$5='Base de Dados e filtragem'!AP$2,Apresentação!$I$5='Base de Dados e filtragem'!L276),1,0)</f>
        <v>1</v>
      </c>
      <c r="AQ276" s="25">
        <f>IF(OR(Apresentação!$I$6='Base de Dados e filtragem'!AQ$2,Apresentação!$I$6='Base de Dados e filtragem'!M276),1,0)</f>
        <v>1</v>
      </c>
      <c r="AR276" s="25">
        <v>1</v>
      </c>
      <c r="AS276" s="25">
        <v>1</v>
      </c>
      <c r="AT276" s="25">
        <v>1</v>
      </c>
      <c r="AU276" s="25">
        <v>1</v>
      </c>
      <c r="AV276" s="25">
        <v>1</v>
      </c>
      <c r="AW276" s="25">
        <v>1</v>
      </c>
      <c r="AX276" s="25">
        <v>1</v>
      </c>
      <c r="AY276" s="25">
        <v>1</v>
      </c>
      <c r="AZ276" s="25">
        <v>1</v>
      </c>
      <c r="BA276" s="25">
        <v>1</v>
      </c>
      <c r="BB276" s="25">
        <v>1</v>
      </c>
      <c r="BC276" s="25">
        <v>1</v>
      </c>
      <c r="BD276" s="25">
        <v>1</v>
      </c>
    </row>
    <row r="277" spans="27:56" x14ac:dyDescent="0.25">
      <c r="AA277" s="68" t="str">
        <f t="shared" si="17"/>
        <v>Fotos\\.jpg</v>
      </c>
      <c r="AB277" s="53">
        <f t="shared" si="18"/>
        <v>3.6101083032490976E-3</v>
      </c>
      <c r="AC277" s="25">
        <f t="shared" si="19"/>
        <v>277</v>
      </c>
      <c r="AD277" s="51">
        <f t="shared" si="20"/>
        <v>1</v>
      </c>
      <c r="AE277" s="25">
        <v>1</v>
      </c>
      <c r="AF277" s="25">
        <v>1</v>
      </c>
      <c r="AG277" s="25">
        <v>1</v>
      </c>
      <c r="AH277" s="25">
        <v>1</v>
      </c>
      <c r="AI277" s="25">
        <f>IF(OR(Apresentação!$E$3='Base de Dados e filtragem'!AI$2,Apresentação!$E$3='Base de Dados e filtragem'!E277),1,0)</f>
        <v>1</v>
      </c>
      <c r="AJ277" s="25">
        <f>IF(OR(Apresentação!$E$4='Base de Dados e filtragem'!AJ$2,Apresentação!$E$4='Base de Dados e filtragem'!F277),1,0)</f>
        <v>1</v>
      </c>
      <c r="AK277" s="25">
        <f>IF(OR(Apresentação!$E$5='Base de Dados e filtragem'!AK$2,Apresentação!$E$5='Base de Dados e filtragem'!G277),1,0)</f>
        <v>1</v>
      </c>
      <c r="AL277" s="25">
        <f>IF(OR(Apresentação!$E$6='Base de Dados e filtragem'!AL$2,Apresentação!$E$6='Base de Dados e filtragem'!H277),1,0)</f>
        <v>1</v>
      </c>
      <c r="AM277" s="25">
        <f>IF(OR(Apresentação!$I$2='Base de Dados e filtragem'!AM$2,Apresentação!$I$2='Base de Dados e filtragem'!I277),1,0)</f>
        <v>1</v>
      </c>
      <c r="AN277" s="25">
        <f>IF(OR(Apresentação!$I$3='Base de Dados e filtragem'!AN$2,Apresentação!$I$3='Base de Dados e filtragem'!J277),1,0)</f>
        <v>1</v>
      </c>
      <c r="AO277" s="25">
        <f>IF(OR(Apresentação!$I$4='Base de Dados e filtragem'!AO$2,Apresentação!$I$4='Base de Dados e filtragem'!K277),1,0)</f>
        <v>1</v>
      </c>
      <c r="AP277" s="25">
        <f>IF(OR(Apresentação!$I$5='Base de Dados e filtragem'!AP$2,Apresentação!$I$5='Base de Dados e filtragem'!L277),1,0)</f>
        <v>1</v>
      </c>
      <c r="AQ277" s="25">
        <f>IF(OR(Apresentação!$I$6='Base de Dados e filtragem'!AQ$2,Apresentação!$I$6='Base de Dados e filtragem'!M277),1,0)</f>
        <v>1</v>
      </c>
      <c r="AR277" s="25">
        <v>1</v>
      </c>
      <c r="AS277" s="25">
        <v>1</v>
      </c>
      <c r="AT277" s="25">
        <v>1</v>
      </c>
      <c r="AU277" s="25">
        <v>1</v>
      </c>
      <c r="AV277" s="25">
        <v>1</v>
      </c>
      <c r="AW277" s="25">
        <v>1</v>
      </c>
      <c r="AX277" s="25">
        <v>1</v>
      </c>
      <c r="AY277" s="25">
        <v>1</v>
      </c>
      <c r="AZ277" s="25">
        <v>1</v>
      </c>
      <c r="BA277" s="25">
        <v>1</v>
      </c>
      <c r="BB277" s="25">
        <v>1</v>
      </c>
      <c r="BC277" s="25">
        <v>1</v>
      </c>
      <c r="BD277" s="25">
        <v>1</v>
      </c>
    </row>
    <row r="278" spans="27:56" x14ac:dyDescent="0.25">
      <c r="AA278" s="68" t="str">
        <f t="shared" si="17"/>
        <v>Fotos\\.jpg</v>
      </c>
      <c r="AB278" s="53">
        <f t="shared" si="18"/>
        <v>3.5971223021582736E-3</v>
      </c>
      <c r="AC278" s="25">
        <f t="shared" si="19"/>
        <v>278</v>
      </c>
      <c r="AD278" s="51">
        <f t="shared" si="20"/>
        <v>1</v>
      </c>
      <c r="AE278" s="25">
        <v>1</v>
      </c>
      <c r="AF278" s="25">
        <v>1</v>
      </c>
      <c r="AG278" s="25">
        <v>1</v>
      </c>
      <c r="AH278" s="25">
        <v>1</v>
      </c>
      <c r="AI278" s="25">
        <f>IF(OR(Apresentação!$E$3='Base de Dados e filtragem'!AI$2,Apresentação!$E$3='Base de Dados e filtragem'!E278),1,0)</f>
        <v>1</v>
      </c>
      <c r="AJ278" s="25">
        <f>IF(OR(Apresentação!$E$4='Base de Dados e filtragem'!AJ$2,Apresentação!$E$4='Base de Dados e filtragem'!F278),1,0)</f>
        <v>1</v>
      </c>
      <c r="AK278" s="25">
        <f>IF(OR(Apresentação!$E$5='Base de Dados e filtragem'!AK$2,Apresentação!$E$5='Base de Dados e filtragem'!G278),1,0)</f>
        <v>1</v>
      </c>
      <c r="AL278" s="25">
        <f>IF(OR(Apresentação!$E$6='Base de Dados e filtragem'!AL$2,Apresentação!$E$6='Base de Dados e filtragem'!H278),1,0)</f>
        <v>1</v>
      </c>
      <c r="AM278" s="25">
        <f>IF(OR(Apresentação!$I$2='Base de Dados e filtragem'!AM$2,Apresentação!$I$2='Base de Dados e filtragem'!I278),1,0)</f>
        <v>1</v>
      </c>
      <c r="AN278" s="25">
        <f>IF(OR(Apresentação!$I$3='Base de Dados e filtragem'!AN$2,Apresentação!$I$3='Base de Dados e filtragem'!J278),1,0)</f>
        <v>1</v>
      </c>
      <c r="AO278" s="25">
        <f>IF(OR(Apresentação!$I$4='Base de Dados e filtragem'!AO$2,Apresentação!$I$4='Base de Dados e filtragem'!K278),1,0)</f>
        <v>1</v>
      </c>
      <c r="AP278" s="25">
        <f>IF(OR(Apresentação!$I$5='Base de Dados e filtragem'!AP$2,Apresentação!$I$5='Base de Dados e filtragem'!L278),1,0)</f>
        <v>1</v>
      </c>
      <c r="AQ278" s="25">
        <f>IF(OR(Apresentação!$I$6='Base de Dados e filtragem'!AQ$2,Apresentação!$I$6='Base de Dados e filtragem'!M278),1,0)</f>
        <v>1</v>
      </c>
      <c r="AR278" s="25">
        <v>1</v>
      </c>
      <c r="AS278" s="25">
        <v>1</v>
      </c>
      <c r="AT278" s="25">
        <v>1</v>
      </c>
      <c r="AU278" s="25">
        <v>1</v>
      </c>
      <c r="AV278" s="25">
        <v>1</v>
      </c>
      <c r="AW278" s="25">
        <v>1</v>
      </c>
      <c r="AX278" s="25">
        <v>1</v>
      </c>
      <c r="AY278" s="25">
        <v>1</v>
      </c>
      <c r="AZ278" s="25">
        <v>1</v>
      </c>
      <c r="BA278" s="25">
        <v>1</v>
      </c>
      <c r="BB278" s="25">
        <v>1</v>
      </c>
      <c r="BC278" s="25">
        <v>1</v>
      </c>
      <c r="BD278" s="25">
        <v>1</v>
      </c>
    </row>
    <row r="279" spans="27:56" x14ac:dyDescent="0.25">
      <c r="AA279" s="68" t="str">
        <f t="shared" si="17"/>
        <v>Fotos\\.jpg</v>
      </c>
      <c r="AB279" s="53">
        <f t="shared" si="18"/>
        <v>3.5842293906810036E-3</v>
      </c>
      <c r="AC279" s="25">
        <f t="shared" si="19"/>
        <v>279</v>
      </c>
      <c r="AD279" s="51">
        <f t="shared" si="20"/>
        <v>1</v>
      </c>
      <c r="AE279" s="25">
        <v>1</v>
      </c>
      <c r="AF279" s="25">
        <v>1</v>
      </c>
      <c r="AG279" s="25">
        <v>1</v>
      </c>
      <c r="AH279" s="25">
        <v>1</v>
      </c>
      <c r="AI279" s="25">
        <f>IF(OR(Apresentação!$E$3='Base de Dados e filtragem'!AI$2,Apresentação!$E$3='Base de Dados e filtragem'!E279),1,0)</f>
        <v>1</v>
      </c>
      <c r="AJ279" s="25">
        <f>IF(OR(Apresentação!$E$4='Base de Dados e filtragem'!AJ$2,Apresentação!$E$4='Base de Dados e filtragem'!F279),1,0)</f>
        <v>1</v>
      </c>
      <c r="AK279" s="25">
        <f>IF(OR(Apresentação!$E$5='Base de Dados e filtragem'!AK$2,Apresentação!$E$5='Base de Dados e filtragem'!G279),1,0)</f>
        <v>1</v>
      </c>
      <c r="AL279" s="25">
        <f>IF(OR(Apresentação!$E$6='Base de Dados e filtragem'!AL$2,Apresentação!$E$6='Base de Dados e filtragem'!H279),1,0)</f>
        <v>1</v>
      </c>
      <c r="AM279" s="25">
        <f>IF(OR(Apresentação!$I$2='Base de Dados e filtragem'!AM$2,Apresentação!$I$2='Base de Dados e filtragem'!I279),1,0)</f>
        <v>1</v>
      </c>
      <c r="AN279" s="25">
        <f>IF(OR(Apresentação!$I$3='Base de Dados e filtragem'!AN$2,Apresentação!$I$3='Base de Dados e filtragem'!J279),1,0)</f>
        <v>1</v>
      </c>
      <c r="AO279" s="25">
        <f>IF(OR(Apresentação!$I$4='Base de Dados e filtragem'!AO$2,Apresentação!$I$4='Base de Dados e filtragem'!K279),1,0)</f>
        <v>1</v>
      </c>
      <c r="AP279" s="25">
        <f>IF(OR(Apresentação!$I$5='Base de Dados e filtragem'!AP$2,Apresentação!$I$5='Base de Dados e filtragem'!L279),1,0)</f>
        <v>1</v>
      </c>
      <c r="AQ279" s="25">
        <f>IF(OR(Apresentação!$I$6='Base de Dados e filtragem'!AQ$2,Apresentação!$I$6='Base de Dados e filtragem'!M279),1,0)</f>
        <v>1</v>
      </c>
      <c r="AR279" s="25">
        <v>1</v>
      </c>
      <c r="AS279" s="25">
        <v>1</v>
      </c>
      <c r="AT279" s="25">
        <v>1</v>
      </c>
      <c r="AU279" s="25">
        <v>1</v>
      </c>
      <c r="AV279" s="25">
        <v>1</v>
      </c>
      <c r="AW279" s="25">
        <v>1</v>
      </c>
      <c r="AX279" s="25">
        <v>1</v>
      </c>
      <c r="AY279" s="25">
        <v>1</v>
      </c>
      <c r="AZ279" s="25">
        <v>1</v>
      </c>
      <c r="BA279" s="25">
        <v>1</v>
      </c>
      <c r="BB279" s="25">
        <v>1</v>
      </c>
      <c r="BC279" s="25">
        <v>1</v>
      </c>
      <c r="BD279" s="25">
        <v>1</v>
      </c>
    </row>
    <row r="280" spans="27:56" x14ac:dyDescent="0.25">
      <c r="AA280" s="68" t="str">
        <f t="shared" si="17"/>
        <v>Fotos\\.jpg</v>
      </c>
      <c r="AB280" s="53">
        <f t="shared" si="18"/>
        <v>3.5714285714285713E-3</v>
      </c>
      <c r="AC280" s="25">
        <f t="shared" si="19"/>
        <v>280</v>
      </c>
      <c r="AD280" s="51">
        <f t="shared" si="20"/>
        <v>1</v>
      </c>
      <c r="AE280" s="25">
        <v>1</v>
      </c>
      <c r="AF280" s="25">
        <v>1</v>
      </c>
      <c r="AG280" s="25">
        <v>1</v>
      </c>
      <c r="AH280" s="25">
        <v>1</v>
      </c>
      <c r="AI280" s="25">
        <f>IF(OR(Apresentação!$E$3='Base de Dados e filtragem'!AI$2,Apresentação!$E$3='Base de Dados e filtragem'!E280),1,0)</f>
        <v>1</v>
      </c>
      <c r="AJ280" s="25">
        <f>IF(OR(Apresentação!$E$4='Base de Dados e filtragem'!AJ$2,Apresentação!$E$4='Base de Dados e filtragem'!F280),1,0)</f>
        <v>1</v>
      </c>
      <c r="AK280" s="25">
        <f>IF(OR(Apresentação!$E$5='Base de Dados e filtragem'!AK$2,Apresentação!$E$5='Base de Dados e filtragem'!G280),1,0)</f>
        <v>1</v>
      </c>
      <c r="AL280" s="25">
        <f>IF(OR(Apresentação!$E$6='Base de Dados e filtragem'!AL$2,Apresentação!$E$6='Base de Dados e filtragem'!H280),1,0)</f>
        <v>1</v>
      </c>
      <c r="AM280" s="25">
        <f>IF(OR(Apresentação!$I$2='Base de Dados e filtragem'!AM$2,Apresentação!$I$2='Base de Dados e filtragem'!I280),1,0)</f>
        <v>1</v>
      </c>
      <c r="AN280" s="25">
        <f>IF(OR(Apresentação!$I$3='Base de Dados e filtragem'!AN$2,Apresentação!$I$3='Base de Dados e filtragem'!J280),1,0)</f>
        <v>1</v>
      </c>
      <c r="AO280" s="25">
        <f>IF(OR(Apresentação!$I$4='Base de Dados e filtragem'!AO$2,Apresentação!$I$4='Base de Dados e filtragem'!K280),1,0)</f>
        <v>1</v>
      </c>
      <c r="AP280" s="25">
        <f>IF(OR(Apresentação!$I$5='Base de Dados e filtragem'!AP$2,Apresentação!$I$5='Base de Dados e filtragem'!L280),1,0)</f>
        <v>1</v>
      </c>
      <c r="AQ280" s="25">
        <f>IF(OR(Apresentação!$I$6='Base de Dados e filtragem'!AQ$2,Apresentação!$I$6='Base de Dados e filtragem'!M280),1,0)</f>
        <v>1</v>
      </c>
      <c r="AR280" s="25">
        <v>1</v>
      </c>
      <c r="AS280" s="25">
        <v>1</v>
      </c>
      <c r="AT280" s="25">
        <v>1</v>
      </c>
      <c r="AU280" s="25">
        <v>1</v>
      </c>
      <c r="AV280" s="25">
        <v>1</v>
      </c>
      <c r="AW280" s="25">
        <v>1</v>
      </c>
      <c r="AX280" s="25">
        <v>1</v>
      </c>
      <c r="AY280" s="25">
        <v>1</v>
      </c>
      <c r="AZ280" s="25">
        <v>1</v>
      </c>
      <c r="BA280" s="25">
        <v>1</v>
      </c>
      <c r="BB280" s="25">
        <v>1</v>
      </c>
      <c r="BC280" s="25">
        <v>1</v>
      </c>
      <c r="BD280" s="25">
        <v>1</v>
      </c>
    </row>
    <row r="281" spans="27:56" x14ac:dyDescent="0.25">
      <c r="AA281" s="68" t="str">
        <f t="shared" si="17"/>
        <v>Fotos\\.jpg</v>
      </c>
      <c r="AB281" s="53">
        <f t="shared" si="18"/>
        <v>3.5587188612099642E-3</v>
      </c>
      <c r="AC281" s="25">
        <f t="shared" si="19"/>
        <v>281</v>
      </c>
      <c r="AD281" s="51">
        <f t="shared" si="20"/>
        <v>1</v>
      </c>
      <c r="AE281" s="25">
        <v>1</v>
      </c>
      <c r="AF281" s="25">
        <v>1</v>
      </c>
      <c r="AG281" s="25">
        <v>1</v>
      </c>
      <c r="AH281" s="25">
        <v>1</v>
      </c>
      <c r="AI281" s="25">
        <f>IF(OR(Apresentação!$E$3='Base de Dados e filtragem'!AI$2,Apresentação!$E$3='Base de Dados e filtragem'!E281),1,0)</f>
        <v>1</v>
      </c>
      <c r="AJ281" s="25">
        <f>IF(OR(Apresentação!$E$4='Base de Dados e filtragem'!AJ$2,Apresentação!$E$4='Base de Dados e filtragem'!F281),1,0)</f>
        <v>1</v>
      </c>
      <c r="AK281" s="25">
        <f>IF(OR(Apresentação!$E$5='Base de Dados e filtragem'!AK$2,Apresentação!$E$5='Base de Dados e filtragem'!G281),1,0)</f>
        <v>1</v>
      </c>
      <c r="AL281" s="25">
        <f>IF(OR(Apresentação!$E$6='Base de Dados e filtragem'!AL$2,Apresentação!$E$6='Base de Dados e filtragem'!H281),1,0)</f>
        <v>1</v>
      </c>
      <c r="AM281" s="25">
        <f>IF(OR(Apresentação!$I$2='Base de Dados e filtragem'!AM$2,Apresentação!$I$2='Base de Dados e filtragem'!I281),1,0)</f>
        <v>1</v>
      </c>
      <c r="AN281" s="25">
        <f>IF(OR(Apresentação!$I$3='Base de Dados e filtragem'!AN$2,Apresentação!$I$3='Base de Dados e filtragem'!J281),1,0)</f>
        <v>1</v>
      </c>
      <c r="AO281" s="25">
        <f>IF(OR(Apresentação!$I$4='Base de Dados e filtragem'!AO$2,Apresentação!$I$4='Base de Dados e filtragem'!K281),1,0)</f>
        <v>1</v>
      </c>
      <c r="AP281" s="25">
        <f>IF(OR(Apresentação!$I$5='Base de Dados e filtragem'!AP$2,Apresentação!$I$5='Base de Dados e filtragem'!L281),1,0)</f>
        <v>1</v>
      </c>
      <c r="AQ281" s="25">
        <f>IF(OR(Apresentação!$I$6='Base de Dados e filtragem'!AQ$2,Apresentação!$I$6='Base de Dados e filtragem'!M281),1,0)</f>
        <v>1</v>
      </c>
      <c r="AR281" s="25">
        <v>1</v>
      </c>
      <c r="AS281" s="25">
        <v>1</v>
      </c>
      <c r="AT281" s="25">
        <v>1</v>
      </c>
      <c r="AU281" s="25">
        <v>1</v>
      </c>
      <c r="AV281" s="25">
        <v>1</v>
      </c>
      <c r="AW281" s="25">
        <v>1</v>
      </c>
      <c r="AX281" s="25">
        <v>1</v>
      </c>
      <c r="AY281" s="25">
        <v>1</v>
      </c>
      <c r="AZ281" s="25">
        <v>1</v>
      </c>
      <c r="BA281" s="25">
        <v>1</v>
      </c>
      <c r="BB281" s="25">
        <v>1</v>
      </c>
      <c r="BC281" s="25">
        <v>1</v>
      </c>
      <c r="BD281" s="25">
        <v>1</v>
      </c>
    </row>
    <row r="282" spans="27:56" x14ac:dyDescent="0.25">
      <c r="AA282" s="68" t="str">
        <f t="shared" si="17"/>
        <v>Fotos\\.jpg</v>
      </c>
      <c r="AB282" s="53">
        <f t="shared" si="18"/>
        <v>3.5460992907801418E-3</v>
      </c>
      <c r="AC282" s="25">
        <f t="shared" si="19"/>
        <v>282</v>
      </c>
      <c r="AD282" s="51">
        <f t="shared" si="20"/>
        <v>1</v>
      </c>
      <c r="AE282" s="25">
        <v>1</v>
      </c>
      <c r="AF282" s="25">
        <v>1</v>
      </c>
      <c r="AG282" s="25">
        <v>1</v>
      </c>
      <c r="AH282" s="25">
        <v>1</v>
      </c>
      <c r="AI282" s="25">
        <f>IF(OR(Apresentação!$E$3='Base de Dados e filtragem'!AI$2,Apresentação!$E$3='Base de Dados e filtragem'!E282),1,0)</f>
        <v>1</v>
      </c>
      <c r="AJ282" s="25">
        <f>IF(OR(Apresentação!$E$4='Base de Dados e filtragem'!AJ$2,Apresentação!$E$4='Base de Dados e filtragem'!F282),1,0)</f>
        <v>1</v>
      </c>
      <c r="AK282" s="25">
        <f>IF(OR(Apresentação!$E$5='Base de Dados e filtragem'!AK$2,Apresentação!$E$5='Base de Dados e filtragem'!G282),1,0)</f>
        <v>1</v>
      </c>
      <c r="AL282" s="25">
        <f>IF(OR(Apresentação!$E$6='Base de Dados e filtragem'!AL$2,Apresentação!$E$6='Base de Dados e filtragem'!H282),1,0)</f>
        <v>1</v>
      </c>
      <c r="AM282" s="25">
        <f>IF(OR(Apresentação!$I$2='Base de Dados e filtragem'!AM$2,Apresentação!$I$2='Base de Dados e filtragem'!I282),1,0)</f>
        <v>1</v>
      </c>
      <c r="AN282" s="25">
        <f>IF(OR(Apresentação!$I$3='Base de Dados e filtragem'!AN$2,Apresentação!$I$3='Base de Dados e filtragem'!J282),1,0)</f>
        <v>1</v>
      </c>
      <c r="AO282" s="25">
        <f>IF(OR(Apresentação!$I$4='Base de Dados e filtragem'!AO$2,Apresentação!$I$4='Base de Dados e filtragem'!K282),1,0)</f>
        <v>1</v>
      </c>
      <c r="AP282" s="25">
        <f>IF(OR(Apresentação!$I$5='Base de Dados e filtragem'!AP$2,Apresentação!$I$5='Base de Dados e filtragem'!L282),1,0)</f>
        <v>1</v>
      </c>
      <c r="AQ282" s="25">
        <f>IF(OR(Apresentação!$I$6='Base de Dados e filtragem'!AQ$2,Apresentação!$I$6='Base de Dados e filtragem'!M282),1,0)</f>
        <v>1</v>
      </c>
      <c r="AR282" s="25">
        <v>1</v>
      </c>
      <c r="AS282" s="25">
        <v>1</v>
      </c>
      <c r="AT282" s="25">
        <v>1</v>
      </c>
      <c r="AU282" s="25">
        <v>1</v>
      </c>
      <c r="AV282" s="25">
        <v>1</v>
      </c>
      <c r="AW282" s="25">
        <v>1</v>
      </c>
      <c r="AX282" s="25">
        <v>1</v>
      </c>
      <c r="AY282" s="25">
        <v>1</v>
      </c>
      <c r="AZ282" s="25">
        <v>1</v>
      </c>
      <c r="BA282" s="25">
        <v>1</v>
      </c>
      <c r="BB282" s="25">
        <v>1</v>
      </c>
      <c r="BC282" s="25">
        <v>1</v>
      </c>
      <c r="BD282" s="25">
        <v>1</v>
      </c>
    </row>
    <row r="283" spans="27:56" x14ac:dyDescent="0.25">
      <c r="AA283" s="68" t="str">
        <f t="shared" si="17"/>
        <v>Fotos\\.jpg</v>
      </c>
      <c r="AB283" s="53">
        <f t="shared" si="18"/>
        <v>3.5335689045936395E-3</v>
      </c>
      <c r="AC283" s="25">
        <f t="shared" si="19"/>
        <v>283</v>
      </c>
      <c r="AD283" s="51">
        <f t="shared" si="20"/>
        <v>1</v>
      </c>
      <c r="AE283" s="25">
        <v>1</v>
      </c>
      <c r="AF283" s="25">
        <v>1</v>
      </c>
      <c r="AG283" s="25">
        <v>1</v>
      </c>
      <c r="AH283" s="25">
        <v>1</v>
      </c>
      <c r="AI283" s="25">
        <f>IF(OR(Apresentação!$E$3='Base de Dados e filtragem'!AI$2,Apresentação!$E$3='Base de Dados e filtragem'!E283),1,0)</f>
        <v>1</v>
      </c>
      <c r="AJ283" s="25">
        <f>IF(OR(Apresentação!$E$4='Base de Dados e filtragem'!AJ$2,Apresentação!$E$4='Base de Dados e filtragem'!F283),1,0)</f>
        <v>1</v>
      </c>
      <c r="AK283" s="25">
        <f>IF(OR(Apresentação!$E$5='Base de Dados e filtragem'!AK$2,Apresentação!$E$5='Base de Dados e filtragem'!G283),1,0)</f>
        <v>1</v>
      </c>
      <c r="AL283" s="25">
        <f>IF(OR(Apresentação!$E$6='Base de Dados e filtragem'!AL$2,Apresentação!$E$6='Base de Dados e filtragem'!H283),1,0)</f>
        <v>1</v>
      </c>
      <c r="AM283" s="25">
        <f>IF(OR(Apresentação!$I$2='Base de Dados e filtragem'!AM$2,Apresentação!$I$2='Base de Dados e filtragem'!I283),1,0)</f>
        <v>1</v>
      </c>
      <c r="AN283" s="25">
        <f>IF(OR(Apresentação!$I$3='Base de Dados e filtragem'!AN$2,Apresentação!$I$3='Base de Dados e filtragem'!J283),1,0)</f>
        <v>1</v>
      </c>
      <c r="AO283" s="25">
        <f>IF(OR(Apresentação!$I$4='Base de Dados e filtragem'!AO$2,Apresentação!$I$4='Base de Dados e filtragem'!K283),1,0)</f>
        <v>1</v>
      </c>
      <c r="AP283" s="25">
        <f>IF(OR(Apresentação!$I$5='Base de Dados e filtragem'!AP$2,Apresentação!$I$5='Base de Dados e filtragem'!L283),1,0)</f>
        <v>1</v>
      </c>
      <c r="AQ283" s="25">
        <f>IF(OR(Apresentação!$I$6='Base de Dados e filtragem'!AQ$2,Apresentação!$I$6='Base de Dados e filtragem'!M283),1,0)</f>
        <v>1</v>
      </c>
      <c r="AR283" s="25">
        <v>1</v>
      </c>
      <c r="AS283" s="25">
        <v>1</v>
      </c>
      <c r="AT283" s="25">
        <v>1</v>
      </c>
      <c r="AU283" s="25">
        <v>1</v>
      </c>
      <c r="AV283" s="25">
        <v>1</v>
      </c>
      <c r="AW283" s="25">
        <v>1</v>
      </c>
      <c r="AX283" s="25">
        <v>1</v>
      </c>
      <c r="AY283" s="25">
        <v>1</v>
      </c>
      <c r="AZ283" s="25">
        <v>1</v>
      </c>
      <c r="BA283" s="25">
        <v>1</v>
      </c>
      <c r="BB283" s="25">
        <v>1</v>
      </c>
      <c r="BC283" s="25">
        <v>1</v>
      </c>
      <c r="BD283" s="25">
        <v>1</v>
      </c>
    </row>
    <row r="284" spans="27:56" x14ac:dyDescent="0.25">
      <c r="AA284" s="68" t="str">
        <f t="shared" si="17"/>
        <v>Fotos\\.jpg</v>
      </c>
      <c r="AB284" s="53">
        <f t="shared" si="18"/>
        <v>3.5211267605633804E-3</v>
      </c>
      <c r="AC284" s="25">
        <f t="shared" si="19"/>
        <v>284</v>
      </c>
      <c r="AD284" s="51">
        <f t="shared" si="20"/>
        <v>1</v>
      </c>
      <c r="AE284" s="25">
        <v>1</v>
      </c>
      <c r="AF284" s="25">
        <v>1</v>
      </c>
      <c r="AG284" s="25">
        <v>1</v>
      </c>
      <c r="AH284" s="25">
        <v>1</v>
      </c>
      <c r="AI284" s="25">
        <f>IF(OR(Apresentação!$E$3='Base de Dados e filtragem'!AI$2,Apresentação!$E$3='Base de Dados e filtragem'!E284),1,0)</f>
        <v>1</v>
      </c>
      <c r="AJ284" s="25">
        <f>IF(OR(Apresentação!$E$4='Base de Dados e filtragem'!AJ$2,Apresentação!$E$4='Base de Dados e filtragem'!F284),1,0)</f>
        <v>1</v>
      </c>
      <c r="AK284" s="25">
        <f>IF(OR(Apresentação!$E$5='Base de Dados e filtragem'!AK$2,Apresentação!$E$5='Base de Dados e filtragem'!G284),1,0)</f>
        <v>1</v>
      </c>
      <c r="AL284" s="25">
        <f>IF(OR(Apresentação!$E$6='Base de Dados e filtragem'!AL$2,Apresentação!$E$6='Base de Dados e filtragem'!H284),1,0)</f>
        <v>1</v>
      </c>
      <c r="AM284" s="25">
        <f>IF(OR(Apresentação!$I$2='Base de Dados e filtragem'!AM$2,Apresentação!$I$2='Base de Dados e filtragem'!I284),1,0)</f>
        <v>1</v>
      </c>
      <c r="AN284" s="25">
        <f>IF(OR(Apresentação!$I$3='Base de Dados e filtragem'!AN$2,Apresentação!$I$3='Base de Dados e filtragem'!J284),1,0)</f>
        <v>1</v>
      </c>
      <c r="AO284" s="25">
        <f>IF(OR(Apresentação!$I$4='Base de Dados e filtragem'!AO$2,Apresentação!$I$4='Base de Dados e filtragem'!K284),1,0)</f>
        <v>1</v>
      </c>
      <c r="AP284" s="25">
        <f>IF(OR(Apresentação!$I$5='Base de Dados e filtragem'!AP$2,Apresentação!$I$5='Base de Dados e filtragem'!L284),1,0)</f>
        <v>1</v>
      </c>
      <c r="AQ284" s="25">
        <f>IF(OR(Apresentação!$I$6='Base de Dados e filtragem'!AQ$2,Apresentação!$I$6='Base de Dados e filtragem'!M284),1,0)</f>
        <v>1</v>
      </c>
      <c r="AR284" s="25">
        <v>1</v>
      </c>
      <c r="AS284" s="25">
        <v>1</v>
      </c>
      <c r="AT284" s="25">
        <v>1</v>
      </c>
      <c r="AU284" s="25">
        <v>1</v>
      </c>
      <c r="AV284" s="25">
        <v>1</v>
      </c>
      <c r="AW284" s="25">
        <v>1</v>
      </c>
      <c r="AX284" s="25">
        <v>1</v>
      </c>
      <c r="AY284" s="25">
        <v>1</v>
      </c>
      <c r="AZ284" s="25">
        <v>1</v>
      </c>
      <c r="BA284" s="25">
        <v>1</v>
      </c>
      <c r="BB284" s="25">
        <v>1</v>
      </c>
      <c r="BC284" s="25">
        <v>1</v>
      </c>
      <c r="BD284" s="25">
        <v>1</v>
      </c>
    </row>
    <row r="285" spans="27:56" x14ac:dyDescent="0.25">
      <c r="AA285" s="68" t="str">
        <f t="shared" si="17"/>
        <v>Fotos\\.jpg</v>
      </c>
      <c r="AB285" s="53">
        <f t="shared" si="18"/>
        <v>3.5087719298245615E-3</v>
      </c>
      <c r="AC285" s="25">
        <f t="shared" si="19"/>
        <v>285</v>
      </c>
      <c r="AD285" s="51">
        <f t="shared" si="20"/>
        <v>1</v>
      </c>
      <c r="AE285" s="25">
        <v>1</v>
      </c>
      <c r="AF285" s="25">
        <v>1</v>
      </c>
      <c r="AG285" s="25">
        <v>1</v>
      </c>
      <c r="AH285" s="25">
        <v>1</v>
      </c>
      <c r="AI285" s="25">
        <f>IF(OR(Apresentação!$E$3='Base de Dados e filtragem'!AI$2,Apresentação!$E$3='Base de Dados e filtragem'!E285),1,0)</f>
        <v>1</v>
      </c>
      <c r="AJ285" s="25">
        <f>IF(OR(Apresentação!$E$4='Base de Dados e filtragem'!AJ$2,Apresentação!$E$4='Base de Dados e filtragem'!F285),1,0)</f>
        <v>1</v>
      </c>
      <c r="AK285" s="25">
        <f>IF(OR(Apresentação!$E$5='Base de Dados e filtragem'!AK$2,Apresentação!$E$5='Base de Dados e filtragem'!G285),1,0)</f>
        <v>1</v>
      </c>
      <c r="AL285" s="25">
        <f>IF(OR(Apresentação!$E$6='Base de Dados e filtragem'!AL$2,Apresentação!$E$6='Base de Dados e filtragem'!H285),1,0)</f>
        <v>1</v>
      </c>
      <c r="AM285" s="25">
        <f>IF(OR(Apresentação!$I$2='Base de Dados e filtragem'!AM$2,Apresentação!$I$2='Base de Dados e filtragem'!I285),1,0)</f>
        <v>1</v>
      </c>
      <c r="AN285" s="25">
        <f>IF(OR(Apresentação!$I$3='Base de Dados e filtragem'!AN$2,Apresentação!$I$3='Base de Dados e filtragem'!J285),1,0)</f>
        <v>1</v>
      </c>
      <c r="AO285" s="25">
        <f>IF(OR(Apresentação!$I$4='Base de Dados e filtragem'!AO$2,Apresentação!$I$4='Base de Dados e filtragem'!K285),1,0)</f>
        <v>1</v>
      </c>
      <c r="AP285" s="25">
        <f>IF(OR(Apresentação!$I$5='Base de Dados e filtragem'!AP$2,Apresentação!$I$5='Base de Dados e filtragem'!L285),1,0)</f>
        <v>1</v>
      </c>
      <c r="AQ285" s="25">
        <f>IF(OR(Apresentação!$I$6='Base de Dados e filtragem'!AQ$2,Apresentação!$I$6='Base de Dados e filtragem'!M285),1,0)</f>
        <v>1</v>
      </c>
      <c r="AR285" s="25">
        <v>1</v>
      </c>
      <c r="AS285" s="25">
        <v>1</v>
      </c>
      <c r="AT285" s="25">
        <v>1</v>
      </c>
      <c r="AU285" s="25">
        <v>1</v>
      </c>
      <c r="AV285" s="25">
        <v>1</v>
      </c>
      <c r="AW285" s="25">
        <v>1</v>
      </c>
      <c r="AX285" s="25">
        <v>1</v>
      </c>
      <c r="AY285" s="25">
        <v>1</v>
      </c>
      <c r="AZ285" s="25">
        <v>1</v>
      </c>
      <c r="BA285" s="25">
        <v>1</v>
      </c>
      <c r="BB285" s="25">
        <v>1</v>
      </c>
      <c r="BC285" s="25">
        <v>1</v>
      </c>
      <c r="BD285" s="25">
        <v>1</v>
      </c>
    </row>
    <row r="286" spans="27:56" x14ac:dyDescent="0.25">
      <c r="AA286" s="68" t="str">
        <f t="shared" si="17"/>
        <v>Fotos\\.jpg</v>
      </c>
      <c r="AB286" s="53">
        <f t="shared" si="18"/>
        <v>3.4965034965034965E-3</v>
      </c>
      <c r="AC286" s="25">
        <f t="shared" si="19"/>
        <v>286</v>
      </c>
      <c r="AD286" s="51">
        <f t="shared" si="20"/>
        <v>1</v>
      </c>
      <c r="AE286" s="25">
        <v>1</v>
      </c>
      <c r="AF286" s="25">
        <v>1</v>
      </c>
      <c r="AG286" s="25">
        <v>1</v>
      </c>
      <c r="AH286" s="25">
        <v>1</v>
      </c>
      <c r="AI286" s="25">
        <f>IF(OR(Apresentação!$E$3='Base de Dados e filtragem'!AI$2,Apresentação!$E$3='Base de Dados e filtragem'!E286),1,0)</f>
        <v>1</v>
      </c>
      <c r="AJ286" s="25">
        <f>IF(OR(Apresentação!$E$4='Base de Dados e filtragem'!AJ$2,Apresentação!$E$4='Base de Dados e filtragem'!F286),1,0)</f>
        <v>1</v>
      </c>
      <c r="AK286" s="25">
        <f>IF(OR(Apresentação!$E$5='Base de Dados e filtragem'!AK$2,Apresentação!$E$5='Base de Dados e filtragem'!G286),1,0)</f>
        <v>1</v>
      </c>
      <c r="AL286" s="25">
        <f>IF(OR(Apresentação!$E$6='Base de Dados e filtragem'!AL$2,Apresentação!$E$6='Base de Dados e filtragem'!H286),1,0)</f>
        <v>1</v>
      </c>
      <c r="AM286" s="25">
        <f>IF(OR(Apresentação!$I$2='Base de Dados e filtragem'!AM$2,Apresentação!$I$2='Base de Dados e filtragem'!I286),1,0)</f>
        <v>1</v>
      </c>
      <c r="AN286" s="25">
        <f>IF(OR(Apresentação!$I$3='Base de Dados e filtragem'!AN$2,Apresentação!$I$3='Base de Dados e filtragem'!J286),1,0)</f>
        <v>1</v>
      </c>
      <c r="AO286" s="25">
        <f>IF(OR(Apresentação!$I$4='Base de Dados e filtragem'!AO$2,Apresentação!$I$4='Base de Dados e filtragem'!K286),1,0)</f>
        <v>1</v>
      </c>
      <c r="AP286" s="25">
        <f>IF(OR(Apresentação!$I$5='Base de Dados e filtragem'!AP$2,Apresentação!$I$5='Base de Dados e filtragem'!L286),1,0)</f>
        <v>1</v>
      </c>
      <c r="AQ286" s="25">
        <f>IF(OR(Apresentação!$I$6='Base de Dados e filtragem'!AQ$2,Apresentação!$I$6='Base de Dados e filtragem'!M286),1,0)</f>
        <v>1</v>
      </c>
      <c r="AR286" s="25">
        <v>1</v>
      </c>
      <c r="AS286" s="25">
        <v>1</v>
      </c>
      <c r="AT286" s="25">
        <v>1</v>
      </c>
      <c r="AU286" s="25">
        <v>1</v>
      </c>
      <c r="AV286" s="25">
        <v>1</v>
      </c>
      <c r="AW286" s="25">
        <v>1</v>
      </c>
      <c r="AX286" s="25">
        <v>1</v>
      </c>
      <c r="AY286" s="25">
        <v>1</v>
      </c>
      <c r="AZ286" s="25">
        <v>1</v>
      </c>
      <c r="BA286" s="25">
        <v>1</v>
      </c>
      <c r="BB286" s="25">
        <v>1</v>
      </c>
      <c r="BC286" s="25">
        <v>1</v>
      </c>
      <c r="BD286" s="25">
        <v>1</v>
      </c>
    </row>
    <row r="287" spans="27:56" x14ac:dyDescent="0.25">
      <c r="AA287" s="68" t="str">
        <f t="shared" si="17"/>
        <v>Fotos\\.jpg</v>
      </c>
      <c r="AB287" s="53">
        <f t="shared" si="18"/>
        <v>3.4843205574912892E-3</v>
      </c>
      <c r="AC287" s="25">
        <f t="shared" si="19"/>
        <v>287</v>
      </c>
      <c r="AD287" s="51">
        <f t="shared" si="20"/>
        <v>1</v>
      </c>
      <c r="AE287" s="25">
        <v>1</v>
      </c>
      <c r="AF287" s="25">
        <v>1</v>
      </c>
      <c r="AG287" s="25">
        <v>1</v>
      </c>
      <c r="AH287" s="25">
        <v>1</v>
      </c>
      <c r="AI287" s="25">
        <f>IF(OR(Apresentação!$E$3='Base de Dados e filtragem'!AI$2,Apresentação!$E$3='Base de Dados e filtragem'!E287),1,0)</f>
        <v>1</v>
      </c>
      <c r="AJ287" s="25">
        <f>IF(OR(Apresentação!$E$4='Base de Dados e filtragem'!AJ$2,Apresentação!$E$4='Base de Dados e filtragem'!F287),1,0)</f>
        <v>1</v>
      </c>
      <c r="AK287" s="25">
        <f>IF(OR(Apresentação!$E$5='Base de Dados e filtragem'!AK$2,Apresentação!$E$5='Base de Dados e filtragem'!G287),1,0)</f>
        <v>1</v>
      </c>
      <c r="AL287" s="25">
        <f>IF(OR(Apresentação!$E$6='Base de Dados e filtragem'!AL$2,Apresentação!$E$6='Base de Dados e filtragem'!H287),1,0)</f>
        <v>1</v>
      </c>
      <c r="AM287" s="25">
        <f>IF(OR(Apresentação!$I$2='Base de Dados e filtragem'!AM$2,Apresentação!$I$2='Base de Dados e filtragem'!I287),1,0)</f>
        <v>1</v>
      </c>
      <c r="AN287" s="25">
        <f>IF(OR(Apresentação!$I$3='Base de Dados e filtragem'!AN$2,Apresentação!$I$3='Base de Dados e filtragem'!J287),1,0)</f>
        <v>1</v>
      </c>
      <c r="AO287" s="25">
        <f>IF(OR(Apresentação!$I$4='Base de Dados e filtragem'!AO$2,Apresentação!$I$4='Base de Dados e filtragem'!K287),1,0)</f>
        <v>1</v>
      </c>
      <c r="AP287" s="25">
        <f>IF(OR(Apresentação!$I$5='Base de Dados e filtragem'!AP$2,Apresentação!$I$5='Base de Dados e filtragem'!L287),1,0)</f>
        <v>1</v>
      </c>
      <c r="AQ287" s="25">
        <f>IF(OR(Apresentação!$I$6='Base de Dados e filtragem'!AQ$2,Apresentação!$I$6='Base de Dados e filtragem'!M287),1,0)</f>
        <v>1</v>
      </c>
      <c r="AR287" s="25">
        <v>1</v>
      </c>
      <c r="AS287" s="25">
        <v>1</v>
      </c>
      <c r="AT287" s="25">
        <v>1</v>
      </c>
      <c r="AU287" s="25">
        <v>1</v>
      </c>
      <c r="AV287" s="25">
        <v>1</v>
      </c>
      <c r="AW287" s="25">
        <v>1</v>
      </c>
      <c r="AX287" s="25">
        <v>1</v>
      </c>
      <c r="AY287" s="25">
        <v>1</v>
      </c>
      <c r="AZ287" s="25">
        <v>1</v>
      </c>
      <c r="BA287" s="25">
        <v>1</v>
      </c>
      <c r="BB287" s="25">
        <v>1</v>
      </c>
      <c r="BC287" s="25">
        <v>1</v>
      </c>
      <c r="BD287" s="25">
        <v>1</v>
      </c>
    </row>
    <row r="288" spans="27:56" x14ac:dyDescent="0.25">
      <c r="AA288" s="68" t="str">
        <f t="shared" si="17"/>
        <v>Fotos\\.jpg</v>
      </c>
      <c r="AB288" s="53">
        <f t="shared" si="18"/>
        <v>3.472222222222222E-3</v>
      </c>
      <c r="AC288" s="25">
        <f t="shared" si="19"/>
        <v>288</v>
      </c>
      <c r="AD288" s="51">
        <f t="shared" si="20"/>
        <v>1</v>
      </c>
      <c r="AE288" s="25">
        <v>1</v>
      </c>
      <c r="AF288" s="25">
        <v>1</v>
      </c>
      <c r="AG288" s="25">
        <v>1</v>
      </c>
      <c r="AH288" s="25">
        <v>1</v>
      </c>
      <c r="AI288" s="25">
        <f>IF(OR(Apresentação!$E$3='Base de Dados e filtragem'!AI$2,Apresentação!$E$3='Base de Dados e filtragem'!E288),1,0)</f>
        <v>1</v>
      </c>
      <c r="AJ288" s="25">
        <f>IF(OR(Apresentação!$E$4='Base de Dados e filtragem'!AJ$2,Apresentação!$E$4='Base de Dados e filtragem'!F288),1,0)</f>
        <v>1</v>
      </c>
      <c r="AK288" s="25">
        <f>IF(OR(Apresentação!$E$5='Base de Dados e filtragem'!AK$2,Apresentação!$E$5='Base de Dados e filtragem'!G288),1,0)</f>
        <v>1</v>
      </c>
      <c r="AL288" s="25">
        <f>IF(OR(Apresentação!$E$6='Base de Dados e filtragem'!AL$2,Apresentação!$E$6='Base de Dados e filtragem'!H288),1,0)</f>
        <v>1</v>
      </c>
      <c r="AM288" s="25">
        <f>IF(OR(Apresentação!$I$2='Base de Dados e filtragem'!AM$2,Apresentação!$I$2='Base de Dados e filtragem'!I288),1,0)</f>
        <v>1</v>
      </c>
      <c r="AN288" s="25">
        <f>IF(OR(Apresentação!$I$3='Base de Dados e filtragem'!AN$2,Apresentação!$I$3='Base de Dados e filtragem'!J288),1,0)</f>
        <v>1</v>
      </c>
      <c r="AO288" s="25">
        <f>IF(OR(Apresentação!$I$4='Base de Dados e filtragem'!AO$2,Apresentação!$I$4='Base de Dados e filtragem'!K288),1,0)</f>
        <v>1</v>
      </c>
      <c r="AP288" s="25">
        <f>IF(OR(Apresentação!$I$5='Base de Dados e filtragem'!AP$2,Apresentação!$I$5='Base de Dados e filtragem'!L288),1,0)</f>
        <v>1</v>
      </c>
      <c r="AQ288" s="25">
        <f>IF(OR(Apresentação!$I$6='Base de Dados e filtragem'!AQ$2,Apresentação!$I$6='Base de Dados e filtragem'!M288),1,0)</f>
        <v>1</v>
      </c>
      <c r="AR288" s="25">
        <v>1</v>
      </c>
      <c r="AS288" s="25">
        <v>1</v>
      </c>
      <c r="AT288" s="25">
        <v>1</v>
      </c>
      <c r="AU288" s="25">
        <v>1</v>
      </c>
      <c r="AV288" s="25">
        <v>1</v>
      </c>
      <c r="AW288" s="25">
        <v>1</v>
      </c>
      <c r="AX288" s="25">
        <v>1</v>
      </c>
      <c r="AY288" s="25">
        <v>1</v>
      </c>
      <c r="AZ288" s="25">
        <v>1</v>
      </c>
      <c r="BA288" s="25">
        <v>1</v>
      </c>
      <c r="BB288" s="25">
        <v>1</v>
      </c>
      <c r="BC288" s="25">
        <v>1</v>
      </c>
      <c r="BD288" s="25">
        <v>1</v>
      </c>
    </row>
    <row r="289" spans="27:56" x14ac:dyDescent="0.25">
      <c r="AA289" s="68" t="str">
        <f t="shared" si="17"/>
        <v>Fotos\\.jpg</v>
      </c>
      <c r="AB289" s="53">
        <f t="shared" si="18"/>
        <v>3.4602076124567475E-3</v>
      </c>
      <c r="AC289" s="25">
        <f t="shared" si="19"/>
        <v>289</v>
      </c>
      <c r="AD289" s="51">
        <f t="shared" si="20"/>
        <v>1</v>
      </c>
      <c r="AE289" s="25">
        <v>1</v>
      </c>
      <c r="AF289" s="25">
        <v>1</v>
      </c>
      <c r="AG289" s="25">
        <v>1</v>
      </c>
      <c r="AH289" s="25">
        <v>1</v>
      </c>
      <c r="AI289" s="25">
        <f>IF(OR(Apresentação!$E$3='Base de Dados e filtragem'!AI$2,Apresentação!$E$3='Base de Dados e filtragem'!E289),1,0)</f>
        <v>1</v>
      </c>
      <c r="AJ289" s="25">
        <f>IF(OR(Apresentação!$E$4='Base de Dados e filtragem'!AJ$2,Apresentação!$E$4='Base de Dados e filtragem'!F289),1,0)</f>
        <v>1</v>
      </c>
      <c r="AK289" s="25">
        <f>IF(OR(Apresentação!$E$5='Base de Dados e filtragem'!AK$2,Apresentação!$E$5='Base de Dados e filtragem'!G289),1,0)</f>
        <v>1</v>
      </c>
      <c r="AL289" s="25">
        <f>IF(OR(Apresentação!$E$6='Base de Dados e filtragem'!AL$2,Apresentação!$E$6='Base de Dados e filtragem'!H289),1,0)</f>
        <v>1</v>
      </c>
      <c r="AM289" s="25">
        <f>IF(OR(Apresentação!$I$2='Base de Dados e filtragem'!AM$2,Apresentação!$I$2='Base de Dados e filtragem'!I289),1,0)</f>
        <v>1</v>
      </c>
      <c r="AN289" s="25">
        <f>IF(OR(Apresentação!$I$3='Base de Dados e filtragem'!AN$2,Apresentação!$I$3='Base de Dados e filtragem'!J289),1,0)</f>
        <v>1</v>
      </c>
      <c r="AO289" s="25">
        <f>IF(OR(Apresentação!$I$4='Base de Dados e filtragem'!AO$2,Apresentação!$I$4='Base de Dados e filtragem'!K289),1,0)</f>
        <v>1</v>
      </c>
      <c r="AP289" s="25">
        <f>IF(OR(Apresentação!$I$5='Base de Dados e filtragem'!AP$2,Apresentação!$I$5='Base de Dados e filtragem'!L289),1,0)</f>
        <v>1</v>
      </c>
      <c r="AQ289" s="25">
        <f>IF(OR(Apresentação!$I$6='Base de Dados e filtragem'!AQ$2,Apresentação!$I$6='Base de Dados e filtragem'!M289),1,0)</f>
        <v>1</v>
      </c>
      <c r="AR289" s="25">
        <v>1</v>
      </c>
      <c r="AS289" s="25">
        <v>1</v>
      </c>
      <c r="AT289" s="25">
        <v>1</v>
      </c>
      <c r="AU289" s="25">
        <v>1</v>
      </c>
      <c r="AV289" s="25">
        <v>1</v>
      </c>
      <c r="AW289" s="25">
        <v>1</v>
      </c>
      <c r="AX289" s="25">
        <v>1</v>
      </c>
      <c r="AY289" s="25">
        <v>1</v>
      </c>
      <c r="AZ289" s="25">
        <v>1</v>
      </c>
      <c r="BA289" s="25">
        <v>1</v>
      </c>
      <c r="BB289" s="25">
        <v>1</v>
      </c>
      <c r="BC289" s="25">
        <v>1</v>
      </c>
      <c r="BD289" s="25">
        <v>1</v>
      </c>
    </row>
    <row r="290" spans="27:56" x14ac:dyDescent="0.25">
      <c r="AA290" s="68" t="str">
        <f t="shared" si="17"/>
        <v>Fotos\\.jpg</v>
      </c>
      <c r="AB290" s="53">
        <f t="shared" si="18"/>
        <v>3.4482758620689655E-3</v>
      </c>
      <c r="AC290" s="25">
        <f t="shared" si="19"/>
        <v>290</v>
      </c>
      <c r="AD290" s="51">
        <f t="shared" si="20"/>
        <v>1</v>
      </c>
      <c r="AE290" s="25">
        <v>1</v>
      </c>
      <c r="AF290" s="25">
        <v>1</v>
      </c>
      <c r="AG290" s="25">
        <v>1</v>
      </c>
      <c r="AH290" s="25">
        <v>1</v>
      </c>
      <c r="AI290" s="25">
        <f>IF(OR(Apresentação!$E$3='Base de Dados e filtragem'!AI$2,Apresentação!$E$3='Base de Dados e filtragem'!E290),1,0)</f>
        <v>1</v>
      </c>
      <c r="AJ290" s="25">
        <f>IF(OR(Apresentação!$E$4='Base de Dados e filtragem'!AJ$2,Apresentação!$E$4='Base de Dados e filtragem'!F290),1,0)</f>
        <v>1</v>
      </c>
      <c r="AK290" s="25">
        <f>IF(OR(Apresentação!$E$5='Base de Dados e filtragem'!AK$2,Apresentação!$E$5='Base de Dados e filtragem'!G290),1,0)</f>
        <v>1</v>
      </c>
      <c r="AL290" s="25">
        <f>IF(OR(Apresentação!$E$6='Base de Dados e filtragem'!AL$2,Apresentação!$E$6='Base de Dados e filtragem'!H290),1,0)</f>
        <v>1</v>
      </c>
      <c r="AM290" s="25">
        <f>IF(OR(Apresentação!$I$2='Base de Dados e filtragem'!AM$2,Apresentação!$I$2='Base de Dados e filtragem'!I290),1,0)</f>
        <v>1</v>
      </c>
      <c r="AN290" s="25">
        <f>IF(OR(Apresentação!$I$3='Base de Dados e filtragem'!AN$2,Apresentação!$I$3='Base de Dados e filtragem'!J290),1,0)</f>
        <v>1</v>
      </c>
      <c r="AO290" s="25">
        <f>IF(OR(Apresentação!$I$4='Base de Dados e filtragem'!AO$2,Apresentação!$I$4='Base de Dados e filtragem'!K290),1,0)</f>
        <v>1</v>
      </c>
      <c r="AP290" s="25">
        <f>IF(OR(Apresentação!$I$5='Base de Dados e filtragem'!AP$2,Apresentação!$I$5='Base de Dados e filtragem'!L290),1,0)</f>
        <v>1</v>
      </c>
      <c r="AQ290" s="25">
        <f>IF(OR(Apresentação!$I$6='Base de Dados e filtragem'!AQ$2,Apresentação!$I$6='Base de Dados e filtragem'!M290),1,0)</f>
        <v>1</v>
      </c>
      <c r="AR290" s="25">
        <v>1</v>
      </c>
      <c r="AS290" s="25">
        <v>1</v>
      </c>
      <c r="AT290" s="25">
        <v>1</v>
      </c>
      <c r="AU290" s="25">
        <v>1</v>
      </c>
      <c r="AV290" s="25">
        <v>1</v>
      </c>
      <c r="AW290" s="25">
        <v>1</v>
      </c>
      <c r="AX290" s="25">
        <v>1</v>
      </c>
      <c r="AY290" s="25">
        <v>1</v>
      </c>
      <c r="AZ290" s="25">
        <v>1</v>
      </c>
      <c r="BA290" s="25">
        <v>1</v>
      </c>
      <c r="BB290" s="25">
        <v>1</v>
      </c>
      <c r="BC290" s="25">
        <v>1</v>
      </c>
      <c r="BD290" s="25">
        <v>1</v>
      </c>
    </row>
    <row r="291" spans="27:56" x14ac:dyDescent="0.25">
      <c r="AA291" s="68" t="str">
        <f t="shared" si="17"/>
        <v>Fotos\\.jpg</v>
      </c>
      <c r="AB291" s="53">
        <f t="shared" si="18"/>
        <v>3.4364261168384879E-3</v>
      </c>
      <c r="AC291" s="25">
        <f t="shared" si="19"/>
        <v>291</v>
      </c>
      <c r="AD291" s="51">
        <f t="shared" si="20"/>
        <v>1</v>
      </c>
      <c r="AE291" s="25">
        <v>1</v>
      </c>
      <c r="AF291" s="25">
        <v>1</v>
      </c>
      <c r="AG291" s="25">
        <v>1</v>
      </c>
      <c r="AH291" s="25">
        <v>1</v>
      </c>
      <c r="AI291" s="25">
        <f>IF(OR(Apresentação!$E$3='Base de Dados e filtragem'!AI$2,Apresentação!$E$3='Base de Dados e filtragem'!E291),1,0)</f>
        <v>1</v>
      </c>
      <c r="AJ291" s="25">
        <f>IF(OR(Apresentação!$E$4='Base de Dados e filtragem'!AJ$2,Apresentação!$E$4='Base de Dados e filtragem'!F291),1,0)</f>
        <v>1</v>
      </c>
      <c r="AK291" s="25">
        <f>IF(OR(Apresentação!$E$5='Base de Dados e filtragem'!AK$2,Apresentação!$E$5='Base de Dados e filtragem'!G291),1,0)</f>
        <v>1</v>
      </c>
      <c r="AL291" s="25">
        <f>IF(OR(Apresentação!$E$6='Base de Dados e filtragem'!AL$2,Apresentação!$E$6='Base de Dados e filtragem'!H291),1,0)</f>
        <v>1</v>
      </c>
      <c r="AM291" s="25">
        <f>IF(OR(Apresentação!$I$2='Base de Dados e filtragem'!AM$2,Apresentação!$I$2='Base de Dados e filtragem'!I291),1,0)</f>
        <v>1</v>
      </c>
      <c r="AN291" s="25">
        <f>IF(OR(Apresentação!$I$3='Base de Dados e filtragem'!AN$2,Apresentação!$I$3='Base de Dados e filtragem'!J291),1,0)</f>
        <v>1</v>
      </c>
      <c r="AO291" s="25">
        <f>IF(OR(Apresentação!$I$4='Base de Dados e filtragem'!AO$2,Apresentação!$I$4='Base de Dados e filtragem'!K291),1,0)</f>
        <v>1</v>
      </c>
      <c r="AP291" s="25">
        <f>IF(OR(Apresentação!$I$5='Base de Dados e filtragem'!AP$2,Apresentação!$I$5='Base de Dados e filtragem'!L291),1,0)</f>
        <v>1</v>
      </c>
      <c r="AQ291" s="25">
        <f>IF(OR(Apresentação!$I$6='Base de Dados e filtragem'!AQ$2,Apresentação!$I$6='Base de Dados e filtragem'!M291),1,0)</f>
        <v>1</v>
      </c>
      <c r="AR291" s="25">
        <v>1</v>
      </c>
      <c r="AS291" s="25">
        <v>1</v>
      </c>
      <c r="AT291" s="25">
        <v>1</v>
      </c>
      <c r="AU291" s="25">
        <v>1</v>
      </c>
      <c r="AV291" s="25">
        <v>1</v>
      </c>
      <c r="AW291" s="25">
        <v>1</v>
      </c>
      <c r="AX291" s="25">
        <v>1</v>
      </c>
      <c r="AY291" s="25">
        <v>1</v>
      </c>
      <c r="AZ291" s="25">
        <v>1</v>
      </c>
      <c r="BA291" s="25">
        <v>1</v>
      </c>
      <c r="BB291" s="25">
        <v>1</v>
      </c>
      <c r="BC291" s="25">
        <v>1</v>
      </c>
      <c r="BD291" s="25">
        <v>1</v>
      </c>
    </row>
    <row r="292" spans="27:56" x14ac:dyDescent="0.25">
      <c r="AA292" s="68" t="str">
        <f t="shared" si="17"/>
        <v>Fotos\\.jpg</v>
      </c>
      <c r="AB292" s="53">
        <f t="shared" si="18"/>
        <v>3.4246575342465752E-3</v>
      </c>
      <c r="AC292" s="25">
        <f t="shared" si="19"/>
        <v>292</v>
      </c>
      <c r="AD292" s="51">
        <f t="shared" si="20"/>
        <v>1</v>
      </c>
      <c r="AE292" s="25">
        <v>1</v>
      </c>
      <c r="AF292" s="25">
        <v>1</v>
      </c>
      <c r="AG292" s="25">
        <v>1</v>
      </c>
      <c r="AH292" s="25">
        <v>1</v>
      </c>
      <c r="AI292" s="25">
        <f>IF(OR(Apresentação!$E$3='Base de Dados e filtragem'!AI$2,Apresentação!$E$3='Base de Dados e filtragem'!E292),1,0)</f>
        <v>1</v>
      </c>
      <c r="AJ292" s="25">
        <f>IF(OR(Apresentação!$E$4='Base de Dados e filtragem'!AJ$2,Apresentação!$E$4='Base de Dados e filtragem'!F292),1,0)</f>
        <v>1</v>
      </c>
      <c r="AK292" s="25">
        <f>IF(OR(Apresentação!$E$5='Base de Dados e filtragem'!AK$2,Apresentação!$E$5='Base de Dados e filtragem'!G292),1,0)</f>
        <v>1</v>
      </c>
      <c r="AL292" s="25">
        <f>IF(OR(Apresentação!$E$6='Base de Dados e filtragem'!AL$2,Apresentação!$E$6='Base de Dados e filtragem'!H292),1,0)</f>
        <v>1</v>
      </c>
      <c r="AM292" s="25">
        <f>IF(OR(Apresentação!$I$2='Base de Dados e filtragem'!AM$2,Apresentação!$I$2='Base de Dados e filtragem'!I292),1,0)</f>
        <v>1</v>
      </c>
      <c r="AN292" s="25">
        <f>IF(OR(Apresentação!$I$3='Base de Dados e filtragem'!AN$2,Apresentação!$I$3='Base de Dados e filtragem'!J292),1,0)</f>
        <v>1</v>
      </c>
      <c r="AO292" s="25">
        <f>IF(OR(Apresentação!$I$4='Base de Dados e filtragem'!AO$2,Apresentação!$I$4='Base de Dados e filtragem'!K292),1,0)</f>
        <v>1</v>
      </c>
      <c r="AP292" s="25">
        <f>IF(OR(Apresentação!$I$5='Base de Dados e filtragem'!AP$2,Apresentação!$I$5='Base de Dados e filtragem'!L292),1,0)</f>
        <v>1</v>
      </c>
      <c r="AQ292" s="25">
        <f>IF(OR(Apresentação!$I$6='Base de Dados e filtragem'!AQ$2,Apresentação!$I$6='Base de Dados e filtragem'!M292),1,0)</f>
        <v>1</v>
      </c>
      <c r="AR292" s="25">
        <v>1</v>
      </c>
      <c r="AS292" s="25">
        <v>1</v>
      </c>
      <c r="AT292" s="25">
        <v>1</v>
      </c>
      <c r="AU292" s="25">
        <v>1</v>
      </c>
      <c r="AV292" s="25">
        <v>1</v>
      </c>
      <c r="AW292" s="25">
        <v>1</v>
      </c>
      <c r="AX292" s="25">
        <v>1</v>
      </c>
      <c r="AY292" s="25">
        <v>1</v>
      </c>
      <c r="AZ292" s="25">
        <v>1</v>
      </c>
      <c r="BA292" s="25">
        <v>1</v>
      </c>
      <c r="BB292" s="25">
        <v>1</v>
      </c>
      <c r="BC292" s="25">
        <v>1</v>
      </c>
      <c r="BD292" s="25">
        <v>1</v>
      </c>
    </row>
    <row r="293" spans="27:56" x14ac:dyDescent="0.25">
      <c r="AA293" s="68" t="str">
        <f t="shared" si="17"/>
        <v>Fotos\\.jpg</v>
      </c>
      <c r="AB293" s="53">
        <f t="shared" si="18"/>
        <v>3.4129692832764505E-3</v>
      </c>
      <c r="AC293" s="25">
        <f t="shared" si="19"/>
        <v>293</v>
      </c>
      <c r="AD293" s="51">
        <f t="shared" si="20"/>
        <v>1</v>
      </c>
      <c r="AE293" s="25">
        <v>1</v>
      </c>
      <c r="AF293" s="25">
        <v>1</v>
      </c>
      <c r="AG293" s="25">
        <v>1</v>
      </c>
      <c r="AH293" s="25">
        <v>1</v>
      </c>
      <c r="AI293" s="25">
        <f>IF(OR(Apresentação!$E$3='Base de Dados e filtragem'!AI$2,Apresentação!$E$3='Base de Dados e filtragem'!E293),1,0)</f>
        <v>1</v>
      </c>
      <c r="AJ293" s="25">
        <f>IF(OR(Apresentação!$E$4='Base de Dados e filtragem'!AJ$2,Apresentação!$E$4='Base de Dados e filtragem'!F293),1,0)</f>
        <v>1</v>
      </c>
      <c r="AK293" s="25">
        <f>IF(OR(Apresentação!$E$5='Base de Dados e filtragem'!AK$2,Apresentação!$E$5='Base de Dados e filtragem'!G293),1,0)</f>
        <v>1</v>
      </c>
      <c r="AL293" s="25">
        <f>IF(OR(Apresentação!$E$6='Base de Dados e filtragem'!AL$2,Apresentação!$E$6='Base de Dados e filtragem'!H293),1,0)</f>
        <v>1</v>
      </c>
      <c r="AM293" s="25">
        <f>IF(OR(Apresentação!$I$2='Base de Dados e filtragem'!AM$2,Apresentação!$I$2='Base de Dados e filtragem'!I293),1,0)</f>
        <v>1</v>
      </c>
      <c r="AN293" s="25">
        <f>IF(OR(Apresentação!$I$3='Base de Dados e filtragem'!AN$2,Apresentação!$I$3='Base de Dados e filtragem'!J293),1,0)</f>
        <v>1</v>
      </c>
      <c r="AO293" s="25">
        <f>IF(OR(Apresentação!$I$4='Base de Dados e filtragem'!AO$2,Apresentação!$I$4='Base de Dados e filtragem'!K293),1,0)</f>
        <v>1</v>
      </c>
      <c r="AP293" s="25">
        <f>IF(OR(Apresentação!$I$5='Base de Dados e filtragem'!AP$2,Apresentação!$I$5='Base de Dados e filtragem'!L293),1,0)</f>
        <v>1</v>
      </c>
      <c r="AQ293" s="25">
        <f>IF(OR(Apresentação!$I$6='Base de Dados e filtragem'!AQ$2,Apresentação!$I$6='Base de Dados e filtragem'!M293),1,0)</f>
        <v>1</v>
      </c>
      <c r="AR293" s="25">
        <v>1</v>
      </c>
      <c r="AS293" s="25">
        <v>1</v>
      </c>
      <c r="AT293" s="25">
        <v>1</v>
      </c>
      <c r="AU293" s="25">
        <v>1</v>
      </c>
      <c r="AV293" s="25">
        <v>1</v>
      </c>
      <c r="AW293" s="25">
        <v>1</v>
      </c>
      <c r="AX293" s="25">
        <v>1</v>
      </c>
      <c r="AY293" s="25">
        <v>1</v>
      </c>
      <c r="AZ293" s="25">
        <v>1</v>
      </c>
      <c r="BA293" s="25">
        <v>1</v>
      </c>
      <c r="BB293" s="25">
        <v>1</v>
      </c>
      <c r="BC293" s="25">
        <v>1</v>
      </c>
      <c r="BD293" s="25">
        <v>1</v>
      </c>
    </row>
    <row r="294" spans="27:56" x14ac:dyDescent="0.25">
      <c r="AA294" s="68" t="str">
        <f t="shared" si="17"/>
        <v>Fotos\\.jpg</v>
      </c>
      <c r="AB294" s="53">
        <f t="shared" si="18"/>
        <v>3.4013605442176869E-3</v>
      </c>
      <c r="AC294" s="25">
        <f t="shared" si="19"/>
        <v>294</v>
      </c>
      <c r="AD294" s="51">
        <f t="shared" si="20"/>
        <v>1</v>
      </c>
      <c r="AE294" s="25">
        <v>1</v>
      </c>
      <c r="AF294" s="25">
        <v>1</v>
      </c>
      <c r="AG294" s="25">
        <v>1</v>
      </c>
      <c r="AH294" s="25">
        <v>1</v>
      </c>
      <c r="AI294" s="25">
        <f>IF(OR(Apresentação!$E$3='Base de Dados e filtragem'!AI$2,Apresentação!$E$3='Base de Dados e filtragem'!E294),1,0)</f>
        <v>1</v>
      </c>
      <c r="AJ294" s="25">
        <f>IF(OR(Apresentação!$E$4='Base de Dados e filtragem'!AJ$2,Apresentação!$E$4='Base de Dados e filtragem'!F294),1,0)</f>
        <v>1</v>
      </c>
      <c r="AK294" s="25">
        <f>IF(OR(Apresentação!$E$5='Base de Dados e filtragem'!AK$2,Apresentação!$E$5='Base de Dados e filtragem'!G294),1,0)</f>
        <v>1</v>
      </c>
      <c r="AL294" s="25">
        <f>IF(OR(Apresentação!$E$6='Base de Dados e filtragem'!AL$2,Apresentação!$E$6='Base de Dados e filtragem'!H294),1,0)</f>
        <v>1</v>
      </c>
      <c r="AM294" s="25">
        <f>IF(OR(Apresentação!$I$2='Base de Dados e filtragem'!AM$2,Apresentação!$I$2='Base de Dados e filtragem'!I294),1,0)</f>
        <v>1</v>
      </c>
      <c r="AN294" s="25">
        <f>IF(OR(Apresentação!$I$3='Base de Dados e filtragem'!AN$2,Apresentação!$I$3='Base de Dados e filtragem'!J294),1,0)</f>
        <v>1</v>
      </c>
      <c r="AO294" s="25">
        <f>IF(OR(Apresentação!$I$4='Base de Dados e filtragem'!AO$2,Apresentação!$I$4='Base de Dados e filtragem'!K294),1,0)</f>
        <v>1</v>
      </c>
      <c r="AP294" s="25">
        <f>IF(OR(Apresentação!$I$5='Base de Dados e filtragem'!AP$2,Apresentação!$I$5='Base de Dados e filtragem'!L294),1,0)</f>
        <v>1</v>
      </c>
      <c r="AQ294" s="25">
        <f>IF(OR(Apresentação!$I$6='Base de Dados e filtragem'!AQ$2,Apresentação!$I$6='Base de Dados e filtragem'!M294),1,0)</f>
        <v>1</v>
      </c>
      <c r="AR294" s="25">
        <v>1</v>
      </c>
      <c r="AS294" s="25">
        <v>1</v>
      </c>
      <c r="AT294" s="25">
        <v>1</v>
      </c>
      <c r="AU294" s="25">
        <v>1</v>
      </c>
      <c r="AV294" s="25">
        <v>1</v>
      </c>
      <c r="AW294" s="25">
        <v>1</v>
      </c>
      <c r="AX294" s="25">
        <v>1</v>
      </c>
      <c r="AY294" s="25">
        <v>1</v>
      </c>
      <c r="AZ294" s="25">
        <v>1</v>
      </c>
      <c r="BA294" s="25">
        <v>1</v>
      </c>
      <c r="BB294" s="25">
        <v>1</v>
      </c>
      <c r="BC294" s="25">
        <v>1</v>
      </c>
      <c r="BD294" s="25">
        <v>1</v>
      </c>
    </row>
    <row r="295" spans="27:56" x14ac:dyDescent="0.25">
      <c r="AA295" s="68" t="str">
        <f t="shared" si="17"/>
        <v>Fotos\\.jpg</v>
      </c>
      <c r="AB295" s="53">
        <f t="shared" si="18"/>
        <v>3.3898305084745762E-3</v>
      </c>
      <c r="AC295" s="25">
        <f t="shared" si="19"/>
        <v>295</v>
      </c>
      <c r="AD295" s="51">
        <f t="shared" si="20"/>
        <v>1</v>
      </c>
      <c r="AE295" s="25">
        <v>1</v>
      </c>
      <c r="AF295" s="25">
        <v>1</v>
      </c>
      <c r="AG295" s="25">
        <v>1</v>
      </c>
      <c r="AH295" s="25">
        <v>1</v>
      </c>
      <c r="AI295" s="25">
        <f>IF(OR(Apresentação!$E$3='Base de Dados e filtragem'!AI$2,Apresentação!$E$3='Base de Dados e filtragem'!E295),1,0)</f>
        <v>1</v>
      </c>
      <c r="AJ295" s="25">
        <f>IF(OR(Apresentação!$E$4='Base de Dados e filtragem'!AJ$2,Apresentação!$E$4='Base de Dados e filtragem'!F295),1,0)</f>
        <v>1</v>
      </c>
      <c r="AK295" s="25">
        <f>IF(OR(Apresentação!$E$5='Base de Dados e filtragem'!AK$2,Apresentação!$E$5='Base de Dados e filtragem'!G295),1,0)</f>
        <v>1</v>
      </c>
      <c r="AL295" s="25">
        <f>IF(OR(Apresentação!$E$6='Base de Dados e filtragem'!AL$2,Apresentação!$E$6='Base de Dados e filtragem'!H295),1,0)</f>
        <v>1</v>
      </c>
      <c r="AM295" s="25">
        <f>IF(OR(Apresentação!$I$2='Base de Dados e filtragem'!AM$2,Apresentação!$I$2='Base de Dados e filtragem'!I295),1,0)</f>
        <v>1</v>
      </c>
      <c r="AN295" s="25">
        <f>IF(OR(Apresentação!$I$3='Base de Dados e filtragem'!AN$2,Apresentação!$I$3='Base de Dados e filtragem'!J295),1,0)</f>
        <v>1</v>
      </c>
      <c r="AO295" s="25">
        <f>IF(OR(Apresentação!$I$4='Base de Dados e filtragem'!AO$2,Apresentação!$I$4='Base de Dados e filtragem'!K295),1,0)</f>
        <v>1</v>
      </c>
      <c r="AP295" s="25">
        <f>IF(OR(Apresentação!$I$5='Base de Dados e filtragem'!AP$2,Apresentação!$I$5='Base de Dados e filtragem'!L295),1,0)</f>
        <v>1</v>
      </c>
      <c r="AQ295" s="25">
        <f>IF(OR(Apresentação!$I$6='Base de Dados e filtragem'!AQ$2,Apresentação!$I$6='Base de Dados e filtragem'!M295),1,0)</f>
        <v>1</v>
      </c>
      <c r="AR295" s="25">
        <v>1</v>
      </c>
      <c r="AS295" s="25">
        <v>1</v>
      </c>
      <c r="AT295" s="25">
        <v>1</v>
      </c>
      <c r="AU295" s="25">
        <v>1</v>
      </c>
      <c r="AV295" s="25">
        <v>1</v>
      </c>
      <c r="AW295" s="25">
        <v>1</v>
      </c>
      <c r="AX295" s="25">
        <v>1</v>
      </c>
      <c r="AY295" s="25">
        <v>1</v>
      </c>
      <c r="AZ295" s="25">
        <v>1</v>
      </c>
      <c r="BA295" s="25">
        <v>1</v>
      </c>
      <c r="BB295" s="25">
        <v>1</v>
      </c>
      <c r="BC295" s="25">
        <v>1</v>
      </c>
      <c r="BD295" s="25">
        <v>1</v>
      </c>
    </row>
    <row r="296" spans="27:56" x14ac:dyDescent="0.25">
      <c r="AA296" s="68" t="str">
        <f t="shared" si="17"/>
        <v>Fotos\\.jpg</v>
      </c>
      <c r="AB296" s="53">
        <f t="shared" si="18"/>
        <v>3.3783783783783786E-3</v>
      </c>
      <c r="AC296" s="25">
        <f t="shared" si="19"/>
        <v>296</v>
      </c>
      <c r="AD296" s="51">
        <f t="shared" si="20"/>
        <v>1</v>
      </c>
      <c r="AE296" s="25">
        <v>1</v>
      </c>
      <c r="AF296" s="25">
        <v>1</v>
      </c>
      <c r="AG296" s="25">
        <v>1</v>
      </c>
      <c r="AH296" s="25">
        <v>1</v>
      </c>
      <c r="AI296" s="25">
        <f>IF(OR(Apresentação!$E$3='Base de Dados e filtragem'!AI$2,Apresentação!$E$3='Base de Dados e filtragem'!E296),1,0)</f>
        <v>1</v>
      </c>
      <c r="AJ296" s="25">
        <f>IF(OR(Apresentação!$E$4='Base de Dados e filtragem'!AJ$2,Apresentação!$E$4='Base de Dados e filtragem'!F296),1,0)</f>
        <v>1</v>
      </c>
      <c r="AK296" s="25">
        <f>IF(OR(Apresentação!$E$5='Base de Dados e filtragem'!AK$2,Apresentação!$E$5='Base de Dados e filtragem'!G296),1,0)</f>
        <v>1</v>
      </c>
      <c r="AL296" s="25">
        <f>IF(OR(Apresentação!$E$6='Base de Dados e filtragem'!AL$2,Apresentação!$E$6='Base de Dados e filtragem'!H296),1,0)</f>
        <v>1</v>
      </c>
      <c r="AM296" s="25">
        <f>IF(OR(Apresentação!$I$2='Base de Dados e filtragem'!AM$2,Apresentação!$I$2='Base de Dados e filtragem'!I296),1,0)</f>
        <v>1</v>
      </c>
      <c r="AN296" s="25">
        <f>IF(OR(Apresentação!$I$3='Base de Dados e filtragem'!AN$2,Apresentação!$I$3='Base de Dados e filtragem'!J296),1,0)</f>
        <v>1</v>
      </c>
      <c r="AO296" s="25">
        <f>IF(OR(Apresentação!$I$4='Base de Dados e filtragem'!AO$2,Apresentação!$I$4='Base de Dados e filtragem'!K296),1,0)</f>
        <v>1</v>
      </c>
      <c r="AP296" s="25">
        <f>IF(OR(Apresentação!$I$5='Base de Dados e filtragem'!AP$2,Apresentação!$I$5='Base de Dados e filtragem'!L296),1,0)</f>
        <v>1</v>
      </c>
      <c r="AQ296" s="25">
        <f>IF(OR(Apresentação!$I$6='Base de Dados e filtragem'!AQ$2,Apresentação!$I$6='Base de Dados e filtragem'!M296),1,0)</f>
        <v>1</v>
      </c>
      <c r="AR296" s="25">
        <v>1</v>
      </c>
      <c r="AS296" s="25">
        <v>1</v>
      </c>
      <c r="AT296" s="25">
        <v>1</v>
      </c>
      <c r="AU296" s="25">
        <v>1</v>
      </c>
      <c r="AV296" s="25">
        <v>1</v>
      </c>
      <c r="AW296" s="25">
        <v>1</v>
      </c>
      <c r="AX296" s="25">
        <v>1</v>
      </c>
      <c r="AY296" s="25">
        <v>1</v>
      </c>
      <c r="AZ296" s="25">
        <v>1</v>
      </c>
      <c r="BA296" s="25">
        <v>1</v>
      </c>
      <c r="BB296" s="25">
        <v>1</v>
      </c>
      <c r="BC296" s="25">
        <v>1</v>
      </c>
      <c r="BD296" s="25">
        <v>1</v>
      </c>
    </row>
    <row r="297" spans="27:56" x14ac:dyDescent="0.25">
      <c r="AA297" s="68" t="str">
        <f t="shared" si="17"/>
        <v>Fotos\\.jpg</v>
      </c>
      <c r="AB297" s="53">
        <f t="shared" si="18"/>
        <v>3.3670033670033669E-3</v>
      </c>
      <c r="AC297" s="25">
        <f t="shared" si="19"/>
        <v>297</v>
      </c>
      <c r="AD297" s="51">
        <f t="shared" si="20"/>
        <v>1</v>
      </c>
      <c r="AE297" s="25">
        <v>1</v>
      </c>
      <c r="AF297" s="25">
        <v>1</v>
      </c>
      <c r="AG297" s="25">
        <v>1</v>
      </c>
      <c r="AH297" s="25">
        <v>1</v>
      </c>
      <c r="AI297" s="25">
        <f>IF(OR(Apresentação!$E$3='Base de Dados e filtragem'!AI$2,Apresentação!$E$3='Base de Dados e filtragem'!E297),1,0)</f>
        <v>1</v>
      </c>
      <c r="AJ297" s="25">
        <f>IF(OR(Apresentação!$E$4='Base de Dados e filtragem'!AJ$2,Apresentação!$E$4='Base de Dados e filtragem'!F297),1,0)</f>
        <v>1</v>
      </c>
      <c r="AK297" s="25">
        <f>IF(OR(Apresentação!$E$5='Base de Dados e filtragem'!AK$2,Apresentação!$E$5='Base de Dados e filtragem'!G297),1,0)</f>
        <v>1</v>
      </c>
      <c r="AL297" s="25">
        <f>IF(OR(Apresentação!$E$6='Base de Dados e filtragem'!AL$2,Apresentação!$E$6='Base de Dados e filtragem'!H297),1,0)</f>
        <v>1</v>
      </c>
      <c r="AM297" s="25">
        <f>IF(OR(Apresentação!$I$2='Base de Dados e filtragem'!AM$2,Apresentação!$I$2='Base de Dados e filtragem'!I297),1,0)</f>
        <v>1</v>
      </c>
      <c r="AN297" s="25">
        <f>IF(OR(Apresentação!$I$3='Base de Dados e filtragem'!AN$2,Apresentação!$I$3='Base de Dados e filtragem'!J297),1,0)</f>
        <v>1</v>
      </c>
      <c r="AO297" s="25">
        <f>IF(OR(Apresentação!$I$4='Base de Dados e filtragem'!AO$2,Apresentação!$I$4='Base de Dados e filtragem'!K297),1,0)</f>
        <v>1</v>
      </c>
      <c r="AP297" s="25">
        <f>IF(OR(Apresentação!$I$5='Base de Dados e filtragem'!AP$2,Apresentação!$I$5='Base de Dados e filtragem'!L297),1,0)</f>
        <v>1</v>
      </c>
      <c r="AQ297" s="25">
        <f>IF(OR(Apresentação!$I$6='Base de Dados e filtragem'!AQ$2,Apresentação!$I$6='Base de Dados e filtragem'!M297),1,0)</f>
        <v>1</v>
      </c>
      <c r="AR297" s="25">
        <v>1</v>
      </c>
      <c r="AS297" s="25">
        <v>1</v>
      </c>
      <c r="AT297" s="25">
        <v>1</v>
      </c>
      <c r="AU297" s="25">
        <v>1</v>
      </c>
      <c r="AV297" s="25">
        <v>1</v>
      </c>
      <c r="AW297" s="25">
        <v>1</v>
      </c>
      <c r="AX297" s="25">
        <v>1</v>
      </c>
      <c r="AY297" s="25">
        <v>1</v>
      </c>
      <c r="AZ297" s="25">
        <v>1</v>
      </c>
      <c r="BA297" s="25">
        <v>1</v>
      </c>
      <c r="BB297" s="25">
        <v>1</v>
      </c>
      <c r="BC297" s="25">
        <v>1</v>
      </c>
      <c r="BD297" s="25">
        <v>1</v>
      </c>
    </row>
    <row r="298" spans="27:56" x14ac:dyDescent="0.25">
      <c r="AA298" s="68" t="str">
        <f t="shared" si="17"/>
        <v>Fotos\\.jpg</v>
      </c>
      <c r="AB298" s="53">
        <f t="shared" si="18"/>
        <v>3.3557046979865771E-3</v>
      </c>
      <c r="AC298" s="25">
        <f t="shared" si="19"/>
        <v>298</v>
      </c>
      <c r="AD298" s="51">
        <f t="shared" si="20"/>
        <v>1</v>
      </c>
      <c r="AE298" s="25">
        <v>1</v>
      </c>
      <c r="AF298" s="25">
        <v>1</v>
      </c>
      <c r="AG298" s="25">
        <v>1</v>
      </c>
      <c r="AH298" s="25">
        <v>1</v>
      </c>
      <c r="AI298" s="25">
        <f>IF(OR(Apresentação!$E$3='Base de Dados e filtragem'!AI$2,Apresentação!$E$3='Base de Dados e filtragem'!E298),1,0)</f>
        <v>1</v>
      </c>
      <c r="AJ298" s="25">
        <f>IF(OR(Apresentação!$E$4='Base de Dados e filtragem'!AJ$2,Apresentação!$E$4='Base de Dados e filtragem'!F298),1,0)</f>
        <v>1</v>
      </c>
      <c r="AK298" s="25">
        <f>IF(OR(Apresentação!$E$5='Base de Dados e filtragem'!AK$2,Apresentação!$E$5='Base de Dados e filtragem'!G298),1,0)</f>
        <v>1</v>
      </c>
      <c r="AL298" s="25">
        <f>IF(OR(Apresentação!$E$6='Base de Dados e filtragem'!AL$2,Apresentação!$E$6='Base de Dados e filtragem'!H298),1,0)</f>
        <v>1</v>
      </c>
      <c r="AM298" s="25">
        <f>IF(OR(Apresentação!$I$2='Base de Dados e filtragem'!AM$2,Apresentação!$I$2='Base de Dados e filtragem'!I298),1,0)</f>
        <v>1</v>
      </c>
      <c r="AN298" s="25">
        <f>IF(OR(Apresentação!$I$3='Base de Dados e filtragem'!AN$2,Apresentação!$I$3='Base de Dados e filtragem'!J298),1,0)</f>
        <v>1</v>
      </c>
      <c r="AO298" s="25">
        <f>IF(OR(Apresentação!$I$4='Base de Dados e filtragem'!AO$2,Apresentação!$I$4='Base de Dados e filtragem'!K298),1,0)</f>
        <v>1</v>
      </c>
      <c r="AP298" s="25">
        <f>IF(OR(Apresentação!$I$5='Base de Dados e filtragem'!AP$2,Apresentação!$I$5='Base de Dados e filtragem'!L298),1,0)</f>
        <v>1</v>
      </c>
      <c r="AQ298" s="25">
        <f>IF(OR(Apresentação!$I$6='Base de Dados e filtragem'!AQ$2,Apresentação!$I$6='Base de Dados e filtragem'!M298),1,0)</f>
        <v>1</v>
      </c>
      <c r="AR298" s="25">
        <v>1</v>
      </c>
      <c r="AS298" s="25">
        <v>1</v>
      </c>
      <c r="AT298" s="25">
        <v>1</v>
      </c>
      <c r="AU298" s="25">
        <v>1</v>
      </c>
      <c r="AV298" s="25">
        <v>1</v>
      </c>
      <c r="AW298" s="25">
        <v>1</v>
      </c>
      <c r="AX298" s="25">
        <v>1</v>
      </c>
      <c r="AY298" s="25">
        <v>1</v>
      </c>
      <c r="AZ298" s="25">
        <v>1</v>
      </c>
      <c r="BA298" s="25">
        <v>1</v>
      </c>
      <c r="BB298" s="25">
        <v>1</v>
      </c>
      <c r="BC298" s="25">
        <v>1</v>
      </c>
      <c r="BD298" s="25">
        <v>1</v>
      </c>
    </row>
    <row r="299" spans="27:56" x14ac:dyDescent="0.25">
      <c r="AA299" s="68" t="str">
        <f t="shared" si="17"/>
        <v>Fotos\\.jpg</v>
      </c>
      <c r="AB299" s="53">
        <f t="shared" si="18"/>
        <v>3.3444816053511705E-3</v>
      </c>
      <c r="AC299" s="25">
        <f t="shared" si="19"/>
        <v>299</v>
      </c>
      <c r="AD299" s="51">
        <f t="shared" si="20"/>
        <v>1</v>
      </c>
      <c r="AE299" s="25">
        <v>1</v>
      </c>
      <c r="AF299" s="25">
        <v>1</v>
      </c>
      <c r="AG299" s="25">
        <v>1</v>
      </c>
      <c r="AH299" s="25">
        <v>1</v>
      </c>
      <c r="AI299" s="25">
        <f>IF(OR(Apresentação!$E$3='Base de Dados e filtragem'!AI$2,Apresentação!$E$3='Base de Dados e filtragem'!E299),1,0)</f>
        <v>1</v>
      </c>
      <c r="AJ299" s="25">
        <f>IF(OR(Apresentação!$E$4='Base de Dados e filtragem'!AJ$2,Apresentação!$E$4='Base de Dados e filtragem'!F299),1,0)</f>
        <v>1</v>
      </c>
      <c r="AK299" s="25">
        <f>IF(OR(Apresentação!$E$5='Base de Dados e filtragem'!AK$2,Apresentação!$E$5='Base de Dados e filtragem'!G299),1,0)</f>
        <v>1</v>
      </c>
      <c r="AL299" s="25">
        <f>IF(OR(Apresentação!$E$6='Base de Dados e filtragem'!AL$2,Apresentação!$E$6='Base de Dados e filtragem'!H299),1,0)</f>
        <v>1</v>
      </c>
      <c r="AM299" s="25">
        <f>IF(OR(Apresentação!$I$2='Base de Dados e filtragem'!AM$2,Apresentação!$I$2='Base de Dados e filtragem'!I299),1,0)</f>
        <v>1</v>
      </c>
      <c r="AN299" s="25">
        <f>IF(OR(Apresentação!$I$3='Base de Dados e filtragem'!AN$2,Apresentação!$I$3='Base de Dados e filtragem'!J299),1,0)</f>
        <v>1</v>
      </c>
      <c r="AO299" s="25">
        <f>IF(OR(Apresentação!$I$4='Base de Dados e filtragem'!AO$2,Apresentação!$I$4='Base de Dados e filtragem'!K299),1,0)</f>
        <v>1</v>
      </c>
      <c r="AP299" s="25">
        <f>IF(OR(Apresentação!$I$5='Base de Dados e filtragem'!AP$2,Apresentação!$I$5='Base de Dados e filtragem'!L299),1,0)</f>
        <v>1</v>
      </c>
      <c r="AQ299" s="25">
        <f>IF(OR(Apresentação!$I$6='Base de Dados e filtragem'!AQ$2,Apresentação!$I$6='Base de Dados e filtragem'!M299),1,0)</f>
        <v>1</v>
      </c>
      <c r="AR299" s="25">
        <v>1</v>
      </c>
      <c r="AS299" s="25">
        <v>1</v>
      </c>
      <c r="AT299" s="25">
        <v>1</v>
      </c>
      <c r="AU299" s="25">
        <v>1</v>
      </c>
      <c r="AV299" s="25">
        <v>1</v>
      </c>
      <c r="AW299" s="25">
        <v>1</v>
      </c>
      <c r="AX299" s="25">
        <v>1</v>
      </c>
      <c r="AY299" s="25">
        <v>1</v>
      </c>
      <c r="AZ299" s="25">
        <v>1</v>
      </c>
      <c r="BA299" s="25">
        <v>1</v>
      </c>
      <c r="BB299" s="25">
        <v>1</v>
      </c>
      <c r="BC299" s="25">
        <v>1</v>
      </c>
      <c r="BD299" s="25">
        <v>1</v>
      </c>
    </row>
    <row r="300" spans="27:56" x14ac:dyDescent="0.25">
      <c r="AA300" s="68" t="str">
        <f t="shared" si="17"/>
        <v>Fotos\\.jpg</v>
      </c>
      <c r="AB300" s="53">
        <f t="shared" si="18"/>
        <v>3.3333333333333335E-3</v>
      </c>
      <c r="AC300" s="25">
        <f t="shared" si="19"/>
        <v>300</v>
      </c>
      <c r="AD300" s="51">
        <f t="shared" si="20"/>
        <v>1</v>
      </c>
      <c r="AE300" s="25">
        <v>1</v>
      </c>
      <c r="AF300" s="25">
        <v>1</v>
      </c>
      <c r="AG300" s="25">
        <v>1</v>
      </c>
      <c r="AH300" s="25">
        <v>1</v>
      </c>
      <c r="AI300" s="25">
        <f>IF(OR(Apresentação!$E$3='Base de Dados e filtragem'!AI$2,Apresentação!$E$3='Base de Dados e filtragem'!E300),1,0)</f>
        <v>1</v>
      </c>
      <c r="AJ300" s="25">
        <f>IF(OR(Apresentação!$E$4='Base de Dados e filtragem'!AJ$2,Apresentação!$E$4='Base de Dados e filtragem'!F300),1,0)</f>
        <v>1</v>
      </c>
      <c r="AK300" s="25">
        <f>IF(OR(Apresentação!$E$5='Base de Dados e filtragem'!AK$2,Apresentação!$E$5='Base de Dados e filtragem'!G300),1,0)</f>
        <v>1</v>
      </c>
      <c r="AL300" s="25">
        <f>IF(OR(Apresentação!$E$6='Base de Dados e filtragem'!AL$2,Apresentação!$E$6='Base de Dados e filtragem'!H300),1,0)</f>
        <v>1</v>
      </c>
      <c r="AM300" s="25">
        <f>IF(OR(Apresentação!$I$2='Base de Dados e filtragem'!AM$2,Apresentação!$I$2='Base de Dados e filtragem'!I300),1,0)</f>
        <v>1</v>
      </c>
      <c r="AN300" s="25">
        <f>IF(OR(Apresentação!$I$3='Base de Dados e filtragem'!AN$2,Apresentação!$I$3='Base de Dados e filtragem'!J300),1,0)</f>
        <v>1</v>
      </c>
      <c r="AO300" s="25">
        <f>IF(OR(Apresentação!$I$4='Base de Dados e filtragem'!AO$2,Apresentação!$I$4='Base de Dados e filtragem'!K300),1,0)</f>
        <v>1</v>
      </c>
      <c r="AP300" s="25">
        <f>IF(OR(Apresentação!$I$5='Base de Dados e filtragem'!AP$2,Apresentação!$I$5='Base de Dados e filtragem'!L300),1,0)</f>
        <v>1</v>
      </c>
      <c r="AQ300" s="25">
        <f>IF(OR(Apresentação!$I$6='Base de Dados e filtragem'!AQ$2,Apresentação!$I$6='Base de Dados e filtragem'!M300),1,0)</f>
        <v>1</v>
      </c>
      <c r="AR300" s="25">
        <v>1</v>
      </c>
      <c r="AS300" s="25">
        <v>1</v>
      </c>
      <c r="AT300" s="25">
        <v>1</v>
      </c>
      <c r="AU300" s="25">
        <v>1</v>
      </c>
      <c r="AV300" s="25">
        <v>1</v>
      </c>
      <c r="AW300" s="25">
        <v>1</v>
      </c>
      <c r="AX300" s="25">
        <v>1</v>
      </c>
      <c r="AY300" s="25">
        <v>1</v>
      </c>
      <c r="AZ300" s="25">
        <v>1</v>
      </c>
      <c r="BA300" s="25">
        <v>1</v>
      </c>
      <c r="BB300" s="25">
        <v>1</v>
      </c>
      <c r="BC300" s="25">
        <v>1</v>
      </c>
      <c r="BD300" s="25">
        <v>1</v>
      </c>
    </row>
    <row r="301" spans="27:56" x14ac:dyDescent="0.25">
      <c r="AA301" s="68" t="str">
        <f t="shared" si="17"/>
        <v>Fotos\\.jpg</v>
      </c>
      <c r="AB301" s="53">
        <f t="shared" si="18"/>
        <v>3.3222591362126247E-3</v>
      </c>
      <c r="AC301" s="25">
        <f t="shared" si="19"/>
        <v>301</v>
      </c>
      <c r="AD301" s="51">
        <f t="shared" si="20"/>
        <v>1</v>
      </c>
      <c r="AE301" s="25">
        <v>1</v>
      </c>
      <c r="AF301" s="25">
        <v>1</v>
      </c>
      <c r="AG301" s="25">
        <v>1</v>
      </c>
      <c r="AH301" s="25">
        <v>1</v>
      </c>
      <c r="AI301" s="25">
        <f>IF(OR(Apresentação!$E$3='Base de Dados e filtragem'!AI$2,Apresentação!$E$3='Base de Dados e filtragem'!E301),1,0)</f>
        <v>1</v>
      </c>
      <c r="AJ301" s="25">
        <f>IF(OR(Apresentação!$E$4='Base de Dados e filtragem'!AJ$2,Apresentação!$E$4='Base de Dados e filtragem'!F301),1,0)</f>
        <v>1</v>
      </c>
      <c r="AK301" s="25">
        <f>IF(OR(Apresentação!$E$5='Base de Dados e filtragem'!AK$2,Apresentação!$E$5='Base de Dados e filtragem'!G301),1,0)</f>
        <v>1</v>
      </c>
      <c r="AL301" s="25">
        <f>IF(OR(Apresentação!$E$6='Base de Dados e filtragem'!AL$2,Apresentação!$E$6='Base de Dados e filtragem'!H301),1,0)</f>
        <v>1</v>
      </c>
      <c r="AM301" s="25">
        <f>IF(OR(Apresentação!$I$2='Base de Dados e filtragem'!AM$2,Apresentação!$I$2='Base de Dados e filtragem'!I301),1,0)</f>
        <v>1</v>
      </c>
      <c r="AN301" s="25">
        <f>IF(OR(Apresentação!$I$3='Base de Dados e filtragem'!AN$2,Apresentação!$I$3='Base de Dados e filtragem'!J301),1,0)</f>
        <v>1</v>
      </c>
      <c r="AO301" s="25">
        <f>IF(OR(Apresentação!$I$4='Base de Dados e filtragem'!AO$2,Apresentação!$I$4='Base de Dados e filtragem'!K301),1,0)</f>
        <v>1</v>
      </c>
      <c r="AP301" s="25">
        <f>IF(OR(Apresentação!$I$5='Base de Dados e filtragem'!AP$2,Apresentação!$I$5='Base de Dados e filtragem'!L301),1,0)</f>
        <v>1</v>
      </c>
      <c r="AQ301" s="25">
        <f>IF(OR(Apresentação!$I$6='Base de Dados e filtragem'!AQ$2,Apresentação!$I$6='Base de Dados e filtragem'!M301),1,0)</f>
        <v>1</v>
      </c>
      <c r="AR301" s="25">
        <v>1</v>
      </c>
      <c r="AS301" s="25">
        <v>1</v>
      </c>
      <c r="AT301" s="25">
        <v>1</v>
      </c>
      <c r="AU301" s="25">
        <v>1</v>
      </c>
      <c r="AV301" s="25">
        <v>1</v>
      </c>
      <c r="AW301" s="25">
        <v>1</v>
      </c>
      <c r="AX301" s="25">
        <v>1</v>
      </c>
      <c r="AY301" s="25">
        <v>1</v>
      </c>
      <c r="AZ301" s="25">
        <v>1</v>
      </c>
      <c r="BA301" s="25">
        <v>1</v>
      </c>
      <c r="BB301" s="25">
        <v>1</v>
      </c>
      <c r="BC301" s="25">
        <v>1</v>
      </c>
      <c r="BD301" s="25">
        <v>1</v>
      </c>
    </row>
    <row r="302" spans="27:56" x14ac:dyDescent="0.25">
      <c r="AA302" s="68" t="str">
        <f t="shared" si="17"/>
        <v>Fotos\\.jpg</v>
      </c>
      <c r="AB302" s="53">
        <f t="shared" si="18"/>
        <v>3.3112582781456954E-3</v>
      </c>
      <c r="AC302" s="25">
        <f t="shared" si="19"/>
        <v>302</v>
      </c>
      <c r="AD302" s="51">
        <f t="shared" si="20"/>
        <v>1</v>
      </c>
      <c r="AE302" s="25">
        <v>1</v>
      </c>
      <c r="AF302" s="25">
        <v>1</v>
      </c>
      <c r="AG302" s="25">
        <v>1</v>
      </c>
      <c r="AH302" s="25">
        <v>1</v>
      </c>
      <c r="AI302" s="25">
        <f>IF(OR(Apresentação!$E$3='Base de Dados e filtragem'!AI$2,Apresentação!$E$3='Base de Dados e filtragem'!E302),1,0)</f>
        <v>1</v>
      </c>
      <c r="AJ302" s="25">
        <f>IF(OR(Apresentação!$E$4='Base de Dados e filtragem'!AJ$2,Apresentação!$E$4='Base de Dados e filtragem'!F302),1,0)</f>
        <v>1</v>
      </c>
      <c r="AK302" s="25">
        <f>IF(OR(Apresentação!$E$5='Base de Dados e filtragem'!AK$2,Apresentação!$E$5='Base de Dados e filtragem'!G302),1,0)</f>
        <v>1</v>
      </c>
      <c r="AL302" s="25">
        <f>IF(OR(Apresentação!$E$6='Base de Dados e filtragem'!AL$2,Apresentação!$E$6='Base de Dados e filtragem'!H302),1,0)</f>
        <v>1</v>
      </c>
      <c r="AM302" s="25">
        <f>IF(OR(Apresentação!$I$2='Base de Dados e filtragem'!AM$2,Apresentação!$I$2='Base de Dados e filtragem'!I302),1,0)</f>
        <v>1</v>
      </c>
      <c r="AN302" s="25">
        <f>IF(OR(Apresentação!$I$3='Base de Dados e filtragem'!AN$2,Apresentação!$I$3='Base de Dados e filtragem'!J302),1,0)</f>
        <v>1</v>
      </c>
      <c r="AO302" s="25">
        <f>IF(OR(Apresentação!$I$4='Base de Dados e filtragem'!AO$2,Apresentação!$I$4='Base de Dados e filtragem'!K302),1,0)</f>
        <v>1</v>
      </c>
      <c r="AP302" s="25">
        <f>IF(OR(Apresentação!$I$5='Base de Dados e filtragem'!AP$2,Apresentação!$I$5='Base de Dados e filtragem'!L302),1,0)</f>
        <v>1</v>
      </c>
      <c r="AQ302" s="25">
        <f>IF(OR(Apresentação!$I$6='Base de Dados e filtragem'!AQ$2,Apresentação!$I$6='Base de Dados e filtragem'!M302),1,0)</f>
        <v>1</v>
      </c>
      <c r="AR302" s="25">
        <v>1</v>
      </c>
      <c r="AS302" s="25">
        <v>1</v>
      </c>
      <c r="AT302" s="25">
        <v>1</v>
      </c>
      <c r="AU302" s="25">
        <v>1</v>
      </c>
      <c r="AV302" s="25">
        <v>1</v>
      </c>
      <c r="AW302" s="25">
        <v>1</v>
      </c>
      <c r="AX302" s="25">
        <v>1</v>
      </c>
      <c r="AY302" s="25">
        <v>1</v>
      </c>
      <c r="AZ302" s="25">
        <v>1</v>
      </c>
      <c r="BA302" s="25">
        <v>1</v>
      </c>
      <c r="BB302" s="25">
        <v>1</v>
      </c>
      <c r="BC302" s="25">
        <v>1</v>
      </c>
      <c r="BD302" s="25">
        <v>1</v>
      </c>
    </row>
    <row r="303" spans="27:56" x14ac:dyDescent="0.25">
      <c r="AA303" s="68" t="str">
        <f t="shared" si="17"/>
        <v>Fotos\\.jpg</v>
      </c>
      <c r="AB303" s="53">
        <f t="shared" si="18"/>
        <v>3.3003300330033004E-3</v>
      </c>
      <c r="AC303" s="25">
        <f t="shared" si="19"/>
        <v>303</v>
      </c>
      <c r="AD303" s="51">
        <f t="shared" si="20"/>
        <v>1</v>
      </c>
      <c r="AE303" s="25">
        <v>1</v>
      </c>
      <c r="AF303" s="25">
        <v>1</v>
      </c>
      <c r="AG303" s="25">
        <v>1</v>
      </c>
      <c r="AH303" s="25">
        <v>1</v>
      </c>
      <c r="AI303" s="25">
        <f>IF(OR(Apresentação!$E$3='Base de Dados e filtragem'!AI$2,Apresentação!$E$3='Base de Dados e filtragem'!E303),1,0)</f>
        <v>1</v>
      </c>
      <c r="AJ303" s="25">
        <f>IF(OR(Apresentação!$E$4='Base de Dados e filtragem'!AJ$2,Apresentação!$E$4='Base de Dados e filtragem'!F303),1,0)</f>
        <v>1</v>
      </c>
      <c r="AK303" s="25">
        <f>IF(OR(Apresentação!$E$5='Base de Dados e filtragem'!AK$2,Apresentação!$E$5='Base de Dados e filtragem'!G303),1,0)</f>
        <v>1</v>
      </c>
      <c r="AL303" s="25">
        <f>IF(OR(Apresentação!$E$6='Base de Dados e filtragem'!AL$2,Apresentação!$E$6='Base de Dados e filtragem'!H303),1,0)</f>
        <v>1</v>
      </c>
      <c r="AM303" s="25">
        <f>IF(OR(Apresentação!$I$2='Base de Dados e filtragem'!AM$2,Apresentação!$I$2='Base de Dados e filtragem'!I303),1,0)</f>
        <v>1</v>
      </c>
      <c r="AN303" s="25">
        <f>IF(OR(Apresentação!$I$3='Base de Dados e filtragem'!AN$2,Apresentação!$I$3='Base de Dados e filtragem'!J303),1,0)</f>
        <v>1</v>
      </c>
      <c r="AO303" s="25">
        <f>IF(OR(Apresentação!$I$4='Base de Dados e filtragem'!AO$2,Apresentação!$I$4='Base de Dados e filtragem'!K303),1,0)</f>
        <v>1</v>
      </c>
      <c r="AP303" s="25">
        <f>IF(OR(Apresentação!$I$5='Base de Dados e filtragem'!AP$2,Apresentação!$I$5='Base de Dados e filtragem'!L303),1,0)</f>
        <v>1</v>
      </c>
      <c r="AQ303" s="25">
        <f>IF(OR(Apresentação!$I$6='Base de Dados e filtragem'!AQ$2,Apresentação!$I$6='Base de Dados e filtragem'!M303),1,0)</f>
        <v>1</v>
      </c>
      <c r="AR303" s="25">
        <v>1</v>
      </c>
      <c r="AS303" s="25">
        <v>1</v>
      </c>
      <c r="AT303" s="25">
        <v>1</v>
      </c>
      <c r="AU303" s="25">
        <v>1</v>
      </c>
      <c r="AV303" s="25">
        <v>1</v>
      </c>
      <c r="AW303" s="25">
        <v>1</v>
      </c>
      <c r="AX303" s="25">
        <v>1</v>
      </c>
      <c r="AY303" s="25">
        <v>1</v>
      </c>
      <c r="AZ303" s="25">
        <v>1</v>
      </c>
      <c r="BA303" s="25">
        <v>1</v>
      </c>
      <c r="BB303" s="25">
        <v>1</v>
      </c>
      <c r="BC303" s="25">
        <v>1</v>
      </c>
      <c r="BD303" s="25">
        <v>1</v>
      </c>
    </row>
    <row r="304" spans="27:56" x14ac:dyDescent="0.25">
      <c r="AA304" s="68" t="str">
        <f t="shared" si="17"/>
        <v>Fotos\\.jpg</v>
      </c>
      <c r="AB304" s="53">
        <f t="shared" si="18"/>
        <v>3.2894736842105261E-3</v>
      </c>
      <c r="AC304" s="25">
        <f t="shared" si="19"/>
        <v>304</v>
      </c>
      <c r="AD304" s="51">
        <f t="shared" si="20"/>
        <v>1</v>
      </c>
      <c r="AE304" s="25">
        <v>1</v>
      </c>
      <c r="AF304" s="25">
        <v>1</v>
      </c>
      <c r="AG304" s="25">
        <v>1</v>
      </c>
      <c r="AH304" s="25">
        <v>1</v>
      </c>
      <c r="AI304" s="25">
        <f>IF(OR(Apresentação!$E$3='Base de Dados e filtragem'!AI$2,Apresentação!$E$3='Base de Dados e filtragem'!E304),1,0)</f>
        <v>1</v>
      </c>
      <c r="AJ304" s="25">
        <f>IF(OR(Apresentação!$E$4='Base de Dados e filtragem'!AJ$2,Apresentação!$E$4='Base de Dados e filtragem'!F304),1,0)</f>
        <v>1</v>
      </c>
      <c r="AK304" s="25">
        <f>IF(OR(Apresentação!$E$5='Base de Dados e filtragem'!AK$2,Apresentação!$E$5='Base de Dados e filtragem'!G304),1,0)</f>
        <v>1</v>
      </c>
      <c r="AL304" s="25">
        <f>IF(OR(Apresentação!$E$6='Base de Dados e filtragem'!AL$2,Apresentação!$E$6='Base de Dados e filtragem'!H304),1,0)</f>
        <v>1</v>
      </c>
      <c r="AM304" s="25">
        <f>IF(OR(Apresentação!$I$2='Base de Dados e filtragem'!AM$2,Apresentação!$I$2='Base de Dados e filtragem'!I304),1,0)</f>
        <v>1</v>
      </c>
      <c r="AN304" s="25">
        <f>IF(OR(Apresentação!$I$3='Base de Dados e filtragem'!AN$2,Apresentação!$I$3='Base de Dados e filtragem'!J304),1,0)</f>
        <v>1</v>
      </c>
      <c r="AO304" s="25">
        <f>IF(OR(Apresentação!$I$4='Base de Dados e filtragem'!AO$2,Apresentação!$I$4='Base de Dados e filtragem'!K304),1,0)</f>
        <v>1</v>
      </c>
      <c r="AP304" s="25">
        <f>IF(OR(Apresentação!$I$5='Base de Dados e filtragem'!AP$2,Apresentação!$I$5='Base de Dados e filtragem'!L304),1,0)</f>
        <v>1</v>
      </c>
      <c r="AQ304" s="25">
        <f>IF(OR(Apresentação!$I$6='Base de Dados e filtragem'!AQ$2,Apresentação!$I$6='Base de Dados e filtragem'!M304),1,0)</f>
        <v>1</v>
      </c>
      <c r="AR304" s="25">
        <v>1</v>
      </c>
      <c r="AS304" s="25">
        <v>1</v>
      </c>
      <c r="AT304" s="25">
        <v>1</v>
      </c>
      <c r="AU304" s="25">
        <v>1</v>
      </c>
      <c r="AV304" s="25">
        <v>1</v>
      </c>
      <c r="AW304" s="25">
        <v>1</v>
      </c>
      <c r="AX304" s="25">
        <v>1</v>
      </c>
      <c r="AY304" s="25">
        <v>1</v>
      </c>
      <c r="AZ304" s="25">
        <v>1</v>
      </c>
      <c r="BA304" s="25">
        <v>1</v>
      </c>
      <c r="BB304" s="25">
        <v>1</v>
      </c>
      <c r="BC304" s="25">
        <v>1</v>
      </c>
      <c r="BD304" s="25">
        <v>1</v>
      </c>
    </row>
    <row r="305" spans="27:56" x14ac:dyDescent="0.25">
      <c r="AA305" s="68" t="str">
        <f t="shared" si="17"/>
        <v>Fotos\\.jpg</v>
      </c>
      <c r="AB305" s="53">
        <f t="shared" si="18"/>
        <v>3.2786885245901639E-3</v>
      </c>
      <c r="AC305" s="25">
        <f t="shared" si="19"/>
        <v>305</v>
      </c>
      <c r="AD305" s="51">
        <f t="shared" si="20"/>
        <v>1</v>
      </c>
      <c r="AE305" s="25">
        <v>1</v>
      </c>
      <c r="AF305" s="25">
        <v>1</v>
      </c>
      <c r="AG305" s="25">
        <v>1</v>
      </c>
      <c r="AH305" s="25">
        <v>1</v>
      </c>
      <c r="AI305" s="25">
        <f>IF(OR(Apresentação!$E$3='Base de Dados e filtragem'!AI$2,Apresentação!$E$3='Base de Dados e filtragem'!E305),1,0)</f>
        <v>1</v>
      </c>
      <c r="AJ305" s="25">
        <f>IF(OR(Apresentação!$E$4='Base de Dados e filtragem'!AJ$2,Apresentação!$E$4='Base de Dados e filtragem'!F305),1,0)</f>
        <v>1</v>
      </c>
      <c r="AK305" s="25">
        <f>IF(OR(Apresentação!$E$5='Base de Dados e filtragem'!AK$2,Apresentação!$E$5='Base de Dados e filtragem'!G305),1,0)</f>
        <v>1</v>
      </c>
      <c r="AL305" s="25">
        <f>IF(OR(Apresentação!$E$6='Base de Dados e filtragem'!AL$2,Apresentação!$E$6='Base de Dados e filtragem'!H305),1,0)</f>
        <v>1</v>
      </c>
      <c r="AM305" s="25">
        <f>IF(OR(Apresentação!$I$2='Base de Dados e filtragem'!AM$2,Apresentação!$I$2='Base de Dados e filtragem'!I305),1,0)</f>
        <v>1</v>
      </c>
      <c r="AN305" s="25">
        <f>IF(OR(Apresentação!$I$3='Base de Dados e filtragem'!AN$2,Apresentação!$I$3='Base de Dados e filtragem'!J305),1,0)</f>
        <v>1</v>
      </c>
      <c r="AO305" s="25">
        <f>IF(OR(Apresentação!$I$4='Base de Dados e filtragem'!AO$2,Apresentação!$I$4='Base de Dados e filtragem'!K305),1,0)</f>
        <v>1</v>
      </c>
      <c r="AP305" s="25">
        <f>IF(OR(Apresentação!$I$5='Base de Dados e filtragem'!AP$2,Apresentação!$I$5='Base de Dados e filtragem'!L305),1,0)</f>
        <v>1</v>
      </c>
      <c r="AQ305" s="25">
        <f>IF(OR(Apresentação!$I$6='Base de Dados e filtragem'!AQ$2,Apresentação!$I$6='Base de Dados e filtragem'!M305),1,0)</f>
        <v>1</v>
      </c>
      <c r="AR305" s="25">
        <v>1</v>
      </c>
      <c r="AS305" s="25">
        <v>1</v>
      </c>
      <c r="AT305" s="25">
        <v>1</v>
      </c>
      <c r="AU305" s="25">
        <v>1</v>
      </c>
      <c r="AV305" s="25">
        <v>1</v>
      </c>
      <c r="AW305" s="25">
        <v>1</v>
      </c>
      <c r="AX305" s="25">
        <v>1</v>
      </c>
      <c r="AY305" s="25">
        <v>1</v>
      </c>
      <c r="AZ305" s="25">
        <v>1</v>
      </c>
      <c r="BA305" s="25">
        <v>1</v>
      </c>
      <c r="BB305" s="25">
        <v>1</v>
      </c>
      <c r="BC305" s="25">
        <v>1</v>
      </c>
      <c r="BD305" s="25">
        <v>1</v>
      </c>
    </row>
    <row r="306" spans="27:56" x14ac:dyDescent="0.25">
      <c r="AA306" s="68" t="str">
        <f t="shared" si="17"/>
        <v>Fotos\\.jpg</v>
      </c>
      <c r="AB306" s="53">
        <f t="shared" si="18"/>
        <v>3.2679738562091504E-3</v>
      </c>
      <c r="AC306" s="25">
        <f t="shared" si="19"/>
        <v>306</v>
      </c>
      <c r="AD306" s="51">
        <f t="shared" si="20"/>
        <v>1</v>
      </c>
      <c r="AE306" s="25">
        <v>1</v>
      </c>
      <c r="AF306" s="25">
        <v>1</v>
      </c>
      <c r="AG306" s="25">
        <v>1</v>
      </c>
      <c r="AH306" s="25">
        <v>1</v>
      </c>
      <c r="AI306" s="25">
        <f>IF(OR(Apresentação!$E$3='Base de Dados e filtragem'!AI$2,Apresentação!$E$3='Base de Dados e filtragem'!E306),1,0)</f>
        <v>1</v>
      </c>
      <c r="AJ306" s="25">
        <f>IF(OR(Apresentação!$E$4='Base de Dados e filtragem'!AJ$2,Apresentação!$E$4='Base de Dados e filtragem'!F306),1,0)</f>
        <v>1</v>
      </c>
      <c r="AK306" s="25">
        <f>IF(OR(Apresentação!$E$5='Base de Dados e filtragem'!AK$2,Apresentação!$E$5='Base de Dados e filtragem'!G306),1,0)</f>
        <v>1</v>
      </c>
      <c r="AL306" s="25">
        <f>IF(OR(Apresentação!$E$6='Base de Dados e filtragem'!AL$2,Apresentação!$E$6='Base de Dados e filtragem'!H306),1,0)</f>
        <v>1</v>
      </c>
      <c r="AM306" s="25">
        <f>IF(OR(Apresentação!$I$2='Base de Dados e filtragem'!AM$2,Apresentação!$I$2='Base de Dados e filtragem'!I306),1,0)</f>
        <v>1</v>
      </c>
      <c r="AN306" s="25">
        <f>IF(OR(Apresentação!$I$3='Base de Dados e filtragem'!AN$2,Apresentação!$I$3='Base de Dados e filtragem'!J306),1,0)</f>
        <v>1</v>
      </c>
      <c r="AO306" s="25">
        <f>IF(OR(Apresentação!$I$4='Base de Dados e filtragem'!AO$2,Apresentação!$I$4='Base de Dados e filtragem'!K306),1,0)</f>
        <v>1</v>
      </c>
      <c r="AP306" s="25">
        <f>IF(OR(Apresentação!$I$5='Base de Dados e filtragem'!AP$2,Apresentação!$I$5='Base de Dados e filtragem'!L306),1,0)</f>
        <v>1</v>
      </c>
      <c r="AQ306" s="25">
        <f>IF(OR(Apresentação!$I$6='Base de Dados e filtragem'!AQ$2,Apresentação!$I$6='Base de Dados e filtragem'!M306),1,0)</f>
        <v>1</v>
      </c>
      <c r="AR306" s="25">
        <v>1</v>
      </c>
      <c r="AS306" s="25">
        <v>1</v>
      </c>
      <c r="AT306" s="25">
        <v>1</v>
      </c>
      <c r="AU306" s="25">
        <v>1</v>
      </c>
      <c r="AV306" s="25">
        <v>1</v>
      </c>
      <c r="AW306" s="25">
        <v>1</v>
      </c>
      <c r="AX306" s="25">
        <v>1</v>
      </c>
      <c r="AY306" s="25">
        <v>1</v>
      </c>
      <c r="AZ306" s="25">
        <v>1</v>
      </c>
      <c r="BA306" s="25">
        <v>1</v>
      </c>
      <c r="BB306" s="25">
        <v>1</v>
      </c>
      <c r="BC306" s="25">
        <v>1</v>
      </c>
      <c r="BD306" s="25">
        <v>1</v>
      </c>
    </row>
    <row r="307" spans="27:56" x14ac:dyDescent="0.25">
      <c r="AA307" s="68" t="str">
        <f t="shared" si="17"/>
        <v>Fotos\\.jpg</v>
      </c>
      <c r="AB307" s="53">
        <f t="shared" si="18"/>
        <v>3.2573289902280132E-3</v>
      </c>
      <c r="AC307" s="25">
        <f t="shared" si="19"/>
        <v>307</v>
      </c>
      <c r="AD307" s="51">
        <f t="shared" si="20"/>
        <v>1</v>
      </c>
      <c r="AE307" s="25">
        <v>1</v>
      </c>
      <c r="AF307" s="25">
        <v>1</v>
      </c>
      <c r="AG307" s="25">
        <v>1</v>
      </c>
      <c r="AH307" s="25">
        <v>1</v>
      </c>
      <c r="AI307" s="25">
        <f>IF(OR(Apresentação!$E$3='Base de Dados e filtragem'!AI$2,Apresentação!$E$3='Base de Dados e filtragem'!E307),1,0)</f>
        <v>1</v>
      </c>
      <c r="AJ307" s="25">
        <f>IF(OR(Apresentação!$E$4='Base de Dados e filtragem'!AJ$2,Apresentação!$E$4='Base de Dados e filtragem'!F307),1,0)</f>
        <v>1</v>
      </c>
      <c r="AK307" s="25">
        <f>IF(OR(Apresentação!$E$5='Base de Dados e filtragem'!AK$2,Apresentação!$E$5='Base de Dados e filtragem'!G307),1,0)</f>
        <v>1</v>
      </c>
      <c r="AL307" s="25">
        <f>IF(OR(Apresentação!$E$6='Base de Dados e filtragem'!AL$2,Apresentação!$E$6='Base de Dados e filtragem'!H307),1,0)</f>
        <v>1</v>
      </c>
      <c r="AM307" s="25">
        <f>IF(OR(Apresentação!$I$2='Base de Dados e filtragem'!AM$2,Apresentação!$I$2='Base de Dados e filtragem'!I307),1,0)</f>
        <v>1</v>
      </c>
      <c r="AN307" s="25">
        <f>IF(OR(Apresentação!$I$3='Base de Dados e filtragem'!AN$2,Apresentação!$I$3='Base de Dados e filtragem'!J307),1,0)</f>
        <v>1</v>
      </c>
      <c r="AO307" s="25">
        <f>IF(OR(Apresentação!$I$4='Base de Dados e filtragem'!AO$2,Apresentação!$I$4='Base de Dados e filtragem'!K307),1,0)</f>
        <v>1</v>
      </c>
      <c r="AP307" s="25">
        <f>IF(OR(Apresentação!$I$5='Base de Dados e filtragem'!AP$2,Apresentação!$I$5='Base de Dados e filtragem'!L307),1,0)</f>
        <v>1</v>
      </c>
      <c r="AQ307" s="25">
        <f>IF(OR(Apresentação!$I$6='Base de Dados e filtragem'!AQ$2,Apresentação!$I$6='Base de Dados e filtragem'!M307),1,0)</f>
        <v>1</v>
      </c>
      <c r="AR307" s="25">
        <v>1</v>
      </c>
      <c r="AS307" s="25">
        <v>1</v>
      </c>
      <c r="AT307" s="25">
        <v>1</v>
      </c>
      <c r="AU307" s="25">
        <v>1</v>
      </c>
      <c r="AV307" s="25">
        <v>1</v>
      </c>
      <c r="AW307" s="25">
        <v>1</v>
      </c>
      <c r="AX307" s="25">
        <v>1</v>
      </c>
      <c r="AY307" s="25">
        <v>1</v>
      </c>
      <c r="AZ307" s="25">
        <v>1</v>
      </c>
      <c r="BA307" s="25">
        <v>1</v>
      </c>
      <c r="BB307" s="25">
        <v>1</v>
      </c>
      <c r="BC307" s="25">
        <v>1</v>
      </c>
      <c r="BD307" s="25">
        <v>1</v>
      </c>
    </row>
    <row r="308" spans="27:56" x14ac:dyDescent="0.25">
      <c r="AA308" s="68" t="str">
        <f t="shared" si="17"/>
        <v>Fotos\\.jpg</v>
      </c>
      <c r="AB308" s="53">
        <f t="shared" si="18"/>
        <v>3.246753246753247E-3</v>
      </c>
      <c r="AC308" s="25">
        <f t="shared" si="19"/>
        <v>308</v>
      </c>
      <c r="AD308" s="51">
        <f t="shared" si="20"/>
        <v>1</v>
      </c>
      <c r="AE308" s="25">
        <v>1</v>
      </c>
      <c r="AF308" s="25">
        <v>1</v>
      </c>
      <c r="AG308" s="25">
        <v>1</v>
      </c>
      <c r="AH308" s="25">
        <v>1</v>
      </c>
      <c r="AI308" s="25">
        <f>IF(OR(Apresentação!$E$3='Base de Dados e filtragem'!AI$2,Apresentação!$E$3='Base de Dados e filtragem'!E308),1,0)</f>
        <v>1</v>
      </c>
      <c r="AJ308" s="25">
        <f>IF(OR(Apresentação!$E$4='Base de Dados e filtragem'!AJ$2,Apresentação!$E$4='Base de Dados e filtragem'!F308),1,0)</f>
        <v>1</v>
      </c>
      <c r="AK308" s="25">
        <f>IF(OR(Apresentação!$E$5='Base de Dados e filtragem'!AK$2,Apresentação!$E$5='Base de Dados e filtragem'!G308),1,0)</f>
        <v>1</v>
      </c>
      <c r="AL308" s="25">
        <f>IF(OR(Apresentação!$E$6='Base de Dados e filtragem'!AL$2,Apresentação!$E$6='Base de Dados e filtragem'!H308),1,0)</f>
        <v>1</v>
      </c>
      <c r="AM308" s="25">
        <f>IF(OR(Apresentação!$I$2='Base de Dados e filtragem'!AM$2,Apresentação!$I$2='Base de Dados e filtragem'!I308),1,0)</f>
        <v>1</v>
      </c>
      <c r="AN308" s="25">
        <f>IF(OR(Apresentação!$I$3='Base de Dados e filtragem'!AN$2,Apresentação!$I$3='Base de Dados e filtragem'!J308),1,0)</f>
        <v>1</v>
      </c>
      <c r="AO308" s="25">
        <f>IF(OR(Apresentação!$I$4='Base de Dados e filtragem'!AO$2,Apresentação!$I$4='Base de Dados e filtragem'!K308),1,0)</f>
        <v>1</v>
      </c>
      <c r="AP308" s="25">
        <f>IF(OR(Apresentação!$I$5='Base de Dados e filtragem'!AP$2,Apresentação!$I$5='Base de Dados e filtragem'!L308),1,0)</f>
        <v>1</v>
      </c>
      <c r="AQ308" s="25">
        <f>IF(OR(Apresentação!$I$6='Base de Dados e filtragem'!AQ$2,Apresentação!$I$6='Base de Dados e filtragem'!M308),1,0)</f>
        <v>1</v>
      </c>
      <c r="AR308" s="25">
        <v>1</v>
      </c>
      <c r="AS308" s="25">
        <v>1</v>
      </c>
      <c r="AT308" s="25">
        <v>1</v>
      </c>
      <c r="AU308" s="25">
        <v>1</v>
      </c>
      <c r="AV308" s="25">
        <v>1</v>
      </c>
      <c r="AW308" s="25">
        <v>1</v>
      </c>
      <c r="AX308" s="25">
        <v>1</v>
      </c>
      <c r="AY308" s="25">
        <v>1</v>
      </c>
      <c r="AZ308" s="25">
        <v>1</v>
      </c>
      <c r="BA308" s="25">
        <v>1</v>
      </c>
      <c r="BB308" s="25">
        <v>1</v>
      </c>
      <c r="BC308" s="25">
        <v>1</v>
      </c>
      <c r="BD308" s="25">
        <v>1</v>
      </c>
    </row>
    <row r="309" spans="27:56" x14ac:dyDescent="0.25">
      <c r="AA309" s="68" t="str">
        <f t="shared" si="17"/>
        <v>Fotos\\.jpg</v>
      </c>
      <c r="AB309" s="53">
        <f t="shared" si="18"/>
        <v>3.2362459546925568E-3</v>
      </c>
      <c r="AC309" s="25">
        <f t="shared" si="19"/>
        <v>309</v>
      </c>
      <c r="AD309" s="51">
        <f t="shared" si="20"/>
        <v>1</v>
      </c>
      <c r="AE309" s="25">
        <v>1</v>
      </c>
      <c r="AF309" s="25">
        <v>1</v>
      </c>
      <c r="AG309" s="25">
        <v>1</v>
      </c>
      <c r="AH309" s="25">
        <v>1</v>
      </c>
      <c r="AI309" s="25">
        <f>IF(OR(Apresentação!$E$3='Base de Dados e filtragem'!AI$2,Apresentação!$E$3='Base de Dados e filtragem'!E309),1,0)</f>
        <v>1</v>
      </c>
      <c r="AJ309" s="25">
        <f>IF(OR(Apresentação!$E$4='Base de Dados e filtragem'!AJ$2,Apresentação!$E$4='Base de Dados e filtragem'!F309),1,0)</f>
        <v>1</v>
      </c>
      <c r="AK309" s="25">
        <f>IF(OR(Apresentação!$E$5='Base de Dados e filtragem'!AK$2,Apresentação!$E$5='Base de Dados e filtragem'!G309),1,0)</f>
        <v>1</v>
      </c>
      <c r="AL309" s="25">
        <f>IF(OR(Apresentação!$E$6='Base de Dados e filtragem'!AL$2,Apresentação!$E$6='Base de Dados e filtragem'!H309),1,0)</f>
        <v>1</v>
      </c>
      <c r="AM309" s="25">
        <f>IF(OR(Apresentação!$I$2='Base de Dados e filtragem'!AM$2,Apresentação!$I$2='Base de Dados e filtragem'!I309),1,0)</f>
        <v>1</v>
      </c>
      <c r="AN309" s="25">
        <f>IF(OR(Apresentação!$I$3='Base de Dados e filtragem'!AN$2,Apresentação!$I$3='Base de Dados e filtragem'!J309),1,0)</f>
        <v>1</v>
      </c>
      <c r="AO309" s="25">
        <f>IF(OR(Apresentação!$I$4='Base de Dados e filtragem'!AO$2,Apresentação!$I$4='Base de Dados e filtragem'!K309),1,0)</f>
        <v>1</v>
      </c>
      <c r="AP309" s="25">
        <f>IF(OR(Apresentação!$I$5='Base de Dados e filtragem'!AP$2,Apresentação!$I$5='Base de Dados e filtragem'!L309),1,0)</f>
        <v>1</v>
      </c>
      <c r="AQ309" s="25">
        <f>IF(OR(Apresentação!$I$6='Base de Dados e filtragem'!AQ$2,Apresentação!$I$6='Base de Dados e filtragem'!M309),1,0)</f>
        <v>1</v>
      </c>
      <c r="AR309" s="25">
        <v>1</v>
      </c>
      <c r="AS309" s="25">
        <v>1</v>
      </c>
      <c r="AT309" s="25">
        <v>1</v>
      </c>
      <c r="AU309" s="25">
        <v>1</v>
      </c>
      <c r="AV309" s="25">
        <v>1</v>
      </c>
      <c r="AW309" s="25">
        <v>1</v>
      </c>
      <c r="AX309" s="25">
        <v>1</v>
      </c>
      <c r="AY309" s="25">
        <v>1</v>
      </c>
      <c r="AZ309" s="25">
        <v>1</v>
      </c>
      <c r="BA309" s="25">
        <v>1</v>
      </c>
      <c r="BB309" s="25">
        <v>1</v>
      </c>
      <c r="BC309" s="25">
        <v>1</v>
      </c>
      <c r="BD309" s="25">
        <v>1</v>
      </c>
    </row>
    <row r="310" spans="27:56" x14ac:dyDescent="0.25">
      <c r="AA310" s="68" t="str">
        <f t="shared" si="17"/>
        <v>Fotos\\.jpg</v>
      </c>
      <c r="AB310" s="53">
        <f t="shared" si="18"/>
        <v>3.2258064516129032E-3</v>
      </c>
      <c r="AC310" s="25">
        <f t="shared" si="19"/>
        <v>310</v>
      </c>
      <c r="AD310" s="51">
        <f t="shared" si="20"/>
        <v>1</v>
      </c>
      <c r="AE310" s="25">
        <v>1</v>
      </c>
      <c r="AF310" s="25">
        <v>1</v>
      </c>
      <c r="AG310" s="25">
        <v>1</v>
      </c>
      <c r="AH310" s="25">
        <v>1</v>
      </c>
      <c r="AI310" s="25">
        <f>IF(OR(Apresentação!$E$3='Base de Dados e filtragem'!AI$2,Apresentação!$E$3='Base de Dados e filtragem'!E310),1,0)</f>
        <v>1</v>
      </c>
      <c r="AJ310" s="25">
        <f>IF(OR(Apresentação!$E$4='Base de Dados e filtragem'!AJ$2,Apresentação!$E$4='Base de Dados e filtragem'!F310),1,0)</f>
        <v>1</v>
      </c>
      <c r="AK310" s="25">
        <f>IF(OR(Apresentação!$E$5='Base de Dados e filtragem'!AK$2,Apresentação!$E$5='Base de Dados e filtragem'!G310),1,0)</f>
        <v>1</v>
      </c>
      <c r="AL310" s="25">
        <f>IF(OR(Apresentação!$E$6='Base de Dados e filtragem'!AL$2,Apresentação!$E$6='Base de Dados e filtragem'!H310),1,0)</f>
        <v>1</v>
      </c>
      <c r="AM310" s="25">
        <f>IF(OR(Apresentação!$I$2='Base de Dados e filtragem'!AM$2,Apresentação!$I$2='Base de Dados e filtragem'!I310),1,0)</f>
        <v>1</v>
      </c>
      <c r="AN310" s="25">
        <f>IF(OR(Apresentação!$I$3='Base de Dados e filtragem'!AN$2,Apresentação!$I$3='Base de Dados e filtragem'!J310),1,0)</f>
        <v>1</v>
      </c>
      <c r="AO310" s="25">
        <f>IF(OR(Apresentação!$I$4='Base de Dados e filtragem'!AO$2,Apresentação!$I$4='Base de Dados e filtragem'!K310),1,0)</f>
        <v>1</v>
      </c>
      <c r="AP310" s="25">
        <f>IF(OR(Apresentação!$I$5='Base de Dados e filtragem'!AP$2,Apresentação!$I$5='Base de Dados e filtragem'!L310),1,0)</f>
        <v>1</v>
      </c>
      <c r="AQ310" s="25">
        <f>IF(OR(Apresentação!$I$6='Base de Dados e filtragem'!AQ$2,Apresentação!$I$6='Base de Dados e filtragem'!M310),1,0)</f>
        <v>1</v>
      </c>
      <c r="AR310" s="25">
        <v>1</v>
      </c>
      <c r="AS310" s="25">
        <v>1</v>
      </c>
      <c r="AT310" s="25">
        <v>1</v>
      </c>
      <c r="AU310" s="25">
        <v>1</v>
      </c>
      <c r="AV310" s="25">
        <v>1</v>
      </c>
      <c r="AW310" s="25">
        <v>1</v>
      </c>
      <c r="AX310" s="25">
        <v>1</v>
      </c>
      <c r="AY310" s="25">
        <v>1</v>
      </c>
      <c r="AZ310" s="25">
        <v>1</v>
      </c>
      <c r="BA310" s="25">
        <v>1</v>
      </c>
      <c r="BB310" s="25">
        <v>1</v>
      </c>
      <c r="BC310" s="25">
        <v>1</v>
      </c>
      <c r="BD310" s="25">
        <v>1</v>
      </c>
    </row>
    <row r="311" spans="27:56" x14ac:dyDescent="0.25">
      <c r="AA311" s="68" t="str">
        <f t="shared" si="17"/>
        <v>Fotos\\.jpg</v>
      </c>
      <c r="AB311" s="53">
        <f t="shared" si="18"/>
        <v>3.2154340836012861E-3</v>
      </c>
      <c r="AC311" s="25">
        <f t="shared" si="19"/>
        <v>311</v>
      </c>
      <c r="AD311" s="51">
        <f t="shared" si="20"/>
        <v>1</v>
      </c>
      <c r="AE311" s="25">
        <v>1</v>
      </c>
      <c r="AF311" s="25">
        <v>1</v>
      </c>
      <c r="AG311" s="25">
        <v>1</v>
      </c>
      <c r="AH311" s="25">
        <v>1</v>
      </c>
      <c r="AI311" s="25">
        <f>IF(OR(Apresentação!$E$3='Base de Dados e filtragem'!AI$2,Apresentação!$E$3='Base de Dados e filtragem'!E311),1,0)</f>
        <v>1</v>
      </c>
      <c r="AJ311" s="25">
        <f>IF(OR(Apresentação!$E$4='Base de Dados e filtragem'!AJ$2,Apresentação!$E$4='Base de Dados e filtragem'!F311),1,0)</f>
        <v>1</v>
      </c>
      <c r="AK311" s="25">
        <f>IF(OR(Apresentação!$E$5='Base de Dados e filtragem'!AK$2,Apresentação!$E$5='Base de Dados e filtragem'!G311),1,0)</f>
        <v>1</v>
      </c>
      <c r="AL311" s="25">
        <f>IF(OR(Apresentação!$E$6='Base de Dados e filtragem'!AL$2,Apresentação!$E$6='Base de Dados e filtragem'!H311),1,0)</f>
        <v>1</v>
      </c>
      <c r="AM311" s="25">
        <f>IF(OR(Apresentação!$I$2='Base de Dados e filtragem'!AM$2,Apresentação!$I$2='Base de Dados e filtragem'!I311),1,0)</f>
        <v>1</v>
      </c>
      <c r="AN311" s="25">
        <f>IF(OR(Apresentação!$I$3='Base de Dados e filtragem'!AN$2,Apresentação!$I$3='Base de Dados e filtragem'!J311),1,0)</f>
        <v>1</v>
      </c>
      <c r="AO311" s="25">
        <f>IF(OR(Apresentação!$I$4='Base de Dados e filtragem'!AO$2,Apresentação!$I$4='Base de Dados e filtragem'!K311),1,0)</f>
        <v>1</v>
      </c>
      <c r="AP311" s="25">
        <f>IF(OR(Apresentação!$I$5='Base de Dados e filtragem'!AP$2,Apresentação!$I$5='Base de Dados e filtragem'!L311),1,0)</f>
        <v>1</v>
      </c>
      <c r="AQ311" s="25">
        <f>IF(OR(Apresentação!$I$6='Base de Dados e filtragem'!AQ$2,Apresentação!$I$6='Base de Dados e filtragem'!M311),1,0)</f>
        <v>1</v>
      </c>
      <c r="AR311" s="25">
        <v>1</v>
      </c>
      <c r="AS311" s="25">
        <v>1</v>
      </c>
      <c r="AT311" s="25">
        <v>1</v>
      </c>
      <c r="AU311" s="25">
        <v>1</v>
      </c>
      <c r="AV311" s="25">
        <v>1</v>
      </c>
      <c r="AW311" s="25">
        <v>1</v>
      </c>
      <c r="AX311" s="25">
        <v>1</v>
      </c>
      <c r="AY311" s="25">
        <v>1</v>
      </c>
      <c r="AZ311" s="25">
        <v>1</v>
      </c>
      <c r="BA311" s="25">
        <v>1</v>
      </c>
      <c r="BB311" s="25">
        <v>1</v>
      </c>
      <c r="BC311" s="25">
        <v>1</v>
      </c>
      <c r="BD311" s="25">
        <v>1</v>
      </c>
    </row>
    <row r="312" spans="27:56" x14ac:dyDescent="0.25">
      <c r="AA312" s="68" t="str">
        <f t="shared" si="17"/>
        <v>Fotos\\.jpg</v>
      </c>
      <c r="AB312" s="53">
        <f t="shared" si="18"/>
        <v>3.205128205128205E-3</v>
      </c>
      <c r="AC312" s="25">
        <f t="shared" si="19"/>
        <v>312</v>
      </c>
      <c r="AD312" s="51">
        <f t="shared" si="20"/>
        <v>1</v>
      </c>
      <c r="AE312" s="25">
        <v>1</v>
      </c>
      <c r="AF312" s="25">
        <v>1</v>
      </c>
      <c r="AG312" s="25">
        <v>1</v>
      </c>
      <c r="AH312" s="25">
        <v>1</v>
      </c>
      <c r="AI312" s="25">
        <f>IF(OR(Apresentação!$E$3='Base de Dados e filtragem'!AI$2,Apresentação!$E$3='Base de Dados e filtragem'!E312),1,0)</f>
        <v>1</v>
      </c>
      <c r="AJ312" s="25">
        <f>IF(OR(Apresentação!$E$4='Base de Dados e filtragem'!AJ$2,Apresentação!$E$4='Base de Dados e filtragem'!F312),1,0)</f>
        <v>1</v>
      </c>
      <c r="AK312" s="25">
        <f>IF(OR(Apresentação!$E$5='Base de Dados e filtragem'!AK$2,Apresentação!$E$5='Base de Dados e filtragem'!G312),1,0)</f>
        <v>1</v>
      </c>
      <c r="AL312" s="25">
        <f>IF(OR(Apresentação!$E$6='Base de Dados e filtragem'!AL$2,Apresentação!$E$6='Base de Dados e filtragem'!H312),1,0)</f>
        <v>1</v>
      </c>
      <c r="AM312" s="25">
        <f>IF(OR(Apresentação!$I$2='Base de Dados e filtragem'!AM$2,Apresentação!$I$2='Base de Dados e filtragem'!I312),1,0)</f>
        <v>1</v>
      </c>
      <c r="AN312" s="25">
        <f>IF(OR(Apresentação!$I$3='Base de Dados e filtragem'!AN$2,Apresentação!$I$3='Base de Dados e filtragem'!J312),1,0)</f>
        <v>1</v>
      </c>
      <c r="AO312" s="25">
        <f>IF(OR(Apresentação!$I$4='Base de Dados e filtragem'!AO$2,Apresentação!$I$4='Base de Dados e filtragem'!K312),1,0)</f>
        <v>1</v>
      </c>
      <c r="AP312" s="25">
        <f>IF(OR(Apresentação!$I$5='Base de Dados e filtragem'!AP$2,Apresentação!$I$5='Base de Dados e filtragem'!L312),1,0)</f>
        <v>1</v>
      </c>
      <c r="AQ312" s="25">
        <f>IF(OR(Apresentação!$I$6='Base de Dados e filtragem'!AQ$2,Apresentação!$I$6='Base de Dados e filtragem'!M312),1,0)</f>
        <v>1</v>
      </c>
      <c r="AR312" s="25">
        <v>1</v>
      </c>
      <c r="AS312" s="25">
        <v>1</v>
      </c>
      <c r="AT312" s="25">
        <v>1</v>
      </c>
      <c r="AU312" s="25">
        <v>1</v>
      </c>
      <c r="AV312" s="25">
        <v>1</v>
      </c>
      <c r="AW312" s="25">
        <v>1</v>
      </c>
      <c r="AX312" s="25">
        <v>1</v>
      </c>
      <c r="AY312" s="25">
        <v>1</v>
      </c>
      <c r="AZ312" s="25">
        <v>1</v>
      </c>
      <c r="BA312" s="25">
        <v>1</v>
      </c>
      <c r="BB312" s="25">
        <v>1</v>
      </c>
      <c r="BC312" s="25">
        <v>1</v>
      </c>
      <c r="BD312" s="25">
        <v>1</v>
      </c>
    </row>
    <row r="313" spans="27:56" x14ac:dyDescent="0.25">
      <c r="AA313" s="68" t="str">
        <f t="shared" si="17"/>
        <v>Fotos\\.jpg</v>
      </c>
      <c r="AB313" s="53">
        <f t="shared" si="18"/>
        <v>3.1948881789137379E-3</v>
      </c>
      <c r="AC313" s="25">
        <f t="shared" si="19"/>
        <v>313</v>
      </c>
      <c r="AD313" s="51">
        <f t="shared" si="20"/>
        <v>1</v>
      </c>
      <c r="AE313" s="25">
        <v>1</v>
      </c>
      <c r="AF313" s="25">
        <v>1</v>
      </c>
      <c r="AG313" s="25">
        <v>1</v>
      </c>
      <c r="AH313" s="25">
        <v>1</v>
      </c>
      <c r="AI313" s="25">
        <f>IF(OR(Apresentação!$E$3='Base de Dados e filtragem'!AI$2,Apresentação!$E$3='Base de Dados e filtragem'!E313),1,0)</f>
        <v>1</v>
      </c>
      <c r="AJ313" s="25">
        <f>IF(OR(Apresentação!$E$4='Base de Dados e filtragem'!AJ$2,Apresentação!$E$4='Base de Dados e filtragem'!F313),1,0)</f>
        <v>1</v>
      </c>
      <c r="AK313" s="25">
        <f>IF(OR(Apresentação!$E$5='Base de Dados e filtragem'!AK$2,Apresentação!$E$5='Base de Dados e filtragem'!G313),1,0)</f>
        <v>1</v>
      </c>
      <c r="AL313" s="25">
        <f>IF(OR(Apresentação!$E$6='Base de Dados e filtragem'!AL$2,Apresentação!$E$6='Base de Dados e filtragem'!H313),1,0)</f>
        <v>1</v>
      </c>
      <c r="AM313" s="25">
        <f>IF(OR(Apresentação!$I$2='Base de Dados e filtragem'!AM$2,Apresentação!$I$2='Base de Dados e filtragem'!I313),1,0)</f>
        <v>1</v>
      </c>
      <c r="AN313" s="25">
        <f>IF(OR(Apresentação!$I$3='Base de Dados e filtragem'!AN$2,Apresentação!$I$3='Base de Dados e filtragem'!J313),1,0)</f>
        <v>1</v>
      </c>
      <c r="AO313" s="25">
        <f>IF(OR(Apresentação!$I$4='Base de Dados e filtragem'!AO$2,Apresentação!$I$4='Base de Dados e filtragem'!K313),1,0)</f>
        <v>1</v>
      </c>
      <c r="AP313" s="25">
        <f>IF(OR(Apresentação!$I$5='Base de Dados e filtragem'!AP$2,Apresentação!$I$5='Base de Dados e filtragem'!L313),1,0)</f>
        <v>1</v>
      </c>
      <c r="AQ313" s="25">
        <f>IF(OR(Apresentação!$I$6='Base de Dados e filtragem'!AQ$2,Apresentação!$I$6='Base de Dados e filtragem'!M313),1,0)</f>
        <v>1</v>
      </c>
      <c r="AR313" s="25">
        <v>1</v>
      </c>
      <c r="AS313" s="25">
        <v>1</v>
      </c>
      <c r="AT313" s="25">
        <v>1</v>
      </c>
      <c r="AU313" s="25">
        <v>1</v>
      </c>
      <c r="AV313" s="25">
        <v>1</v>
      </c>
      <c r="AW313" s="25">
        <v>1</v>
      </c>
      <c r="AX313" s="25">
        <v>1</v>
      </c>
      <c r="AY313" s="25">
        <v>1</v>
      </c>
      <c r="AZ313" s="25">
        <v>1</v>
      </c>
      <c r="BA313" s="25">
        <v>1</v>
      </c>
      <c r="BB313" s="25">
        <v>1</v>
      </c>
      <c r="BC313" s="25">
        <v>1</v>
      </c>
      <c r="BD313" s="25">
        <v>1</v>
      </c>
    </row>
    <row r="314" spans="27:56" x14ac:dyDescent="0.25">
      <c r="AA314" s="68" t="str">
        <f t="shared" si="17"/>
        <v>Fotos\\.jpg</v>
      </c>
      <c r="AB314" s="53">
        <f t="shared" si="18"/>
        <v>3.1847133757961785E-3</v>
      </c>
      <c r="AC314" s="25">
        <f t="shared" si="19"/>
        <v>314</v>
      </c>
      <c r="AD314" s="51">
        <f t="shared" si="20"/>
        <v>1</v>
      </c>
      <c r="AE314" s="25">
        <v>1</v>
      </c>
      <c r="AF314" s="25">
        <v>1</v>
      </c>
      <c r="AG314" s="25">
        <v>1</v>
      </c>
      <c r="AH314" s="25">
        <v>1</v>
      </c>
      <c r="AI314" s="25">
        <f>IF(OR(Apresentação!$E$3='Base de Dados e filtragem'!AI$2,Apresentação!$E$3='Base de Dados e filtragem'!E314),1,0)</f>
        <v>1</v>
      </c>
      <c r="AJ314" s="25">
        <f>IF(OR(Apresentação!$E$4='Base de Dados e filtragem'!AJ$2,Apresentação!$E$4='Base de Dados e filtragem'!F314),1,0)</f>
        <v>1</v>
      </c>
      <c r="AK314" s="25">
        <f>IF(OR(Apresentação!$E$5='Base de Dados e filtragem'!AK$2,Apresentação!$E$5='Base de Dados e filtragem'!G314),1,0)</f>
        <v>1</v>
      </c>
      <c r="AL314" s="25">
        <f>IF(OR(Apresentação!$E$6='Base de Dados e filtragem'!AL$2,Apresentação!$E$6='Base de Dados e filtragem'!H314),1,0)</f>
        <v>1</v>
      </c>
      <c r="AM314" s="25">
        <f>IF(OR(Apresentação!$I$2='Base de Dados e filtragem'!AM$2,Apresentação!$I$2='Base de Dados e filtragem'!I314),1,0)</f>
        <v>1</v>
      </c>
      <c r="AN314" s="25">
        <f>IF(OR(Apresentação!$I$3='Base de Dados e filtragem'!AN$2,Apresentação!$I$3='Base de Dados e filtragem'!J314),1,0)</f>
        <v>1</v>
      </c>
      <c r="AO314" s="25">
        <f>IF(OR(Apresentação!$I$4='Base de Dados e filtragem'!AO$2,Apresentação!$I$4='Base de Dados e filtragem'!K314),1,0)</f>
        <v>1</v>
      </c>
      <c r="AP314" s="25">
        <f>IF(OR(Apresentação!$I$5='Base de Dados e filtragem'!AP$2,Apresentação!$I$5='Base de Dados e filtragem'!L314),1,0)</f>
        <v>1</v>
      </c>
      <c r="AQ314" s="25">
        <f>IF(OR(Apresentação!$I$6='Base de Dados e filtragem'!AQ$2,Apresentação!$I$6='Base de Dados e filtragem'!M314),1,0)</f>
        <v>1</v>
      </c>
      <c r="AR314" s="25">
        <v>1</v>
      </c>
      <c r="AS314" s="25">
        <v>1</v>
      </c>
      <c r="AT314" s="25">
        <v>1</v>
      </c>
      <c r="AU314" s="25">
        <v>1</v>
      </c>
      <c r="AV314" s="25">
        <v>1</v>
      </c>
      <c r="AW314" s="25">
        <v>1</v>
      </c>
      <c r="AX314" s="25">
        <v>1</v>
      </c>
      <c r="AY314" s="25">
        <v>1</v>
      </c>
      <c r="AZ314" s="25">
        <v>1</v>
      </c>
      <c r="BA314" s="25">
        <v>1</v>
      </c>
      <c r="BB314" s="25">
        <v>1</v>
      </c>
      <c r="BC314" s="25">
        <v>1</v>
      </c>
      <c r="BD314" s="25">
        <v>1</v>
      </c>
    </row>
    <row r="315" spans="27:56" x14ac:dyDescent="0.25">
      <c r="AA315" s="68" t="str">
        <f t="shared" si="17"/>
        <v>Fotos\\.jpg</v>
      </c>
      <c r="AB315" s="53">
        <f t="shared" si="18"/>
        <v>3.1746031746031746E-3</v>
      </c>
      <c r="AC315" s="25">
        <f t="shared" si="19"/>
        <v>315</v>
      </c>
      <c r="AD315" s="51">
        <f t="shared" si="20"/>
        <v>1</v>
      </c>
      <c r="AE315" s="25">
        <v>1</v>
      </c>
      <c r="AF315" s="25">
        <v>1</v>
      </c>
      <c r="AG315" s="25">
        <v>1</v>
      </c>
      <c r="AH315" s="25">
        <v>1</v>
      </c>
      <c r="AI315" s="25">
        <f>IF(OR(Apresentação!$E$3='Base de Dados e filtragem'!AI$2,Apresentação!$E$3='Base de Dados e filtragem'!E315),1,0)</f>
        <v>1</v>
      </c>
      <c r="AJ315" s="25">
        <f>IF(OR(Apresentação!$E$4='Base de Dados e filtragem'!AJ$2,Apresentação!$E$4='Base de Dados e filtragem'!F315),1,0)</f>
        <v>1</v>
      </c>
      <c r="AK315" s="25">
        <f>IF(OR(Apresentação!$E$5='Base de Dados e filtragem'!AK$2,Apresentação!$E$5='Base de Dados e filtragem'!G315),1,0)</f>
        <v>1</v>
      </c>
      <c r="AL315" s="25">
        <f>IF(OR(Apresentação!$E$6='Base de Dados e filtragem'!AL$2,Apresentação!$E$6='Base de Dados e filtragem'!H315),1,0)</f>
        <v>1</v>
      </c>
      <c r="AM315" s="25">
        <f>IF(OR(Apresentação!$I$2='Base de Dados e filtragem'!AM$2,Apresentação!$I$2='Base de Dados e filtragem'!I315),1,0)</f>
        <v>1</v>
      </c>
      <c r="AN315" s="25">
        <f>IF(OR(Apresentação!$I$3='Base de Dados e filtragem'!AN$2,Apresentação!$I$3='Base de Dados e filtragem'!J315),1,0)</f>
        <v>1</v>
      </c>
      <c r="AO315" s="25">
        <f>IF(OR(Apresentação!$I$4='Base de Dados e filtragem'!AO$2,Apresentação!$I$4='Base de Dados e filtragem'!K315),1,0)</f>
        <v>1</v>
      </c>
      <c r="AP315" s="25">
        <f>IF(OR(Apresentação!$I$5='Base de Dados e filtragem'!AP$2,Apresentação!$I$5='Base de Dados e filtragem'!L315),1,0)</f>
        <v>1</v>
      </c>
      <c r="AQ315" s="25">
        <f>IF(OR(Apresentação!$I$6='Base de Dados e filtragem'!AQ$2,Apresentação!$I$6='Base de Dados e filtragem'!M315),1,0)</f>
        <v>1</v>
      </c>
      <c r="AR315" s="25">
        <v>1</v>
      </c>
      <c r="AS315" s="25">
        <v>1</v>
      </c>
      <c r="AT315" s="25">
        <v>1</v>
      </c>
      <c r="AU315" s="25">
        <v>1</v>
      </c>
      <c r="AV315" s="25">
        <v>1</v>
      </c>
      <c r="AW315" s="25">
        <v>1</v>
      </c>
      <c r="AX315" s="25">
        <v>1</v>
      </c>
      <c r="AY315" s="25">
        <v>1</v>
      </c>
      <c r="AZ315" s="25">
        <v>1</v>
      </c>
      <c r="BA315" s="25">
        <v>1</v>
      </c>
      <c r="BB315" s="25">
        <v>1</v>
      </c>
      <c r="BC315" s="25">
        <v>1</v>
      </c>
      <c r="BD315" s="25">
        <v>1</v>
      </c>
    </row>
    <row r="316" spans="27:56" x14ac:dyDescent="0.25">
      <c r="AA316" s="68" t="str">
        <f t="shared" si="17"/>
        <v>Fotos\\.jpg</v>
      </c>
      <c r="AB316" s="53">
        <f t="shared" si="18"/>
        <v>3.1645569620253164E-3</v>
      </c>
      <c r="AC316" s="25">
        <f t="shared" si="19"/>
        <v>316</v>
      </c>
      <c r="AD316" s="51">
        <f t="shared" si="20"/>
        <v>1</v>
      </c>
      <c r="AE316" s="25">
        <v>1</v>
      </c>
      <c r="AF316" s="25">
        <v>1</v>
      </c>
      <c r="AG316" s="25">
        <v>1</v>
      </c>
      <c r="AH316" s="25">
        <v>1</v>
      </c>
      <c r="AI316" s="25">
        <f>IF(OR(Apresentação!$E$3='Base de Dados e filtragem'!AI$2,Apresentação!$E$3='Base de Dados e filtragem'!E316),1,0)</f>
        <v>1</v>
      </c>
      <c r="AJ316" s="25">
        <f>IF(OR(Apresentação!$E$4='Base de Dados e filtragem'!AJ$2,Apresentação!$E$4='Base de Dados e filtragem'!F316),1,0)</f>
        <v>1</v>
      </c>
      <c r="AK316" s="25">
        <f>IF(OR(Apresentação!$E$5='Base de Dados e filtragem'!AK$2,Apresentação!$E$5='Base de Dados e filtragem'!G316),1,0)</f>
        <v>1</v>
      </c>
      <c r="AL316" s="25">
        <f>IF(OR(Apresentação!$E$6='Base de Dados e filtragem'!AL$2,Apresentação!$E$6='Base de Dados e filtragem'!H316),1,0)</f>
        <v>1</v>
      </c>
      <c r="AM316" s="25">
        <f>IF(OR(Apresentação!$I$2='Base de Dados e filtragem'!AM$2,Apresentação!$I$2='Base de Dados e filtragem'!I316),1,0)</f>
        <v>1</v>
      </c>
      <c r="AN316" s="25">
        <f>IF(OR(Apresentação!$I$3='Base de Dados e filtragem'!AN$2,Apresentação!$I$3='Base de Dados e filtragem'!J316),1,0)</f>
        <v>1</v>
      </c>
      <c r="AO316" s="25">
        <f>IF(OR(Apresentação!$I$4='Base de Dados e filtragem'!AO$2,Apresentação!$I$4='Base de Dados e filtragem'!K316),1,0)</f>
        <v>1</v>
      </c>
      <c r="AP316" s="25">
        <f>IF(OR(Apresentação!$I$5='Base de Dados e filtragem'!AP$2,Apresentação!$I$5='Base de Dados e filtragem'!L316),1,0)</f>
        <v>1</v>
      </c>
      <c r="AQ316" s="25">
        <f>IF(OR(Apresentação!$I$6='Base de Dados e filtragem'!AQ$2,Apresentação!$I$6='Base de Dados e filtragem'!M316),1,0)</f>
        <v>1</v>
      </c>
      <c r="AR316" s="25">
        <v>1</v>
      </c>
      <c r="AS316" s="25">
        <v>1</v>
      </c>
      <c r="AT316" s="25">
        <v>1</v>
      </c>
      <c r="AU316" s="25">
        <v>1</v>
      </c>
      <c r="AV316" s="25">
        <v>1</v>
      </c>
      <c r="AW316" s="25">
        <v>1</v>
      </c>
      <c r="AX316" s="25">
        <v>1</v>
      </c>
      <c r="AY316" s="25">
        <v>1</v>
      </c>
      <c r="AZ316" s="25">
        <v>1</v>
      </c>
      <c r="BA316" s="25">
        <v>1</v>
      </c>
      <c r="BB316" s="25">
        <v>1</v>
      </c>
      <c r="BC316" s="25">
        <v>1</v>
      </c>
      <c r="BD316" s="25">
        <v>1</v>
      </c>
    </row>
    <row r="317" spans="27:56" x14ac:dyDescent="0.25">
      <c r="AA317" s="68" t="str">
        <f t="shared" si="17"/>
        <v>Fotos\\.jpg</v>
      </c>
      <c r="AB317" s="53">
        <f t="shared" si="18"/>
        <v>3.1545741324921135E-3</v>
      </c>
      <c r="AC317" s="25">
        <f t="shared" si="19"/>
        <v>317</v>
      </c>
      <c r="AD317" s="51">
        <f t="shared" si="20"/>
        <v>1</v>
      </c>
      <c r="AE317" s="25">
        <v>1</v>
      </c>
      <c r="AF317" s="25">
        <v>1</v>
      </c>
      <c r="AG317" s="25">
        <v>1</v>
      </c>
      <c r="AH317" s="25">
        <v>1</v>
      </c>
      <c r="AI317" s="25">
        <f>IF(OR(Apresentação!$E$3='Base de Dados e filtragem'!AI$2,Apresentação!$E$3='Base de Dados e filtragem'!E317),1,0)</f>
        <v>1</v>
      </c>
      <c r="AJ317" s="25">
        <f>IF(OR(Apresentação!$E$4='Base de Dados e filtragem'!AJ$2,Apresentação!$E$4='Base de Dados e filtragem'!F317),1,0)</f>
        <v>1</v>
      </c>
      <c r="AK317" s="25">
        <f>IF(OR(Apresentação!$E$5='Base de Dados e filtragem'!AK$2,Apresentação!$E$5='Base de Dados e filtragem'!G317),1,0)</f>
        <v>1</v>
      </c>
      <c r="AL317" s="25">
        <f>IF(OR(Apresentação!$E$6='Base de Dados e filtragem'!AL$2,Apresentação!$E$6='Base de Dados e filtragem'!H317),1,0)</f>
        <v>1</v>
      </c>
      <c r="AM317" s="25">
        <f>IF(OR(Apresentação!$I$2='Base de Dados e filtragem'!AM$2,Apresentação!$I$2='Base de Dados e filtragem'!I317),1,0)</f>
        <v>1</v>
      </c>
      <c r="AN317" s="25">
        <f>IF(OR(Apresentação!$I$3='Base de Dados e filtragem'!AN$2,Apresentação!$I$3='Base de Dados e filtragem'!J317),1,0)</f>
        <v>1</v>
      </c>
      <c r="AO317" s="25">
        <f>IF(OR(Apresentação!$I$4='Base de Dados e filtragem'!AO$2,Apresentação!$I$4='Base de Dados e filtragem'!K317),1,0)</f>
        <v>1</v>
      </c>
      <c r="AP317" s="25">
        <f>IF(OR(Apresentação!$I$5='Base de Dados e filtragem'!AP$2,Apresentação!$I$5='Base de Dados e filtragem'!L317),1,0)</f>
        <v>1</v>
      </c>
      <c r="AQ317" s="25">
        <f>IF(OR(Apresentação!$I$6='Base de Dados e filtragem'!AQ$2,Apresentação!$I$6='Base de Dados e filtragem'!M317),1,0)</f>
        <v>1</v>
      </c>
      <c r="AR317" s="25">
        <v>1</v>
      </c>
      <c r="AS317" s="25">
        <v>1</v>
      </c>
      <c r="AT317" s="25">
        <v>1</v>
      </c>
      <c r="AU317" s="25">
        <v>1</v>
      </c>
      <c r="AV317" s="25">
        <v>1</v>
      </c>
      <c r="AW317" s="25">
        <v>1</v>
      </c>
      <c r="AX317" s="25">
        <v>1</v>
      </c>
      <c r="AY317" s="25">
        <v>1</v>
      </c>
      <c r="AZ317" s="25">
        <v>1</v>
      </c>
      <c r="BA317" s="25">
        <v>1</v>
      </c>
      <c r="BB317" s="25">
        <v>1</v>
      </c>
      <c r="BC317" s="25">
        <v>1</v>
      </c>
      <c r="BD317" s="25">
        <v>1</v>
      </c>
    </row>
    <row r="318" spans="27:56" x14ac:dyDescent="0.25">
      <c r="AA318" s="68" t="str">
        <f t="shared" si="17"/>
        <v>Fotos\\.jpg</v>
      </c>
      <c r="AB318" s="53">
        <f t="shared" si="18"/>
        <v>3.1446540880503146E-3</v>
      </c>
      <c r="AC318" s="25">
        <f t="shared" si="19"/>
        <v>318</v>
      </c>
      <c r="AD318" s="51">
        <f t="shared" si="20"/>
        <v>1</v>
      </c>
      <c r="AE318" s="25">
        <v>1</v>
      </c>
      <c r="AF318" s="25">
        <v>1</v>
      </c>
      <c r="AG318" s="25">
        <v>1</v>
      </c>
      <c r="AH318" s="25">
        <v>1</v>
      </c>
      <c r="AI318" s="25">
        <f>IF(OR(Apresentação!$E$3='Base de Dados e filtragem'!AI$2,Apresentação!$E$3='Base de Dados e filtragem'!E318),1,0)</f>
        <v>1</v>
      </c>
      <c r="AJ318" s="25">
        <f>IF(OR(Apresentação!$E$4='Base de Dados e filtragem'!AJ$2,Apresentação!$E$4='Base de Dados e filtragem'!F318),1,0)</f>
        <v>1</v>
      </c>
      <c r="AK318" s="25">
        <f>IF(OR(Apresentação!$E$5='Base de Dados e filtragem'!AK$2,Apresentação!$E$5='Base de Dados e filtragem'!G318),1,0)</f>
        <v>1</v>
      </c>
      <c r="AL318" s="25">
        <f>IF(OR(Apresentação!$E$6='Base de Dados e filtragem'!AL$2,Apresentação!$E$6='Base de Dados e filtragem'!H318),1,0)</f>
        <v>1</v>
      </c>
      <c r="AM318" s="25">
        <f>IF(OR(Apresentação!$I$2='Base de Dados e filtragem'!AM$2,Apresentação!$I$2='Base de Dados e filtragem'!I318),1,0)</f>
        <v>1</v>
      </c>
      <c r="AN318" s="25">
        <f>IF(OR(Apresentação!$I$3='Base de Dados e filtragem'!AN$2,Apresentação!$I$3='Base de Dados e filtragem'!J318),1,0)</f>
        <v>1</v>
      </c>
      <c r="AO318" s="25">
        <f>IF(OR(Apresentação!$I$4='Base de Dados e filtragem'!AO$2,Apresentação!$I$4='Base de Dados e filtragem'!K318),1,0)</f>
        <v>1</v>
      </c>
      <c r="AP318" s="25">
        <f>IF(OR(Apresentação!$I$5='Base de Dados e filtragem'!AP$2,Apresentação!$I$5='Base de Dados e filtragem'!L318),1,0)</f>
        <v>1</v>
      </c>
      <c r="AQ318" s="25">
        <f>IF(OR(Apresentação!$I$6='Base de Dados e filtragem'!AQ$2,Apresentação!$I$6='Base de Dados e filtragem'!M318),1,0)</f>
        <v>1</v>
      </c>
      <c r="AR318" s="25">
        <v>1</v>
      </c>
      <c r="AS318" s="25">
        <v>1</v>
      </c>
      <c r="AT318" s="25">
        <v>1</v>
      </c>
      <c r="AU318" s="25">
        <v>1</v>
      </c>
      <c r="AV318" s="25">
        <v>1</v>
      </c>
      <c r="AW318" s="25">
        <v>1</v>
      </c>
      <c r="AX318" s="25">
        <v>1</v>
      </c>
      <c r="AY318" s="25">
        <v>1</v>
      </c>
      <c r="AZ318" s="25">
        <v>1</v>
      </c>
      <c r="BA318" s="25">
        <v>1</v>
      </c>
      <c r="BB318" s="25">
        <v>1</v>
      </c>
      <c r="BC318" s="25">
        <v>1</v>
      </c>
      <c r="BD318" s="25">
        <v>1</v>
      </c>
    </row>
    <row r="319" spans="27:56" x14ac:dyDescent="0.25">
      <c r="AA319" s="68" t="str">
        <f t="shared" si="17"/>
        <v>Fotos\\.jpg</v>
      </c>
      <c r="AB319" s="53">
        <f t="shared" si="18"/>
        <v>3.134796238244514E-3</v>
      </c>
      <c r="AC319" s="25">
        <f t="shared" si="19"/>
        <v>319</v>
      </c>
      <c r="AD319" s="51">
        <f t="shared" si="20"/>
        <v>1</v>
      </c>
      <c r="AE319" s="25">
        <v>1</v>
      </c>
      <c r="AF319" s="25">
        <v>1</v>
      </c>
      <c r="AG319" s="25">
        <v>1</v>
      </c>
      <c r="AH319" s="25">
        <v>1</v>
      </c>
      <c r="AI319" s="25">
        <f>IF(OR(Apresentação!$E$3='Base de Dados e filtragem'!AI$2,Apresentação!$E$3='Base de Dados e filtragem'!E319),1,0)</f>
        <v>1</v>
      </c>
      <c r="AJ319" s="25">
        <f>IF(OR(Apresentação!$E$4='Base de Dados e filtragem'!AJ$2,Apresentação!$E$4='Base de Dados e filtragem'!F319),1,0)</f>
        <v>1</v>
      </c>
      <c r="AK319" s="25">
        <f>IF(OR(Apresentação!$E$5='Base de Dados e filtragem'!AK$2,Apresentação!$E$5='Base de Dados e filtragem'!G319),1,0)</f>
        <v>1</v>
      </c>
      <c r="AL319" s="25">
        <f>IF(OR(Apresentação!$E$6='Base de Dados e filtragem'!AL$2,Apresentação!$E$6='Base de Dados e filtragem'!H319),1,0)</f>
        <v>1</v>
      </c>
      <c r="AM319" s="25">
        <f>IF(OR(Apresentação!$I$2='Base de Dados e filtragem'!AM$2,Apresentação!$I$2='Base de Dados e filtragem'!I319),1,0)</f>
        <v>1</v>
      </c>
      <c r="AN319" s="25">
        <f>IF(OR(Apresentação!$I$3='Base de Dados e filtragem'!AN$2,Apresentação!$I$3='Base de Dados e filtragem'!J319),1,0)</f>
        <v>1</v>
      </c>
      <c r="AO319" s="25">
        <f>IF(OR(Apresentação!$I$4='Base de Dados e filtragem'!AO$2,Apresentação!$I$4='Base de Dados e filtragem'!K319),1,0)</f>
        <v>1</v>
      </c>
      <c r="AP319" s="25">
        <f>IF(OR(Apresentação!$I$5='Base de Dados e filtragem'!AP$2,Apresentação!$I$5='Base de Dados e filtragem'!L319),1,0)</f>
        <v>1</v>
      </c>
      <c r="AQ319" s="25">
        <f>IF(OR(Apresentação!$I$6='Base de Dados e filtragem'!AQ$2,Apresentação!$I$6='Base de Dados e filtragem'!M319),1,0)</f>
        <v>1</v>
      </c>
      <c r="AR319" s="25">
        <v>1</v>
      </c>
      <c r="AS319" s="25">
        <v>1</v>
      </c>
      <c r="AT319" s="25">
        <v>1</v>
      </c>
      <c r="AU319" s="25">
        <v>1</v>
      </c>
      <c r="AV319" s="25">
        <v>1</v>
      </c>
      <c r="AW319" s="25">
        <v>1</v>
      </c>
      <c r="AX319" s="25">
        <v>1</v>
      </c>
      <c r="AY319" s="25">
        <v>1</v>
      </c>
      <c r="AZ319" s="25">
        <v>1</v>
      </c>
      <c r="BA319" s="25">
        <v>1</v>
      </c>
      <c r="BB319" s="25">
        <v>1</v>
      </c>
      <c r="BC319" s="25">
        <v>1</v>
      </c>
      <c r="BD319" s="25">
        <v>1</v>
      </c>
    </row>
    <row r="320" spans="27:56" x14ac:dyDescent="0.25">
      <c r="AA320" s="68" t="str">
        <f t="shared" si="17"/>
        <v>Fotos\\.jpg</v>
      </c>
      <c r="AB320" s="53">
        <f t="shared" si="18"/>
        <v>3.1250000000000002E-3</v>
      </c>
      <c r="AC320" s="25">
        <f t="shared" si="19"/>
        <v>320</v>
      </c>
      <c r="AD320" s="51">
        <f t="shared" si="20"/>
        <v>1</v>
      </c>
      <c r="AE320" s="25">
        <v>1</v>
      </c>
      <c r="AF320" s="25">
        <v>1</v>
      </c>
      <c r="AG320" s="25">
        <v>1</v>
      </c>
      <c r="AH320" s="25">
        <v>1</v>
      </c>
      <c r="AI320" s="25">
        <f>IF(OR(Apresentação!$E$3='Base de Dados e filtragem'!AI$2,Apresentação!$E$3='Base de Dados e filtragem'!E320),1,0)</f>
        <v>1</v>
      </c>
      <c r="AJ320" s="25">
        <f>IF(OR(Apresentação!$E$4='Base de Dados e filtragem'!AJ$2,Apresentação!$E$4='Base de Dados e filtragem'!F320),1,0)</f>
        <v>1</v>
      </c>
      <c r="AK320" s="25">
        <f>IF(OR(Apresentação!$E$5='Base de Dados e filtragem'!AK$2,Apresentação!$E$5='Base de Dados e filtragem'!G320),1,0)</f>
        <v>1</v>
      </c>
      <c r="AL320" s="25">
        <f>IF(OR(Apresentação!$E$6='Base de Dados e filtragem'!AL$2,Apresentação!$E$6='Base de Dados e filtragem'!H320),1,0)</f>
        <v>1</v>
      </c>
      <c r="AM320" s="25">
        <f>IF(OR(Apresentação!$I$2='Base de Dados e filtragem'!AM$2,Apresentação!$I$2='Base de Dados e filtragem'!I320),1,0)</f>
        <v>1</v>
      </c>
      <c r="AN320" s="25">
        <f>IF(OR(Apresentação!$I$3='Base de Dados e filtragem'!AN$2,Apresentação!$I$3='Base de Dados e filtragem'!J320),1,0)</f>
        <v>1</v>
      </c>
      <c r="AO320" s="25">
        <f>IF(OR(Apresentação!$I$4='Base de Dados e filtragem'!AO$2,Apresentação!$I$4='Base de Dados e filtragem'!K320),1,0)</f>
        <v>1</v>
      </c>
      <c r="AP320" s="25">
        <f>IF(OR(Apresentação!$I$5='Base de Dados e filtragem'!AP$2,Apresentação!$I$5='Base de Dados e filtragem'!L320),1,0)</f>
        <v>1</v>
      </c>
      <c r="AQ320" s="25">
        <f>IF(OR(Apresentação!$I$6='Base de Dados e filtragem'!AQ$2,Apresentação!$I$6='Base de Dados e filtragem'!M320),1,0)</f>
        <v>1</v>
      </c>
      <c r="AR320" s="25">
        <v>1</v>
      </c>
      <c r="AS320" s="25">
        <v>1</v>
      </c>
      <c r="AT320" s="25">
        <v>1</v>
      </c>
      <c r="AU320" s="25">
        <v>1</v>
      </c>
      <c r="AV320" s="25">
        <v>1</v>
      </c>
      <c r="AW320" s="25">
        <v>1</v>
      </c>
      <c r="AX320" s="25">
        <v>1</v>
      </c>
      <c r="AY320" s="25">
        <v>1</v>
      </c>
      <c r="AZ320" s="25">
        <v>1</v>
      </c>
      <c r="BA320" s="25">
        <v>1</v>
      </c>
      <c r="BB320" s="25">
        <v>1</v>
      </c>
      <c r="BC320" s="25">
        <v>1</v>
      </c>
      <c r="BD320" s="25">
        <v>1</v>
      </c>
    </row>
    <row r="321" spans="27:56" x14ac:dyDescent="0.25">
      <c r="AA321" s="68" t="str">
        <f t="shared" si="17"/>
        <v>Fotos\\.jpg</v>
      </c>
      <c r="AB321" s="53">
        <f t="shared" si="18"/>
        <v>3.1152647975077881E-3</v>
      </c>
      <c r="AC321" s="25">
        <f t="shared" si="19"/>
        <v>321</v>
      </c>
      <c r="AD321" s="51">
        <f t="shared" si="20"/>
        <v>1</v>
      </c>
      <c r="AE321" s="25">
        <v>1</v>
      </c>
      <c r="AF321" s="25">
        <v>1</v>
      </c>
      <c r="AG321" s="25">
        <v>1</v>
      </c>
      <c r="AH321" s="25">
        <v>1</v>
      </c>
      <c r="AI321" s="25">
        <f>IF(OR(Apresentação!$E$3='Base de Dados e filtragem'!AI$2,Apresentação!$E$3='Base de Dados e filtragem'!E321),1,0)</f>
        <v>1</v>
      </c>
      <c r="AJ321" s="25">
        <f>IF(OR(Apresentação!$E$4='Base de Dados e filtragem'!AJ$2,Apresentação!$E$4='Base de Dados e filtragem'!F321),1,0)</f>
        <v>1</v>
      </c>
      <c r="AK321" s="25">
        <f>IF(OR(Apresentação!$E$5='Base de Dados e filtragem'!AK$2,Apresentação!$E$5='Base de Dados e filtragem'!G321),1,0)</f>
        <v>1</v>
      </c>
      <c r="AL321" s="25">
        <f>IF(OR(Apresentação!$E$6='Base de Dados e filtragem'!AL$2,Apresentação!$E$6='Base de Dados e filtragem'!H321),1,0)</f>
        <v>1</v>
      </c>
      <c r="AM321" s="25">
        <f>IF(OR(Apresentação!$I$2='Base de Dados e filtragem'!AM$2,Apresentação!$I$2='Base de Dados e filtragem'!I321),1,0)</f>
        <v>1</v>
      </c>
      <c r="AN321" s="25">
        <f>IF(OR(Apresentação!$I$3='Base de Dados e filtragem'!AN$2,Apresentação!$I$3='Base de Dados e filtragem'!J321),1,0)</f>
        <v>1</v>
      </c>
      <c r="AO321" s="25">
        <f>IF(OR(Apresentação!$I$4='Base de Dados e filtragem'!AO$2,Apresentação!$I$4='Base de Dados e filtragem'!K321),1,0)</f>
        <v>1</v>
      </c>
      <c r="AP321" s="25">
        <f>IF(OR(Apresentação!$I$5='Base de Dados e filtragem'!AP$2,Apresentação!$I$5='Base de Dados e filtragem'!L321),1,0)</f>
        <v>1</v>
      </c>
      <c r="AQ321" s="25">
        <f>IF(OR(Apresentação!$I$6='Base de Dados e filtragem'!AQ$2,Apresentação!$I$6='Base de Dados e filtragem'!M321),1,0)</f>
        <v>1</v>
      </c>
      <c r="AR321" s="25">
        <v>1</v>
      </c>
      <c r="AS321" s="25">
        <v>1</v>
      </c>
      <c r="AT321" s="25">
        <v>1</v>
      </c>
      <c r="AU321" s="25">
        <v>1</v>
      </c>
      <c r="AV321" s="25">
        <v>1</v>
      </c>
      <c r="AW321" s="25">
        <v>1</v>
      </c>
      <c r="AX321" s="25">
        <v>1</v>
      </c>
      <c r="AY321" s="25">
        <v>1</v>
      </c>
      <c r="AZ321" s="25">
        <v>1</v>
      </c>
      <c r="BA321" s="25">
        <v>1</v>
      </c>
      <c r="BB321" s="25">
        <v>1</v>
      </c>
      <c r="BC321" s="25">
        <v>1</v>
      </c>
      <c r="BD321" s="25">
        <v>1</v>
      </c>
    </row>
    <row r="322" spans="27:56" x14ac:dyDescent="0.25">
      <c r="AA322" s="68" t="str">
        <f t="shared" si="17"/>
        <v>Fotos\\.jpg</v>
      </c>
      <c r="AB322" s="53">
        <f t="shared" si="18"/>
        <v>3.105590062111801E-3</v>
      </c>
      <c r="AC322" s="25">
        <f t="shared" si="19"/>
        <v>322</v>
      </c>
      <c r="AD322" s="51">
        <f t="shared" si="20"/>
        <v>1</v>
      </c>
      <c r="AE322" s="25">
        <v>1</v>
      </c>
      <c r="AF322" s="25">
        <v>1</v>
      </c>
      <c r="AG322" s="25">
        <v>1</v>
      </c>
      <c r="AH322" s="25">
        <v>1</v>
      </c>
      <c r="AI322" s="25">
        <f>IF(OR(Apresentação!$E$3='Base de Dados e filtragem'!AI$2,Apresentação!$E$3='Base de Dados e filtragem'!E322),1,0)</f>
        <v>1</v>
      </c>
      <c r="AJ322" s="25">
        <f>IF(OR(Apresentação!$E$4='Base de Dados e filtragem'!AJ$2,Apresentação!$E$4='Base de Dados e filtragem'!F322),1,0)</f>
        <v>1</v>
      </c>
      <c r="AK322" s="25">
        <f>IF(OR(Apresentação!$E$5='Base de Dados e filtragem'!AK$2,Apresentação!$E$5='Base de Dados e filtragem'!G322),1,0)</f>
        <v>1</v>
      </c>
      <c r="AL322" s="25">
        <f>IF(OR(Apresentação!$E$6='Base de Dados e filtragem'!AL$2,Apresentação!$E$6='Base de Dados e filtragem'!H322),1,0)</f>
        <v>1</v>
      </c>
      <c r="AM322" s="25">
        <f>IF(OR(Apresentação!$I$2='Base de Dados e filtragem'!AM$2,Apresentação!$I$2='Base de Dados e filtragem'!I322),1,0)</f>
        <v>1</v>
      </c>
      <c r="AN322" s="25">
        <f>IF(OR(Apresentação!$I$3='Base de Dados e filtragem'!AN$2,Apresentação!$I$3='Base de Dados e filtragem'!J322),1,0)</f>
        <v>1</v>
      </c>
      <c r="AO322" s="25">
        <f>IF(OR(Apresentação!$I$4='Base de Dados e filtragem'!AO$2,Apresentação!$I$4='Base de Dados e filtragem'!K322),1,0)</f>
        <v>1</v>
      </c>
      <c r="AP322" s="25">
        <f>IF(OR(Apresentação!$I$5='Base de Dados e filtragem'!AP$2,Apresentação!$I$5='Base de Dados e filtragem'!L322),1,0)</f>
        <v>1</v>
      </c>
      <c r="AQ322" s="25">
        <f>IF(OR(Apresentação!$I$6='Base de Dados e filtragem'!AQ$2,Apresentação!$I$6='Base de Dados e filtragem'!M322),1,0)</f>
        <v>1</v>
      </c>
      <c r="AR322" s="25">
        <v>1</v>
      </c>
      <c r="AS322" s="25">
        <v>1</v>
      </c>
      <c r="AT322" s="25">
        <v>1</v>
      </c>
      <c r="AU322" s="25">
        <v>1</v>
      </c>
      <c r="AV322" s="25">
        <v>1</v>
      </c>
      <c r="AW322" s="25">
        <v>1</v>
      </c>
      <c r="AX322" s="25">
        <v>1</v>
      </c>
      <c r="AY322" s="25">
        <v>1</v>
      </c>
      <c r="AZ322" s="25">
        <v>1</v>
      </c>
      <c r="BA322" s="25">
        <v>1</v>
      </c>
      <c r="BB322" s="25">
        <v>1</v>
      </c>
      <c r="BC322" s="25">
        <v>1</v>
      </c>
      <c r="BD322" s="25">
        <v>1</v>
      </c>
    </row>
    <row r="323" spans="27:56" x14ac:dyDescent="0.25">
      <c r="AA323" s="68" t="str">
        <f t="shared" si="17"/>
        <v>Fotos\\.jpg</v>
      </c>
      <c r="AB323" s="53">
        <f t="shared" si="18"/>
        <v>3.0959752321981426E-3</v>
      </c>
      <c r="AC323" s="25">
        <f t="shared" si="19"/>
        <v>323</v>
      </c>
      <c r="AD323" s="51">
        <f t="shared" si="20"/>
        <v>1</v>
      </c>
      <c r="AE323" s="25">
        <v>1</v>
      </c>
      <c r="AF323" s="25">
        <v>1</v>
      </c>
      <c r="AG323" s="25">
        <v>1</v>
      </c>
      <c r="AH323" s="25">
        <v>1</v>
      </c>
      <c r="AI323" s="25">
        <f>IF(OR(Apresentação!$E$3='Base de Dados e filtragem'!AI$2,Apresentação!$E$3='Base de Dados e filtragem'!E323),1,0)</f>
        <v>1</v>
      </c>
      <c r="AJ323" s="25">
        <f>IF(OR(Apresentação!$E$4='Base de Dados e filtragem'!AJ$2,Apresentação!$E$4='Base de Dados e filtragem'!F323),1,0)</f>
        <v>1</v>
      </c>
      <c r="AK323" s="25">
        <f>IF(OR(Apresentação!$E$5='Base de Dados e filtragem'!AK$2,Apresentação!$E$5='Base de Dados e filtragem'!G323),1,0)</f>
        <v>1</v>
      </c>
      <c r="AL323" s="25">
        <f>IF(OR(Apresentação!$E$6='Base de Dados e filtragem'!AL$2,Apresentação!$E$6='Base de Dados e filtragem'!H323),1,0)</f>
        <v>1</v>
      </c>
      <c r="AM323" s="25">
        <f>IF(OR(Apresentação!$I$2='Base de Dados e filtragem'!AM$2,Apresentação!$I$2='Base de Dados e filtragem'!I323),1,0)</f>
        <v>1</v>
      </c>
      <c r="AN323" s="25">
        <f>IF(OR(Apresentação!$I$3='Base de Dados e filtragem'!AN$2,Apresentação!$I$3='Base de Dados e filtragem'!J323),1,0)</f>
        <v>1</v>
      </c>
      <c r="AO323" s="25">
        <f>IF(OR(Apresentação!$I$4='Base de Dados e filtragem'!AO$2,Apresentação!$I$4='Base de Dados e filtragem'!K323),1,0)</f>
        <v>1</v>
      </c>
      <c r="AP323" s="25">
        <f>IF(OR(Apresentação!$I$5='Base de Dados e filtragem'!AP$2,Apresentação!$I$5='Base de Dados e filtragem'!L323),1,0)</f>
        <v>1</v>
      </c>
      <c r="AQ323" s="25">
        <f>IF(OR(Apresentação!$I$6='Base de Dados e filtragem'!AQ$2,Apresentação!$I$6='Base de Dados e filtragem'!M323),1,0)</f>
        <v>1</v>
      </c>
      <c r="AR323" s="25">
        <v>1</v>
      </c>
      <c r="AS323" s="25">
        <v>1</v>
      </c>
      <c r="AT323" s="25">
        <v>1</v>
      </c>
      <c r="AU323" s="25">
        <v>1</v>
      </c>
      <c r="AV323" s="25">
        <v>1</v>
      </c>
      <c r="AW323" s="25">
        <v>1</v>
      </c>
      <c r="AX323" s="25">
        <v>1</v>
      </c>
      <c r="AY323" s="25">
        <v>1</v>
      </c>
      <c r="AZ323" s="25">
        <v>1</v>
      </c>
      <c r="BA323" s="25">
        <v>1</v>
      </c>
      <c r="BB323" s="25">
        <v>1</v>
      </c>
      <c r="BC323" s="25">
        <v>1</v>
      </c>
      <c r="BD323" s="25">
        <v>1</v>
      </c>
    </row>
    <row r="324" spans="27:56" x14ac:dyDescent="0.25">
      <c r="AA324" s="68" t="str">
        <f t="shared" ref="AA324:AA387" si="21">"Fotos\"&amp;I324&amp;"\"&amp;A324&amp;".jpg"</f>
        <v>Fotos\\.jpg</v>
      </c>
      <c r="AB324" s="53">
        <f t="shared" ref="AB324:AB387" si="22">AD324/AC324</f>
        <v>3.0864197530864196E-3</v>
      </c>
      <c r="AC324" s="25">
        <f t="shared" ref="AC324:AC387" si="23">AC323+1</f>
        <v>324</v>
      </c>
      <c r="AD324" s="51">
        <f t="shared" ref="AD324:AD387" si="24">PRODUCT(AE324:BD324)</f>
        <v>1</v>
      </c>
      <c r="AE324" s="25">
        <v>1</v>
      </c>
      <c r="AF324" s="25">
        <v>1</v>
      </c>
      <c r="AG324" s="25">
        <v>1</v>
      </c>
      <c r="AH324" s="25">
        <v>1</v>
      </c>
      <c r="AI324" s="25">
        <f>IF(OR(Apresentação!$E$3='Base de Dados e filtragem'!AI$2,Apresentação!$E$3='Base de Dados e filtragem'!E324),1,0)</f>
        <v>1</v>
      </c>
      <c r="AJ324" s="25">
        <f>IF(OR(Apresentação!$E$4='Base de Dados e filtragem'!AJ$2,Apresentação!$E$4='Base de Dados e filtragem'!F324),1,0)</f>
        <v>1</v>
      </c>
      <c r="AK324" s="25">
        <f>IF(OR(Apresentação!$E$5='Base de Dados e filtragem'!AK$2,Apresentação!$E$5='Base de Dados e filtragem'!G324),1,0)</f>
        <v>1</v>
      </c>
      <c r="AL324" s="25">
        <f>IF(OR(Apresentação!$E$6='Base de Dados e filtragem'!AL$2,Apresentação!$E$6='Base de Dados e filtragem'!H324),1,0)</f>
        <v>1</v>
      </c>
      <c r="AM324" s="25">
        <f>IF(OR(Apresentação!$I$2='Base de Dados e filtragem'!AM$2,Apresentação!$I$2='Base de Dados e filtragem'!I324),1,0)</f>
        <v>1</v>
      </c>
      <c r="AN324" s="25">
        <f>IF(OR(Apresentação!$I$3='Base de Dados e filtragem'!AN$2,Apresentação!$I$3='Base de Dados e filtragem'!J324),1,0)</f>
        <v>1</v>
      </c>
      <c r="AO324" s="25">
        <f>IF(OR(Apresentação!$I$4='Base de Dados e filtragem'!AO$2,Apresentação!$I$4='Base de Dados e filtragem'!K324),1,0)</f>
        <v>1</v>
      </c>
      <c r="AP324" s="25">
        <f>IF(OR(Apresentação!$I$5='Base de Dados e filtragem'!AP$2,Apresentação!$I$5='Base de Dados e filtragem'!L324),1,0)</f>
        <v>1</v>
      </c>
      <c r="AQ324" s="25">
        <f>IF(OR(Apresentação!$I$6='Base de Dados e filtragem'!AQ$2,Apresentação!$I$6='Base de Dados e filtragem'!M324),1,0)</f>
        <v>1</v>
      </c>
      <c r="AR324" s="25">
        <v>1</v>
      </c>
      <c r="AS324" s="25">
        <v>1</v>
      </c>
      <c r="AT324" s="25">
        <v>1</v>
      </c>
      <c r="AU324" s="25">
        <v>1</v>
      </c>
      <c r="AV324" s="25">
        <v>1</v>
      </c>
      <c r="AW324" s="25">
        <v>1</v>
      </c>
      <c r="AX324" s="25">
        <v>1</v>
      </c>
      <c r="AY324" s="25">
        <v>1</v>
      </c>
      <c r="AZ324" s="25">
        <v>1</v>
      </c>
      <c r="BA324" s="25">
        <v>1</v>
      </c>
      <c r="BB324" s="25">
        <v>1</v>
      </c>
      <c r="BC324" s="25">
        <v>1</v>
      </c>
      <c r="BD324" s="25">
        <v>1</v>
      </c>
    </row>
    <row r="325" spans="27:56" x14ac:dyDescent="0.25">
      <c r="AA325" s="68" t="str">
        <f t="shared" si="21"/>
        <v>Fotos\\.jpg</v>
      </c>
      <c r="AB325" s="53">
        <f t="shared" si="22"/>
        <v>3.0769230769230769E-3</v>
      </c>
      <c r="AC325" s="25">
        <f t="shared" si="23"/>
        <v>325</v>
      </c>
      <c r="AD325" s="51">
        <f t="shared" si="24"/>
        <v>1</v>
      </c>
      <c r="AE325" s="25">
        <v>1</v>
      </c>
      <c r="AF325" s="25">
        <v>1</v>
      </c>
      <c r="AG325" s="25">
        <v>1</v>
      </c>
      <c r="AH325" s="25">
        <v>1</v>
      </c>
      <c r="AI325" s="25">
        <f>IF(OR(Apresentação!$E$3='Base de Dados e filtragem'!AI$2,Apresentação!$E$3='Base de Dados e filtragem'!E325),1,0)</f>
        <v>1</v>
      </c>
      <c r="AJ325" s="25">
        <f>IF(OR(Apresentação!$E$4='Base de Dados e filtragem'!AJ$2,Apresentação!$E$4='Base de Dados e filtragem'!F325),1,0)</f>
        <v>1</v>
      </c>
      <c r="AK325" s="25">
        <f>IF(OR(Apresentação!$E$5='Base de Dados e filtragem'!AK$2,Apresentação!$E$5='Base de Dados e filtragem'!G325),1,0)</f>
        <v>1</v>
      </c>
      <c r="AL325" s="25">
        <f>IF(OR(Apresentação!$E$6='Base de Dados e filtragem'!AL$2,Apresentação!$E$6='Base de Dados e filtragem'!H325),1,0)</f>
        <v>1</v>
      </c>
      <c r="AM325" s="25">
        <f>IF(OR(Apresentação!$I$2='Base de Dados e filtragem'!AM$2,Apresentação!$I$2='Base de Dados e filtragem'!I325),1,0)</f>
        <v>1</v>
      </c>
      <c r="AN325" s="25">
        <f>IF(OR(Apresentação!$I$3='Base de Dados e filtragem'!AN$2,Apresentação!$I$3='Base de Dados e filtragem'!J325),1,0)</f>
        <v>1</v>
      </c>
      <c r="AO325" s="25">
        <f>IF(OR(Apresentação!$I$4='Base de Dados e filtragem'!AO$2,Apresentação!$I$4='Base de Dados e filtragem'!K325),1,0)</f>
        <v>1</v>
      </c>
      <c r="AP325" s="25">
        <f>IF(OR(Apresentação!$I$5='Base de Dados e filtragem'!AP$2,Apresentação!$I$5='Base de Dados e filtragem'!L325),1,0)</f>
        <v>1</v>
      </c>
      <c r="AQ325" s="25">
        <f>IF(OR(Apresentação!$I$6='Base de Dados e filtragem'!AQ$2,Apresentação!$I$6='Base de Dados e filtragem'!M325),1,0)</f>
        <v>1</v>
      </c>
      <c r="AR325" s="25">
        <v>1</v>
      </c>
      <c r="AS325" s="25">
        <v>1</v>
      </c>
      <c r="AT325" s="25">
        <v>1</v>
      </c>
      <c r="AU325" s="25">
        <v>1</v>
      </c>
      <c r="AV325" s="25">
        <v>1</v>
      </c>
      <c r="AW325" s="25">
        <v>1</v>
      </c>
      <c r="AX325" s="25">
        <v>1</v>
      </c>
      <c r="AY325" s="25">
        <v>1</v>
      </c>
      <c r="AZ325" s="25">
        <v>1</v>
      </c>
      <c r="BA325" s="25">
        <v>1</v>
      </c>
      <c r="BB325" s="25">
        <v>1</v>
      </c>
      <c r="BC325" s="25">
        <v>1</v>
      </c>
      <c r="BD325" s="25">
        <v>1</v>
      </c>
    </row>
    <row r="326" spans="27:56" x14ac:dyDescent="0.25">
      <c r="AA326" s="68" t="str">
        <f t="shared" si="21"/>
        <v>Fotos\\.jpg</v>
      </c>
      <c r="AB326" s="53">
        <f t="shared" si="22"/>
        <v>3.0674846625766872E-3</v>
      </c>
      <c r="AC326" s="25">
        <f t="shared" si="23"/>
        <v>326</v>
      </c>
      <c r="AD326" s="51">
        <f t="shared" si="24"/>
        <v>1</v>
      </c>
      <c r="AE326" s="25">
        <v>1</v>
      </c>
      <c r="AF326" s="25">
        <v>1</v>
      </c>
      <c r="AG326" s="25">
        <v>1</v>
      </c>
      <c r="AH326" s="25">
        <v>1</v>
      </c>
      <c r="AI326" s="25">
        <f>IF(OR(Apresentação!$E$3='Base de Dados e filtragem'!AI$2,Apresentação!$E$3='Base de Dados e filtragem'!E326),1,0)</f>
        <v>1</v>
      </c>
      <c r="AJ326" s="25">
        <f>IF(OR(Apresentação!$E$4='Base de Dados e filtragem'!AJ$2,Apresentação!$E$4='Base de Dados e filtragem'!F326),1,0)</f>
        <v>1</v>
      </c>
      <c r="AK326" s="25">
        <f>IF(OR(Apresentação!$E$5='Base de Dados e filtragem'!AK$2,Apresentação!$E$5='Base de Dados e filtragem'!G326),1,0)</f>
        <v>1</v>
      </c>
      <c r="AL326" s="25">
        <f>IF(OR(Apresentação!$E$6='Base de Dados e filtragem'!AL$2,Apresentação!$E$6='Base de Dados e filtragem'!H326),1,0)</f>
        <v>1</v>
      </c>
      <c r="AM326" s="25">
        <f>IF(OR(Apresentação!$I$2='Base de Dados e filtragem'!AM$2,Apresentação!$I$2='Base de Dados e filtragem'!I326),1,0)</f>
        <v>1</v>
      </c>
      <c r="AN326" s="25">
        <f>IF(OR(Apresentação!$I$3='Base de Dados e filtragem'!AN$2,Apresentação!$I$3='Base de Dados e filtragem'!J326),1,0)</f>
        <v>1</v>
      </c>
      <c r="AO326" s="25">
        <f>IF(OR(Apresentação!$I$4='Base de Dados e filtragem'!AO$2,Apresentação!$I$4='Base de Dados e filtragem'!K326),1,0)</f>
        <v>1</v>
      </c>
      <c r="AP326" s="25">
        <f>IF(OR(Apresentação!$I$5='Base de Dados e filtragem'!AP$2,Apresentação!$I$5='Base de Dados e filtragem'!L326),1,0)</f>
        <v>1</v>
      </c>
      <c r="AQ326" s="25">
        <f>IF(OR(Apresentação!$I$6='Base de Dados e filtragem'!AQ$2,Apresentação!$I$6='Base de Dados e filtragem'!M326),1,0)</f>
        <v>1</v>
      </c>
      <c r="AR326" s="25">
        <v>1</v>
      </c>
      <c r="AS326" s="25">
        <v>1</v>
      </c>
      <c r="AT326" s="25">
        <v>1</v>
      </c>
      <c r="AU326" s="25">
        <v>1</v>
      </c>
      <c r="AV326" s="25">
        <v>1</v>
      </c>
      <c r="AW326" s="25">
        <v>1</v>
      </c>
      <c r="AX326" s="25">
        <v>1</v>
      </c>
      <c r="AY326" s="25">
        <v>1</v>
      </c>
      <c r="AZ326" s="25">
        <v>1</v>
      </c>
      <c r="BA326" s="25">
        <v>1</v>
      </c>
      <c r="BB326" s="25">
        <v>1</v>
      </c>
      <c r="BC326" s="25">
        <v>1</v>
      </c>
      <c r="BD326" s="25">
        <v>1</v>
      </c>
    </row>
    <row r="327" spans="27:56" x14ac:dyDescent="0.25">
      <c r="AA327" s="68" t="str">
        <f t="shared" si="21"/>
        <v>Fotos\\.jpg</v>
      </c>
      <c r="AB327" s="53">
        <f t="shared" si="22"/>
        <v>3.0581039755351682E-3</v>
      </c>
      <c r="AC327" s="25">
        <f t="shared" si="23"/>
        <v>327</v>
      </c>
      <c r="AD327" s="51">
        <f t="shared" si="24"/>
        <v>1</v>
      </c>
      <c r="AE327" s="25">
        <v>1</v>
      </c>
      <c r="AF327" s="25">
        <v>1</v>
      </c>
      <c r="AG327" s="25">
        <v>1</v>
      </c>
      <c r="AH327" s="25">
        <v>1</v>
      </c>
      <c r="AI327" s="25">
        <f>IF(OR(Apresentação!$E$3='Base de Dados e filtragem'!AI$2,Apresentação!$E$3='Base de Dados e filtragem'!E327),1,0)</f>
        <v>1</v>
      </c>
      <c r="AJ327" s="25">
        <f>IF(OR(Apresentação!$E$4='Base de Dados e filtragem'!AJ$2,Apresentação!$E$4='Base de Dados e filtragem'!F327),1,0)</f>
        <v>1</v>
      </c>
      <c r="AK327" s="25">
        <f>IF(OR(Apresentação!$E$5='Base de Dados e filtragem'!AK$2,Apresentação!$E$5='Base de Dados e filtragem'!G327),1,0)</f>
        <v>1</v>
      </c>
      <c r="AL327" s="25">
        <f>IF(OR(Apresentação!$E$6='Base de Dados e filtragem'!AL$2,Apresentação!$E$6='Base de Dados e filtragem'!H327),1,0)</f>
        <v>1</v>
      </c>
      <c r="AM327" s="25">
        <f>IF(OR(Apresentação!$I$2='Base de Dados e filtragem'!AM$2,Apresentação!$I$2='Base de Dados e filtragem'!I327),1,0)</f>
        <v>1</v>
      </c>
      <c r="AN327" s="25">
        <f>IF(OR(Apresentação!$I$3='Base de Dados e filtragem'!AN$2,Apresentação!$I$3='Base de Dados e filtragem'!J327),1,0)</f>
        <v>1</v>
      </c>
      <c r="AO327" s="25">
        <f>IF(OR(Apresentação!$I$4='Base de Dados e filtragem'!AO$2,Apresentação!$I$4='Base de Dados e filtragem'!K327),1,0)</f>
        <v>1</v>
      </c>
      <c r="AP327" s="25">
        <f>IF(OR(Apresentação!$I$5='Base de Dados e filtragem'!AP$2,Apresentação!$I$5='Base de Dados e filtragem'!L327),1,0)</f>
        <v>1</v>
      </c>
      <c r="AQ327" s="25">
        <f>IF(OR(Apresentação!$I$6='Base de Dados e filtragem'!AQ$2,Apresentação!$I$6='Base de Dados e filtragem'!M327),1,0)</f>
        <v>1</v>
      </c>
      <c r="AR327" s="25">
        <v>1</v>
      </c>
      <c r="AS327" s="25">
        <v>1</v>
      </c>
      <c r="AT327" s="25">
        <v>1</v>
      </c>
      <c r="AU327" s="25">
        <v>1</v>
      </c>
      <c r="AV327" s="25">
        <v>1</v>
      </c>
      <c r="AW327" s="25">
        <v>1</v>
      </c>
      <c r="AX327" s="25">
        <v>1</v>
      </c>
      <c r="AY327" s="25">
        <v>1</v>
      </c>
      <c r="AZ327" s="25">
        <v>1</v>
      </c>
      <c r="BA327" s="25">
        <v>1</v>
      </c>
      <c r="BB327" s="25">
        <v>1</v>
      </c>
      <c r="BC327" s="25">
        <v>1</v>
      </c>
      <c r="BD327" s="25">
        <v>1</v>
      </c>
    </row>
    <row r="328" spans="27:56" x14ac:dyDescent="0.25">
      <c r="AA328" s="68" t="str">
        <f t="shared" si="21"/>
        <v>Fotos\\.jpg</v>
      </c>
      <c r="AB328" s="53">
        <f t="shared" si="22"/>
        <v>3.0487804878048782E-3</v>
      </c>
      <c r="AC328" s="25">
        <f t="shared" si="23"/>
        <v>328</v>
      </c>
      <c r="AD328" s="51">
        <f t="shared" si="24"/>
        <v>1</v>
      </c>
      <c r="AE328" s="25">
        <v>1</v>
      </c>
      <c r="AF328" s="25">
        <v>1</v>
      </c>
      <c r="AG328" s="25">
        <v>1</v>
      </c>
      <c r="AH328" s="25">
        <v>1</v>
      </c>
      <c r="AI328" s="25">
        <f>IF(OR(Apresentação!$E$3='Base de Dados e filtragem'!AI$2,Apresentação!$E$3='Base de Dados e filtragem'!E328),1,0)</f>
        <v>1</v>
      </c>
      <c r="AJ328" s="25">
        <f>IF(OR(Apresentação!$E$4='Base de Dados e filtragem'!AJ$2,Apresentação!$E$4='Base de Dados e filtragem'!F328),1,0)</f>
        <v>1</v>
      </c>
      <c r="AK328" s="25">
        <f>IF(OR(Apresentação!$E$5='Base de Dados e filtragem'!AK$2,Apresentação!$E$5='Base de Dados e filtragem'!G328),1,0)</f>
        <v>1</v>
      </c>
      <c r="AL328" s="25">
        <f>IF(OR(Apresentação!$E$6='Base de Dados e filtragem'!AL$2,Apresentação!$E$6='Base de Dados e filtragem'!H328),1,0)</f>
        <v>1</v>
      </c>
      <c r="AM328" s="25">
        <f>IF(OR(Apresentação!$I$2='Base de Dados e filtragem'!AM$2,Apresentação!$I$2='Base de Dados e filtragem'!I328),1,0)</f>
        <v>1</v>
      </c>
      <c r="AN328" s="25">
        <f>IF(OR(Apresentação!$I$3='Base de Dados e filtragem'!AN$2,Apresentação!$I$3='Base de Dados e filtragem'!J328),1,0)</f>
        <v>1</v>
      </c>
      <c r="AO328" s="25">
        <f>IF(OR(Apresentação!$I$4='Base de Dados e filtragem'!AO$2,Apresentação!$I$4='Base de Dados e filtragem'!K328),1,0)</f>
        <v>1</v>
      </c>
      <c r="AP328" s="25">
        <f>IF(OR(Apresentação!$I$5='Base de Dados e filtragem'!AP$2,Apresentação!$I$5='Base de Dados e filtragem'!L328),1,0)</f>
        <v>1</v>
      </c>
      <c r="AQ328" s="25">
        <f>IF(OR(Apresentação!$I$6='Base de Dados e filtragem'!AQ$2,Apresentação!$I$6='Base de Dados e filtragem'!M328),1,0)</f>
        <v>1</v>
      </c>
      <c r="AR328" s="25">
        <v>1</v>
      </c>
      <c r="AS328" s="25">
        <v>1</v>
      </c>
      <c r="AT328" s="25">
        <v>1</v>
      </c>
      <c r="AU328" s="25">
        <v>1</v>
      </c>
      <c r="AV328" s="25">
        <v>1</v>
      </c>
      <c r="AW328" s="25">
        <v>1</v>
      </c>
      <c r="AX328" s="25">
        <v>1</v>
      </c>
      <c r="AY328" s="25">
        <v>1</v>
      </c>
      <c r="AZ328" s="25">
        <v>1</v>
      </c>
      <c r="BA328" s="25">
        <v>1</v>
      </c>
      <c r="BB328" s="25">
        <v>1</v>
      </c>
      <c r="BC328" s="25">
        <v>1</v>
      </c>
      <c r="BD328" s="25">
        <v>1</v>
      </c>
    </row>
    <row r="329" spans="27:56" x14ac:dyDescent="0.25">
      <c r="AA329" s="68" t="str">
        <f t="shared" si="21"/>
        <v>Fotos\\.jpg</v>
      </c>
      <c r="AB329" s="53">
        <f t="shared" si="22"/>
        <v>3.0395136778115501E-3</v>
      </c>
      <c r="AC329" s="25">
        <f t="shared" si="23"/>
        <v>329</v>
      </c>
      <c r="AD329" s="51">
        <f t="shared" si="24"/>
        <v>1</v>
      </c>
      <c r="AE329" s="25">
        <v>1</v>
      </c>
      <c r="AF329" s="25">
        <v>1</v>
      </c>
      <c r="AG329" s="25">
        <v>1</v>
      </c>
      <c r="AH329" s="25">
        <v>1</v>
      </c>
      <c r="AI329" s="25">
        <f>IF(OR(Apresentação!$E$3='Base de Dados e filtragem'!AI$2,Apresentação!$E$3='Base de Dados e filtragem'!E329),1,0)</f>
        <v>1</v>
      </c>
      <c r="AJ329" s="25">
        <f>IF(OR(Apresentação!$E$4='Base de Dados e filtragem'!AJ$2,Apresentação!$E$4='Base de Dados e filtragem'!F329),1,0)</f>
        <v>1</v>
      </c>
      <c r="AK329" s="25">
        <f>IF(OR(Apresentação!$E$5='Base de Dados e filtragem'!AK$2,Apresentação!$E$5='Base de Dados e filtragem'!G329),1,0)</f>
        <v>1</v>
      </c>
      <c r="AL329" s="25">
        <f>IF(OR(Apresentação!$E$6='Base de Dados e filtragem'!AL$2,Apresentação!$E$6='Base de Dados e filtragem'!H329),1,0)</f>
        <v>1</v>
      </c>
      <c r="AM329" s="25">
        <f>IF(OR(Apresentação!$I$2='Base de Dados e filtragem'!AM$2,Apresentação!$I$2='Base de Dados e filtragem'!I329),1,0)</f>
        <v>1</v>
      </c>
      <c r="AN329" s="25">
        <f>IF(OR(Apresentação!$I$3='Base de Dados e filtragem'!AN$2,Apresentação!$I$3='Base de Dados e filtragem'!J329),1,0)</f>
        <v>1</v>
      </c>
      <c r="AO329" s="25">
        <f>IF(OR(Apresentação!$I$4='Base de Dados e filtragem'!AO$2,Apresentação!$I$4='Base de Dados e filtragem'!K329),1,0)</f>
        <v>1</v>
      </c>
      <c r="AP329" s="25">
        <f>IF(OR(Apresentação!$I$5='Base de Dados e filtragem'!AP$2,Apresentação!$I$5='Base de Dados e filtragem'!L329),1,0)</f>
        <v>1</v>
      </c>
      <c r="AQ329" s="25">
        <f>IF(OR(Apresentação!$I$6='Base de Dados e filtragem'!AQ$2,Apresentação!$I$6='Base de Dados e filtragem'!M329),1,0)</f>
        <v>1</v>
      </c>
      <c r="AR329" s="25">
        <v>1</v>
      </c>
      <c r="AS329" s="25">
        <v>1</v>
      </c>
      <c r="AT329" s="25">
        <v>1</v>
      </c>
      <c r="AU329" s="25">
        <v>1</v>
      </c>
      <c r="AV329" s="25">
        <v>1</v>
      </c>
      <c r="AW329" s="25">
        <v>1</v>
      </c>
      <c r="AX329" s="25">
        <v>1</v>
      </c>
      <c r="AY329" s="25">
        <v>1</v>
      </c>
      <c r="AZ329" s="25">
        <v>1</v>
      </c>
      <c r="BA329" s="25">
        <v>1</v>
      </c>
      <c r="BB329" s="25">
        <v>1</v>
      </c>
      <c r="BC329" s="25">
        <v>1</v>
      </c>
      <c r="BD329" s="25">
        <v>1</v>
      </c>
    </row>
    <row r="330" spans="27:56" x14ac:dyDescent="0.25">
      <c r="AA330" s="68" t="str">
        <f t="shared" si="21"/>
        <v>Fotos\\.jpg</v>
      </c>
      <c r="AB330" s="53">
        <f t="shared" si="22"/>
        <v>3.0303030303030303E-3</v>
      </c>
      <c r="AC330" s="25">
        <f t="shared" si="23"/>
        <v>330</v>
      </c>
      <c r="AD330" s="51">
        <f t="shared" si="24"/>
        <v>1</v>
      </c>
      <c r="AE330" s="25">
        <v>1</v>
      </c>
      <c r="AF330" s="25">
        <v>1</v>
      </c>
      <c r="AG330" s="25">
        <v>1</v>
      </c>
      <c r="AH330" s="25">
        <v>1</v>
      </c>
      <c r="AI330" s="25">
        <f>IF(OR(Apresentação!$E$3='Base de Dados e filtragem'!AI$2,Apresentação!$E$3='Base de Dados e filtragem'!E330),1,0)</f>
        <v>1</v>
      </c>
      <c r="AJ330" s="25">
        <f>IF(OR(Apresentação!$E$4='Base de Dados e filtragem'!AJ$2,Apresentação!$E$4='Base de Dados e filtragem'!F330),1,0)</f>
        <v>1</v>
      </c>
      <c r="AK330" s="25">
        <f>IF(OR(Apresentação!$E$5='Base de Dados e filtragem'!AK$2,Apresentação!$E$5='Base de Dados e filtragem'!G330),1,0)</f>
        <v>1</v>
      </c>
      <c r="AL330" s="25">
        <f>IF(OR(Apresentação!$E$6='Base de Dados e filtragem'!AL$2,Apresentação!$E$6='Base de Dados e filtragem'!H330),1,0)</f>
        <v>1</v>
      </c>
      <c r="AM330" s="25">
        <f>IF(OR(Apresentação!$I$2='Base de Dados e filtragem'!AM$2,Apresentação!$I$2='Base de Dados e filtragem'!I330),1,0)</f>
        <v>1</v>
      </c>
      <c r="AN330" s="25">
        <f>IF(OR(Apresentação!$I$3='Base de Dados e filtragem'!AN$2,Apresentação!$I$3='Base de Dados e filtragem'!J330),1,0)</f>
        <v>1</v>
      </c>
      <c r="AO330" s="25">
        <f>IF(OR(Apresentação!$I$4='Base de Dados e filtragem'!AO$2,Apresentação!$I$4='Base de Dados e filtragem'!K330),1,0)</f>
        <v>1</v>
      </c>
      <c r="AP330" s="25">
        <f>IF(OR(Apresentação!$I$5='Base de Dados e filtragem'!AP$2,Apresentação!$I$5='Base de Dados e filtragem'!L330),1,0)</f>
        <v>1</v>
      </c>
      <c r="AQ330" s="25">
        <f>IF(OR(Apresentação!$I$6='Base de Dados e filtragem'!AQ$2,Apresentação!$I$6='Base de Dados e filtragem'!M330),1,0)</f>
        <v>1</v>
      </c>
      <c r="AR330" s="25">
        <v>1</v>
      </c>
      <c r="AS330" s="25">
        <v>1</v>
      </c>
      <c r="AT330" s="25">
        <v>1</v>
      </c>
      <c r="AU330" s="25">
        <v>1</v>
      </c>
      <c r="AV330" s="25">
        <v>1</v>
      </c>
      <c r="AW330" s="25">
        <v>1</v>
      </c>
      <c r="AX330" s="25">
        <v>1</v>
      </c>
      <c r="AY330" s="25">
        <v>1</v>
      </c>
      <c r="AZ330" s="25">
        <v>1</v>
      </c>
      <c r="BA330" s="25">
        <v>1</v>
      </c>
      <c r="BB330" s="25">
        <v>1</v>
      </c>
      <c r="BC330" s="25">
        <v>1</v>
      </c>
      <c r="BD330" s="25">
        <v>1</v>
      </c>
    </row>
    <row r="331" spans="27:56" x14ac:dyDescent="0.25">
      <c r="AA331" s="68" t="str">
        <f t="shared" si="21"/>
        <v>Fotos\\.jpg</v>
      </c>
      <c r="AB331" s="53">
        <f t="shared" si="22"/>
        <v>3.0211480362537764E-3</v>
      </c>
      <c r="AC331" s="25">
        <f t="shared" si="23"/>
        <v>331</v>
      </c>
      <c r="AD331" s="51">
        <f t="shared" si="24"/>
        <v>1</v>
      </c>
      <c r="AE331" s="25">
        <v>1</v>
      </c>
      <c r="AF331" s="25">
        <v>1</v>
      </c>
      <c r="AG331" s="25">
        <v>1</v>
      </c>
      <c r="AH331" s="25">
        <v>1</v>
      </c>
      <c r="AI331" s="25">
        <f>IF(OR(Apresentação!$E$3='Base de Dados e filtragem'!AI$2,Apresentação!$E$3='Base de Dados e filtragem'!E331),1,0)</f>
        <v>1</v>
      </c>
      <c r="AJ331" s="25">
        <f>IF(OR(Apresentação!$E$4='Base de Dados e filtragem'!AJ$2,Apresentação!$E$4='Base de Dados e filtragem'!F331),1,0)</f>
        <v>1</v>
      </c>
      <c r="AK331" s="25">
        <f>IF(OR(Apresentação!$E$5='Base de Dados e filtragem'!AK$2,Apresentação!$E$5='Base de Dados e filtragem'!G331),1,0)</f>
        <v>1</v>
      </c>
      <c r="AL331" s="25">
        <f>IF(OR(Apresentação!$E$6='Base de Dados e filtragem'!AL$2,Apresentação!$E$6='Base de Dados e filtragem'!H331),1,0)</f>
        <v>1</v>
      </c>
      <c r="AM331" s="25">
        <f>IF(OR(Apresentação!$I$2='Base de Dados e filtragem'!AM$2,Apresentação!$I$2='Base de Dados e filtragem'!I331),1,0)</f>
        <v>1</v>
      </c>
      <c r="AN331" s="25">
        <f>IF(OR(Apresentação!$I$3='Base de Dados e filtragem'!AN$2,Apresentação!$I$3='Base de Dados e filtragem'!J331),1,0)</f>
        <v>1</v>
      </c>
      <c r="AO331" s="25">
        <f>IF(OR(Apresentação!$I$4='Base de Dados e filtragem'!AO$2,Apresentação!$I$4='Base de Dados e filtragem'!K331),1,0)</f>
        <v>1</v>
      </c>
      <c r="AP331" s="25">
        <f>IF(OR(Apresentação!$I$5='Base de Dados e filtragem'!AP$2,Apresentação!$I$5='Base de Dados e filtragem'!L331),1,0)</f>
        <v>1</v>
      </c>
      <c r="AQ331" s="25">
        <f>IF(OR(Apresentação!$I$6='Base de Dados e filtragem'!AQ$2,Apresentação!$I$6='Base de Dados e filtragem'!M331),1,0)</f>
        <v>1</v>
      </c>
      <c r="AR331" s="25">
        <v>1</v>
      </c>
      <c r="AS331" s="25">
        <v>1</v>
      </c>
      <c r="AT331" s="25">
        <v>1</v>
      </c>
      <c r="AU331" s="25">
        <v>1</v>
      </c>
      <c r="AV331" s="25">
        <v>1</v>
      </c>
      <c r="AW331" s="25">
        <v>1</v>
      </c>
      <c r="AX331" s="25">
        <v>1</v>
      </c>
      <c r="AY331" s="25">
        <v>1</v>
      </c>
      <c r="AZ331" s="25">
        <v>1</v>
      </c>
      <c r="BA331" s="25">
        <v>1</v>
      </c>
      <c r="BB331" s="25">
        <v>1</v>
      </c>
      <c r="BC331" s="25">
        <v>1</v>
      </c>
      <c r="BD331" s="25">
        <v>1</v>
      </c>
    </row>
    <row r="332" spans="27:56" x14ac:dyDescent="0.25">
      <c r="AA332" s="68" t="str">
        <f t="shared" si="21"/>
        <v>Fotos\\.jpg</v>
      </c>
      <c r="AB332" s="53">
        <f t="shared" si="22"/>
        <v>3.0120481927710845E-3</v>
      </c>
      <c r="AC332" s="25">
        <f t="shared" si="23"/>
        <v>332</v>
      </c>
      <c r="AD332" s="51">
        <f t="shared" si="24"/>
        <v>1</v>
      </c>
      <c r="AE332" s="25">
        <v>1</v>
      </c>
      <c r="AF332" s="25">
        <v>1</v>
      </c>
      <c r="AG332" s="25">
        <v>1</v>
      </c>
      <c r="AH332" s="25">
        <v>1</v>
      </c>
      <c r="AI332" s="25">
        <f>IF(OR(Apresentação!$E$3='Base de Dados e filtragem'!AI$2,Apresentação!$E$3='Base de Dados e filtragem'!E332),1,0)</f>
        <v>1</v>
      </c>
      <c r="AJ332" s="25">
        <f>IF(OR(Apresentação!$E$4='Base de Dados e filtragem'!AJ$2,Apresentação!$E$4='Base de Dados e filtragem'!F332),1,0)</f>
        <v>1</v>
      </c>
      <c r="AK332" s="25">
        <f>IF(OR(Apresentação!$E$5='Base de Dados e filtragem'!AK$2,Apresentação!$E$5='Base de Dados e filtragem'!G332),1,0)</f>
        <v>1</v>
      </c>
      <c r="AL332" s="25">
        <f>IF(OR(Apresentação!$E$6='Base de Dados e filtragem'!AL$2,Apresentação!$E$6='Base de Dados e filtragem'!H332),1,0)</f>
        <v>1</v>
      </c>
      <c r="AM332" s="25">
        <f>IF(OR(Apresentação!$I$2='Base de Dados e filtragem'!AM$2,Apresentação!$I$2='Base de Dados e filtragem'!I332),1,0)</f>
        <v>1</v>
      </c>
      <c r="AN332" s="25">
        <f>IF(OR(Apresentação!$I$3='Base de Dados e filtragem'!AN$2,Apresentação!$I$3='Base de Dados e filtragem'!J332),1,0)</f>
        <v>1</v>
      </c>
      <c r="AO332" s="25">
        <f>IF(OR(Apresentação!$I$4='Base de Dados e filtragem'!AO$2,Apresentação!$I$4='Base de Dados e filtragem'!K332),1,0)</f>
        <v>1</v>
      </c>
      <c r="AP332" s="25">
        <f>IF(OR(Apresentação!$I$5='Base de Dados e filtragem'!AP$2,Apresentação!$I$5='Base de Dados e filtragem'!L332),1,0)</f>
        <v>1</v>
      </c>
      <c r="AQ332" s="25">
        <f>IF(OR(Apresentação!$I$6='Base de Dados e filtragem'!AQ$2,Apresentação!$I$6='Base de Dados e filtragem'!M332),1,0)</f>
        <v>1</v>
      </c>
      <c r="AR332" s="25">
        <v>1</v>
      </c>
      <c r="AS332" s="25">
        <v>1</v>
      </c>
      <c r="AT332" s="25">
        <v>1</v>
      </c>
      <c r="AU332" s="25">
        <v>1</v>
      </c>
      <c r="AV332" s="25">
        <v>1</v>
      </c>
      <c r="AW332" s="25">
        <v>1</v>
      </c>
      <c r="AX332" s="25">
        <v>1</v>
      </c>
      <c r="AY332" s="25">
        <v>1</v>
      </c>
      <c r="AZ332" s="25">
        <v>1</v>
      </c>
      <c r="BA332" s="25">
        <v>1</v>
      </c>
      <c r="BB332" s="25">
        <v>1</v>
      </c>
      <c r="BC332" s="25">
        <v>1</v>
      </c>
      <c r="BD332" s="25">
        <v>1</v>
      </c>
    </row>
    <row r="333" spans="27:56" x14ac:dyDescent="0.25">
      <c r="AA333" s="68" t="str">
        <f t="shared" si="21"/>
        <v>Fotos\\.jpg</v>
      </c>
      <c r="AB333" s="53">
        <f t="shared" si="22"/>
        <v>3.003003003003003E-3</v>
      </c>
      <c r="AC333" s="25">
        <f t="shared" si="23"/>
        <v>333</v>
      </c>
      <c r="AD333" s="51">
        <f t="shared" si="24"/>
        <v>1</v>
      </c>
      <c r="AE333" s="25">
        <v>1</v>
      </c>
      <c r="AF333" s="25">
        <v>1</v>
      </c>
      <c r="AG333" s="25">
        <v>1</v>
      </c>
      <c r="AH333" s="25">
        <v>1</v>
      </c>
      <c r="AI333" s="25">
        <f>IF(OR(Apresentação!$E$3='Base de Dados e filtragem'!AI$2,Apresentação!$E$3='Base de Dados e filtragem'!E333),1,0)</f>
        <v>1</v>
      </c>
      <c r="AJ333" s="25">
        <f>IF(OR(Apresentação!$E$4='Base de Dados e filtragem'!AJ$2,Apresentação!$E$4='Base de Dados e filtragem'!F333),1,0)</f>
        <v>1</v>
      </c>
      <c r="AK333" s="25">
        <f>IF(OR(Apresentação!$E$5='Base de Dados e filtragem'!AK$2,Apresentação!$E$5='Base de Dados e filtragem'!G333),1,0)</f>
        <v>1</v>
      </c>
      <c r="AL333" s="25">
        <f>IF(OR(Apresentação!$E$6='Base de Dados e filtragem'!AL$2,Apresentação!$E$6='Base de Dados e filtragem'!H333),1,0)</f>
        <v>1</v>
      </c>
      <c r="AM333" s="25">
        <f>IF(OR(Apresentação!$I$2='Base de Dados e filtragem'!AM$2,Apresentação!$I$2='Base de Dados e filtragem'!I333),1,0)</f>
        <v>1</v>
      </c>
      <c r="AN333" s="25">
        <f>IF(OR(Apresentação!$I$3='Base de Dados e filtragem'!AN$2,Apresentação!$I$3='Base de Dados e filtragem'!J333),1,0)</f>
        <v>1</v>
      </c>
      <c r="AO333" s="25">
        <f>IF(OR(Apresentação!$I$4='Base de Dados e filtragem'!AO$2,Apresentação!$I$4='Base de Dados e filtragem'!K333),1,0)</f>
        <v>1</v>
      </c>
      <c r="AP333" s="25">
        <f>IF(OR(Apresentação!$I$5='Base de Dados e filtragem'!AP$2,Apresentação!$I$5='Base de Dados e filtragem'!L333),1,0)</f>
        <v>1</v>
      </c>
      <c r="AQ333" s="25">
        <f>IF(OR(Apresentação!$I$6='Base de Dados e filtragem'!AQ$2,Apresentação!$I$6='Base de Dados e filtragem'!M333),1,0)</f>
        <v>1</v>
      </c>
      <c r="AR333" s="25">
        <v>1</v>
      </c>
      <c r="AS333" s="25">
        <v>1</v>
      </c>
      <c r="AT333" s="25">
        <v>1</v>
      </c>
      <c r="AU333" s="25">
        <v>1</v>
      </c>
      <c r="AV333" s="25">
        <v>1</v>
      </c>
      <c r="AW333" s="25">
        <v>1</v>
      </c>
      <c r="AX333" s="25">
        <v>1</v>
      </c>
      <c r="AY333" s="25">
        <v>1</v>
      </c>
      <c r="AZ333" s="25">
        <v>1</v>
      </c>
      <c r="BA333" s="25">
        <v>1</v>
      </c>
      <c r="BB333" s="25">
        <v>1</v>
      </c>
      <c r="BC333" s="25">
        <v>1</v>
      </c>
      <c r="BD333" s="25">
        <v>1</v>
      </c>
    </row>
    <row r="334" spans="27:56" x14ac:dyDescent="0.25">
      <c r="AA334" s="68" t="str">
        <f t="shared" si="21"/>
        <v>Fotos\\.jpg</v>
      </c>
      <c r="AB334" s="53">
        <f t="shared" si="22"/>
        <v>2.9940119760479044E-3</v>
      </c>
      <c r="AC334" s="25">
        <f t="shared" si="23"/>
        <v>334</v>
      </c>
      <c r="AD334" s="51">
        <f t="shared" si="24"/>
        <v>1</v>
      </c>
      <c r="AE334" s="25">
        <v>1</v>
      </c>
      <c r="AF334" s="25">
        <v>1</v>
      </c>
      <c r="AG334" s="25">
        <v>1</v>
      </c>
      <c r="AH334" s="25">
        <v>1</v>
      </c>
      <c r="AI334" s="25">
        <f>IF(OR(Apresentação!$E$3='Base de Dados e filtragem'!AI$2,Apresentação!$E$3='Base de Dados e filtragem'!E334),1,0)</f>
        <v>1</v>
      </c>
      <c r="AJ334" s="25">
        <f>IF(OR(Apresentação!$E$4='Base de Dados e filtragem'!AJ$2,Apresentação!$E$4='Base de Dados e filtragem'!F334),1,0)</f>
        <v>1</v>
      </c>
      <c r="AK334" s="25">
        <f>IF(OR(Apresentação!$E$5='Base de Dados e filtragem'!AK$2,Apresentação!$E$5='Base de Dados e filtragem'!G334),1,0)</f>
        <v>1</v>
      </c>
      <c r="AL334" s="25">
        <f>IF(OR(Apresentação!$E$6='Base de Dados e filtragem'!AL$2,Apresentação!$E$6='Base de Dados e filtragem'!H334),1,0)</f>
        <v>1</v>
      </c>
      <c r="AM334" s="25">
        <f>IF(OR(Apresentação!$I$2='Base de Dados e filtragem'!AM$2,Apresentação!$I$2='Base de Dados e filtragem'!I334),1,0)</f>
        <v>1</v>
      </c>
      <c r="AN334" s="25">
        <f>IF(OR(Apresentação!$I$3='Base de Dados e filtragem'!AN$2,Apresentação!$I$3='Base de Dados e filtragem'!J334),1,0)</f>
        <v>1</v>
      </c>
      <c r="AO334" s="25">
        <f>IF(OR(Apresentação!$I$4='Base de Dados e filtragem'!AO$2,Apresentação!$I$4='Base de Dados e filtragem'!K334),1,0)</f>
        <v>1</v>
      </c>
      <c r="AP334" s="25">
        <f>IF(OR(Apresentação!$I$5='Base de Dados e filtragem'!AP$2,Apresentação!$I$5='Base de Dados e filtragem'!L334),1,0)</f>
        <v>1</v>
      </c>
      <c r="AQ334" s="25">
        <f>IF(OR(Apresentação!$I$6='Base de Dados e filtragem'!AQ$2,Apresentação!$I$6='Base de Dados e filtragem'!M334),1,0)</f>
        <v>1</v>
      </c>
      <c r="AR334" s="25">
        <v>1</v>
      </c>
      <c r="AS334" s="25">
        <v>1</v>
      </c>
      <c r="AT334" s="25">
        <v>1</v>
      </c>
      <c r="AU334" s="25">
        <v>1</v>
      </c>
      <c r="AV334" s="25">
        <v>1</v>
      </c>
      <c r="AW334" s="25">
        <v>1</v>
      </c>
      <c r="AX334" s="25">
        <v>1</v>
      </c>
      <c r="AY334" s="25">
        <v>1</v>
      </c>
      <c r="AZ334" s="25">
        <v>1</v>
      </c>
      <c r="BA334" s="25">
        <v>1</v>
      </c>
      <c r="BB334" s="25">
        <v>1</v>
      </c>
      <c r="BC334" s="25">
        <v>1</v>
      </c>
      <c r="BD334" s="25">
        <v>1</v>
      </c>
    </row>
    <row r="335" spans="27:56" x14ac:dyDescent="0.25">
      <c r="AA335" s="68" t="str">
        <f t="shared" si="21"/>
        <v>Fotos\\.jpg</v>
      </c>
      <c r="AB335" s="53">
        <f t="shared" si="22"/>
        <v>2.9850746268656717E-3</v>
      </c>
      <c r="AC335" s="25">
        <f t="shared" si="23"/>
        <v>335</v>
      </c>
      <c r="AD335" s="51">
        <f t="shared" si="24"/>
        <v>1</v>
      </c>
      <c r="AE335" s="25">
        <v>1</v>
      </c>
      <c r="AF335" s="25">
        <v>1</v>
      </c>
      <c r="AG335" s="25">
        <v>1</v>
      </c>
      <c r="AH335" s="25">
        <v>1</v>
      </c>
      <c r="AI335" s="25">
        <f>IF(OR(Apresentação!$E$3='Base de Dados e filtragem'!AI$2,Apresentação!$E$3='Base de Dados e filtragem'!E335),1,0)</f>
        <v>1</v>
      </c>
      <c r="AJ335" s="25">
        <f>IF(OR(Apresentação!$E$4='Base de Dados e filtragem'!AJ$2,Apresentação!$E$4='Base de Dados e filtragem'!F335),1,0)</f>
        <v>1</v>
      </c>
      <c r="AK335" s="25">
        <f>IF(OR(Apresentação!$E$5='Base de Dados e filtragem'!AK$2,Apresentação!$E$5='Base de Dados e filtragem'!G335),1,0)</f>
        <v>1</v>
      </c>
      <c r="AL335" s="25">
        <f>IF(OR(Apresentação!$E$6='Base de Dados e filtragem'!AL$2,Apresentação!$E$6='Base de Dados e filtragem'!H335),1,0)</f>
        <v>1</v>
      </c>
      <c r="AM335" s="25">
        <f>IF(OR(Apresentação!$I$2='Base de Dados e filtragem'!AM$2,Apresentação!$I$2='Base de Dados e filtragem'!I335),1,0)</f>
        <v>1</v>
      </c>
      <c r="AN335" s="25">
        <f>IF(OR(Apresentação!$I$3='Base de Dados e filtragem'!AN$2,Apresentação!$I$3='Base de Dados e filtragem'!J335),1,0)</f>
        <v>1</v>
      </c>
      <c r="AO335" s="25">
        <f>IF(OR(Apresentação!$I$4='Base de Dados e filtragem'!AO$2,Apresentação!$I$4='Base de Dados e filtragem'!K335),1,0)</f>
        <v>1</v>
      </c>
      <c r="AP335" s="25">
        <f>IF(OR(Apresentação!$I$5='Base de Dados e filtragem'!AP$2,Apresentação!$I$5='Base de Dados e filtragem'!L335),1,0)</f>
        <v>1</v>
      </c>
      <c r="AQ335" s="25">
        <f>IF(OR(Apresentação!$I$6='Base de Dados e filtragem'!AQ$2,Apresentação!$I$6='Base de Dados e filtragem'!M335),1,0)</f>
        <v>1</v>
      </c>
      <c r="AR335" s="25">
        <v>1</v>
      </c>
      <c r="AS335" s="25">
        <v>1</v>
      </c>
      <c r="AT335" s="25">
        <v>1</v>
      </c>
      <c r="AU335" s="25">
        <v>1</v>
      </c>
      <c r="AV335" s="25">
        <v>1</v>
      </c>
      <c r="AW335" s="25">
        <v>1</v>
      </c>
      <c r="AX335" s="25">
        <v>1</v>
      </c>
      <c r="AY335" s="25">
        <v>1</v>
      </c>
      <c r="AZ335" s="25">
        <v>1</v>
      </c>
      <c r="BA335" s="25">
        <v>1</v>
      </c>
      <c r="BB335" s="25">
        <v>1</v>
      </c>
      <c r="BC335" s="25">
        <v>1</v>
      </c>
      <c r="BD335" s="25">
        <v>1</v>
      </c>
    </row>
    <row r="336" spans="27:56" x14ac:dyDescent="0.25">
      <c r="AA336" s="68" t="str">
        <f t="shared" si="21"/>
        <v>Fotos\\.jpg</v>
      </c>
      <c r="AB336" s="53">
        <f t="shared" si="22"/>
        <v>2.976190476190476E-3</v>
      </c>
      <c r="AC336" s="25">
        <f t="shared" si="23"/>
        <v>336</v>
      </c>
      <c r="AD336" s="51">
        <f t="shared" si="24"/>
        <v>1</v>
      </c>
      <c r="AE336" s="25">
        <v>1</v>
      </c>
      <c r="AF336" s="25">
        <v>1</v>
      </c>
      <c r="AG336" s="25">
        <v>1</v>
      </c>
      <c r="AH336" s="25">
        <v>1</v>
      </c>
      <c r="AI336" s="25">
        <f>IF(OR(Apresentação!$E$3='Base de Dados e filtragem'!AI$2,Apresentação!$E$3='Base de Dados e filtragem'!E336),1,0)</f>
        <v>1</v>
      </c>
      <c r="AJ336" s="25">
        <f>IF(OR(Apresentação!$E$4='Base de Dados e filtragem'!AJ$2,Apresentação!$E$4='Base de Dados e filtragem'!F336),1,0)</f>
        <v>1</v>
      </c>
      <c r="AK336" s="25">
        <f>IF(OR(Apresentação!$E$5='Base de Dados e filtragem'!AK$2,Apresentação!$E$5='Base de Dados e filtragem'!G336),1,0)</f>
        <v>1</v>
      </c>
      <c r="AL336" s="25">
        <f>IF(OR(Apresentação!$E$6='Base de Dados e filtragem'!AL$2,Apresentação!$E$6='Base de Dados e filtragem'!H336),1,0)</f>
        <v>1</v>
      </c>
      <c r="AM336" s="25">
        <f>IF(OR(Apresentação!$I$2='Base de Dados e filtragem'!AM$2,Apresentação!$I$2='Base de Dados e filtragem'!I336),1,0)</f>
        <v>1</v>
      </c>
      <c r="AN336" s="25">
        <f>IF(OR(Apresentação!$I$3='Base de Dados e filtragem'!AN$2,Apresentação!$I$3='Base de Dados e filtragem'!J336),1,0)</f>
        <v>1</v>
      </c>
      <c r="AO336" s="25">
        <f>IF(OR(Apresentação!$I$4='Base de Dados e filtragem'!AO$2,Apresentação!$I$4='Base de Dados e filtragem'!K336),1,0)</f>
        <v>1</v>
      </c>
      <c r="AP336" s="25">
        <f>IF(OR(Apresentação!$I$5='Base de Dados e filtragem'!AP$2,Apresentação!$I$5='Base de Dados e filtragem'!L336),1,0)</f>
        <v>1</v>
      </c>
      <c r="AQ336" s="25">
        <f>IF(OR(Apresentação!$I$6='Base de Dados e filtragem'!AQ$2,Apresentação!$I$6='Base de Dados e filtragem'!M336),1,0)</f>
        <v>1</v>
      </c>
      <c r="AR336" s="25">
        <v>1</v>
      </c>
      <c r="AS336" s="25">
        <v>1</v>
      </c>
      <c r="AT336" s="25">
        <v>1</v>
      </c>
      <c r="AU336" s="25">
        <v>1</v>
      </c>
      <c r="AV336" s="25">
        <v>1</v>
      </c>
      <c r="AW336" s="25">
        <v>1</v>
      </c>
      <c r="AX336" s="25">
        <v>1</v>
      </c>
      <c r="AY336" s="25">
        <v>1</v>
      </c>
      <c r="AZ336" s="25">
        <v>1</v>
      </c>
      <c r="BA336" s="25">
        <v>1</v>
      </c>
      <c r="BB336" s="25">
        <v>1</v>
      </c>
      <c r="BC336" s="25">
        <v>1</v>
      </c>
      <c r="BD336" s="25">
        <v>1</v>
      </c>
    </row>
    <row r="337" spans="27:56" x14ac:dyDescent="0.25">
      <c r="AA337" s="68" t="str">
        <f t="shared" si="21"/>
        <v>Fotos\\.jpg</v>
      </c>
      <c r="AB337" s="53">
        <f t="shared" si="22"/>
        <v>2.967359050445104E-3</v>
      </c>
      <c r="AC337" s="25">
        <f t="shared" si="23"/>
        <v>337</v>
      </c>
      <c r="AD337" s="51">
        <f t="shared" si="24"/>
        <v>1</v>
      </c>
      <c r="AE337" s="25">
        <v>1</v>
      </c>
      <c r="AF337" s="25">
        <v>1</v>
      </c>
      <c r="AG337" s="25">
        <v>1</v>
      </c>
      <c r="AH337" s="25">
        <v>1</v>
      </c>
      <c r="AI337" s="25">
        <f>IF(OR(Apresentação!$E$3='Base de Dados e filtragem'!AI$2,Apresentação!$E$3='Base de Dados e filtragem'!E337),1,0)</f>
        <v>1</v>
      </c>
      <c r="AJ337" s="25">
        <f>IF(OR(Apresentação!$E$4='Base de Dados e filtragem'!AJ$2,Apresentação!$E$4='Base de Dados e filtragem'!F337),1,0)</f>
        <v>1</v>
      </c>
      <c r="AK337" s="25">
        <f>IF(OR(Apresentação!$E$5='Base de Dados e filtragem'!AK$2,Apresentação!$E$5='Base de Dados e filtragem'!G337),1,0)</f>
        <v>1</v>
      </c>
      <c r="AL337" s="25">
        <f>IF(OR(Apresentação!$E$6='Base de Dados e filtragem'!AL$2,Apresentação!$E$6='Base de Dados e filtragem'!H337),1,0)</f>
        <v>1</v>
      </c>
      <c r="AM337" s="25">
        <f>IF(OR(Apresentação!$I$2='Base de Dados e filtragem'!AM$2,Apresentação!$I$2='Base de Dados e filtragem'!I337),1,0)</f>
        <v>1</v>
      </c>
      <c r="AN337" s="25">
        <f>IF(OR(Apresentação!$I$3='Base de Dados e filtragem'!AN$2,Apresentação!$I$3='Base de Dados e filtragem'!J337),1,0)</f>
        <v>1</v>
      </c>
      <c r="AO337" s="25">
        <f>IF(OR(Apresentação!$I$4='Base de Dados e filtragem'!AO$2,Apresentação!$I$4='Base de Dados e filtragem'!K337),1,0)</f>
        <v>1</v>
      </c>
      <c r="AP337" s="25">
        <f>IF(OR(Apresentação!$I$5='Base de Dados e filtragem'!AP$2,Apresentação!$I$5='Base de Dados e filtragem'!L337),1,0)</f>
        <v>1</v>
      </c>
      <c r="AQ337" s="25">
        <f>IF(OR(Apresentação!$I$6='Base de Dados e filtragem'!AQ$2,Apresentação!$I$6='Base de Dados e filtragem'!M337),1,0)</f>
        <v>1</v>
      </c>
      <c r="AR337" s="25">
        <v>1</v>
      </c>
      <c r="AS337" s="25">
        <v>1</v>
      </c>
      <c r="AT337" s="25">
        <v>1</v>
      </c>
      <c r="AU337" s="25">
        <v>1</v>
      </c>
      <c r="AV337" s="25">
        <v>1</v>
      </c>
      <c r="AW337" s="25">
        <v>1</v>
      </c>
      <c r="AX337" s="25">
        <v>1</v>
      </c>
      <c r="AY337" s="25">
        <v>1</v>
      </c>
      <c r="AZ337" s="25">
        <v>1</v>
      </c>
      <c r="BA337" s="25">
        <v>1</v>
      </c>
      <c r="BB337" s="25">
        <v>1</v>
      </c>
      <c r="BC337" s="25">
        <v>1</v>
      </c>
      <c r="BD337" s="25">
        <v>1</v>
      </c>
    </row>
    <row r="338" spans="27:56" x14ac:dyDescent="0.25">
      <c r="AA338" s="68" t="str">
        <f t="shared" si="21"/>
        <v>Fotos\\.jpg</v>
      </c>
      <c r="AB338" s="53">
        <f t="shared" si="22"/>
        <v>2.9585798816568047E-3</v>
      </c>
      <c r="AC338" s="25">
        <f t="shared" si="23"/>
        <v>338</v>
      </c>
      <c r="AD338" s="51">
        <f t="shared" si="24"/>
        <v>1</v>
      </c>
      <c r="AE338" s="25">
        <v>1</v>
      </c>
      <c r="AF338" s="25">
        <v>1</v>
      </c>
      <c r="AG338" s="25">
        <v>1</v>
      </c>
      <c r="AH338" s="25">
        <v>1</v>
      </c>
      <c r="AI338" s="25">
        <f>IF(OR(Apresentação!$E$3='Base de Dados e filtragem'!AI$2,Apresentação!$E$3='Base de Dados e filtragem'!E338),1,0)</f>
        <v>1</v>
      </c>
      <c r="AJ338" s="25">
        <f>IF(OR(Apresentação!$E$4='Base de Dados e filtragem'!AJ$2,Apresentação!$E$4='Base de Dados e filtragem'!F338),1,0)</f>
        <v>1</v>
      </c>
      <c r="AK338" s="25">
        <f>IF(OR(Apresentação!$E$5='Base de Dados e filtragem'!AK$2,Apresentação!$E$5='Base de Dados e filtragem'!G338),1,0)</f>
        <v>1</v>
      </c>
      <c r="AL338" s="25">
        <f>IF(OR(Apresentação!$E$6='Base de Dados e filtragem'!AL$2,Apresentação!$E$6='Base de Dados e filtragem'!H338),1,0)</f>
        <v>1</v>
      </c>
      <c r="AM338" s="25">
        <f>IF(OR(Apresentação!$I$2='Base de Dados e filtragem'!AM$2,Apresentação!$I$2='Base de Dados e filtragem'!I338),1,0)</f>
        <v>1</v>
      </c>
      <c r="AN338" s="25">
        <f>IF(OR(Apresentação!$I$3='Base de Dados e filtragem'!AN$2,Apresentação!$I$3='Base de Dados e filtragem'!J338),1,0)</f>
        <v>1</v>
      </c>
      <c r="AO338" s="25">
        <f>IF(OR(Apresentação!$I$4='Base de Dados e filtragem'!AO$2,Apresentação!$I$4='Base de Dados e filtragem'!K338),1,0)</f>
        <v>1</v>
      </c>
      <c r="AP338" s="25">
        <f>IF(OR(Apresentação!$I$5='Base de Dados e filtragem'!AP$2,Apresentação!$I$5='Base de Dados e filtragem'!L338),1,0)</f>
        <v>1</v>
      </c>
      <c r="AQ338" s="25">
        <f>IF(OR(Apresentação!$I$6='Base de Dados e filtragem'!AQ$2,Apresentação!$I$6='Base de Dados e filtragem'!M338),1,0)</f>
        <v>1</v>
      </c>
      <c r="AR338" s="25">
        <v>1</v>
      </c>
      <c r="AS338" s="25">
        <v>1</v>
      </c>
      <c r="AT338" s="25">
        <v>1</v>
      </c>
      <c r="AU338" s="25">
        <v>1</v>
      </c>
      <c r="AV338" s="25">
        <v>1</v>
      </c>
      <c r="AW338" s="25">
        <v>1</v>
      </c>
      <c r="AX338" s="25">
        <v>1</v>
      </c>
      <c r="AY338" s="25">
        <v>1</v>
      </c>
      <c r="AZ338" s="25">
        <v>1</v>
      </c>
      <c r="BA338" s="25">
        <v>1</v>
      </c>
      <c r="BB338" s="25">
        <v>1</v>
      </c>
      <c r="BC338" s="25">
        <v>1</v>
      </c>
      <c r="BD338" s="25">
        <v>1</v>
      </c>
    </row>
    <row r="339" spans="27:56" x14ac:dyDescent="0.25">
      <c r="AA339" s="68" t="str">
        <f t="shared" si="21"/>
        <v>Fotos\\.jpg</v>
      </c>
      <c r="AB339" s="53">
        <f t="shared" si="22"/>
        <v>2.9498525073746312E-3</v>
      </c>
      <c r="AC339" s="25">
        <f t="shared" si="23"/>
        <v>339</v>
      </c>
      <c r="AD339" s="51">
        <f t="shared" si="24"/>
        <v>1</v>
      </c>
      <c r="AE339" s="25">
        <v>1</v>
      </c>
      <c r="AF339" s="25">
        <v>1</v>
      </c>
      <c r="AG339" s="25">
        <v>1</v>
      </c>
      <c r="AH339" s="25">
        <v>1</v>
      </c>
      <c r="AI339" s="25">
        <f>IF(OR(Apresentação!$E$3='Base de Dados e filtragem'!AI$2,Apresentação!$E$3='Base de Dados e filtragem'!E339),1,0)</f>
        <v>1</v>
      </c>
      <c r="AJ339" s="25">
        <f>IF(OR(Apresentação!$E$4='Base de Dados e filtragem'!AJ$2,Apresentação!$E$4='Base de Dados e filtragem'!F339),1,0)</f>
        <v>1</v>
      </c>
      <c r="AK339" s="25">
        <f>IF(OR(Apresentação!$E$5='Base de Dados e filtragem'!AK$2,Apresentação!$E$5='Base de Dados e filtragem'!G339),1,0)</f>
        <v>1</v>
      </c>
      <c r="AL339" s="25">
        <f>IF(OR(Apresentação!$E$6='Base de Dados e filtragem'!AL$2,Apresentação!$E$6='Base de Dados e filtragem'!H339),1,0)</f>
        <v>1</v>
      </c>
      <c r="AM339" s="25">
        <f>IF(OR(Apresentação!$I$2='Base de Dados e filtragem'!AM$2,Apresentação!$I$2='Base de Dados e filtragem'!I339),1,0)</f>
        <v>1</v>
      </c>
      <c r="AN339" s="25">
        <f>IF(OR(Apresentação!$I$3='Base de Dados e filtragem'!AN$2,Apresentação!$I$3='Base de Dados e filtragem'!J339),1,0)</f>
        <v>1</v>
      </c>
      <c r="AO339" s="25">
        <f>IF(OR(Apresentação!$I$4='Base de Dados e filtragem'!AO$2,Apresentação!$I$4='Base de Dados e filtragem'!K339),1,0)</f>
        <v>1</v>
      </c>
      <c r="AP339" s="25">
        <f>IF(OR(Apresentação!$I$5='Base de Dados e filtragem'!AP$2,Apresentação!$I$5='Base de Dados e filtragem'!L339),1,0)</f>
        <v>1</v>
      </c>
      <c r="AQ339" s="25">
        <f>IF(OR(Apresentação!$I$6='Base de Dados e filtragem'!AQ$2,Apresentação!$I$6='Base de Dados e filtragem'!M339),1,0)</f>
        <v>1</v>
      </c>
      <c r="AR339" s="25">
        <v>1</v>
      </c>
      <c r="AS339" s="25">
        <v>1</v>
      </c>
      <c r="AT339" s="25">
        <v>1</v>
      </c>
      <c r="AU339" s="25">
        <v>1</v>
      </c>
      <c r="AV339" s="25">
        <v>1</v>
      </c>
      <c r="AW339" s="25">
        <v>1</v>
      </c>
      <c r="AX339" s="25">
        <v>1</v>
      </c>
      <c r="AY339" s="25">
        <v>1</v>
      </c>
      <c r="AZ339" s="25">
        <v>1</v>
      </c>
      <c r="BA339" s="25">
        <v>1</v>
      </c>
      <c r="BB339" s="25">
        <v>1</v>
      </c>
      <c r="BC339" s="25">
        <v>1</v>
      </c>
      <c r="BD339" s="25">
        <v>1</v>
      </c>
    </row>
    <row r="340" spans="27:56" x14ac:dyDescent="0.25">
      <c r="AA340" s="68" t="str">
        <f t="shared" si="21"/>
        <v>Fotos\\.jpg</v>
      </c>
      <c r="AB340" s="53">
        <f t="shared" si="22"/>
        <v>2.9411764705882353E-3</v>
      </c>
      <c r="AC340" s="25">
        <f t="shared" si="23"/>
        <v>340</v>
      </c>
      <c r="AD340" s="51">
        <f t="shared" si="24"/>
        <v>1</v>
      </c>
      <c r="AE340" s="25">
        <v>1</v>
      </c>
      <c r="AF340" s="25">
        <v>1</v>
      </c>
      <c r="AG340" s="25">
        <v>1</v>
      </c>
      <c r="AH340" s="25">
        <v>1</v>
      </c>
      <c r="AI340" s="25">
        <f>IF(OR(Apresentação!$E$3='Base de Dados e filtragem'!AI$2,Apresentação!$E$3='Base de Dados e filtragem'!E340),1,0)</f>
        <v>1</v>
      </c>
      <c r="AJ340" s="25">
        <f>IF(OR(Apresentação!$E$4='Base de Dados e filtragem'!AJ$2,Apresentação!$E$4='Base de Dados e filtragem'!F340),1,0)</f>
        <v>1</v>
      </c>
      <c r="AK340" s="25">
        <f>IF(OR(Apresentação!$E$5='Base de Dados e filtragem'!AK$2,Apresentação!$E$5='Base de Dados e filtragem'!G340),1,0)</f>
        <v>1</v>
      </c>
      <c r="AL340" s="25">
        <f>IF(OR(Apresentação!$E$6='Base de Dados e filtragem'!AL$2,Apresentação!$E$6='Base de Dados e filtragem'!H340),1,0)</f>
        <v>1</v>
      </c>
      <c r="AM340" s="25">
        <f>IF(OR(Apresentação!$I$2='Base de Dados e filtragem'!AM$2,Apresentação!$I$2='Base de Dados e filtragem'!I340),1,0)</f>
        <v>1</v>
      </c>
      <c r="AN340" s="25">
        <f>IF(OR(Apresentação!$I$3='Base de Dados e filtragem'!AN$2,Apresentação!$I$3='Base de Dados e filtragem'!J340),1,0)</f>
        <v>1</v>
      </c>
      <c r="AO340" s="25">
        <f>IF(OR(Apresentação!$I$4='Base de Dados e filtragem'!AO$2,Apresentação!$I$4='Base de Dados e filtragem'!K340),1,0)</f>
        <v>1</v>
      </c>
      <c r="AP340" s="25">
        <f>IF(OR(Apresentação!$I$5='Base de Dados e filtragem'!AP$2,Apresentação!$I$5='Base de Dados e filtragem'!L340),1,0)</f>
        <v>1</v>
      </c>
      <c r="AQ340" s="25">
        <f>IF(OR(Apresentação!$I$6='Base de Dados e filtragem'!AQ$2,Apresentação!$I$6='Base de Dados e filtragem'!M340),1,0)</f>
        <v>1</v>
      </c>
      <c r="AR340" s="25">
        <v>1</v>
      </c>
      <c r="AS340" s="25">
        <v>1</v>
      </c>
      <c r="AT340" s="25">
        <v>1</v>
      </c>
      <c r="AU340" s="25">
        <v>1</v>
      </c>
      <c r="AV340" s="25">
        <v>1</v>
      </c>
      <c r="AW340" s="25">
        <v>1</v>
      </c>
      <c r="AX340" s="25">
        <v>1</v>
      </c>
      <c r="AY340" s="25">
        <v>1</v>
      </c>
      <c r="AZ340" s="25">
        <v>1</v>
      </c>
      <c r="BA340" s="25">
        <v>1</v>
      </c>
      <c r="BB340" s="25">
        <v>1</v>
      </c>
      <c r="BC340" s="25">
        <v>1</v>
      </c>
      <c r="BD340" s="25">
        <v>1</v>
      </c>
    </row>
    <row r="341" spans="27:56" x14ac:dyDescent="0.25">
      <c r="AA341" s="68" t="str">
        <f t="shared" si="21"/>
        <v>Fotos\\.jpg</v>
      </c>
      <c r="AB341" s="53">
        <f t="shared" si="22"/>
        <v>2.9325513196480938E-3</v>
      </c>
      <c r="AC341" s="25">
        <f t="shared" si="23"/>
        <v>341</v>
      </c>
      <c r="AD341" s="51">
        <f t="shared" si="24"/>
        <v>1</v>
      </c>
      <c r="AE341" s="25">
        <v>1</v>
      </c>
      <c r="AF341" s="25">
        <v>1</v>
      </c>
      <c r="AG341" s="25">
        <v>1</v>
      </c>
      <c r="AH341" s="25">
        <v>1</v>
      </c>
      <c r="AI341" s="25">
        <f>IF(OR(Apresentação!$E$3='Base de Dados e filtragem'!AI$2,Apresentação!$E$3='Base de Dados e filtragem'!E341),1,0)</f>
        <v>1</v>
      </c>
      <c r="AJ341" s="25">
        <f>IF(OR(Apresentação!$E$4='Base de Dados e filtragem'!AJ$2,Apresentação!$E$4='Base de Dados e filtragem'!F341),1,0)</f>
        <v>1</v>
      </c>
      <c r="AK341" s="25">
        <f>IF(OR(Apresentação!$E$5='Base de Dados e filtragem'!AK$2,Apresentação!$E$5='Base de Dados e filtragem'!G341),1,0)</f>
        <v>1</v>
      </c>
      <c r="AL341" s="25">
        <f>IF(OR(Apresentação!$E$6='Base de Dados e filtragem'!AL$2,Apresentação!$E$6='Base de Dados e filtragem'!H341),1,0)</f>
        <v>1</v>
      </c>
      <c r="AM341" s="25">
        <f>IF(OR(Apresentação!$I$2='Base de Dados e filtragem'!AM$2,Apresentação!$I$2='Base de Dados e filtragem'!I341),1,0)</f>
        <v>1</v>
      </c>
      <c r="AN341" s="25">
        <f>IF(OR(Apresentação!$I$3='Base de Dados e filtragem'!AN$2,Apresentação!$I$3='Base de Dados e filtragem'!J341),1,0)</f>
        <v>1</v>
      </c>
      <c r="AO341" s="25">
        <f>IF(OR(Apresentação!$I$4='Base de Dados e filtragem'!AO$2,Apresentação!$I$4='Base de Dados e filtragem'!K341),1,0)</f>
        <v>1</v>
      </c>
      <c r="AP341" s="25">
        <f>IF(OR(Apresentação!$I$5='Base de Dados e filtragem'!AP$2,Apresentação!$I$5='Base de Dados e filtragem'!L341),1,0)</f>
        <v>1</v>
      </c>
      <c r="AQ341" s="25">
        <f>IF(OR(Apresentação!$I$6='Base de Dados e filtragem'!AQ$2,Apresentação!$I$6='Base de Dados e filtragem'!M341),1,0)</f>
        <v>1</v>
      </c>
      <c r="AR341" s="25">
        <v>1</v>
      </c>
      <c r="AS341" s="25">
        <v>1</v>
      </c>
      <c r="AT341" s="25">
        <v>1</v>
      </c>
      <c r="AU341" s="25">
        <v>1</v>
      </c>
      <c r="AV341" s="25">
        <v>1</v>
      </c>
      <c r="AW341" s="25">
        <v>1</v>
      </c>
      <c r="AX341" s="25">
        <v>1</v>
      </c>
      <c r="AY341" s="25">
        <v>1</v>
      </c>
      <c r="AZ341" s="25">
        <v>1</v>
      </c>
      <c r="BA341" s="25">
        <v>1</v>
      </c>
      <c r="BB341" s="25">
        <v>1</v>
      </c>
      <c r="BC341" s="25">
        <v>1</v>
      </c>
      <c r="BD341" s="25">
        <v>1</v>
      </c>
    </row>
    <row r="342" spans="27:56" x14ac:dyDescent="0.25">
      <c r="AA342" s="68" t="str">
        <f t="shared" si="21"/>
        <v>Fotos\\.jpg</v>
      </c>
      <c r="AB342" s="53">
        <f t="shared" si="22"/>
        <v>2.9239766081871343E-3</v>
      </c>
      <c r="AC342" s="25">
        <f t="shared" si="23"/>
        <v>342</v>
      </c>
      <c r="AD342" s="51">
        <f t="shared" si="24"/>
        <v>1</v>
      </c>
      <c r="AE342" s="25">
        <v>1</v>
      </c>
      <c r="AF342" s="25">
        <v>1</v>
      </c>
      <c r="AG342" s="25">
        <v>1</v>
      </c>
      <c r="AH342" s="25">
        <v>1</v>
      </c>
      <c r="AI342" s="25">
        <f>IF(OR(Apresentação!$E$3='Base de Dados e filtragem'!AI$2,Apresentação!$E$3='Base de Dados e filtragem'!E342),1,0)</f>
        <v>1</v>
      </c>
      <c r="AJ342" s="25">
        <f>IF(OR(Apresentação!$E$4='Base de Dados e filtragem'!AJ$2,Apresentação!$E$4='Base de Dados e filtragem'!F342),1,0)</f>
        <v>1</v>
      </c>
      <c r="AK342" s="25">
        <f>IF(OR(Apresentação!$E$5='Base de Dados e filtragem'!AK$2,Apresentação!$E$5='Base de Dados e filtragem'!G342),1,0)</f>
        <v>1</v>
      </c>
      <c r="AL342" s="25">
        <f>IF(OR(Apresentação!$E$6='Base de Dados e filtragem'!AL$2,Apresentação!$E$6='Base de Dados e filtragem'!H342),1,0)</f>
        <v>1</v>
      </c>
      <c r="AM342" s="25">
        <f>IF(OR(Apresentação!$I$2='Base de Dados e filtragem'!AM$2,Apresentação!$I$2='Base de Dados e filtragem'!I342),1,0)</f>
        <v>1</v>
      </c>
      <c r="AN342" s="25">
        <f>IF(OR(Apresentação!$I$3='Base de Dados e filtragem'!AN$2,Apresentação!$I$3='Base de Dados e filtragem'!J342),1,0)</f>
        <v>1</v>
      </c>
      <c r="AO342" s="25">
        <f>IF(OR(Apresentação!$I$4='Base de Dados e filtragem'!AO$2,Apresentação!$I$4='Base de Dados e filtragem'!K342),1,0)</f>
        <v>1</v>
      </c>
      <c r="AP342" s="25">
        <f>IF(OR(Apresentação!$I$5='Base de Dados e filtragem'!AP$2,Apresentação!$I$5='Base de Dados e filtragem'!L342),1,0)</f>
        <v>1</v>
      </c>
      <c r="AQ342" s="25">
        <f>IF(OR(Apresentação!$I$6='Base de Dados e filtragem'!AQ$2,Apresentação!$I$6='Base de Dados e filtragem'!M342),1,0)</f>
        <v>1</v>
      </c>
      <c r="AR342" s="25">
        <v>1</v>
      </c>
      <c r="AS342" s="25">
        <v>1</v>
      </c>
      <c r="AT342" s="25">
        <v>1</v>
      </c>
      <c r="AU342" s="25">
        <v>1</v>
      </c>
      <c r="AV342" s="25">
        <v>1</v>
      </c>
      <c r="AW342" s="25">
        <v>1</v>
      </c>
      <c r="AX342" s="25">
        <v>1</v>
      </c>
      <c r="AY342" s="25">
        <v>1</v>
      </c>
      <c r="AZ342" s="25">
        <v>1</v>
      </c>
      <c r="BA342" s="25">
        <v>1</v>
      </c>
      <c r="BB342" s="25">
        <v>1</v>
      </c>
      <c r="BC342" s="25">
        <v>1</v>
      </c>
      <c r="BD342" s="25">
        <v>1</v>
      </c>
    </row>
    <row r="343" spans="27:56" x14ac:dyDescent="0.25">
      <c r="AA343" s="68" t="str">
        <f t="shared" si="21"/>
        <v>Fotos\\.jpg</v>
      </c>
      <c r="AB343" s="53">
        <f t="shared" si="22"/>
        <v>2.9154518950437317E-3</v>
      </c>
      <c r="AC343" s="25">
        <f t="shared" si="23"/>
        <v>343</v>
      </c>
      <c r="AD343" s="51">
        <f t="shared" si="24"/>
        <v>1</v>
      </c>
      <c r="AE343" s="25">
        <v>1</v>
      </c>
      <c r="AF343" s="25">
        <v>1</v>
      </c>
      <c r="AG343" s="25">
        <v>1</v>
      </c>
      <c r="AH343" s="25">
        <v>1</v>
      </c>
      <c r="AI343" s="25">
        <f>IF(OR(Apresentação!$E$3='Base de Dados e filtragem'!AI$2,Apresentação!$E$3='Base de Dados e filtragem'!E343),1,0)</f>
        <v>1</v>
      </c>
      <c r="AJ343" s="25">
        <f>IF(OR(Apresentação!$E$4='Base de Dados e filtragem'!AJ$2,Apresentação!$E$4='Base de Dados e filtragem'!F343),1,0)</f>
        <v>1</v>
      </c>
      <c r="AK343" s="25">
        <f>IF(OR(Apresentação!$E$5='Base de Dados e filtragem'!AK$2,Apresentação!$E$5='Base de Dados e filtragem'!G343),1,0)</f>
        <v>1</v>
      </c>
      <c r="AL343" s="25">
        <f>IF(OR(Apresentação!$E$6='Base de Dados e filtragem'!AL$2,Apresentação!$E$6='Base de Dados e filtragem'!H343),1,0)</f>
        <v>1</v>
      </c>
      <c r="AM343" s="25">
        <f>IF(OR(Apresentação!$I$2='Base de Dados e filtragem'!AM$2,Apresentação!$I$2='Base de Dados e filtragem'!I343),1,0)</f>
        <v>1</v>
      </c>
      <c r="AN343" s="25">
        <f>IF(OR(Apresentação!$I$3='Base de Dados e filtragem'!AN$2,Apresentação!$I$3='Base de Dados e filtragem'!J343),1,0)</f>
        <v>1</v>
      </c>
      <c r="AO343" s="25">
        <f>IF(OR(Apresentação!$I$4='Base de Dados e filtragem'!AO$2,Apresentação!$I$4='Base de Dados e filtragem'!K343),1,0)</f>
        <v>1</v>
      </c>
      <c r="AP343" s="25">
        <f>IF(OR(Apresentação!$I$5='Base de Dados e filtragem'!AP$2,Apresentação!$I$5='Base de Dados e filtragem'!L343),1,0)</f>
        <v>1</v>
      </c>
      <c r="AQ343" s="25">
        <f>IF(OR(Apresentação!$I$6='Base de Dados e filtragem'!AQ$2,Apresentação!$I$6='Base de Dados e filtragem'!M343),1,0)</f>
        <v>1</v>
      </c>
      <c r="AR343" s="25">
        <v>1</v>
      </c>
      <c r="AS343" s="25">
        <v>1</v>
      </c>
      <c r="AT343" s="25">
        <v>1</v>
      </c>
      <c r="AU343" s="25">
        <v>1</v>
      </c>
      <c r="AV343" s="25">
        <v>1</v>
      </c>
      <c r="AW343" s="25">
        <v>1</v>
      </c>
      <c r="AX343" s="25">
        <v>1</v>
      </c>
      <c r="AY343" s="25">
        <v>1</v>
      </c>
      <c r="AZ343" s="25">
        <v>1</v>
      </c>
      <c r="BA343" s="25">
        <v>1</v>
      </c>
      <c r="BB343" s="25">
        <v>1</v>
      </c>
      <c r="BC343" s="25">
        <v>1</v>
      </c>
      <c r="BD343" s="25">
        <v>1</v>
      </c>
    </row>
    <row r="344" spans="27:56" x14ac:dyDescent="0.25">
      <c r="AA344" s="68" t="str">
        <f t="shared" si="21"/>
        <v>Fotos\\.jpg</v>
      </c>
      <c r="AB344" s="53">
        <f t="shared" si="22"/>
        <v>2.9069767441860465E-3</v>
      </c>
      <c r="AC344" s="25">
        <f t="shared" si="23"/>
        <v>344</v>
      </c>
      <c r="AD344" s="51">
        <f t="shared" si="24"/>
        <v>1</v>
      </c>
      <c r="AE344" s="25">
        <v>1</v>
      </c>
      <c r="AF344" s="25">
        <v>1</v>
      </c>
      <c r="AG344" s="25">
        <v>1</v>
      </c>
      <c r="AH344" s="25">
        <v>1</v>
      </c>
      <c r="AI344" s="25">
        <f>IF(OR(Apresentação!$E$3='Base de Dados e filtragem'!AI$2,Apresentação!$E$3='Base de Dados e filtragem'!E344),1,0)</f>
        <v>1</v>
      </c>
      <c r="AJ344" s="25">
        <f>IF(OR(Apresentação!$E$4='Base de Dados e filtragem'!AJ$2,Apresentação!$E$4='Base de Dados e filtragem'!F344),1,0)</f>
        <v>1</v>
      </c>
      <c r="AK344" s="25">
        <f>IF(OR(Apresentação!$E$5='Base de Dados e filtragem'!AK$2,Apresentação!$E$5='Base de Dados e filtragem'!G344),1,0)</f>
        <v>1</v>
      </c>
      <c r="AL344" s="25">
        <f>IF(OR(Apresentação!$E$6='Base de Dados e filtragem'!AL$2,Apresentação!$E$6='Base de Dados e filtragem'!H344),1,0)</f>
        <v>1</v>
      </c>
      <c r="AM344" s="25">
        <f>IF(OR(Apresentação!$I$2='Base de Dados e filtragem'!AM$2,Apresentação!$I$2='Base de Dados e filtragem'!I344),1,0)</f>
        <v>1</v>
      </c>
      <c r="AN344" s="25">
        <f>IF(OR(Apresentação!$I$3='Base de Dados e filtragem'!AN$2,Apresentação!$I$3='Base de Dados e filtragem'!J344),1,0)</f>
        <v>1</v>
      </c>
      <c r="AO344" s="25">
        <f>IF(OR(Apresentação!$I$4='Base de Dados e filtragem'!AO$2,Apresentação!$I$4='Base de Dados e filtragem'!K344),1,0)</f>
        <v>1</v>
      </c>
      <c r="AP344" s="25">
        <f>IF(OR(Apresentação!$I$5='Base de Dados e filtragem'!AP$2,Apresentação!$I$5='Base de Dados e filtragem'!L344),1,0)</f>
        <v>1</v>
      </c>
      <c r="AQ344" s="25">
        <f>IF(OR(Apresentação!$I$6='Base de Dados e filtragem'!AQ$2,Apresentação!$I$6='Base de Dados e filtragem'!M344),1,0)</f>
        <v>1</v>
      </c>
      <c r="AR344" s="25">
        <v>1</v>
      </c>
      <c r="AS344" s="25">
        <v>1</v>
      </c>
      <c r="AT344" s="25">
        <v>1</v>
      </c>
      <c r="AU344" s="25">
        <v>1</v>
      </c>
      <c r="AV344" s="25">
        <v>1</v>
      </c>
      <c r="AW344" s="25">
        <v>1</v>
      </c>
      <c r="AX344" s="25">
        <v>1</v>
      </c>
      <c r="AY344" s="25">
        <v>1</v>
      </c>
      <c r="AZ344" s="25">
        <v>1</v>
      </c>
      <c r="BA344" s="25">
        <v>1</v>
      </c>
      <c r="BB344" s="25">
        <v>1</v>
      </c>
      <c r="BC344" s="25">
        <v>1</v>
      </c>
      <c r="BD344" s="25">
        <v>1</v>
      </c>
    </row>
    <row r="345" spans="27:56" x14ac:dyDescent="0.25">
      <c r="AA345" s="68" t="str">
        <f t="shared" si="21"/>
        <v>Fotos\\.jpg</v>
      </c>
      <c r="AB345" s="53">
        <f t="shared" si="22"/>
        <v>2.8985507246376812E-3</v>
      </c>
      <c r="AC345" s="25">
        <f t="shared" si="23"/>
        <v>345</v>
      </c>
      <c r="AD345" s="51">
        <f t="shared" si="24"/>
        <v>1</v>
      </c>
      <c r="AE345" s="25">
        <v>1</v>
      </c>
      <c r="AF345" s="25">
        <v>1</v>
      </c>
      <c r="AG345" s="25">
        <v>1</v>
      </c>
      <c r="AH345" s="25">
        <v>1</v>
      </c>
      <c r="AI345" s="25">
        <f>IF(OR(Apresentação!$E$3='Base de Dados e filtragem'!AI$2,Apresentação!$E$3='Base de Dados e filtragem'!E345),1,0)</f>
        <v>1</v>
      </c>
      <c r="AJ345" s="25">
        <f>IF(OR(Apresentação!$E$4='Base de Dados e filtragem'!AJ$2,Apresentação!$E$4='Base de Dados e filtragem'!F345),1,0)</f>
        <v>1</v>
      </c>
      <c r="AK345" s="25">
        <f>IF(OR(Apresentação!$E$5='Base de Dados e filtragem'!AK$2,Apresentação!$E$5='Base de Dados e filtragem'!G345),1,0)</f>
        <v>1</v>
      </c>
      <c r="AL345" s="25">
        <f>IF(OR(Apresentação!$E$6='Base de Dados e filtragem'!AL$2,Apresentação!$E$6='Base de Dados e filtragem'!H345),1,0)</f>
        <v>1</v>
      </c>
      <c r="AM345" s="25">
        <f>IF(OR(Apresentação!$I$2='Base de Dados e filtragem'!AM$2,Apresentação!$I$2='Base de Dados e filtragem'!I345),1,0)</f>
        <v>1</v>
      </c>
      <c r="AN345" s="25">
        <f>IF(OR(Apresentação!$I$3='Base de Dados e filtragem'!AN$2,Apresentação!$I$3='Base de Dados e filtragem'!J345),1,0)</f>
        <v>1</v>
      </c>
      <c r="AO345" s="25">
        <f>IF(OR(Apresentação!$I$4='Base de Dados e filtragem'!AO$2,Apresentação!$I$4='Base de Dados e filtragem'!K345),1,0)</f>
        <v>1</v>
      </c>
      <c r="AP345" s="25">
        <f>IF(OR(Apresentação!$I$5='Base de Dados e filtragem'!AP$2,Apresentação!$I$5='Base de Dados e filtragem'!L345),1,0)</f>
        <v>1</v>
      </c>
      <c r="AQ345" s="25">
        <f>IF(OR(Apresentação!$I$6='Base de Dados e filtragem'!AQ$2,Apresentação!$I$6='Base de Dados e filtragem'!M345),1,0)</f>
        <v>1</v>
      </c>
      <c r="AR345" s="25">
        <v>1</v>
      </c>
      <c r="AS345" s="25">
        <v>1</v>
      </c>
      <c r="AT345" s="25">
        <v>1</v>
      </c>
      <c r="AU345" s="25">
        <v>1</v>
      </c>
      <c r="AV345" s="25">
        <v>1</v>
      </c>
      <c r="AW345" s="25">
        <v>1</v>
      </c>
      <c r="AX345" s="25">
        <v>1</v>
      </c>
      <c r="AY345" s="25">
        <v>1</v>
      </c>
      <c r="AZ345" s="25">
        <v>1</v>
      </c>
      <c r="BA345" s="25">
        <v>1</v>
      </c>
      <c r="BB345" s="25">
        <v>1</v>
      </c>
      <c r="BC345" s="25">
        <v>1</v>
      </c>
      <c r="BD345" s="25">
        <v>1</v>
      </c>
    </row>
    <row r="346" spans="27:56" x14ac:dyDescent="0.25">
      <c r="AA346" s="68" t="str">
        <f t="shared" si="21"/>
        <v>Fotos\\.jpg</v>
      </c>
      <c r="AB346" s="53">
        <f t="shared" si="22"/>
        <v>2.8901734104046241E-3</v>
      </c>
      <c r="AC346" s="25">
        <f t="shared" si="23"/>
        <v>346</v>
      </c>
      <c r="AD346" s="51">
        <f t="shared" si="24"/>
        <v>1</v>
      </c>
      <c r="AE346" s="25">
        <v>1</v>
      </c>
      <c r="AF346" s="25">
        <v>1</v>
      </c>
      <c r="AG346" s="25">
        <v>1</v>
      </c>
      <c r="AH346" s="25">
        <v>1</v>
      </c>
      <c r="AI346" s="25">
        <f>IF(OR(Apresentação!$E$3='Base de Dados e filtragem'!AI$2,Apresentação!$E$3='Base de Dados e filtragem'!E346),1,0)</f>
        <v>1</v>
      </c>
      <c r="AJ346" s="25">
        <f>IF(OR(Apresentação!$E$4='Base de Dados e filtragem'!AJ$2,Apresentação!$E$4='Base de Dados e filtragem'!F346),1,0)</f>
        <v>1</v>
      </c>
      <c r="AK346" s="25">
        <f>IF(OR(Apresentação!$E$5='Base de Dados e filtragem'!AK$2,Apresentação!$E$5='Base de Dados e filtragem'!G346),1,0)</f>
        <v>1</v>
      </c>
      <c r="AL346" s="25">
        <f>IF(OR(Apresentação!$E$6='Base de Dados e filtragem'!AL$2,Apresentação!$E$6='Base de Dados e filtragem'!H346),1,0)</f>
        <v>1</v>
      </c>
      <c r="AM346" s="25">
        <f>IF(OR(Apresentação!$I$2='Base de Dados e filtragem'!AM$2,Apresentação!$I$2='Base de Dados e filtragem'!I346),1,0)</f>
        <v>1</v>
      </c>
      <c r="AN346" s="25">
        <f>IF(OR(Apresentação!$I$3='Base de Dados e filtragem'!AN$2,Apresentação!$I$3='Base de Dados e filtragem'!J346),1,0)</f>
        <v>1</v>
      </c>
      <c r="AO346" s="25">
        <f>IF(OR(Apresentação!$I$4='Base de Dados e filtragem'!AO$2,Apresentação!$I$4='Base de Dados e filtragem'!K346),1,0)</f>
        <v>1</v>
      </c>
      <c r="AP346" s="25">
        <f>IF(OR(Apresentação!$I$5='Base de Dados e filtragem'!AP$2,Apresentação!$I$5='Base de Dados e filtragem'!L346),1,0)</f>
        <v>1</v>
      </c>
      <c r="AQ346" s="25">
        <f>IF(OR(Apresentação!$I$6='Base de Dados e filtragem'!AQ$2,Apresentação!$I$6='Base de Dados e filtragem'!M346),1,0)</f>
        <v>1</v>
      </c>
      <c r="AR346" s="25">
        <v>1</v>
      </c>
      <c r="AS346" s="25">
        <v>1</v>
      </c>
      <c r="AT346" s="25">
        <v>1</v>
      </c>
      <c r="AU346" s="25">
        <v>1</v>
      </c>
      <c r="AV346" s="25">
        <v>1</v>
      </c>
      <c r="AW346" s="25">
        <v>1</v>
      </c>
      <c r="AX346" s="25">
        <v>1</v>
      </c>
      <c r="AY346" s="25">
        <v>1</v>
      </c>
      <c r="AZ346" s="25">
        <v>1</v>
      </c>
      <c r="BA346" s="25">
        <v>1</v>
      </c>
      <c r="BB346" s="25">
        <v>1</v>
      </c>
      <c r="BC346" s="25">
        <v>1</v>
      </c>
      <c r="BD346" s="25">
        <v>1</v>
      </c>
    </row>
    <row r="347" spans="27:56" x14ac:dyDescent="0.25">
      <c r="AA347" s="68" t="str">
        <f t="shared" si="21"/>
        <v>Fotos\\.jpg</v>
      </c>
      <c r="AB347" s="53">
        <f t="shared" si="22"/>
        <v>2.881844380403458E-3</v>
      </c>
      <c r="AC347" s="25">
        <f t="shared" si="23"/>
        <v>347</v>
      </c>
      <c r="AD347" s="51">
        <f t="shared" si="24"/>
        <v>1</v>
      </c>
      <c r="AE347" s="25">
        <v>1</v>
      </c>
      <c r="AF347" s="25">
        <v>1</v>
      </c>
      <c r="AG347" s="25">
        <v>1</v>
      </c>
      <c r="AH347" s="25">
        <v>1</v>
      </c>
      <c r="AI347" s="25">
        <f>IF(OR(Apresentação!$E$3='Base de Dados e filtragem'!AI$2,Apresentação!$E$3='Base de Dados e filtragem'!E347),1,0)</f>
        <v>1</v>
      </c>
      <c r="AJ347" s="25">
        <f>IF(OR(Apresentação!$E$4='Base de Dados e filtragem'!AJ$2,Apresentação!$E$4='Base de Dados e filtragem'!F347),1,0)</f>
        <v>1</v>
      </c>
      <c r="AK347" s="25">
        <f>IF(OR(Apresentação!$E$5='Base de Dados e filtragem'!AK$2,Apresentação!$E$5='Base de Dados e filtragem'!G347),1,0)</f>
        <v>1</v>
      </c>
      <c r="AL347" s="25">
        <f>IF(OR(Apresentação!$E$6='Base de Dados e filtragem'!AL$2,Apresentação!$E$6='Base de Dados e filtragem'!H347),1,0)</f>
        <v>1</v>
      </c>
      <c r="AM347" s="25">
        <f>IF(OR(Apresentação!$I$2='Base de Dados e filtragem'!AM$2,Apresentação!$I$2='Base de Dados e filtragem'!I347),1,0)</f>
        <v>1</v>
      </c>
      <c r="AN347" s="25">
        <f>IF(OR(Apresentação!$I$3='Base de Dados e filtragem'!AN$2,Apresentação!$I$3='Base de Dados e filtragem'!J347),1,0)</f>
        <v>1</v>
      </c>
      <c r="AO347" s="25">
        <f>IF(OR(Apresentação!$I$4='Base de Dados e filtragem'!AO$2,Apresentação!$I$4='Base de Dados e filtragem'!K347),1,0)</f>
        <v>1</v>
      </c>
      <c r="AP347" s="25">
        <f>IF(OR(Apresentação!$I$5='Base de Dados e filtragem'!AP$2,Apresentação!$I$5='Base de Dados e filtragem'!L347),1,0)</f>
        <v>1</v>
      </c>
      <c r="AQ347" s="25">
        <f>IF(OR(Apresentação!$I$6='Base de Dados e filtragem'!AQ$2,Apresentação!$I$6='Base de Dados e filtragem'!M347),1,0)</f>
        <v>1</v>
      </c>
      <c r="AR347" s="25">
        <v>1</v>
      </c>
      <c r="AS347" s="25">
        <v>1</v>
      </c>
      <c r="AT347" s="25">
        <v>1</v>
      </c>
      <c r="AU347" s="25">
        <v>1</v>
      </c>
      <c r="AV347" s="25">
        <v>1</v>
      </c>
      <c r="AW347" s="25">
        <v>1</v>
      </c>
      <c r="AX347" s="25">
        <v>1</v>
      </c>
      <c r="AY347" s="25">
        <v>1</v>
      </c>
      <c r="AZ347" s="25">
        <v>1</v>
      </c>
      <c r="BA347" s="25">
        <v>1</v>
      </c>
      <c r="BB347" s="25">
        <v>1</v>
      </c>
      <c r="BC347" s="25">
        <v>1</v>
      </c>
      <c r="BD347" s="25">
        <v>1</v>
      </c>
    </row>
    <row r="348" spans="27:56" x14ac:dyDescent="0.25">
      <c r="AA348" s="68" t="str">
        <f t="shared" si="21"/>
        <v>Fotos\\.jpg</v>
      </c>
      <c r="AB348" s="53">
        <f t="shared" si="22"/>
        <v>2.8735632183908046E-3</v>
      </c>
      <c r="AC348" s="25">
        <f t="shared" si="23"/>
        <v>348</v>
      </c>
      <c r="AD348" s="51">
        <f t="shared" si="24"/>
        <v>1</v>
      </c>
      <c r="AE348" s="25">
        <v>1</v>
      </c>
      <c r="AF348" s="25">
        <v>1</v>
      </c>
      <c r="AG348" s="25">
        <v>1</v>
      </c>
      <c r="AH348" s="25">
        <v>1</v>
      </c>
      <c r="AI348" s="25">
        <f>IF(OR(Apresentação!$E$3='Base de Dados e filtragem'!AI$2,Apresentação!$E$3='Base de Dados e filtragem'!E348),1,0)</f>
        <v>1</v>
      </c>
      <c r="AJ348" s="25">
        <f>IF(OR(Apresentação!$E$4='Base de Dados e filtragem'!AJ$2,Apresentação!$E$4='Base de Dados e filtragem'!F348),1,0)</f>
        <v>1</v>
      </c>
      <c r="AK348" s="25">
        <f>IF(OR(Apresentação!$E$5='Base de Dados e filtragem'!AK$2,Apresentação!$E$5='Base de Dados e filtragem'!G348),1,0)</f>
        <v>1</v>
      </c>
      <c r="AL348" s="25">
        <f>IF(OR(Apresentação!$E$6='Base de Dados e filtragem'!AL$2,Apresentação!$E$6='Base de Dados e filtragem'!H348),1,0)</f>
        <v>1</v>
      </c>
      <c r="AM348" s="25">
        <f>IF(OR(Apresentação!$I$2='Base de Dados e filtragem'!AM$2,Apresentação!$I$2='Base de Dados e filtragem'!I348),1,0)</f>
        <v>1</v>
      </c>
      <c r="AN348" s="25">
        <f>IF(OR(Apresentação!$I$3='Base de Dados e filtragem'!AN$2,Apresentação!$I$3='Base de Dados e filtragem'!J348),1,0)</f>
        <v>1</v>
      </c>
      <c r="AO348" s="25">
        <f>IF(OR(Apresentação!$I$4='Base de Dados e filtragem'!AO$2,Apresentação!$I$4='Base de Dados e filtragem'!K348),1,0)</f>
        <v>1</v>
      </c>
      <c r="AP348" s="25">
        <f>IF(OR(Apresentação!$I$5='Base de Dados e filtragem'!AP$2,Apresentação!$I$5='Base de Dados e filtragem'!L348),1,0)</f>
        <v>1</v>
      </c>
      <c r="AQ348" s="25">
        <f>IF(OR(Apresentação!$I$6='Base de Dados e filtragem'!AQ$2,Apresentação!$I$6='Base de Dados e filtragem'!M348),1,0)</f>
        <v>1</v>
      </c>
      <c r="AR348" s="25">
        <v>1</v>
      </c>
      <c r="AS348" s="25">
        <v>1</v>
      </c>
      <c r="AT348" s="25">
        <v>1</v>
      </c>
      <c r="AU348" s="25">
        <v>1</v>
      </c>
      <c r="AV348" s="25">
        <v>1</v>
      </c>
      <c r="AW348" s="25">
        <v>1</v>
      </c>
      <c r="AX348" s="25">
        <v>1</v>
      </c>
      <c r="AY348" s="25">
        <v>1</v>
      </c>
      <c r="AZ348" s="25">
        <v>1</v>
      </c>
      <c r="BA348" s="25">
        <v>1</v>
      </c>
      <c r="BB348" s="25">
        <v>1</v>
      </c>
      <c r="BC348" s="25">
        <v>1</v>
      </c>
      <c r="BD348" s="25">
        <v>1</v>
      </c>
    </row>
    <row r="349" spans="27:56" x14ac:dyDescent="0.25">
      <c r="AA349" s="68" t="str">
        <f t="shared" si="21"/>
        <v>Fotos\\.jpg</v>
      </c>
      <c r="AB349" s="53">
        <f t="shared" si="22"/>
        <v>2.8653295128939827E-3</v>
      </c>
      <c r="AC349" s="25">
        <f t="shared" si="23"/>
        <v>349</v>
      </c>
      <c r="AD349" s="51">
        <f t="shared" si="24"/>
        <v>1</v>
      </c>
      <c r="AE349" s="25">
        <v>1</v>
      </c>
      <c r="AF349" s="25">
        <v>1</v>
      </c>
      <c r="AG349" s="25">
        <v>1</v>
      </c>
      <c r="AH349" s="25">
        <v>1</v>
      </c>
      <c r="AI349" s="25">
        <f>IF(OR(Apresentação!$E$3='Base de Dados e filtragem'!AI$2,Apresentação!$E$3='Base de Dados e filtragem'!E349),1,0)</f>
        <v>1</v>
      </c>
      <c r="AJ349" s="25">
        <f>IF(OR(Apresentação!$E$4='Base de Dados e filtragem'!AJ$2,Apresentação!$E$4='Base de Dados e filtragem'!F349),1,0)</f>
        <v>1</v>
      </c>
      <c r="AK349" s="25">
        <f>IF(OR(Apresentação!$E$5='Base de Dados e filtragem'!AK$2,Apresentação!$E$5='Base de Dados e filtragem'!G349),1,0)</f>
        <v>1</v>
      </c>
      <c r="AL349" s="25">
        <f>IF(OR(Apresentação!$E$6='Base de Dados e filtragem'!AL$2,Apresentação!$E$6='Base de Dados e filtragem'!H349),1,0)</f>
        <v>1</v>
      </c>
      <c r="AM349" s="25">
        <f>IF(OR(Apresentação!$I$2='Base de Dados e filtragem'!AM$2,Apresentação!$I$2='Base de Dados e filtragem'!I349),1,0)</f>
        <v>1</v>
      </c>
      <c r="AN349" s="25">
        <f>IF(OR(Apresentação!$I$3='Base de Dados e filtragem'!AN$2,Apresentação!$I$3='Base de Dados e filtragem'!J349),1,0)</f>
        <v>1</v>
      </c>
      <c r="AO349" s="25">
        <f>IF(OR(Apresentação!$I$4='Base de Dados e filtragem'!AO$2,Apresentação!$I$4='Base de Dados e filtragem'!K349),1,0)</f>
        <v>1</v>
      </c>
      <c r="AP349" s="25">
        <f>IF(OR(Apresentação!$I$5='Base de Dados e filtragem'!AP$2,Apresentação!$I$5='Base de Dados e filtragem'!L349),1,0)</f>
        <v>1</v>
      </c>
      <c r="AQ349" s="25">
        <f>IF(OR(Apresentação!$I$6='Base de Dados e filtragem'!AQ$2,Apresentação!$I$6='Base de Dados e filtragem'!M349),1,0)</f>
        <v>1</v>
      </c>
      <c r="AR349" s="25">
        <v>1</v>
      </c>
      <c r="AS349" s="25">
        <v>1</v>
      </c>
      <c r="AT349" s="25">
        <v>1</v>
      </c>
      <c r="AU349" s="25">
        <v>1</v>
      </c>
      <c r="AV349" s="25">
        <v>1</v>
      </c>
      <c r="AW349" s="25">
        <v>1</v>
      </c>
      <c r="AX349" s="25">
        <v>1</v>
      </c>
      <c r="AY349" s="25">
        <v>1</v>
      </c>
      <c r="AZ349" s="25">
        <v>1</v>
      </c>
      <c r="BA349" s="25">
        <v>1</v>
      </c>
      <c r="BB349" s="25">
        <v>1</v>
      </c>
      <c r="BC349" s="25">
        <v>1</v>
      </c>
      <c r="BD349" s="25">
        <v>1</v>
      </c>
    </row>
    <row r="350" spans="27:56" x14ac:dyDescent="0.25">
      <c r="AA350" s="68" t="str">
        <f t="shared" si="21"/>
        <v>Fotos\\.jpg</v>
      </c>
      <c r="AB350" s="53">
        <f t="shared" si="22"/>
        <v>2.8571428571428571E-3</v>
      </c>
      <c r="AC350" s="25">
        <f t="shared" si="23"/>
        <v>350</v>
      </c>
      <c r="AD350" s="51">
        <f t="shared" si="24"/>
        <v>1</v>
      </c>
      <c r="AE350" s="25">
        <v>1</v>
      </c>
      <c r="AF350" s="25">
        <v>1</v>
      </c>
      <c r="AG350" s="25">
        <v>1</v>
      </c>
      <c r="AH350" s="25">
        <v>1</v>
      </c>
      <c r="AI350" s="25">
        <f>IF(OR(Apresentação!$E$3='Base de Dados e filtragem'!AI$2,Apresentação!$E$3='Base de Dados e filtragem'!E350),1,0)</f>
        <v>1</v>
      </c>
      <c r="AJ350" s="25">
        <f>IF(OR(Apresentação!$E$4='Base de Dados e filtragem'!AJ$2,Apresentação!$E$4='Base de Dados e filtragem'!F350),1,0)</f>
        <v>1</v>
      </c>
      <c r="AK350" s="25">
        <f>IF(OR(Apresentação!$E$5='Base de Dados e filtragem'!AK$2,Apresentação!$E$5='Base de Dados e filtragem'!G350),1,0)</f>
        <v>1</v>
      </c>
      <c r="AL350" s="25">
        <f>IF(OR(Apresentação!$E$6='Base de Dados e filtragem'!AL$2,Apresentação!$E$6='Base de Dados e filtragem'!H350),1,0)</f>
        <v>1</v>
      </c>
      <c r="AM350" s="25">
        <f>IF(OR(Apresentação!$I$2='Base de Dados e filtragem'!AM$2,Apresentação!$I$2='Base de Dados e filtragem'!I350),1,0)</f>
        <v>1</v>
      </c>
      <c r="AN350" s="25">
        <f>IF(OR(Apresentação!$I$3='Base de Dados e filtragem'!AN$2,Apresentação!$I$3='Base de Dados e filtragem'!J350),1,0)</f>
        <v>1</v>
      </c>
      <c r="AO350" s="25">
        <f>IF(OR(Apresentação!$I$4='Base de Dados e filtragem'!AO$2,Apresentação!$I$4='Base de Dados e filtragem'!K350),1,0)</f>
        <v>1</v>
      </c>
      <c r="AP350" s="25">
        <f>IF(OR(Apresentação!$I$5='Base de Dados e filtragem'!AP$2,Apresentação!$I$5='Base de Dados e filtragem'!L350),1,0)</f>
        <v>1</v>
      </c>
      <c r="AQ350" s="25">
        <f>IF(OR(Apresentação!$I$6='Base de Dados e filtragem'!AQ$2,Apresentação!$I$6='Base de Dados e filtragem'!M350),1,0)</f>
        <v>1</v>
      </c>
      <c r="AR350" s="25">
        <v>1</v>
      </c>
      <c r="AS350" s="25">
        <v>1</v>
      </c>
      <c r="AT350" s="25">
        <v>1</v>
      </c>
      <c r="AU350" s="25">
        <v>1</v>
      </c>
      <c r="AV350" s="25">
        <v>1</v>
      </c>
      <c r="AW350" s="25">
        <v>1</v>
      </c>
      <c r="AX350" s="25">
        <v>1</v>
      </c>
      <c r="AY350" s="25">
        <v>1</v>
      </c>
      <c r="AZ350" s="25">
        <v>1</v>
      </c>
      <c r="BA350" s="25">
        <v>1</v>
      </c>
      <c r="BB350" s="25">
        <v>1</v>
      </c>
      <c r="BC350" s="25">
        <v>1</v>
      </c>
      <c r="BD350" s="25">
        <v>1</v>
      </c>
    </row>
    <row r="351" spans="27:56" x14ac:dyDescent="0.25">
      <c r="AA351" s="68" t="str">
        <f t="shared" si="21"/>
        <v>Fotos\\.jpg</v>
      </c>
      <c r="AB351" s="53">
        <f t="shared" si="22"/>
        <v>2.8490028490028491E-3</v>
      </c>
      <c r="AC351" s="25">
        <f t="shared" si="23"/>
        <v>351</v>
      </c>
      <c r="AD351" s="51">
        <f t="shared" si="24"/>
        <v>1</v>
      </c>
      <c r="AE351" s="25">
        <v>1</v>
      </c>
      <c r="AF351" s="25">
        <v>1</v>
      </c>
      <c r="AG351" s="25">
        <v>1</v>
      </c>
      <c r="AH351" s="25">
        <v>1</v>
      </c>
      <c r="AI351" s="25">
        <f>IF(OR(Apresentação!$E$3='Base de Dados e filtragem'!AI$2,Apresentação!$E$3='Base de Dados e filtragem'!E351),1,0)</f>
        <v>1</v>
      </c>
      <c r="AJ351" s="25">
        <f>IF(OR(Apresentação!$E$4='Base de Dados e filtragem'!AJ$2,Apresentação!$E$4='Base de Dados e filtragem'!F351),1,0)</f>
        <v>1</v>
      </c>
      <c r="AK351" s="25">
        <f>IF(OR(Apresentação!$E$5='Base de Dados e filtragem'!AK$2,Apresentação!$E$5='Base de Dados e filtragem'!G351),1,0)</f>
        <v>1</v>
      </c>
      <c r="AL351" s="25">
        <f>IF(OR(Apresentação!$E$6='Base de Dados e filtragem'!AL$2,Apresentação!$E$6='Base de Dados e filtragem'!H351),1,0)</f>
        <v>1</v>
      </c>
      <c r="AM351" s="25">
        <f>IF(OR(Apresentação!$I$2='Base de Dados e filtragem'!AM$2,Apresentação!$I$2='Base de Dados e filtragem'!I351),1,0)</f>
        <v>1</v>
      </c>
      <c r="AN351" s="25">
        <f>IF(OR(Apresentação!$I$3='Base de Dados e filtragem'!AN$2,Apresentação!$I$3='Base de Dados e filtragem'!J351),1,0)</f>
        <v>1</v>
      </c>
      <c r="AO351" s="25">
        <f>IF(OR(Apresentação!$I$4='Base de Dados e filtragem'!AO$2,Apresentação!$I$4='Base de Dados e filtragem'!K351),1,0)</f>
        <v>1</v>
      </c>
      <c r="AP351" s="25">
        <f>IF(OR(Apresentação!$I$5='Base de Dados e filtragem'!AP$2,Apresentação!$I$5='Base de Dados e filtragem'!L351),1,0)</f>
        <v>1</v>
      </c>
      <c r="AQ351" s="25">
        <f>IF(OR(Apresentação!$I$6='Base de Dados e filtragem'!AQ$2,Apresentação!$I$6='Base de Dados e filtragem'!M351),1,0)</f>
        <v>1</v>
      </c>
      <c r="AR351" s="25">
        <v>1</v>
      </c>
      <c r="AS351" s="25">
        <v>1</v>
      </c>
      <c r="AT351" s="25">
        <v>1</v>
      </c>
      <c r="AU351" s="25">
        <v>1</v>
      </c>
      <c r="AV351" s="25">
        <v>1</v>
      </c>
      <c r="AW351" s="25">
        <v>1</v>
      </c>
      <c r="AX351" s="25">
        <v>1</v>
      </c>
      <c r="AY351" s="25">
        <v>1</v>
      </c>
      <c r="AZ351" s="25">
        <v>1</v>
      </c>
      <c r="BA351" s="25">
        <v>1</v>
      </c>
      <c r="BB351" s="25">
        <v>1</v>
      </c>
      <c r="BC351" s="25">
        <v>1</v>
      </c>
      <c r="BD351" s="25">
        <v>1</v>
      </c>
    </row>
    <row r="352" spans="27:56" x14ac:dyDescent="0.25">
      <c r="AA352" s="68" t="str">
        <f t="shared" si="21"/>
        <v>Fotos\\.jpg</v>
      </c>
      <c r="AB352" s="53">
        <f t="shared" si="22"/>
        <v>2.840909090909091E-3</v>
      </c>
      <c r="AC352" s="25">
        <f t="shared" si="23"/>
        <v>352</v>
      </c>
      <c r="AD352" s="51">
        <f t="shared" si="24"/>
        <v>1</v>
      </c>
      <c r="AE352" s="25">
        <v>1</v>
      </c>
      <c r="AF352" s="25">
        <v>1</v>
      </c>
      <c r="AG352" s="25">
        <v>1</v>
      </c>
      <c r="AH352" s="25">
        <v>1</v>
      </c>
      <c r="AI352" s="25">
        <f>IF(OR(Apresentação!$E$3='Base de Dados e filtragem'!AI$2,Apresentação!$E$3='Base de Dados e filtragem'!E352),1,0)</f>
        <v>1</v>
      </c>
      <c r="AJ352" s="25">
        <f>IF(OR(Apresentação!$E$4='Base de Dados e filtragem'!AJ$2,Apresentação!$E$4='Base de Dados e filtragem'!F352),1,0)</f>
        <v>1</v>
      </c>
      <c r="AK352" s="25">
        <f>IF(OR(Apresentação!$E$5='Base de Dados e filtragem'!AK$2,Apresentação!$E$5='Base de Dados e filtragem'!G352),1,0)</f>
        <v>1</v>
      </c>
      <c r="AL352" s="25">
        <f>IF(OR(Apresentação!$E$6='Base de Dados e filtragem'!AL$2,Apresentação!$E$6='Base de Dados e filtragem'!H352),1,0)</f>
        <v>1</v>
      </c>
      <c r="AM352" s="25">
        <f>IF(OR(Apresentação!$I$2='Base de Dados e filtragem'!AM$2,Apresentação!$I$2='Base de Dados e filtragem'!I352),1,0)</f>
        <v>1</v>
      </c>
      <c r="AN352" s="25">
        <f>IF(OR(Apresentação!$I$3='Base de Dados e filtragem'!AN$2,Apresentação!$I$3='Base de Dados e filtragem'!J352),1,0)</f>
        <v>1</v>
      </c>
      <c r="AO352" s="25">
        <f>IF(OR(Apresentação!$I$4='Base de Dados e filtragem'!AO$2,Apresentação!$I$4='Base de Dados e filtragem'!K352),1,0)</f>
        <v>1</v>
      </c>
      <c r="AP352" s="25">
        <f>IF(OR(Apresentação!$I$5='Base de Dados e filtragem'!AP$2,Apresentação!$I$5='Base de Dados e filtragem'!L352),1,0)</f>
        <v>1</v>
      </c>
      <c r="AQ352" s="25">
        <f>IF(OR(Apresentação!$I$6='Base de Dados e filtragem'!AQ$2,Apresentação!$I$6='Base de Dados e filtragem'!M352),1,0)</f>
        <v>1</v>
      </c>
      <c r="AR352" s="25">
        <v>1</v>
      </c>
      <c r="AS352" s="25">
        <v>1</v>
      </c>
      <c r="AT352" s="25">
        <v>1</v>
      </c>
      <c r="AU352" s="25">
        <v>1</v>
      </c>
      <c r="AV352" s="25">
        <v>1</v>
      </c>
      <c r="AW352" s="25">
        <v>1</v>
      </c>
      <c r="AX352" s="25">
        <v>1</v>
      </c>
      <c r="AY352" s="25">
        <v>1</v>
      </c>
      <c r="AZ352" s="25">
        <v>1</v>
      </c>
      <c r="BA352" s="25">
        <v>1</v>
      </c>
      <c r="BB352" s="25">
        <v>1</v>
      </c>
      <c r="BC352" s="25">
        <v>1</v>
      </c>
      <c r="BD352" s="25">
        <v>1</v>
      </c>
    </row>
    <row r="353" spans="27:56" x14ac:dyDescent="0.25">
      <c r="AA353" s="68" t="str">
        <f t="shared" si="21"/>
        <v>Fotos\\.jpg</v>
      </c>
      <c r="AB353" s="53">
        <f t="shared" si="22"/>
        <v>2.8328611898016999E-3</v>
      </c>
      <c r="AC353" s="25">
        <f t="shared" si="23"/>
        <v>353</v>
      </c>
      <c r="AD353" s="51">
        <f t="shared" si="24"/>
        <v>1</v>
      </c>
      <c r="AE353" s="25">
        <v>1</v>
      </c>
      <c r="AF353" s="25">
        <v>1</v>
      </c>
      <c r="AG353" s="25">
        <v>1</v>
      </c>
      <c r="AH353" s="25">
        <v>1</v>
      </c>
      <c r="AI353" s="25">
        <f>IF(OR(Apresentação!$E$3='Base de Dados e filtragem'!AI$2,Apresentação!$E$3='Base de Dados e filtragem'!E353),1,0)</f>
        <v>1</v>
      </c>
      <c r="AJ353" s="25">
        <f>IF(OR(Apresentação!$E$4='Base de Dados e filtragem'!AJ$2,Apresentação!$E$4='Base de Dados e filtragem'!F353),1,0)</f>
        <v>1</v>
      </c>
      <c r="AK353" s="25">
        <f>IF(OR(Apresentação!$E$5='Base de Dados e filtragem'!AK$2,Apresentação!$E$5='Base de Dados e filtragem'!G353),1,0)</f>
        <v>1</v>
      </c>
      <c r="AL353" s="25">
        <f>IF(OR(Apresentação!$E$6='Base de Dados e filtragem'!AL$2,Apresentação!$E$6='Base de Dados e filtragem'!H353),1,0)</f>
        <v>1</v>
      </c>
      <c r="AM353" s="25">
        <f>IF(OR(Apresentação!$I$2='Base de Dados e filtragem'!AM$2,Apresentação!$I$2='Base de Dados e filtragem'!I353),1,0)</f>
        <v>1</v>
      </c>
      <c r="AN353" s="25">
        <f>IF(OR(Apresentação!$I$3='Base de Dados e filtragem'!AN$2,Apresentação!$I$3='Base de Dados e filtragem'!J353),1,0)</f>
        <v>1</v>
      </c>
      <c r="AO353" s="25">
        <f>IF(OR(Apresentação!$I$4='Base de Dados e filtragem'!AO$2,Apresentação!$I$4='Base de Dados e filtragem'!K353),1,0)</f>
        <v>1</v>
      </c>
      <c r="AP353" s="25">
        <f>IF(OR(Apresentação!$I$5='Base de Dados e filtragem'!AP$2,Apresentação!$I$5='Base de Dados e filtragem'!L353),1,0)</f>
        <v>1</v>
      </c>
      <c r="AQ353" s="25">
        <f>IF(OR(Apresentação!$I$6='Base de Dados e filtragem'!AQ$2,Apresentação!$I$6='Base de Dados e filtragem'!M353),1,0)</f>
        <v>1</v>
      </c>
      <c r="AR353" s="25">
        <v>1</v>
      </c>
      <c r="AS353" s="25">
        <v>1</v>
      </c>
      <c r="AT353" s="25">
        <v>1</v>
      </c>
      <c r="AU353" s="25">
        <v>1</v>
      </c>
      <c r="AV353" s="25">
        <v>1</v>
      </c>
      <c r="AW353" s="25">
        <v>1</v>
      </c>
      <c r="AX353" s="25">
        <v>1</v>
      </c>
      <c r="AY353" s="25">
        <v>1</v>
      </c>
      <c r="AZ353" s="25">
        <v>1</v>
      </c>
      <c r="BA353" s="25">
        <v>1</v>
      </c>
      <c r="BB353" s="25">
        <v>1</v>
      </c>
      <c r="BC353" s="25">
        <v>1</v>
      </c>
      <c r="BD353" s="25">
        <v>1</v>
      </c>
    </row>
    <row r="354" spans="27:56" x14ac:dyDescent="0.25">
      <c r="AA354" s="68" t="str">
        <f t="shared" si="21"/>
        <v>Fotos\\.jpg</v>
      </c>
      <c r="AB354" s="53">
        <f t="shared" si="22"/>
        <v>2.8248587570621469E-3</v>
      </c>
      <c r="AC354" s="25">
        <f t="shared" si="23"/>
        <v>354</v>
      </c>
      <c r="AD354" s="51">
        <f t="shared" si="24"/>
        <v>1</v>
      </c>
      <c r="AE354" s="25">
        <v>1</v>
      </c>
      <c r="AF354" s="25">
        <v>1</v>
      </c>
      <c r="AG354" s="25">
        <v>1</v>
      </c>
      <c r="AH354" s="25">
        <v>1</v>
      </c>
      <c r="AI354" s="25">
        <f>IF(OR(Apresentação!$E$3='Base de Dados e filtragem'!AI$2,Apresentação!$E$3='Base de Dados e filtragem'!E354),1,0)</f>
        <v>1</v>
      </c>
      <c r="AJ354" s="25">
        <f>IF(OR(Apresentação!$E$4='Base de Dados e filtragem'!AJ$2,Apresentação!$E$4='Base de Dados e filtragem'!F354),1,0)</f>
        <v>1</v>
      </c>
      <c r="AK354" s="25">
        <f>IF(OR(Apresentação!$E$5='Base de Dados e filtragem'!AK$2,Apresentação!$E$5='Base de Dados e filtragem'!G354),1,0)</f>
        <v>1</v>
      </c>
      <c r="AL354" s="25">
        <f>IF(OR(Apresentação!$E$6='Base de Dados e filtragem'!AL$2,Apresentação!$E$6='Base de Dados e filtragem'!H354),1,0)</f>
        <v>1</v>
      </c>
      <c r="AM354" s="25">
        <f>IF(OR(Apresentação!$I$2='Base de Dados e filtragem'!AM$2,Apresentação!$I$2='Base de Dados e filtragem'!I354),1,0)</f>
        <v>1</v>
      </c>
      <c r="AN354" s="25">
        <f>IF(OR(Apresentação!$I$3='Base de Dados e filtragem'!AN$2,Apresentação!$I$3='Base de Dados e filtragem'!J354),1,0)</f>
        <v>1</v>
      </c>
      <c r="AO354" s="25">
        <f>IF(OR(Apresentação!$I$4='Base de Dados e filtragem'!AO$2,Apresentação!$I$4='Base de Dados e filtragem'!K354),1,0)</f>
        <v>1</v>
      </c>
      <c r="AP354" s="25">
        <f>IF(OR(Apresentação!$I$5='Base de Dados e filtragem'!AP$2,Apresentação!$I$5='Base de Dados e filtragem'!L354),1,0)</f>
        <v>1</v>
      </c>
      <c r="AQ354" s="25">
        <f>IF(OR(Apresentação!$I$6='Base de Dados e filtragem'!AQ$2,Apresentação!$I$6='Base de Dados e filtragem'!M354),1,0)</f>
        <v>1</v>
      </c>
      <c r="AR354" s="25">
        <v>1</v>
      </c>
      <c r="AS354" s="25">
        <v>1</v>
      </c>
      <c r="AT354" s="25">
        <v>1</v>
      </c>
      <c r="AU354" s="25">
        <v>1</v>
      </c>
      <c r="AV354" s="25">
        <v>1</v>
      </c>
      <c r="AW354" s="25">
        <v>1</v>
      </c>
      <c r="AX354" s="25">
        <v>1</v>
      </c>
      <c r="AY354" s="25">
        <v>1</v>
      </c>
      <c r="AZ354" s="25">
        <v>1</v>
      </c>
      <c r="BA354" s="25">
        <v>1</v>
      </c>
      <c r="BB354" s="25">
        <v>1</v>
      </c>
      <c r="BC354" s="25">
        <v>1</v>
      </c>
      <c r="BD354" s="25">
        <v>1</v>
      </c>
    </row>
    <row r="355" spans="27:56" x14ac:dyDescent="0.25">
      <c r="AA355" s="68" t="str">
        <f t="shared" si="21"/>
        <v>Fotos\\.jpg</v>
      </c>
      <c r="AB355" s="53">
        <f t="shared" si="22"/>
        <v>2.8169014084507044E-3</v>
      </c>
      <c r="AC355" s="25">
        <f t="shared" si="23"/>
        <v>355</v>
      </c>
      <c r="AD355" s="51">
        <f t="shared" si="24"/>
        <v>1</v>
      </c>
      <c r="AE355" s="25">
        <v>1</v>
      </c>
      <c r="AF355" s="25">
        <v>1</v>
      </c>
      <c r="AG355" s="25">
        <v>1</v>
      </c>
      <c r="AH355" s="25">
        <v>1</v>
      </c>
      <c r="AI355" s="25">
        <f>IF(OR(Apresentação!$E$3='Base de Dados e filtragem'!AI$2,Apresentação!$E$3='Base de Dados e filtragem'!E355),1,0)</f>
        <v>1</v>
      </c>
      <c r="AJ355" s="25">
        <f>IF(OR(Apresentação!$E$4='Base de Dados e filtragem'!AJ$2,Apresentação!$E$4='Base de Dados e filtragem'!F355),1,0)</f>
        <v>1</v>
      </c>
      <c r="AK355" s="25">
        <f>IF(OR(Apresentação!$E$5='Base de Dados e filtragem'!AK$2,Apresentação!$E$5='Base de Dados e filtragem'!G355),1,0)</f>
        <v>1</v>
      </c>
      <c r="AL355" s="25">
        <f>IF(OR(Apresentação!$E$6='Base de Dados e filtragem'!AL$2,Apresentação!$E$6='Base de Dados e filtragem'!H355),1,0)</f>
        <v>1</v>
      </c>
      <c r="AM355" s="25">
        <f>IF(OR(Apresentação!$I$2='Base de Dados e filtragem'!AM$2,Apresentação!$I$2='Base de Dados e filtragem'!I355),1,0)</f>
        <v>1</v>
      </c>
      <c r="AN355" s="25">
        <f>IF(OR(Apresentação!$I$3='Base de Dados e filtragem'!AN$2,Apresentação!$I$3='Base de Dados e filtragem'!J355),1,0)</f>
        <v>1</v>
      </c>
      <c r="AO355" s="25">
        <f>IF(OR(Apresentação!$I$4='Base de Dados e filtragem'!AO$2,Apresentação!$I$4='Base de Dados e filtragem'!K355),1,0)</f>
        <v>1</v>
      </c>
      <c r="AP355" s="25">
        <f>IF(OR(Apresentação!$I$5='Base de Dados e filtragem'!AP$2,Apresentação!$I$5='Base de Dados e filtragem'!L355),1,0)</f>
        <v>1</v>
      </c>
      <c r="AQ355" s="25">
        <f>IF(OR(Apresentação!$I$6='Base de Dados e filtragem'!AQ$2,Apresentação!$I$6='Base de Dados e filtragem'!M355),1,0)</f>
        <v>1</v>
      </c>
      <c r="AR355" s="25">
        <v>1</v>
      </c>
      <c r="AS355" s="25">
        <v>1</v>
      </c>
      <c r="AT355" s="25">
        <v>1</v>
      </c>
      <c r="AU355" s="25">
        <v>1</v>
      </c>
      <c r="AV355" s="25">
        <v>1</v>
      </c>
      <c r="AW355" s="25">
        <v>1</v>
      </c>
      <c r="AX355" s="25">
        <v>1</v>
      </c>
      <c r="AY355" s="25">
        <v>1</v>
      </c>
      <c r="AZ355" s="25">
        <v>1</v>
      </c>
      <c r="BA355" s="25">
        <v>1</v>
      </c>
      <c r="BB355" s="25">
        <v>1</v>
      </c>
      <c r="BC355" s="25">
        <v>1</v>
      </c>
      <c r="BD355" s="25">
        <v>1</v>
      </c>
    </row>
    <row r="356" spans="27:56" x14ac:dyDescent="0.25">
      <c r="AA356" s="68" t="str">
        <f t="shared" si="21"/>
        <v>Fotos\\.jpg</v>
      </c>
      <c r="AB356" s="53">
        <f t="shared" si="22"/>
        <v>2.8089887640449437E-3</v>
      </c>
      <c r="AC356" s="25">
        <f t="shared" si="23"/>
        <v>356</v>
      </c>
      <c r="AD356" s="51">
        <f t="shared" si="24"/>
        <v>1</v>
      </c>
      <c r="AE356" s="25">
        <v>1</v>
      </c>
      <c r="AF356" s="25">
        <v>1</v>
      </c>
      <c r="AG356" s="25">
        <v>1</v>
      </c>
      <c r="AH356" s="25">
        <v>1</v>
      </c>
      <c r="AI356" s="25">
        <f>IF(OR(Apresentação!$E$3='Base de Dados e filtragem'!AI$2,Apresentação!$E$3='Base de Dados e filtragem'!E356),1,0)</f>
        <v>1</v>
      </c>
      <c r="AJ356" s="25">
        <f>IF(OR(Apresentação!$E$4='Base de Dados e filtragem'!AJ$2,Apresentação!$E$4='Base de Dados e filtragem'!F356),1,0)</f>
        <v>1</v>
      </c>
      <c r="AK356" s="25">
        <f>IF(OR(Apresentação!$E$5='Base de Dados e filtragem'!AK$2,Apresentação!$E$5='Base de Dados e filtragem'!G356),1,0)</f>
        <v>1</v>
      </c>
      <c r="AL356" s="25">
        <f>IF(OR(Apresentação!$E$6='Base de Dados e filtragem'!AL$2,Apresentação!$E$6='Base de Dados e filtragem'!H356),1,0)</f>
        <v>1</v>
      </c>
      <c r="AM356" s="25">
        <f>IF(OR(Apresentação!$I$2='Base de Dados e filtragem'!AM$2,Apresentação!$I$2='Base de Dados e filtragem'!I356),1,0)</f>
        <v>1</v>
      </c>
      <c r="AN356" s="25">
        <f>IF(OR(Apresentação!$I$3='Base de Dados e filtragem'!AN$2,Apresentação!$I$3='Base de Dados e filtragem'!J356),1,0)</f>
        <v>1</v>
      </c>
      <c r="AO356" s="25">
        <f>IF(OR(Apresentação!$I$4='Base de Dados e filtragem'!AO$2,Apresentação!$I$4='Base de Dados e filtragem'!K356),1,0)</f>
        <v>1</v>
      </c>
      <c r="AP356" s="25">
        <f>IF(OR(Apresentação!$I$5='Base de Dados e filtragem'!AP$2,Apresentação!$I$5='Base de Dados e filtragem'!L356),1,0)</f>
        <v>1</v>
      </c>
      <c r="AQ356" s="25">
        <f>IF(OR(Apresentação!$I$6='Base de Dados e filtragem'!AQ$2,Apresentação!$I$6='Base de Dados e filtragem'!M356),1,0)</f>
        <v>1</v>
      </c>
      <c r="AR356" s="25">
        <v>1</v>
      </c>
      <c r="AS356" s="25">
        <v>1</v>
      </c>
      <c r="AT356" s="25">
        <v>1</v>
      </c>
      <c r="AU356" s="25">
        <v>1</v>
      </c>
      <c r="AV356" s="25">
        <v>1</v>
      </c>
      <c r="AW356" s="25">
        <v>1</v>
      </c>
      <c r="AX356" s="25">
        <v>1</v>
      </c>
      <c r="AY356" s="25">
        <v>1</v>
      </c>
      <c r="AZ356" s="25">
        <v>1</v>
      </c>
      <c r="BA356" s="25">
        <v>1</v>
      </c>
      <c r="BB356" s="25">
        <v>1</v>
      </c>
      <c r="BC356" s="25">
        <v>1</v>
      </c>
      <c r="BD356" s="25">
        <v>1</v>
      </c>
    </row>
    <row r="357" spans="27:56" x14ac:dyDescent="0.25">
      <c r="AA357" s="68" t="str">
        <f t="shared" si="21"/>
        <v>Fotos\\.jpg</v>
      </c>
      <c r="AB357" s="53">
        <f t="shared" si="22"/>
        <v>2.8011204481792717E-3</v>
      </c>
      <c r="AC357" s="25">
        <f t="shared" si="23"/>
        <v>357</v>
      </c>
      <c r="AD357" s="51">
        <f t="shared" si="24"/>
        <v>1</v>
      </c>
      <c r="AE357" s="25">
        <v>1</v>
      </c>
      <c r="AF357" s="25">
        <v>1</v>
      </c>
      <c r="AG357" s="25">
        <v>1</v>
      </c>
      <c r="AH357" s="25">
        <v>1</v>
      </c>
      <c r="AI357" s="25">
        <f>IF(OR(Apresentação!$E$3='Base de Dados e filtragem'!AI$2,Apresentação!$E$3='Base de Dados e filtragem'!E357),1,0)</f>
        <v>1</v>
      </c>
      <c r="AJ357" s="25">
        <f>IF(OR(Apresentação!$E$4='Base de Dados e filtragem'!AJ$2,Apresentação!$E$4='Base de Dados e filtragem'!F357),1,0)</f>
        <v>1</v>
      </c>
      <c r="AK357" s="25">
        <f>IF(OR(Apresentação!$E$5='Base de Dados e filtragem'!AK$2,Apresentação!$E$5='Base de Dados e filtragem'!G357),1,0)</f>
        <v>1</v>
      </c>
      <c r="AL357" s="25">
        <f>IF(OR(Apresentação!$E$6='Base de Dados e filtragem'!AL$2,Apresentação!$E$6='Base de Dados e filtragem'!H357),1,0)</f>
        <v>1</v>
      </c>
      <c r="AM357" s="25">
        <f>IF(OR(Apresentação!$I$2='Base de Dados e filtragem'!AM$2,Apresentação!$I$2='Base de Dados e filtragem'!I357),1,0)</f>
        <v>1</v>
      </c>
      <c r="AN357" s="25">
        <f>IF(OR(Apresentação!$I$3='Base de Dados e filtragem'!AN$2,Apresentação!$I$3='Base de Dados e filtragem'!J357),1,0)</f>
        <v>1</v>
      </c>
      <c r="AO357" s="25">
        <f>IF(OR(Apresentação!$I$4='Base de Dados e filtragem'!AO$2,Apresentação!$I$4='Base de Dados e filtragem'!K357),1,0)</f>
        <v>1</v>
      </c>
      <c r="AP357" s="25">
        <f>IF(OR(Apresentação!$I$5='Base de Dados e filtragem'!AP$2,Apresentação!$I$5='Base de Dados e filtragem'!L357),1,0)</f>
        <v>1</v>
      </c>
      <c r="AQ357" s="25">
        <f>IF(OR(Apresentação!$I$6='Base de Dados e filtragem'!AQ$2,Apresentação!$I$6='Base de Dados e filtragem'!M357),1,0)</f>
        <v>1</v>
      </c>
      <c r="AR357" s="25">
        <v>1</v>
      </c>
      <c r="AS357" s="25">
        <v>1</v>
      </c>
      <c r="AT357" s="25">
        <v>1</v>
      </c>
      <c r="AU357" s="25">
        <v>1</v>
      </c>
      <c r="AV357" s="25">
        <v>1</v>
      </c>
      <c r="AW357" s="25">
        <v>1</v>
      </c>
      <c r="AX357" s="25">
        <v>1</v>
      </c>
      <c r="AY357" s="25">
        <v>1</v>
      </c>
      <c r="AZ357" s="25">
        <v>1</v>
      </c>
      <c r="BA357" s="25">
        <v>1</v>
      </c>
      <c r="BB357" s="25">
        <v>1</v>
      </c>
      <c r="BC357" s="25">
        <v>1</v>
      </c>
      <c r="BD357" s="25">
        <v>1</v>
      </c>
    </row>
    <row r="358" spans="27:56" x14ac:dyDescent="0.25">
      <c r="AA358" s="68" t="str">
        <f t="shared" si="21"/>
        <v>Fotos\\.jpg</v>
      </c>
      <c r="AB358" s="53">
        <f t="shared" si="22"/>
        <v>2.7932960893854749E-3</v>
      </c>
      <c r="AC358" s="25">
        <f t="shared" si="23"/>
        <v>358</v>
      </c>
      <c r="AD358" s="51">
        <f t="shared" si="24"/>
        <v>1</v>
      </c>
      <c r="AE358" s="25">
        <v>1</v>
      </c>
      <c r="AF358" s="25">
        <v>1</v>
      </c>
      <c r="AG358" s="25">
        <v>1</v>
      </c>
      <c r="AH358" s="25">
        <v>1</v>
      </c>
      <c r="AI358" s="25">
        <f>IF(OR(Apresentação!$E$3='Base de Dados e filtragem'!AI$2,Apresentação!$E$3='Base de Dados e filtragem'!E358),1,0)</f>
        <v>1</v>
      </c>
      <c r="AJ358" s="25">
        <f>IF(OR(Apresentação!$E$4='Base de Dados e filtragem'!AJ$2,Apresentação!$E$4='Base de Dados e filtragem'!F358),1,0)</f>
        <v>1</v>
      </c>
      <c r="AK358" s="25">
        <f>IF(OR(Apresentação!$E$5='Base de Dados e filtragem'!AK$2,Apresentação!$E$5='Base de Dados e filtragem'!G358),1,0)</f>
        <v>1</v>
      </c>
      <c r="AL358" s="25">
        <f>IF(OR(Apresentação!$E$6='Base de Dados e filtragem'!AL$2,Apresentação!$E$6='Base de Dados e filtragem'!H358),1,0)</f>
        <v>1</v>
      </c>
      <c r="AM358" s="25">
        <f>IF(OR(Apresentação!$I$2='Base de Dados e filtragem'!AM$2,Apresentação!$I$2='Base de Dados e filtragem'!I358),1,0)</f>
        <v>1</v>
      </c>
      <c r="AN358" s="25">
        <f>IF(OR(Apresentação!$I$3='Base de Dados e filtragem'!AN$2,Apresentação!$I$3='Base de Dados e filtragem'!J358),1,0)</f>
        <v>1</v>
      </c>
      <c r="AO358" s="25">
        <f>IF(OR(Apresentação!$I$4='Base de Dados e filtragem'!AO$2,Apresentação!$I$4='Base de Dados e filtragem'!K358),1,0)</f>
        <v>1</v>
      </c>
      <c r="AP358" s="25">
        <f>IF(OR(Apresentação!$I$5='Base de Dados e filtragem'!AP$2,Apresentação!$I$5='Base de Dados e filtragem'!L358),1,0)</f>
        <v>1</v>
      </c>
      <c r="AQ358" s="25">
        <f>IF(OR(Apresentação!$I$6='Base de Dados e filtragem'!AQ$2,Apresentação!$I$6='Base de Dados e filtragem'!M358),1,0)</f>
        <v>1</v>
      </c>
      <c r="AR358" s="25">
        <v>1</v>
      </c>
      <c r="AS358" s="25">
        <v>1</v>
      </c>
      <c r="AT358" s="25">
        <v>1</v>
      </c>
      <c r="AU358" s="25">
        <v>1</v>
      </c>
      <c r="AV358" s="25">
        <v>1</v>
      </c>
      <c r="AW358" s="25">
        <v>1</v>
      </c>
      <c r="AX358" s="25">
        <v>1</v>
      </c>
      <c r="AY358" s="25">
        <v>1</v>
      </c>
      <c r="AZ358" s="25">
        <v>1</v>
      </c>
      <c r="BA358" s="25">
        <v>1</v>
      </c>
      <c r="BB358" s="25">
        <v>1</v>
      </c>
      <c r="BC358" s="25">
        <v>1</v>
      </c>
      <c r="BD358" s="25">
        <v>1</v>
      </c>
    </row>
    <row r="359" spans="27:56" x14ac:dyDescent="0.25">
      <c r="AA359" s="68" t="str">
        <f t="shared" si="21"/>
        <v>Fotos\\.jpg</v>
      </c>
      <c r="AB359" s="53">
        <f t="shared" si="22"/>
        <v>2.7855153203342618E-3</v>
      </c>
      <c r="AC359" s="25">
        <f t="shared" si="23"/>
        <v>359</v>
      </c>
      <c r="AD359" s="51">
        <f t="shared" si="24"/>
        <v>1</v>
      </c>
      <c r="AE359" s="25">
        <v>1</v>
      </c>
      <c r="AF359" s="25">
        <v>1</v>
      </c>
      <c r="AG359" s="25">
        <v>1</v>
      </c>
      <c r="AH359" s="25">
        <v>1</v>
      </c>
      <c r="AI359" s="25">
        <f>IF(OR(Apresentação!$E$3='Base de Dados e filtragem'!AI$2,Apresentação!$E$3='Base de Dados e filtragem'!E359),1,0)</f>
        <v>1</v>
      </c>
      <c r="AJ359" s="25">
        <f>IF(OR(Apresentação!$E$4='Base de Dados e filtragem'!AJ$2,Apresentação!$E$4='Base de Dados e filtragem'!F359),1,0)</f>
        <v>1</v>
      </c>
      <c r="AK359" s="25">
        <f>IF(OR(Apresentação!$E$5='Base de Dados e filtragem'!AK$2,Apresentação!$E$5='Base de Dados e filtragem'!G359),1,0)</f>
        <v>1</v>
      </c>
      <c r="AL359" s="25">
        <f>IF(OR(Apresentação!$E$6='Base de Dados e filtragem'!AL$2,Apresentação!$E$6='Base de Dados e filtragem'!H359),1,0)</f>
        <v>1</v>
      </c>
      <c r="AM359" s="25">
        <f>IF(OR(Apresentação!$I$2='Base de Dados e filtragem'!AM$2,Apresentação!$I$2='Base de Dados e filtragem'!I359),1,0)</f>
        <v>1</v>
      </c>
      <c r="AN359" s="25">
        <f>IF(OR(Apresentação!$I$3='Base de Dados e filtragem'!AN$2,Apresentação!$I$3='Base de Dados e filtragem'!J359),1,0)</f>
        <v>1</v>
      </c>
      <c r="AO359" s="25">
        <f>IF(OR(Apresentação!$I$4='Base de Dados e filtragem'!AO$2,Apresentação!$I$4='Base de Dados e filtragem'!K359),1,0)</f>
        <v>1</v>
      </c>
      <c r="AP359" s="25">
        <f>IF(OR(Apresentação!$I$5='Base de Dados e filtragem'!AP$2,Apresentação!$I$5='Base de Dados e filtragem'!L359),1,0)</f>
        <v>1</v>
      </c>
      <c r="AQ359" s="25">
        <f>IF(OR(Apresentação!$I$6='Base de Dados e filtragem'!AQ$2,Apresentação!$I$6='Base de Dados e filtragem'!M359),1,0)</f>
        <v>1</v>
      </c>
      <c r="AR359" s="25">
        <v>1</v>
      </c>
      <c r="AS359" s="25">
        <v>1</v>
      </c>
      <c r="AT359" s="25">
        <v>1</v>
      </c>
      <c r="AU359" s="25">
        <v>1</v>
      </c>
      <c r="AV359" s="25">
        <v>1</v>
      </c>
      <c r="AW359" s="25">
        <v>1</v>
      </c>
      <c r="AX359" s="25">
        <v>1</v>
      </c>
      <c r="AY359" s="25">
        <v>1</v>
      </c>
      <c r="AZ359" s="25">
        <v>1</v>
      </c>
      <c r="BA359" s="25">
        <v>1</v>
      </c>
      <c r="BB359" s="25">
        <v>1</v>
      </c>
      <c r="BC359" s="25">
        <v>1</v>
      </c>
      <c r="BD359" s="25">
        <v>1</v>
      </c>
    </row>
    <row r="360" spans="27:56" x14ac:dyDescent="0.25">
      <c r="AA360" s="68" t="str">
        <f t="shared" si="21"/>
        <v>Fotos\\.jpg</v>
      </c>
      <c r="AB360" s="53">
        <f t="shared" si="22"/>
        <v>2.7777777777777779E-3</v>
      </c>
      <c r="AC360" s="25">
        <f t="shared" si="23"/>
        <v>360</v>
      </c>
      <c r="AD360" s="51">
        <f t="shared" si="24"/>
        <v>1</v>
      </c>
      <c r="AE360" s="25">
        <v>1</v>
      </c>
      <c r="AF360" s="25">
        <v>1</v>
      </c>
      <c r="AG360" s="25">
        <v>1</v>
      </c>
      <c r="AH360" s="25">
        <v>1</v>
      </c>
      <c r="AI360" s="25">
        <f>IF(OR(Apresentação!$E$3='Base de Dados e filtragem'!AI$2,Apresentação!$E$3='Base de Dados e filtragem'!E360),1,0)</f>
        <v>1</v>
      </c>
      <c r="AJ360" s="25">
        <f>IF(OR(Apresentação!$E$4='Base de Dados e filtragem'!AJ$2,Apresentação!$E$4='Base de Dados e filtragem'!F360),1,0)</f>
        <v>1</v>
      </c>
      <c r="AK360" s="25">
        <f>IF(OR(Apresentação!$E$5='Base de Dados e filtragem'!AK$2,Apresentação!$E$5='Base de Dados e filtragem'!G360),1,0)</f>
        <v>1</v>
      </c>
      <c r="AL360" s="25">
        <f>IF(OR(Apresentação!$E$6='Base de Dados e filtragem'!AL$2,Apresentação!$E$6='Base de Dados e filtragem'!H360),1,0)</f>
        <v>1</v>
      </c>
      <c r="AM360" s="25">
        <f>IF(OR(Apresentação!$I$2='Base de Dados e filtragem'!AM$2,Apresentação!$I$2='Base de Dados e filtragem'!I360),1,0)</f>
        <v>1</v>
      </c>
      <c r="AN360" s="25">
        <f>IF(OR(Apresentação!$I$3='Base de Dados e filtragem'!AN$2,Apresentação!$I$3='Base de Dados e filtragem'!J360),1,0)</f>
        <v>1</v>
      </c>
      <c r="AO360" s="25">
        <f>IF(OR(Apresentação!$I$4='Base de Dados e filtragem'!AO$2,Apresentação!$I$4='Base de Dados e filtragem'!K360),1,0)</f>
        <v>1</v>
      </c>
      <c r="AP360" s="25">
        <f>IF(OR(Apresentação!$I$5='Base de Dados e filtragem'!AP$2,Apresentação!$I$5='Base de Dados e filtragem'!L360),1,0)</f>
        <v>1</v>
      </c>
      <c r="AQ360" s="25">
        <f>IF(OR(Apresentação!$I$6='Base de Dados e filtragem'!AQ$2,Apresentação!$I$6='Base de Dados e filtragem'!M360),1,0)</f>
        <v>1</v>
      </c>
      <c r="AR360" s="25">
        <v>1</v>
      </c>
      <c r="AS360" s="25">
        <v>1</v>
      </c>
      <c r="AT360" s="25">
        <v>1</v>
      </c>
      <c r="AU360" s="25">
        <v>1</v>
      </c>
      <c r="AV360" s="25">
        <v>1</v>
      </c>
      <c r="AW360" s="25">
        <v>1</v>
      </c>
      <c r="AX360" s="25">
        <v>1</v>
      </c>
      <c r="AY360" s="25">
        <v>1</v>
      </c>
      <c r="AZ360" s="25">
        <v>1</v>
      </c>
      <c r="BA360" s="25">
        <v>1</v>
      </c>
      <c r="BB360" s="25">
        <v>1</v>
      </c>
      <c r="BC360" s="25">
        <v>1</v>
      </c>
      <c r="BD360" s="25">
        <v>1</v>
      </c>
    </row>
    <row r="361" spans="27:56" x14ac:dyDescent="0.25">
      <c r="AA361" s="68" t="str">
        <f t="shared" si="21"/>
        <v>Fotos\\.jpg</v>
      </c>
      <c r="AB361" s="53">
        <f t="shared" si="22"/>
        <v>2.7700831024930748E-3</v>
      </c>
      <c r="AC361" s="25">
        <f t="shared" si="23"/>
        <v>361</v>
      </c>
      <c r="AD361" s="51">
        <f t="shared" si="24"/>
        <v>1</v>
      </c>
      <c r="AE361" s="25">
        <v>1</v>
      </c>
      <c r="AF361" s="25">
        <v>1</v>
      </c>
      <c r="AG361" s="25">
        <v>1</v>
      </c>
      <c r="AH361" s="25">
        <v>1</v>
      </c>
      <c r="AI361" s="25">
        <f>IF(OR(Apresentação!$E$3='Base de Dados e filtragem'!AI$2,Apresentação!$E$3='Base de Dados e filtragem'!E361),1,0)</f>
        <v>1</v>
      </c>
      <c r="AJ361" s="25">
        <f>IF(OR(Apresentação!$E$4='Base de Dados e filtragem'!AJ$2,Apresentação!$E$4='Base de Dados e filtragem'!F361),1,0)</f>
        <v>1</v>
      </c>
      <c r="AK361" s="25">
        <f>IF(OR(Apresentação!$E$5='Base de Dados e filtragem'!AK$2,Apresentação!$E$5='Base de Dados e filtragem'!G361),1,0)</f>
        <v>1</v>
      </c>
      <c r="AL361" s="25">
        <f>IF(OR(Apresentação!$E$6='Base de Dados e filtragem'!AL$2,Apresentação!$E$6='Base de Dados e filtragem'!H361),1,0)</f>
        <v>1</v>
      </c>
      <c r="AM361" s="25">
        <f>IF(OR(Apresentação!$I$2='Base de Dados e filtragem'!AM$2,Apresentação!$I$2='Base de Dados e filtragem'!I361),1,0)</f>
        <v>1</v>
      </c>
      <c r="AN361" s="25">
        <f>IF(OR(Apresentação!$I$3='Base de Dados e filtragem'!AN$2,Apresentação!$I$3='Base de Dados e filtragem'!J361),1,0)</f>
        <v>1</v>
      </c>
      <c r="AO361" s="25">
        <f>IF(OR(Apresentação!$I$4='Base de Dados e filtragem'!AO$2,Apresentação!$I$4='Base de Dados e filtragem'!K361),1,0)</f>
        <v>1</v>
      </c>
      <c r="AP361" s="25">
        <f>IF(OR(Apresentação!$I$5='Base de Dados e filtragem'!AP$2,Apresentação!$I$5='Base de Dados e filtragem'!L361),1,0)</f>
        <v>1</v>
      </c>
      <c r="AQ361" s="25">
        <f>IF(OR(Apresentação!$I$6='Base de Dados e filtragem'!AQ$2,Apresentação!$I$6='Base de Dados e filtragem'!M361),1,0)</f>
        <v>1</v>
      </c>
      <c r="AR361" s="25">
        <v>1</v>
      </c>
      <c r="AS361" s="25">
        <v>1</v>
      </c>
      <c r="AT361" s="25">
        <v>1</v>
      </c>
      <c r="AU361" s="25">
        <v>1</v>
      </c>
      <c r="AV361" s="25">
        <v>1</v>
      </c>
      <c r="AW361" s="25">
        <v>1</v>
      </c>
      <c r="AX361" s="25">
        <v>1</v>
      </c>
      <c r="AY361" s="25">
        <v>1</v>
      </c>
      <c r="AZ361" s="25">
        <v>1</v>
      </c>
      <c r="BA361" s="25">
        <v>1</v>
      </c>
      <c r="BB361" s="25">
        <v>1</v>
      </c>
      <c r="BC361" s="25">
        <v>1</v>
      </c>
      <c r="BD361" s="25">
        <v>1</v>
      </c>
    </row>
    <row r="362" spans="27:56" x14ac:dyDescent="0.25">
      <c r="AA362" s="68" t="str">
        <f t="shared" si="21"/>
        <v>Fotos\\.jpg</v>
      </c>
      <c r="AB362" s="53">
        <f t="shared" si="22"/>
        <v>2.7624309392265192E-3</v>
      </c>
      <c r="AC362" s="25">
        <f t="shared" si="23"/>
        <v>362</v>
      </c>
      <c r="AD362" s="51">
        <f t="shared" si="24"/>
        <v>1</v>
      </c>
      <c r="AE362" s="25">
        <v>1</v>
      </c>
      <c r="AF362" s="25">
        <v>1</v>
      </c>
      <c r="AG362" s="25">
        <v>1</v>
      </c>
      <c r="AH362" s="25">
        <v>1</v>
      </c>
      <c r="AI362" s="25">
        <f>IF(OR(Apresentação!$E$3='Base de Dados e filtragem'!AI$2,Apresentação!$E$3='Base de Dados e filtragem'!E362),1,0)</f>
        <v>1</v>
      </c>
      <c r="AJ362" s="25">
        <f>IF(OR(Apresentação!$E$4='Base de Dados e filtragem'!AJ$2,Apresentação!$E$4='Base de Dados e filtragem'!F362),1,0)</f>
        <v>1</v>
      </c>
      <c r="AK362" s="25">
        <f>IF(OR(Apresentação!$E$5='Base de Dados e filtragem'!AK$2,Apresentação!$E$5='Base de Dados e filtragem'!G362),1,0)</f>
        <v>1</v>
      </c>
      <c r="AL362" s="25">
        <f>IF(OR(Apresentação!$E$6='Base de Dados e filtragem'!AL$2,Apresentação!$E$6='Base de Dados e filtragem'!H362),1,0)</f>
        <v>1</v>
      </c>
      <c r="AM362" s="25">
        <f>IF(OR(Apresentação!$I$2='Base de Dados e filtragem'!AM$2,Apresentação!$I$2='Base de Dados e filtragem'!I362),1,0)</f>
        <v>1</v>
      </c>
      <c r="AN362" s="25">
        <f>IF(OR(Apresentação!$I$3='Base de Dados e filtragem'!AN$2,Apresentação!$I$3='Base de Dados e filtragem'!J362),1,0)</f>
        <v>1</v>
      </c>
      <c r="AO362" s="25">
        <f>IF(OR(Apresentação!$I$4='Base de Dados e filtragem'!AO$2,Apresentação!$I$4='Base de Dados e filtragem'!K362),1,0)</f>
        <v>1</v>
      </c>
      <c r="AP362" s="25">
        <f>IF(OR(Apresentação!$I$5='Base de Dados e filtragem'!AP$2,Apresentação!$I$5='Base de Dados e filtragem'!L362),1,0)</f>
        <v>1</v>
      </c>
      <c r="AQ362" s="25">
        <f>IF(OR(Apresentação!$I$6='Base de Dados e filtragem'!AQ$2,Apresentação!$I$6='Base de Dados e filtragem'!M362),1,0)</f>
        <v>1</v>
      </c>
      <c r="AR362" s="25">
        <v>1</v>
      </c>
      <c r="AS362" s="25">
        <v>1</v>
      </c>
      <c r="AT362" s="25">
        <v>1</v>
      </c>
      <c r="AU362" s="25">
        <v>1</v>
      </c>
      <c r="AV362" s="25">
        <v>1</v>
      </c>
      <c r="AW362" s="25">
        <v>1</v>
      </c>
      <c r="AX362" s="25">
        <v>1</v>
      </c>
      <c r="AY362" s="25">
        <v>1</v>
      </c>
      <c r="AZ362" s="25">
        <v>1</v>
      </c>
      <c r="BA362" s="25">
        <v>1</v>
      </c>
      <c r="BB362" s="25">
        <v>1</v>
      </c>
      <c r="BC362" s="25">
        <v>1</v>
      </c>
      <c r="BD362" s="25">
        <v>1</v>
      </c>
    </row>
    <row r="363" spans="27:56" x14ac:dyDescent="0.25">
      <c r="AA363" s="68" t="str">
        <f t="shared" si="21"/>
        <v>Fotos\\.jpg</v>
      </c>
      <c r="AB363" s="53">
        <f t="shared" si="22"/>
        <v>2.7548209366391185E-3</v>
      </c>
      <c r="AC363" s="25">
        <f t="shared" si="23"/>
        <v>363</v>
      </c>
      <c r="AD363" s="51">
        <f t="shared" si="24"/>
        <v>1</v>
      </c>
      <c r="AE363" s="25">
        <v>1</v>
      </c>
      <c r="AF363" s="25">
        <v>1</v>
      </c>
      <c r="AG363" s="25">
        <v>1</v>
      </c>
      <c r="AH363" s="25">
        <v>1</v>
      </c>
      <c r="AI363" s="25">
        <f>IF(OR(Apresentação!$E$3='Base de Dados e filtragem'!AI$2,Apresentação!$E$3='Base de Dados e filtragem'!E363),1,0)</f>
        <v>1</v>
      </c>
      <c r="AJ363" s="25">
        <f>IF(OR(Apresentação!$E$4='Base de Dados e filtragem'!AJ$2,Apresentação!$E$4='Base de Dados e filtragem'!F363),1,0)</f>
        <v>1</v>
      </c>
      <c r="AK363" s="25">
        <f>IF(OR(Apresentação!$E$5='Base de Dados e filtragem'!AK$2,Apresentação!$E$5='Base de Dados e filtragem'!G363),1,0)</f>
        <v>1</v>
      </c>
      <c r="AL363" s="25">
        <f>IF(OR(Apresentação!$E$6='Base de Dados e filtragem'!AL$2,Apresentação!$E$6='Base de Dados e filtragem'!H363),1,0)</f>
        <v>1</v>
      </c>
      <c r="AM363" s="25">
        <f>IF(OR(Apresentação!$I$2='Base de Dados e filtragem'!AM$2,Apresentação!$I$2='Base de Dados e filtragem'!I363),1,0)</f>
        <v>1</v>
      </c>
      <c r="AN363" s="25">
        <f>IF(OR(Apresentação!$I$3='Base de Dados e filtragem'!AN$2,Apresentação!$I$3='Base de Dados e filtragem'!J363),1,0)</f>
        <v>1</v>
      </c>
      <c r="AO363" s="25">
        <f>IF(OR(Apresentação!$I$4='Base de Dados e filtragem'!AO$2,Apresentação!$I$4='Base de Dados e filtragem'!K363),1,0)</f>
        <v>1</v>
      </c>
      <c r="AP363" s="25">
        <f>IF(OR(Apresentação!$I$5='Base de Dados e filtragem'!AP$2,Apresentação!$I$5='Base de Dados e filtragem'!L363),1,0)</f>
        <v>1</v>
      </c>
      <c r="AQ363" s="25">
        <f>IF(OR(Apresentação!$I$6='Base de Dados e filtragem'!AQ$2,Apresentação!$I$6='Base de Dados e filtragem'!M363),1,0)</f>
        <v>1</v>
      </c>
      <c r="AR363" s="25">
        <v>1</v>
      </c>
      <c r="AS363" s="25">
        <v>1</v>
      </c>
      <c r="AT363" s="25">
        <v>1</v>
      </c>
      <c r="AU363" s="25">
        <v>1</v>
      </c>
      <c r="AV363" s="25">
        <v>1</v>
      </c>
      <c r="AW363" s="25">
        <v>1</v>
      </c>
      <c r="AX363" s="25">
        <v>1</v>
      </c>
      <c r="AY363" s="25">
        <v>1</v>
      </c>
      <c r="AZ363" s="25">
        <v>1</v>
      </c>
      <c r="BA363" s="25">
        <v>1</v>
      </c>
      <c r="BB363" s="25">
        <v>1</v>
      </c>
      <c r="BC363" s="25">
        <v>1</v>
      </c>
      <c r="BD363" s="25">
        <v>1</v>
      </c>
    </row>
    <row r="364" spans="27:56" x14ac:dyDescent="0.25">
      <c r="AA364" s="68" t="str">
        <f t="shared" si="21"/>
        <v>Fotos\\.jpg</v>
      </c>
      <c r="AB364" s="53">
        <f t="shared" si="22"/>
        <v>2.7472527472527475E-3</v>
      </c>
      <c r="AC364" s="25">
        <f t="shared" si="23"/>
        <v>364</v>
      </c>
      <c r="AD364" s="51">
        <f t="shared" si="24"/>
        <v>1</v>
      </c>
      <c r="AE364" s="25">
        <v>1</v>
      </c>
      <c r="AF364" s="25">
        <v>1</v>
      </c>
      <c r="AG364" s="25">
        <v>1</v>
      </c>
      <c r="AH364" s="25">
        <v>1</v>
      </c>
      <c r="AI364" s="25">
        <f>IF(OR(Apresentação!$E$3='Base de Dados e filtragem'!AI$2,Apresentação!$E$3='Base de Dados e filtragem'!E364),1,0)</f>
        <v>1</v>
      </c>
      <c r="AJ364" s="25">
        <f>IF(OR(Apresentação!$E$4='Base de Dados e filtragem'!AJ$2,Apresentação!$E$4='Base de Dados e filtragem'!F364),1,0)</f>
        <v>1</v>
      </c>
      <c r="AK364" s="25">
        <f>IF(OR(Apresentação!$E$5='Base de Dados e filtragem'!AK$2,Apresentação!$E$5='Base de Dados e filtragem'!G364),1,0)</f>
        <v>1</v>
      </c>
      <c r="AL364" s="25">
        <f>IF(OR(Apresentação!$E$6='Base de Dados e filtragem'!AL$2,Apresentação!$E$6='Base de Dados e filtragem'!H364),1,0)</f>
        <v>1</v>
      </c>
      <c r="AM364" s="25">
        <f>IF(OR(Apresentação!$I$2='Base de Dados e filtragem'!AM$2,Apresentação!$I$2='Base de Dados e filtragem'!I364),1,0)</f>
        <v>1</v>
      </c>
      <c r="AN364" s="25">
        <f>IF(OR(Apresentação!$I$3='Base de Dados e filtragem'!AN$2,Apresentação!$I$3='Base de Dados e filtragem'!J364),1,0)</f>
        <v>1</v>
      </c>
      <c r="AO364" s="25">
        <f>IF(OR(Apresentação!$I$4='Base de Dados e filtragem'!AO$2,Apresentação!$I$4='Base de Dados e filtragem'!K364),1,0)</f>
        <v>1</v>
      </c>
      <c r="AP364" s="25">
        <f>IF(OR(Apresentação!$I$5='Base de Dados e filtragem'!AP$2,Apresentação!$I$5='Base de Dados e filtragem'!L364),1,0)</f>
        <v>1</v>
      </c>
      <c r="AQ364" s="25">
        <f>IF(OR(Apresentação!$I$6='Base de Dados e filtragem'!AQ$2,Apresentação!$I$6='Base de Dados e filtragem'!M364),1,0)</f>
        <v>1</v>
      </c>
      <c r="AR364" s="25">
        <v>1</v>
      </c>
      <c r="AS364" s="25">
        <v>1</v>
      </c>
      <c r="AT364" s="25">
        <v>1</v>
      </c>
      <c r="AU364" s="25">
        <v>1</v>
      </c>
      <c r="AV364" s="25">
        <v>1</v>
      </c>
      <c r="AW364" s="25">
        <v>1</v>
      </c>
      <c r="AX364" s="25">
        <v>1</v>
      </c>
      <c r="AY364" s="25">
        <v>1</v>
      </c>
      <c r="AZ364" s="25">
        <v>1</v>
      </c>
      <c r="BA364" s="25">
        <v>1</v>
      </c>
      <c r="BB364" s="25">
        <v>1</v>
      </c>
      <c r="BC364" s="25">
        <v>1</v>
      </c>
      <c r="BD364" s="25">
        <v>1</v>
      </c>
    </row>
    <row r="365" spans="27:56" x14ac:dyDescent="0.25">
      <c r="AA365" s="68" t="str">
        <f t="shared" si="21"/>
        <v>Fotos\\.jpg</v>
      </c>
      <c r="AB365" s="53">
        <f t="shared" si="22"/>
        <v>2.7397260273972603E-3</v>
      </c>
      <c r="AC365" s="25">
        <f t="shared" si="23"/>
        <v>365</v>
      </c>
      <c r="AD365" s="51">
        <f t="shared" si="24"/>
        <v>1</v>
      </c>
      <c r="AE365" s="25">
        <v>1</v>
      </c>
      <c r="AF365" s="25">
        <v>1</v>
      </c>
      <c r="AG365" s="25">
        <v>1</v>
      </c>
      <c r="AH365" s="25">
        <v>1</v>
      </c>
      <c r="AI365" s="25">
        <f>IF(OR(Apresentação!$E$3='Base de Dados e filtragem'!AI$2,Apresentação!$E$3='Base de Dados e filtragem'!E365),1,0)</f>
        <v>1</v>
      </c>
      <c r="AJ365" s="25">
        <f>IF(OR(Apresentação!$E$4='Base de Dados e filtragem'!AJ$2,Apresentação!$E$4='Base de Dados e filtragem'!F365),1,0)</f>
        <v>1</v>
      </c>
      <c r="AK365" s="25">
        <f>IF(OR(Apresentação!$E$5='Base de Dados e filtragem'!AK$2,Apresentação!$E$5='Base de Dados e filtragem'!G365),1,0)</f>
        <v>1</v>
      </c>
      <c r="AL365" s="25">
        <f>IF(OR(Apresentação!$E$6='Base de Dados e filtragem'!AL$2,Apresentação!$E$6='Base de Dados e filtragem'!H365),1,0)</f>
        <v>1</v>
      </c>
      <c r="AM365" s="25">
        <f>IF(OR(Apresentação!$I$2='Base de Dados e filtragem'!AM$2,Apresentação!$I$2='Base de Dados e filtragem'!I365),1,0)</f>
        <v>1</v>
      </c>
      <c r="AN365" s="25">
        <f>IF(OR(Apresentação!$I$3='Base de Dados e filtragem'!AN$2,Apresentação!$I$3='Base de Dados e filtragem'!J365),1,0)</f>
        <v>1</v>
      </c>
      <c r="AO365" s="25">
        <f>IF(OR(Apresentação!$I$4='Base de Dados e filtragem'!AO$2,Apresentação!$I$4='Base de Dados e filtragem'!K365),1,0)</f>
        <v>1</v>
      </c>
      <c r="AP365" s="25">
        <f>IF(OR(Apresentação!$I$5='Base de Dados e filtragem'!AP$2,Apresentação!$I$5='Base de Dados e filtragem'!L365),1,0)</f>
        <v>1</v>
      </c>
      <c r="AQ365" s="25">
        <f>IF(OR(Apresentação!$I$6='Base de Dados e filtragem'!AQ$2,Apresentação!$I$6='Base de Dados e filtragem'!M365),1,0)</f>
        <v>1</v>
      </c>
      <c r="AR365" s="25">
        <v>1</v>
      </c>
      <c r="AS365" s="25">
        <v>1</v>
      </c>
      <c r="AT365" s="25">
        <v>1</v>
      </c>
      <c r="AU365" s="25">
        <v>1</v>
      </c>
      <c r="AV365" s="25">
        <v>1</v>
      </c>
      <c r="AW365" s="25">
        <v>1</v>
      </c>
      <c r="AX365" s="25">
        <v>1</v>
      </c>
      <c r="AY365" s="25">
        <v>1</v>
      </c>
      <c r="AZ365" s="25">
        <v>1</v>
      </c>
      <c r="BA365" s="25">
        <v>1</v>
      </c>
      <c r="BB365" s="25">
        <v>1</v>
      </c>
      <c r="BC365" s="25">
        <v>1</v>
      </c>
      <c r="BD365" s="25">
        <v>1</v>
      </c>
    </row>
    <row r="366" spans="27:56" x14ac:dyDescent="0.25">
      <c r="AA366" s="68" t="str">
        <f t="shared" si="21"/>
        <v>Fotos\\.jpg</v>
      </c>
      <c r="AB366" s="53">
        <f t="shared" si="22"/>
        <v>2.7322404371584699E-3</v>
      </c>
      <c r="AC366" s="25">
        <f t="shared" si="23"/>
        <v>366</v>
      </c>
      <c r="AD366" s="51">
        <f t="shared" si="24"/>
        <v>1</v>
      </c>
      <c r="AE366" s="25">
        <v>1</v>
      </c>
      <c r="AF366" s="25">
        <v>1</v>
      </c>
      <c r="AG366" s="25">
        <v>1</v>
      </c>
      <c r="AH366" s="25">
        <v>1</v>
      </c>
      <c r="AI366" s="25">
        <f>IF(OR(Apresentação!$E$3='Base de Dados e filtragem'!AI$2,Apresentação!$E$3='Base de Dados e filtragem'!E366),1,0)</f>
        <v>1</v>
      </c>
      <c r="AJ366" s="25">
        <f>IF(OR(Apresentação!$E$4='Base de Dados e filtragem'!AJ$2,Apresentação!$E$4='Base de Dados e filtragem'!F366),1,0)</f>
        <v>1</v>
      </c>
      <c r="AK366" s="25">
        <f>IF(OR(Apresentação!$E$5='Base de Dados e filtragem'!AK$2,Apresentação!$E$5='Base de Dados e filtragem'!G366),1,0)</f>
        <v>1</v>
      </c>
      <c r="AL366" s="25">
        <f>IF(OR(Apresentação!$E$6='Base de Dados e filtragem'!AL$2,Apresentação!$E$6='Base de Dados e filtragem'!H366),1,0)</f>
        <v>1</v>
      </c>
      <c r="AM366" s="25">
        <f>IF(OR(Apresentação!$I$2='Base de Dados e filtragem'!AM$2,Apresentação!$I$2='Base de Dados e filtragem'!I366),1,0)</f>
        <v>1</v>
      </c>
      <c r="AN366" s="25">
        <f>IF(OR(Apresentação!$I$3='Base de Dados e filtragem'!AN$2,Apresentação!$I$3='Base de Dados e filtragem'!J366),1,0)</f>
        <v>1</v>
      </c>
      <c r="AO366" s="25">
        <f>IF(OR(Apresentação!$I$4='Base de Dados e filtragem'!AO$2,Apresentação!$I$4='Base de Dados e filtragem'!K366),1,0)</f>
        <v>1</v>
      </c>
      <c r="AP366" s="25">
        <f>IF(OR(Apresentação!$I$5='Base de Dados e filtragem'!AP$2,Apresentação!$I$5='Base de Dados e filtragem'!L366),1,0)</f>
        <v>1</v>
      </c>
      <c r="AQ366" s="25">
        <f>IF(OR(Apresentação!$I$6='Base de Dados e filtragem'!AQ$2,Apresentação!$I$6='Base de Dados e filtragem'!M366),1,0)</f>
        <v>1</v>
      </c>
      <c r="AR366" s="25">
        <v>1</v>
      </c>
      <c r="AS366" s="25">
        <v>1</v>
      </c>
      <c r="AT366" s="25">
        <v>1</v>
      </c>
      <c r="AU366" s="25">
        <v>1</v>
      </c>
      <c r="AV366" s="25">
        <v>1</v>
      </c>
      <c r="AW366" s="25">
        <v>1</v>
      </c>
      <c r="AX366" s="25">
        <v>1</v>
      </c>
      <c r="AY366" s="25">
        <v>1</v>
      </c>
      <c r="AZ366" s="25">
        <v>1</v>
      </c>
      <c r="BA366" s="25">
        <v>1</v>
      </c>
      <c r="BB366" s="25">
        <v>1</v>
      </c>
      <c r="BC366" s="25">
        <v>1</v>
      </c>
      <c r="BD366" s="25">
        <v>1</v>
      </c>
    </row>
    <row r="367" spans="27:56" x14ac:dyDescent="0.25">
      <c r="AA367" s="68" t="str">
        <f t="shared" si="21"/>
        <v>Fotos\\.jpg</v>
      </c>
      <c r="AB367" s="53">
        <f t="shared" si="22"/>
        <v>2.7247956403269754E-3</v>
      </c>
      <c r="AC367" s="25">
        <f t="shared" si="23"/>
        <v>367</v>
      </c>
      <c r="AD367" s="51">
        <f t="shared" si="24"/>
        <v>1</v>
      </c>
      <c r="AE367" s="25">
        <v>1</v>
      </c>
      <c r="AF367" s="25">
        <v>1</v>
      </c>
      <c r="AG367" s="25">
        <v>1</v>
      </c>
      <c r="AH367" s="25">
        <v>1</v>
      </c>
      <c r="AI367" s="25">
        <f>IF(OR(Apresentação!$E$3='Base de Dados e filtragem'!AI$2,Apresentação!$E$3='Base de Dados e filtragem'!E367),1,0)</f>
        <v>1</v>
      </c>
      <c r="AJ367" s="25">
        <f>IF(OR(Apresentação!$E$4='Base de Dados e filtragem'!AJ$2,Apresentação!$E$4='Base de Dados e filtragem'!F367),1,0)</f>
        <v>1</v>
      </c>
      <c r="AK367" s="25">
        <f>IF(OR(Apresentação!$E$5='Base de Dados e filtragem'!AK$2,Apresentação!$E$5='Base de Dados e filtragem'!G367),1,0)</f>
        <v>1</v>
      </c>
      <c r="AL367" s="25">
        <f>IF(OR(Apresentação!$E$6='Base de Dados e filtragem'!AL$2,Apresentação!$E$6='Base de Dados e filtragem'!H367),1,0)</f>
        <v>1</v>
      </c>
      <c r="AM367" s="25">
        <f>IF(OR(Apresentação!$I$2='Base de Dados e filtragem'!AM$2,Apresentação!$I$2='Base de Dados e filtragem'!I367),1,0)</f>
        <v>1</v>
      </c>
      <c r="AN367" s="25">
        <f>IF(OR(Apresentação!$I$3='Base de Dados e filtragem'!AN$2,Apresentação!$I$3='Base de Dados e filtragem'!J367),1,0)</f>
        <v>1</v>
      </c>
      <c r="AO367" s="25">
        <f>IF(OR(Apresentação!$I$4='Base de Dados e filtragem'!AO$2,Apresentação!$I$4='Base de Dados e filtragem'!K367),1,0)</f>
        <v>1</v>
      </c>
      <c r="AP367" s="25">
        <f>IF(OR(Apresentação!$I$5='Base de Dados e filtragem'!AP$2,Apresentação!$I$5='Base de Dados e filtragem'!L367),1,0)</f>
        <v>1</v>
      </c>
      <c r="AQ367" s="25">
        <f>IF(OR(Apresentação!$I$6='Base de Dados e filtragem'!AQ$2,Apresentação!$I$6='Base de Dados e filtragem'!M367),1,0)</f>
        <v>1</v>
      </c>
      <c r="AR367" s="25">
        <v>1</v>
      </c>
      <c r="AS367" s="25">
        <v>1</v>
      </c>
      <c r="AT367" s="25">
        <v>1</v>
      </c>
      <c r="AU367" s="25">
        <v>1</v>
      </c>
      <c r="AV367" s="25">
        <v>1</v>
      </c>
      <c r="AW367" s="25">
        <v>1</v>
      </c>
      <c r="AX367" s="25">
        <v>1</v>
      </c>
      <c r="AY367" s="25">
        <v>1</v>
      </c>
      <c r="AZ367" s="25">
        <v>1</v>
      </c>
      <c r="BA367" s="25">
        <v>1</v>
      </c>
      <c r="BB367" s="25">
        <v>1</v>
      </c>
      <c r="BC367" s="25">
        <v>1</v>
      </c>
      <c r="BD367" s="25">
        <v>1</v>
      </c>
    </row>
    <row r="368" spans="27:56" x14ac:dyDescent="0.25">
      <c r="AA368" s="68" t="str">
        <f t="shared" si="21"/>
        <v>Fotos\\.jpg</v>
      </c>
      <c r="AB368" s="53">
        <f t="shared" si="22"/>
        <v>2.717391304347826E-3</v>
      </c>
      <c r="AC368" s="25">
        <f t="shared" si="23"/>
        <v>368</v>
      </c>
      <c r="AD368" s="51">
        <f t="shared" si="24"/>
        <v>1</v>
      </c>
      <c r="AE368" s="25">
        <v>1</v>
      </c>
      <c r="AF368" s="25">
        <v>1</v>
      </c>
      <c r="AG368" s="25">
        <v>1</v>
      </c>
      <c r="AH368" s="25">
        <v>1</v>
      </c>
      <c r="AI368" s="25">
        <f>IF(OR(Apresentação!$E$3='Base de Dados e filtragem'!AI$2,Apresentação!$E$3='Base de Dados e filtragem'!E368),1,0)</f>
        <v>1</v>
      </c>
      <c r="AJ368" s="25">
        <f>IF(OR(Apresentação!$E$4='Base de Dados e filtragem'!AJ$2,Apresentação!$E$4='Base de Dados e filtragem'!F368),1,0)</f>
        <v>1</v>
      </c>
      <c r="AK368" s="25">
        <f>IF(OR(Apresentação!$E$5='Base de Dados e filtragem'!AK$2,Apresentação!$E$5='Base de Dados e filtragem'!G368),1,0)</f>
        <v>1</v>
      </c>
      <c r="AL368" s="25">
        <f>IF(OR(Apresentação!$E$6='Base de Dados e filtragem'!AL$2,Apresentação!$E$6='Base de Dados e filtragem'!H368),1,0)</f>
        <v>1</v>
      </c>
      <c r="AM368" s="25">
        <f>IF(OR(Apresentação!$I$2='Base de Dados e filtragem'!AM$2,Apresentação!$I$2='Base de Dados e filtragem'!I368),1,0)</f>
        <v>1</v>
      </c>
      <c r="AN368" s="25">
        <f>IF(OR(Apresentação!$I$3='Base de Dados e filtragem'!AN$2,Apresentação!$I$3='Base de Dados e filtragem'!J368),1,0)</f>
        <v>1</v>
      </c>
      <c r="AO368" s="25">
        <f>IF(OR(Apresentação!$I$4='Base de Dados e filtragem'!AO$2,Apresentação!$I$4='Base de Dados e filtragem'!K368),1,0)</f>
        <v>1</v>
      </c>
      <c r="AP368" s="25">
        <f>IF(OR(Apresentação!$I$5='Base de Dados e filtragem'!AP$2,Apresentação!$I$5='Base de Dados e filtragem'!L368),1,0)</f>
        <v>1</v>
      </c>
      <c r="AQ368" s="25">
        <f>IF(OR(Apresentação!$I$6='Base de Dados e filtragem'!AQ$2,Apresentação!$I$6='Base de Dados e filtragem'!M368),1,0)</f>
        <v>1</v>
      </c>
      <c r="AR368" s="25">
        <v>1</v>
      </c>
      <c r="AS368" s="25">
        <v>1</v>
      </c>
      <c r="AT368" s="25">
        <v>1</v>
      </c>
      <c r="AU368" s="25">
        <v>1</v>
      </c>
      <c r="AV368" s="25">
        <v>1</v>
      </c>
      <c r="AW368" s="25">
        <v>1</v>
      </c>
      <c r="AX368" s="25">
        <v>1</v>
      </c>
      <c r="AY368" s="25">
        <v>1</v>
      </c>
      <c r="AZ368" s="25">
        <v>1</v>
      </c>
      <c r="BA368" s="25">
        <v>1</v>
      </c>
      <c r="BB368" s="25">
        <v>1</v>
      </c>
      <c r="BC368" s="25">
        <v>1</v>
      </c>
      <c r="BD368" s="25">
        <v>1</v>
      </c>
    </row>
    <row r="369" spans="27:56" x14ac:dyDescent="0.25">
      <c r="AA369" s="68" t="str">
        <f t="shared" si="21"/>
        <v>Fotos\\.jpg</v>
      </c>
      <c r="AB369" s="53">
        <f t="shared" si="22"/>
        <v>2.7100271002710027E-3</v>
      </c>
      <c r="AC369" s="25">
        <f t="shared" si="23"/>
        <v>369</v>
      </c>
      <c r="AD369" s="51">
        <f t="shared" si="24"/>
        <v>1</v>
      </c>
      <c r="AE369" s="25">
        <v>1</v>
      </c>
      <c r="AF369" s="25">
        <v>1</v>
      </c>
      <c r="AG369" s="25">
        <v>1</v>
      </c>
      <c r="AH369" s="25">
        <v>1</v>
      </c>
      <c r="AI369" s="25">
        <f>IF(OR(Apresentação!$E$3='Base de Dados e filtragem'!AI$2,Apresentação!$E$3='Base de Dados e filtragem'!E369),1,0)</f>
        <v>1</v>
      </c>
      <c r="AJ369" s="25">
        <f>IF(OR(Apresentação!$E$4='Base de Dados e filtragem'!AJ$2,Apresentação!$E$4='Base de Dados e filtragem'!F369),1,0)</f>
        <v>1</v>
      </c>
      <c r="AK369" s="25">
        <f>IF(OR(Apresentação!$E$5='Base de Dados e filtragem'!AK$2,Apresentação!$E$5='Base de Dados e filtragem'!G369),1,0)</f>
        <v>1</v>
      </c>
      <c r="AL369" s="25">
        <f>IF(OR(Apresentação!$E$6='Base de Dados e filtragem'!AL$2,Apresentação!$E$6='Base de Dados e filtragem'!H369),1,0)</f>
        <v>1</v>
      </c>
      <c r="AM369" s="25">
        <f>IF(OR(Apresentação!$I$2='Base de Dados e filtragem'!AM$2,Apresentação!$I$2='Base de Dados e filtragem'!I369),1,0)</f>
        <v>1</v>
      </c>
      <c r="AN369" s="25">
        <f>IF(OR(Apresentação!$I$3='Base de Dados e filtragem'!AN$2,Apresentação!$I$3='Base de Dados e filtragem'!J369),1,0)</f>
        <v>1</v>
      </c>
      <c r="AO369" s="25">
        <f>IF(OR(Apresentação!$I$4='Base de Dados e filtragem'!AO$2,Apresentação!$I$4='Base de Dados e filtragem'!K369),1,0)</f>
        <v>1</v>
      </c>
      <c r="AP369" s="25">
        <f>IF(OR(Apresentação!$I$5='Base de Dados e filtragem'!AP$2,Apresentação!$I$5='Base de Dados e filtragem'!L369),1,0)</f>
        <v>1</v>
      </c>
      <c r="AQ369" s="25">
        <f>IF(OR(Apresentação!$I$6='Base de Dados e filtragem'!AQ$2,Apresentação!$I$6='Base de Dados e filtragem'!M369),1,0)</f>
        <v>1</v>
      </c>
      <c r="AR369" s="25">
        <v>1</v>
      </c>
      <c r="AS369" s="25">
        <v>1</v>
      </c>
      <c r="AT369" s="25">
        <v>1</v>
      </c>
      <c r="AU369" s="25">
        <v>1</v>
      </c>
      <c r="AV369" s="25">
        <v>1</v>
      </c>
      <c r="AW369" s="25">
        <v>1</v>
      </c>
      <c r="AX369" s="25">
        <v>1</v>
      </c>
      <c r="AY369" s="25">
        <v>1</v>
      </c>
      <c r="AZ369" s="25">
        <v>1</v>
      </c>
      <c r="BA369" s="25">
        <v>1</v>
      </c>
      <c r="BB369" s="25">
        <v>1</v>
      </c>
      <c r="BC369" s="25">
        <v>1</v>
      </c>
      <c r="BD369" s="25">
        <v>1</v>
      </c>
    </row>
    <row r="370" spans="27:56" x14ac:dyDescent="0.25">
      <c r="AA370" s="68" t="str">
        <f t="shared" si="21"/>
        <v>Fotos\\.jpg</v>
      </c>
      <c r="AB370" s="53">
        <f t="shared" si="22"/>
        <v>2.7027027027027029E-3</v>
      </c>
      <c r="AC370" s="25">
        <f t="shared" si="23"/>
        <v>370</v>
      </c>
      <c r="AD370" s="51">
        <f t="shared" si="24"/>
        <v>1</v>
      </c>
      <c r="AE370" s="25">
        <v>1</v>
      </c>
      <c r="AF370" s="25">
        <v>1</v>
      </c>
      <c r="AG370" s="25">
        <v>1</v>
      </c>
      <c r="AH370" s="25">
        <v>1</v>
      </c>
      <c r="AI370" s="25">
        <f>IF(OR(Apresentação!$E$3='Base de Dados e filtragem'!AI$2,Apresentação!$E$3='Base de Dados e filtragem'!E370),1,0)</f>
        <v>1</v>
      </c>
      <c r="AJ370" s="25">
        <f>IF(OR(Apresentação!$E$4='Base de Dados e filtragem'!AJ$2,Apresentação!$E$4='Base de Dados e filtragem'!F370),1,0)</f>
        <v>1</v>
      </c>
      <c r="AK370" s="25">
        <f>IF(OR(Apresentação!$E$5='Base de Dados e filtragem'!AK$2,Apresentação!$E$5='Base de Dados e filtragem'!G370),1,0)</f>
        <v>1</v>
      </c>
      <c r="AL370" s="25">
        <f>IF(OR(Apresentação!$E$6='Base de Dados e filtragem'!AL$2,Apresentação!$E$6='Base de Dados e filtragem'!H370),1,0)</f>
        <v>1</v>
      </c>
      <c r="AM370" s="25">
        <f>IF(OR(Apresentação!$I$2='Base de Dados e filtragem'!AM$2,Apresentação!$I$2='Base de Dados e filtragem'!I370),1,0)</f>
        <v>1</v>
      </c>
      <c r="AN370" s="25">
        <f>IF(OR(Apresentação!$I$3='Base de Dados e filtragem'!AN$2,Apresentação!$I$3='Base de Dados e filtragem'!J370),1,0)</f>
        <v>1</v>
      </c>
      <c r="AO370" s="25">
        <f>IF(OR(Apresentação!$I$4='Base de Dados e filtragem'!AO$2,Apresentação!$I$4='Base de Dados e filtragem'!K370),1,0)</f>
        <v>1</v>
      </c>
      <c r="AP370" s="25">
        <f>IF(OR(Apresentação!$I$5='Base de Dados e filtragem'!AP$2,Apresentação!$I$5='Base de Dados e filtragem'!L370),1,0)</f>
        <v>1</v>
      </c>
      <c r="AQ370" s="25">
        <f>IF(OR(Apresentação!$I$6='Base de Dados e filtragem'!AQ$2,Apresentação!$I$6='Base de Dados e filtragem'!M370),1,0)</f>
        <v>1</v>
      </c>
      <c r="AR370" s="25">
        <v>1</v>
      </c>
      <c r="AS370" s="25">
        <v>1</v>
      </c>
      <c r="AT370" s="25">
        <v>1</v>
      </c>
      <c r="AU370" s="25">
        <v>1</v>
      </c>
      <c r="AV370" s="25">
        <v>1</v>
      </c>
      <c r="AW370" s="25">
        <v>1</v>
      </c>
      <c r="AX370" s="25">
        <v>1</v>
      </c>
      <c r="AY370" s="25">
        <v>1</v>
      </c>
      <c r="AZ370" s="25">
        <v>1</v>
      </c>
      <c r="BA370" s="25">
        <v>1</v>
      </c>
      <c r="BB370" s="25">
        <v>1</v>
      </c>
      <c r="BC370" s="25">
        <v>1</v>
      </c>
      <c r="BD370" s="25">
        <v>1</v>
      </c>
    </row>
    <row r="371" spans="27:56" x14ac:dyDescent="0.25">
      <c r="AA371" s="68" t="str">
        <f t="shared" si="21"/>
        <v>Fotos\\.jpg</v>
      </c>
      <c r="AB371" s="53">
        <f t="shared" si="22"/>
        <v>2.6954177897574125E-3</v>
      </c>
      <c r="AC371" s="25">
        <f t="shared" si="23"/>
        <v>371</v>
      </c>
      <c r="AD371" s="51">
        <f t="shared" si="24"/>
        <v>1</v>
      </c>
      <c r="AE371" s="25">
        <v>1</v>
      </c>
      <c r="AF371" s="25">
        <v>1</v>
      </c>
      <c r="AG371" s="25">
        <v>1</v>
      </c>
      <c r="AH371" s="25">
        <v>1</v>
      </c>
      <c r="AI371" s="25">
        <f>IF(OR(Apresentação!$E$3='Base de Dados e filtragem'!AI$2,Apresentação!$E$3='Base de Dados e filtragem'!E371),1,0)</f>
        <v>1</v>
      </c>
      <c r="AJ371" s="25">
        <f>IF(OR(Apresentação!$E$4='Base de Dados e filtragem'!AJ$2,Apresentação!$E$4='Base de Dados e filtragem'!F371),1,0)</f>
        <v>1</v>
      </c>
      <c r="AK371" s="25">
        <f>IF(OR(Apresentação!$E$5='Base de Dados e filtragem'!AK$2,Apresentação!$E$5='Base de Dados e filtragem'!G371),1,0)</f>
        <v>1</v>
      </c>
      <c r="AL371" s="25">
        <f>IF(OR(Apresentação!$E$6='Base de Dados e filtragem'!AL$2,Apresentação!$E$6='Base de Dados e filtragem'!H371),1,0)</f>
        <v>1</v>
      </c>
      <c r="AM371" s="25">
        <f>IF(OR(Apresentação!$I$2='Base de Dados e filtragem'!AM$2,Apresentação!$I$2='Base de Dados e filtragem'!I371),1,0)</f>
        <v>1</v>
      </c>
      <c r="AN371" s="25">
        <f>IF(OR(Apresentação!$I$3='Base de Dados e filtragem'!AN$2,Apresentação!$I$3='Base de Dados e filtragem'!J371),1,0)</f>
        <v>1</v>
      </c>
      <c r="AO371" s="25">
        <f>IF(OR(Apresentação!$I$4='Base de Dados e filtragem'!AO$2,Apresentação!$I$4='Base de Dados e filtragem'!K371),1,0)</f>
        <v>1</v>
      </c>
      <c r="AP371" s="25">
        <f>IF(OR(Apresentação!$I$5='Base de Dados e filtragem'!AP$2,Apresentação!$I$5='Base de Dados e filtragem'!L371),1,0)</f>
        <v>1</v>
      </c>
      <c r="AQ371" s="25">
        <f>IF(OR(Apresentação!$I$6='Base de Dados e filtragem'!AQ$2,Apresentação!$I$6='Base de Dados e filtragem'!M371),1,0)</f>
        <v>1</v>
      </c>
      <c r="AR371" s="25">
        <v>1</v>
      </c>
      <c r="AS371" s="25">
        <v>1</v>
      </c>
      <c r="AT371" s="25">
        <v>1</v>
      </c>
      <c r="AU371" s="25">
        <v>1</v>
      </c>
      <c r="AV371" s="25">
        <v>1</v>
      </c>
      <c r="AW371" s="25">
        <v>1</v>
      </c>
      <c r="AX371" s="25">
        <v>1</v>
      </c>
      <c r="AY371" s="25">
        <v>1</v>
      </c>
      <c r="AZ371" s="25">
        <v>1</v>
      </c>
      <c r="BA371" s="25">
        <v>1</v>
      </c>
      <c r="BB371" s="25">
        <v>1</v>
      </c>
      <c r="BC371" s="25">
        <v>1</v>
      </c>
      <c r="BD371" s="25">
        <v>1</v>
      </c>
    </row>
    <row r="372" spans="27:56" x14ac:dyDescent="0.25">
      <c r="AA372" s="68" t="str">
        <f t="shared" si="21"/>
        <v>Fotos\\.jpg</v>
      </c>
      <c r="AB372" s="53">
        <f t="shared" si="22"/>
        <v>2.6881720430107529E-3</v>
      </c>
      <c r="AC372" s="25">
        <f t="shared" si="23"/>
        <v>372</v>
      </c>
      <c r="AD372" s="51">
        <f t="shared" si="24"/>
        <v>1</v>
      </c>
      <c r="AE372" s="25">
        <v>1</v>
      </c>
      <c r="AF372" s="25">
        <v>1</v>
      </c>
      <c r="AG372" s="25">
        <v>1</v>
      </c>
      <c r="AH372" s="25">
        <v>1</v>
      </c>
      <c r="AI372" s="25">
        <f>IF(OR(Apresentação!$E$3='Base de Dados e filtragem'!AI$2,Apresentação!$E$3='Base de Dados e filtragem'!E372),1,0)</f>
        <v>1</v>
      </c>
      <c r="AJ372" s="25">
        <f>IF(OR(Apresentação!$E$4='Base de Dados e filtragem'!AJ$2,Apresentação!$E$4='Base de Dados e filtragem'!F372),1,0)</f>
        <v>1</v>
      </c>
      <c r="AK372" s="25">
        <f>IF(OR(Apresentação!$E$5='Base de Dados e filtragem'!AK$2,Apresentação!$E$5='Base de Dados e filtragem'!G372),1,0)</f>
        <v>1</v>
      </c>
      <c r="AL372" s="25">
        <f>IF(OR(Apresentação!$E$6='Base de Dados e filtragem'!AL$2,Apresentação!$E$6='Base de Dados e filtragem'!H372),1,0)</f>
        <v>1</v>
      </c>
      <c r="AM372" s="25">
        <f>IF(OR(Apresentação!$I$2='Base de Dados e filtragem'!AM$2,Apresentação!$I$2='Base de Dados e filtragem'!I372),1,0)</f>
        <v>1</v>
      </c>
      <c r="AN372" s="25">
        <f>IF(OR(Apresentação!$I$3='Base de Dados e filtragem'!AN$2,Apresentação!$I$3='Base de Dados e filtragem'!J372),1,0)</f>
        <v>1</v>
      </c>
      <c r="AO372" s="25">
        <f>IF(OR(Apresentação!$I$4='Base de Dados e filtragem'!AO$2,Apresentação!$I$4='Base de Dados e filtragem'!K372),1,0)</f>
        <v>1</v>
      </c>
      <c r="AP372" s="25">
        <f>IF(OR(Apresentação!$I$5='Base de Dados e filtragem'!AP$2,Apresentação!$I$5='Base de Dados e filtragem'!L372),1,0)</f>
        <v>1</v>
      </c>
      <c r="AQ372" s="25">
        <f>IF(OR(Apresentação!$I$6='Base de Dados e filtragem'!AQ$2,Apresentação!$I$6='Base de Dados e filtragem'!M372),1,0)</f>
        <v>1</v>
      </c>
      <c r="AR372" s="25">
        <v>1</v>
      </c>
      <c r="AS372" s="25">
        <v>1</v>
      </c>
      <c r="AT372" s="25">
        <v>1</v>
      </c>
      <c r="AU372" s="25">
        <v>1</v>
      </c>
      <c r="AV372" s="25">
        <v>1</v>
      </c>
      <c r="AW372" s="25">
        <v>1</v>
      </c>
      <c r="AX372" s="25">
        <v>1</v>
      </c>
      <c r="AY372" s="25">
        <v>1</v>
      </c>
      <c r="AZ372" s="25">
        <v>1</v>
      </c>
      <c r="BA372" s="25">
        <v>1</v>
      </c>
      <c r="BB372" s="25">
        <v>1</v>
      </c>
      <c r="BC372" s="25">
        <v>1</v>
      </c>
      <c r="BD372" s="25">
        <v>1</v>
      </c>
    </row>
    <row r="373" spans="27:56" x14ac:dyDescent="0.25">
      <c r="AA373" s="68" t="str">
        <f t="shared" si="21"/>
        <v>Fotos\\.jpg</v>
      </c>
      <c r="AB373" s="53">
        <f t="shared" si="22"/>
        <v>2.6809651474530832E-3</v>
      </c>
      <c r="AC373" s="25">
        <f t="shared" si="23"/>
        <v>373</v>
      </c>
      <c r="AD373" s="51">
        <f t="shared" si="24"/>
        <v>1</v>
      </c>
      <c r="AE373" s="25">
        <v>1</v>
      </c>
      <c r="AF373" s="25">
        <v>1</v>
      </c>
      <c r="AG373" s="25">
        <v>1</v>
      </c>
      <c r="AH373" s="25">
        <v>1</v>
      </c>
      <c r="AI373" s="25">
        <f>IF(OR(Apresentação!$E$3='Base de Dados e filtragem'!AI$2,Apresentação!$E$3='Base de Dados e filtragem'!E373),1,0)</f>
        <v>1</v>
      </c>
      <c r="AJ373" s="25">
        <f>IF(OR(Apresentação!$E$4='Base de Dados e filtragem'!AJ$2,Apresentação!$E$4='Base de Dados e filtragem'!F373),1,0)</f>
        <v>1</v>
      </c>
      <c r="AK373" s="25">
        <f>IF(OR(Apresentação!$E$5='Base de Dados e filtragem'!AK$2,Apresentação!$E$5='Base de Dados e filtragem'!G373),1,0)</f>
        <v>1</v>
      </c>
      <c r="AL373" s="25">
        <f>IF(OR(Apresentação!$E$6='Base de Dados e filtragem'!AL$2,Apresentação!$E$6='Base de Dados e filtragem'!H373),1,0)</f>
        <v>1</v>
      </c>
      <c r="AM373" s="25">
        <f>IF(OR(Apresentação!$I$2='Base de Dados e filtragem'!AM$2,Apresentação!$I$2='Base de Dados e filtragem'!I373),1,0)</f>
        <v>1</v>
      </c>
      <c r="AN373" s="25">
        <f>IF(OR(Apresentação!$I$3='Base de Dados e filtragem'!AN$2,Apresentação!$I$3='Base de Dados e filtragem'!J373),1,0)</f>
        <v>1</v>
      </c>
      <c r="AO373" s="25">
        <f>IF(OR(Apresentação!$I$4='Base de Dados e filtragem'!AO$2,Apresentação!$I$4='Base de Dados e filtragem'!K373),1,0)</f>
        <v>1</v>
      </c>
      <c r="AP373" s="25">
        <f>IF(OR(Apresentação!$I$5='Base de Dados e filtragem'!AP$2,Apresentação!$I$5='Base de Dados e filtragem'!L373),1,0)</f>
        <v>1</v>
      </c>
      <c r="AQ373" s="25">
        <f>IF(OR(Apresentação!$I$6='Base de Dados e filtragem'!AQ$2,Apresentação!$I$6='Base de Dados e filtragem'!M373),1,0)</f>
        <v>1</v>
      </c>
      <c r="AR373" s="25">
        <v>1</v>
      </c>
      <c r="AS373" s="25">
        <v>1</v>
      </c>
      <c r="AT373" s="25">
        <v>1</v>
      </c>
      <c r="AU373" s="25">
        <v>1</v>
      </c>
      <c r="AV373" s="25">
        <v>1</v>
      </c>
      <c r="AW373" s="25">
        <v>1</v>
      </c>
      <c r="AX373" s="25">
        <v>1</v>
      </c>
      <c r="AY373" s="25">
        <v>1</v>
      </c>
      <c r="AZ373" s="25">
        <v>1</v>
      </c>
      <c r="BA373" s="25">
        <v>1</v>
      </c>
      <c r="BB373" s="25">
        <v>1</v>
      </c>
      <c r="BC373" s="25">
        <v>1</v>
      </c>
      <c r="BD373" s="25">
        <v>1</v>
      </c>
    </row>
    <row r="374" spans="27:56" x14ac:dyDescent="0.25">
      <c r="AA374" s="68" t="str">
        <f t="shared" si="21"/>
        <v>Fotos\\.jpg</v>
      </c>
      <c r="AB374" s="53">
        <f t="shared" si="22"/>
        <v>2.6737967914438501E-3</v>
      </c>
      <c r="AC374" s="25">
        <f t="shared" si="23"/>
        <v>374</v>
      </c>
      <c r="AD374" s="51">
        <f t="shared" si="24"/>
        <v>1</v>
      </c>
      <c r="AE374" s="25">
        <v>1</v>
      </c>
      <c r="AF374" s="25">
        <v>1</v>
      </c>
      <c r="AG374" s="25">
        <v>1</v>
      </c>
      <c r="AH374" s="25">
        <v>1</v>
      </c>
      <c r="AI374" s="25">
        <f>IF(OR(Apresentação!$E$3='Base de Dados e filtragem'!AI$2,Apresentação!$E$3='Base de Dados e filtragem'!E374),1,0)</f>
        <v>1</v>
      </c>
      <c r="AJ374" s="25">
        <f>IF(OR(Apresentação!$E$4='Base de Dados e filtragem'!AJ$2,Apresentação!$E$4='Base de Dados e filtragem'!F374),1,0)</f>
        <v>1</v>
      </c>
      <c r="AK374" s="25">
        <f>IF(OR(Apresentação!$E$5='Base de Dados e filtragem'!AK$2,Apresentação!$E$5='Base de Dados e filtragem'!G374),1,0)</f>
        <v>1</v>
      </c>
      <c r="AL374" s="25">
        <f>IF(OR(Apresentação!$E$6='Base de Dados e filtragem'!AL$2,Apresentação!$E$6='Base de Dados e filtragem'!H374),1,0)</f>
        <v>1</v>
      </c>
      <c r="AM374" s="25">
        <f>IF(OR(Apresentação!$I$2='Base de Dados e filtragem'!AM$2,Apresentação!$I$2='Base de Dados e filtragem'!I374),1,0)</f>
        <v>1</v>
      </c>
      <c r="AN374" s="25">
        <f>IF(OR(Apresentação!$I$3='Base de Dados e filtragem'!AN$2,Apresentação!$I$3='Base de Dados e filtragem'!J374),1,0)</f>
        <v>1</v>
      </c>
      <c r="AO374" s="25">
        <f>IF(OR(Apresentação!$I$4='Base de Dados e filtragem'!AO$2,Apresentação!$I$4='Base de Dados e filtragem'!K374),1,0)</f>
        <v>1</v>
      </c>
      <c r="AP374" s="25">
        <f>IF(OR(Apresentação!$I$5='Base de Dados e filtragem'!AP$2,Apresentação!$I$5='Base de Dados e filtragem'!L374),1,0)</f>
        <v>1</v>
      </c>
      <c r="AQ374" s="25">
        <f>IF(OR(Apresentação!$I$6='Base de Dados e filtragem'!AQ$2,Apresentação!$I$6='Base de Dados e filtragem'!M374),1,0)</f>
        <v>1</v>
      </c>
      <c r="AR374" s="25">
        <v>1</v>
      </c>
      <c r="AS374" s="25">
        <v>1</v>
      </c>
      <c r="AT374" s="25">
        <v>1</v>
      </c>
      <c r="AU374" s="25">
        <v>1</v>
      </c>
      <c r="AV374" s="25">
        <v>1</v>
      </c>
      <c r="AW374" s="25">
        <v>1</v>
      </c>
      <c r="AX374" s="25">
        <v>1</v>
      </c>
      <c r="AY374" s="25">
        <v>1</v>
      </c>
      <c r="AZ374" s="25">
        <v>1</v>
      </c>
      <c r="BA374" s="25">
        <v>1</v>
      </c>
      <c r="BB374" s="25">
        <v>1</v>
      </c>
      <c r="BC374" s="25">
        <v>1</v>
      </c>
      <c r="BD374" s="25">
        <v>1</v>
      </c>
    </row>
    <row r="375" spans="27:56" x14ac:dyDescent="0.25">
      <c r="AA375" s="68" t="str">
        <f t="shared" si="21"/>
        <v>Fotos\\.jpg</v>
      </c>
      <c r="AB375" s="53">
        <f t="shared" si="22"/>
        <v>2.6666666666666666E-3</v>
      </c>
      <c r="AC375" s="25">
        <f t="shared" si="23"/>
        <v>375</v>
      </c>
      <c r="AD375" s="51">
        <f t="shared" si="24"/>
        <v>1</v>
      </c>
      <c r="AE375" s="25">
        <v>1</v>
      </c>
      <c r="AF375" s="25">
        <v>1</v>
      </c>
      <c r="AG375" s="25">
        <v>1</v>
      </c>
      <c r="AH375" s="25">
        <v>1</v>
      </c>
      <c r="AI375" s="25">
        <f>IF(OR(Apresentação!$E$3='Base de Dados e filtragem'!AI$2,Apresentação!$E$3='Base de Dados e filtragem'!E375),1,0)</f>
        <v>1</v>
      </c>
      <c r="AJ375" s="25">
        <f>IF(OR(Apresentação!$E$4='Base de Dados e filtragem'!AJ$2,Apresentação!$E$4='Base de Dados e filtragem'!F375),1,0)</f>
        <v>1</v>
      </c>
      <c r="AK375" s="25">
        <f>IF(OR(Apresentação!$E$5='Base de Dados e filtragem'!AK$2,Apresentação!$E$5='Base de Dados e filtragem'!G375),1,0)</f>
        <v>1</v>
      </c>
      <c r="AL375" s="25">
        <f>IF(OR(Apresentação!$E$6='Base de Dados e filtragem'!AL$2,Apresentação!$E$6='Base de Dados e filtragem'!H375),1,0)</f>
        <v>1</v>
      </c>
      <c r="AM375" s="25">
        <f>IF(OR(Apresentação!$I$2='Base de Dados e filtragem'!AM$2,Apresentação!$I$2='Base de Dados e filtragem'!I375),1,0)</f>
        <v>1</v>
      </c>
      <c r="AN375" s="25">
        <f>IF(OR(Apresentação!$I$3='Base de Dados e filtragem'!AN$2,Apresentação!$I$3='Base de Dados e filtragem'!J375),1,0)</f>
        <v>1</v>
      </c>
      <c r="AO375" s="25">
        <f>IF(OR(Apresentação!$I$4='Base de Dados e filtragem'!AO$2,Apresentação!$I$4='Base de Dados e filtragem'!K375),1,0)</f>
        <v>1</v>
      </c>
      <c r="AP375" s="25">
        <f>IF(OR(Apresentação!$I$5='Base de Dados e filtragem'!AP$2,Apresentação!$I$5='Base de Dados e filtragem'!L375),1,0)</f>
        <v>1</v>
      </c>
      <c r="AQ375" s="25">
        <f>IF(OR(Apresentação!$I$6='Base de Dados e filtragem'!AQ$2,Apresentação!$I$6='Base de Dados e filtragem'!M375),1,0)</f>
        <v>1</v>
      </c>
      <c r="AR375" s="25">
        <v>1</v>
      </c>
      <c r="AS375" s="25">
        <v>1</v>
      </c>
      <c r="AT375" s="25">
        <v>1</v>
      </c>
      <c r="AU375" s="25">
        <v>1</v>
      </c>
      <c r="AV375" s="25">
        <v>1</v>
      </c>
      <c r="AW375" s="25">
        <v>1</v>
      </c>
      <c r="AX375" s="25">
        <v>1</v>
      </c>
      <c r="AY375" s="25">
        <v>1</v>
      </c>
      <c r="AZ375" s="25">
        <v>1</v>
      </c>
      <c r="BA375" s="25">
        <v>1</v>
      </c>
      <c r="BB375" s="25">
        <v>1</v>
      </c>
      <c r="BC375" s="25">
        <v>1</v>
      </c>
      <c r="BD375" s="25">
        <v>1</v>
      </c>
    </row>
    <row r="376" spans="27:56" x14ac:dyDescent="0.25">
      <c r="AA376" s="68" t="str">
        <f t="shared" si="21"/>
        <v>Fotos\\.jpg</v>
      </c>
      <c r="AB376" s="53">
        <f t="shared" si="22"/>
        <v>2.6595744680851063E-3</v>
      </c>
      <c r="AC376" s="25">
        <f t="shared" si="23"/>
        <v>376</v>
      </c>
      <c r="AD376" s="51">
        <f t="shared" si="24"/>
        <v>1</v>
      </c>
      <c r="AE376" s="25">
        <v>1</v>
      </c>
      <c r="AF376" s="25">
        <v>1</v>
      </c>
      <c r="AG376" s="25">
        <v>1</v>
      </c>
      <c r="AH376" s="25">
        <v>1</v>
      </c>
      <c r="AI376" s="25">
        <f>IF(OR(Apresentação!$E$3='Base de Dados e filtragem'!AI$2,Apresentação!$E$3='Base de Dados e filtragem'!E376),1,0)</f>
        <v>1</v>
      </c>
      <c r="AJ376" s="25">
        <f>IF(OR(Apresentação!$E$4='Base de Dados e filtragem'!AJ$2,Apresentação!$E$4='Base de Dados e filtragem'!F376),1,0)</f>
        <v>1</v>
      </c>
      <c r="AK376" s="25">
        <f>IF(OR(Apresentação!$E$5='Base de Dados e filtragem'!AK$2,Apresentação!$E$5='Base de Dados e filtragem'!G376),1,0)</f>
        <v>1</v>
      </c>
      <c r="AL376" s="25">
        <f>IF(OR(Apresentação!$E$6='Base de Dados e filtragem'!AL$2,Apresentação!$E$6='Base de Dados e filtragem'!H376),1,0)</f>
        <v>1</v>
      </c>
      <c r="AM376" s="25">
        <f>IF(OR(Apresentação!$I$2='Base de Dados e filtragem'!AM$2,Apresentação!$I$2='Base de Dados e filtragem'!I376),1,0)</f>
        <v>1</v>
      </c>
      <c r="AN376" s="25">
        <f>IF(OR(Apresentação!$I$3='Base de Dados e filtragem'!AN$2,Apresentação!$I$3='Base de Dados e filtragem'!J376),1,0)</f>
        <v>1</v>
      </c>
      <c r="AO376" s="25">
        <f>IF(OR(Apresentação!$I$4='Base de Dados e filtragem'!AO$2,Apresentação!$I$4='Base de Dados e filtragem'!K376),1,0)</f>
        <v>1</v>
      </c>
      <c r="AP376" s="25">
        <f>IF(OR(Apresentação!$I$5='Base de Dados e filtragem'!AP$2,Apresentação!$I$5='Base de Dados e filtragem'!L376),1,0)</f>
        <v>1</v>
      </c>
      <c r="AQ376" s="25">
        <f>IF(OR(Apresentação!$I$6='Base de Dados e filtragem'!AQ$2,Apresentação!$I$6='Base de Dados e filtragem'!M376),1,0)</f>
        <v>1</v>
      </c>
      <c r="AR376" s="25">
        <v>1</v>
      </c>
      <c r="AS376" s="25">
        <v>1</v>
      </c>
      <c r="AT376" s="25">
        <v>1</v>
      </c>
      <c r="AU376" s="25">
        <v>1</v>
      </c>
      <c r="AV376" s="25">
        <v>1</v>
      </c>
      <c r="AW376" s="25">
        <v>1</v>
      </c>
      <c r="AX376" s="25">
        <v>1</v>
      </c>
      <c r="AY376" s="25">
        <v>1</v>
      </c>
      <c r="AZ376" s="25">
        <v>1</v>
      </c>
      <c r="BA376" s="25">
        <v>1</v>
      </c>
      <c r="BB376" s="25">
        <v>1</v>
      </c>
      <c r="BC376" s="25">
        <v>1</v>
      </c>
      <c r="BD376" s="25">
        <v>1</v>
      </c>
    </row>
    <row r="377" spans="27:56" x14ac:dyDescent="0.25">
      <c r="AA377" s="68" t="str">
        <f t="shared" si="21"/>
        <v>Fotos\\.jpg</v>
      </c>
      <c r="AB377" s="53">
        <f t="shared" si="22"/>
        <v>2.6525198938992041E-3</v>
      </c>
      <c r="AC377" s="25">
        <f t="shared" si="23"/>
        <v>377</v>
      </c>
      <c r="AD377" s="51">
        <f t="shared" si="24"/>
        <v>1</v>
      </c>
      <c r="AE377" s="25">
        <v>1</v>
      </c>
      <c r="AF377" s="25">
        <v>1</v>
      </c>
      <c r="AG377" s="25">
        <v>1</v>
      </c>
      <c r="AH377" s="25">
        <v>1</v>
      </c>
      <c r="AI377" s="25">
        <f>IF(OR(Apresentação!$E$3='Base de Dados e filtragem'!AI$2,Apresentação!$E$3='Base de Dados e filtragem'!E377),1,0)</f>
        <v>1</v>
      </c>
      <c r="AJ377" s="25">
        <f>IF(OR(Apresentação!$E$4='Base de Dados e filtragem'!AJ$2,Apresentação!$E$4='Base de Dados e filtragem'!F377),1,0)</f>
        <v>1</v>
      </c>
      <c r="AK377" s="25">
        <f>IF(OR(Apresentação!$E$5='Base de Dados e filtragem'!AK$2,Apresentação!$E$5='Base de Dados e filtragem'!G377),1,0)</f>
        <v>1</v>
      </c>
      <c r="AL377" s="25">
        <f>IF(OR(Apresentação!$E$6='Base de Dados e filtragem'!AL$2,Apresentação!$E$6='Base de Dados e filtragem'!H377),1,0)</f>
        <v>1</v>
      </c>
      <c r="AM377" s="25">
        <f>IF(OR(Apresentação!$I$2='Base de Dados e filtragem'!AM$2,Apresentação!$I$2='Base de Dados e filtragem'!I377),1,0)</f>
        <v>1</v>
      </c>
      <c r="AN377" s="25">
        <f>IF(OR(Apresentação!$I$3='Base de Dados e filtragem'!AN$2,Apresentação!$I$3='Base de Dados e filtragem'!J377),1,0)</f>
        <v>1</v>
      </c>
      <c r="AO377" s="25">
        <f>IF(OR(Apresentação!$I$4='Base de Dados e filtragem'!AO$2,Apresentação!$I$4='Base de Dados e filtragem'!K377),1,0)</f>
        <v>1</v>
      </c>
      <c r="AP377" s="25">
        <f>IF(OR(Apresentação!$I$5='Base de Dados e filtragem'!AP$2,Apresentação!$I$5='Base de Dados e filtragem'!L377),1,0)</f>
        <v>1</v>
      </c>
      <c r="AQ377" s="25">
        <f>IF(OR(Apresentação!$I$6='Base de Dados e filtragem'!AQ$2,Apresentação!$I$6='Base de Dados e filtragem'!M377),1,0)</f>
        <v>1</v>
      </c>
      <c r="AR377" s="25">
        <v>1</v>
      </c>
      <c r="AS377" s="25">
        <v>1</v>
      </c>
      <c r="AT377" s="25">
        <v>1</v>
      </c>
      <c r="AU377" s="25">
        <v>1</v>
      </c>
      <c r="AV377" s="25">
        <v>1</v>
      </c>
      <c r="AW377" s="25">
        <v>1</v>
      </c>
      <c r="AX377" s="25">
        <v>1</v>
      </c>
      <c r="AY377" s="25">
        <v>1</v>
      </c>
      <c r="AZ377" s="25">
        <v>1</v>
      </c>
      <c r="BA377" s="25">
        <v>1</v>
      </c>
      <c r="BB377" s="25">
        <v>1</v>
      </c>
      <c r="BC377" s="25">
        <v>1</v>
      </c>
      <c r="BD377" s="25">
        <v>1</v>
      </c>
    </row>
    <row r="378" spans="27:56" x14ac:dyDescent="0.25">
      <c r="AA378" s="68" t="str">
        <f t="shared" si="21"/>
        <v>Fotos\\.jpg</v>
      </c>
      <c r="AB378" s="53">
        <f t="shared" si="22"/>
        <v>2.6455026455026454E-3</v>
      </c>
      <c r="AC378" s="25">
        <f t="shared" si="23"/>
        <v>378</v>
      </c>
      <c r="AD378" s="51">
        <f t="shared" si="24"/>
        <v>1</v>
      </c>
      <c r="AE378" s="25">
        <v>1</v>
      </c>
      <c r="AF378" s="25">
        <v>1</v>
      </c>
      <c r="AG378" s="25">
        <v>1</v>
      </c>
      <c r="AH378" s="25">
        <v>1</v>
      </c>
      <c r="AI378" s="25">
        <f>IF(OR(Apresentação!$E$3='Base de Dados e filtragem'!AI$2,Apresentação!$E$3='Base de Dados e filtragem'!E378),1,0)</f>
        <v>1</v>
      </c>
      <c r="AJ378" s="25">
        <f>IF(OR(Apresentação!$E$4='Base de Dados e filtragem'!AJ$2,Apresentação!$E$4='Base de Dados e filtragem'!F378),1,0)</f>
        <v>1</v>
      </c>
      <c r="AK378" s="25">
        <f>IF(OR(Apresentação!$E$5='Base de Dados e filtragem'!AK$2,Apresentação!$E$5='Base de Dados e filtragem'!G378),1,0)</f>
        <v>1</v>
      </c>
      <c r="AL378" s="25">
        <f>IF(OR(Apresentação!$E$6='Base de Dados e filtragem'!AL$2,Apresentação!$E$6='Base de Dados e filtragem'!H378),1,0)</f>
        <v>1</v>
      </c>
      <c r="AM378" s="25">
        <f>IF(OR(Apresentação!$I$2='Base de Dados e filtragem'!AM$2,Apresentação!$I$2='Base de Dados e filtragem'!I378),1,0)</f>
        <v>1</v>
      </c>
      <c r="AN378" s="25">
        <f>IF(OR(Apresentação!$I$3='Base de Dados e filtragem'!AN$2,Apresentação!$I$3='Base de Dados e filtragem'!J378),1,0)</f>
        <v>1</v>
      </c>
      <c r="AO378" s="25">
        <f>IF(OR(Apresentação!$I$4='Base de Dados e filtragem'!AO$2,Apresentação!$I$4='Base de Dados e filtragem'!K378),1,0)</f>
        <v>1</v>
      </c>
      <c r="AP378" s="25">
        <f>IF(OR(Apresentação!$I$5='Base de Dados e filtragem'!AP$2,Apresentação!$I$5='Base de Dados e filtragem'!L378),1,0)</f>
        <v>1</v>
      </c>
      <c r="AQ378" s="25">
        <f>IF(OR(Apresentação!$I$6='Base de Dados e filtragem'!AQ$2,Apresentação!$I$6='Base de Dados e filtragem'!M378),1,0)</f>
        <v>1</v>
      </c>
      <c r="AR378" s="25">
        <v>1</v>
      </c>
      <c r="AS378" s="25">
        <v>1</v>
      </c>
      <c r="AT378" s="25">
        <v>1</v>
      </c>
      <c r="AU378" s="25">
        <v>1</v>
      </c>
      <c r="AV378" s="25">
        <v>1</v>
      </c>
      <c r="AW378" s="25">
        <v>1</v>
      </c>
      <c r="AX378" s="25">
        <v>1</v>
      </c>
      <c r="AY378" s="25">
        <v>1</v>
      </c>
      <c r="AZ378" s="25">
        <v>1</v>
      </c>
      <c r="BA378" s="25">
        <v>1</v>
      </c>
      <c r="BB378" s="25">
        <v>1</v>
      </c>
      <c r="BC378" s="25">
        <v>1</v>
      </c>
      <c r="BD378" s="25">
        <v>1</v>
      </c>
    </row>
    <row r="379" spans="27:56" x14ac:dyDescent="0.25">
      <c r="AA379" s="68" t="str">
        <f t="shared" si="21"/>
        <v>Fotos\\.jpg</v>
      </c>
      <c r="AB379" s="53">
        <f t="shared" si="22"/>
        <v>2.6385224274406332E-3</v>
      </c>
      <c r="AC379" s="25">
        <f t="shared" si="23"/>
        <v>379</v>
      </c>
      <c r="AD379" s="51">
        <f t="shared" si="24"/>
        <v>1</v>
      </c>
      <c r="AE379" s="25">
        <v>1</v>
      </c>
      <c r="AF379" s="25">
        <v>1</v>
      </c>
      <c r="AG379" s="25">
        <v>1</v>
      </c>
      <c r="AH379" s="25">
        <v>1</v>
      </c>
      <c r="AI379" s="25">
        <f>IF(OR(Apresentação!$E$3='Base de Dados e filtragem'!AI$2,Apresentação!$E$3='Base de Dados e filtragem'!E379),1,0)</f>
        <v>1</v>
      </c>
      <c r="AJ379" s="25">
        <f>IF(OR(Apresentação!$E$4='Base de Dados e filtragem'!AJ$2,Apresentação!$E$4='Base de Dados e filtragem'!F379),1,0)</f>
        <v>1</v>
      </c>
      <c r="AK379" s="25">
        <f>IF(OR(Apresentação!$E$5='Base de Dados e filtragem'!AK$2,Apresentação!$E$5='Base de Dados e filtragem'!G379),1,0)</f>
        <v>1</v>
      </c>
      <c r="AL379" s="25">
        <f>IF(OR(Apresentação!$E$6='Base de Dados e filtragem'!AL$2,Apresentação!$E$6='Base de Dados e filtragem'!H379),1,0)</f>
        <v>1</v>
      </c>
      <c r="AM379" s="25">
        <f>IF(OR(Apresentação!$I$2='Base de Dados e filtragem'!AM$2,Apresentação!$I$2='Base de Dados e filtragem'!I379),1,0)</f>
        <v>1</v>
      </c>
      <c r="AN379" s="25">
        <f>IF(OR(Apresentação!$I$3='Base de Dados e filtragem'!AN$2,Apresentação!$I$3='Base de Dados e filtragem'!J379),1,0)</f>
        <v>1</v>
      </c>
      <c r="AO379" s="25">
        <f>IF(OR(Apresentação!$I$4='Base de Dados e filtragem'!AO$2,Apresentação!$I$4='Base de Dados e filtragem'!K379),1,0)</f>
        <v>1</v>
      </c>
      <c r="AP379" s="25">
        <f>IF(OR(Apresentação!$I$5='Base de Dados e filtragem'!AP$2,Apresentação!$I$5='Base de Dados e filtragem'!L379),1,0)</f>
        <v>1</v>
      </c>
      <c r="AQ379" s="25">
        <f>IF(OR(Apresentação!$I$6='Base de Dados e filtragem'!AQ$2,Apresentação!$I$6='Base de Dados e filtragem'!M379),1,0)</f>
        <v>1</v>
      </c>
      <c r="AR379" s="25">
        <v>1</v>
      </c>
      <c r="AS379" s="25">
        <v>1</v>
      </c>
      <c r="AT379" s="25">
        <v>1</v>
      </c>
      <c r="AU379" s="25">
        <v>1</v>
      </c>
      <c r="AV379" s="25">
        <v>1</v>
      </c>
      <c r="AW379" s="25">
        <v>1</v>
      </c>
      <c r="AX379" s="25">
        <v>1</v>
      </c>
      <c r="AY379" s="25">
        <v>1</v>
      </c>
      <c r="AZ379" s="25">
        <v>1</v>
      </c>
      <c r="BA379" s="25">
        <v>1</v>
      </c>
      <c r="BB379" s="25">
        <v>1</v>
      </c>
      <c r="BC379" s="25">
        <v>1</v>
      </c>
      <c r="BD379" s="25">
        <v>1</v>
      </c>
    </row>
    <row r="380" spans="27:56" x14ac:dyDescent="0.25">
      <c r="AA380" s="68" t="str">
        <f t="shared" si="21"/>
        <v>Fotos\\.jpg</v>
      </c>
      <c r="AB380" s="53">
        <f t="shared" si="22"/>
        <v>2.631578947368421E-3</v>
      </c>
      <c r="AC380" s="25">
        <f t="shared" si="23"/>
        <v>380</v>
      </c>
      <c r="AD380" s="51">
        <f t="shared" si="24"/>
        <v>1</v>
      </c>
      <c r="AE380" s="25">
        <v>1</v>
      </c>
      <c r="AF380" s="25">
        <v>1</v>
      </c>
      <c r="AG380" s="25">
        <v>1</v>
      </c>
      <c r="AH380" s="25">
        <v>1</v>
      </c>
      <c r="AI380" s="25">
        <f>IF(OR(Apresentação!$E$3='Base de Dados e filtragem'!AI$2,Apresentação!$E$3='Base de Dados e filtragem'!E380),1,0)</f>
        <v>1</v>
      </c>
      <c r="AJ380" s="25">
        <f>IF(OR(Apresentação!$E$4='Base de Dados e filtragem'!AJ$2,Apresentação!$E$4='Base de Dados e filtragem'!F380),1,0)</f>
        <v>1</v>
      </c>
      <c r="AK380" s="25">
        <f>IF(OR(Apresentação!$E$5='Base de Dados e filtragem'!AK$2,Apresentação!$E$5='Base de Dados e filtragem'!G380),1,0)</f>
        <v>1</v>
      </c>
      <c r="AL380" s="25">
        <f>IF(OR(Apresentação!$E$6='Base de Dados e filtragem'!AL$2,Apresentação!$E$6='Base de Dados e filtragem'!H380),1,0)</f>
        <v>1</v>
      </c>
      <c r="AM380" s="25">
        <f>IF(OR(Apresentação!$I$2='Base de Dados e filtragem'!AM$2,Apresentação!$I$2='Base de Dados e filtragem'!I380),1,0)</f>
        <v>1</v>
      </c>
      <c r="AN380" s="25">
        <f>IF(OR(Apresentação!$I$3='Base de Dados e filtragem'!AN$2,Apresentação!$I$3='Base de Dados e filtragem'!J380),1,0)</f>
        <v>1</v>
      </c>
      <c r="AO380" s="25">
        <f>IF(OR(Apresentação!$I$4='Base de Dados e filtragem'!AO$2,Apresentação!$I$4='Base de Dados e filtragem'!K380),1,0)</f>
        <v>1</v>
      </c>
      <c r="AP380" s="25">
        <f>IF(OR(Apresentação!$I$5='Base de Dados e filtragem'!AP$2,Apresentação!$I$5='Base de Dados e filtragem'!L380),1,0)</f>
        <v>1</v>
      </c>
      <c r="AQ380" s="25">
        <f>IF(OR(Apresentação!$I$6='Base de Dados e filtragem'!AQ$2,Apresentação!$I$6='Base de Dados e filtragem'!M380),1,0)</f>
        <v>1</v>
      </c>
      <c r="AR380" s="25">
        <v>1</v>
      </c>
      <c r="AS380" s="25">
        <v>1</v>
      </c>
      <c r="AT380" s="25">
        <v>1</v>
      </c>
      <c r="AU380" s="25">
        <v>1</v>
      </c>
      <c r="AV380" s="25">
        <v>1</v>
      </c>
      <c r="AW380" s="25">
        <v>1</v>
      </c>
      <c r="AX380" s="25">
        <v>1</v>
      </c>
      <c r="AY380" s="25">
        <v>1</v>
      </c>
      <c r="AZ380" s="25">
        <v>1</v>
      </c>
      <c r="BA380" s="25">
        <v>1</v>
      </c>
      <c r="BB380" s="25">
        <v>1</v>
      </c>
      <c r="BC380" s="25">
        <v>1</v>
      </c>
      <c r="BD380" s="25">
        <v>1</v>
      </c>
    </row>
    <row r="381" spans="27:56" x14ac:dyDescent="0.25">
      <c r="AA381" s="68" t="str">
        <f t="shared" si="21"/>
        <v>Fotos\\.jpg</v>
      </c>
      <c r="AB381" s="53">
        <f t="shared" si="22"/>
        <v>2.6246719160104987E-3</v>
      </c>
      <c r="AC381" s="25">
        <f t="shared" si="23"/>
        <v>381</v>
      </c>
      <c r="AD381" s="51">
        <f t="shared" si="24"/>
        <v>1</v>
      </c>
      <c r="AE381" s="25">
        <v>1</v>
      </c>
      <c r="AF381" s="25">
        <v>1</v>
      </c>
      <c r="AG381" s="25">
        <v>1</v>
      </c>
      <c r="AH381" s="25">
        <v>1</v>
      </c>
      <c r="AI381" s="25">
        <f>IF(OR(Apresentação!$E$3='Base de Dados e filtragem'!AI$2,Apresentação!$E$3='Base de Dados e filtragem'!E381),1,0)</f>
        <v>1</v>
      </c>
      <c r="AJ381" s="25">
        <f>IF(OR(Apresentação!$E$4='Base de Dados e filtragem'!AJ$2,Apresentação!$E$4='Base de Dados e filtragem'!F381),1,0)</f>
        <v>1</v>
      </c>
      <c r="AK381" s="25">
        <f>IF(OR(Apresentação!$E$5='Base de Dados e filtragem'!AK$2,Apresentação!$E$5='Base de Dados e filtragem'!G381),1,0)</f>
        <v>1</v>
      </c>
      <c r="AL381" s="25">
        <f>IF(OR(Apresentação!$E$6='Base de Dados e filtragem'!AL$2,Apresentação!$E$6='Base de Dados e filtragem'!H381),1,0)</f>
        <v>1</v>
      </c>
      <c r="AM381" s="25">
        <f>IF(OR(Apresentação!$I$2='Base de Dados e filtragem'!AM$2,Apresentação!$I$2='Base de Dados e filtragem'!I381),1,0)</f>
        <v>1</v>
      </c>
      <c r="AN381" s="25">
        <f>IF(OR(Apresentação!$I$3='Base de Dados e filtragem'!AN$2,Apresentação!$I$3='Base de Dados e filtragem'!J381),1,0)</f>
        <v>1</v>
      </c>
      <c r="AO381" s="25">
        <f>IF(OR(Apresentação!$I$4='Base de Dados e filtragem'!AO$2,Apresentação!$I$4='Base de Dados e filtragem'!K381),1,0)</f>
        <v>1</v>
      </c>
      <c r="AP381" s="25">
        <f>IF(OR(Apresentação!$I$5='Base de Dados e filtragem'!AP$2,Apresentação!$I$5='Base de Dados e filtragem'!L381),1,0)</f>
        <v>1</v>
      </c>
      <c r="AQ381" s="25">
        <f>IF(OR(Apresentação!$I$6='Base de Dados e filtragem'!AQ$2,Apresentação!$I$6='Base de Dados e filtragem'!M381),1,0)</f>
        <v>1</v>
      </c>
      <c r="AR381" s="25">
        <v>1</v>
      </c>
      <c r="AS381" s="25">
        <v>1</v>
      </c>
      <c r="AT381" s="25">
        <v>1</v>
      </c>
      <c r="AU381" s="25">
        <v>1</v>
      </c>
      <c r="AV381" s="25">
        <v>1</v>
      </c>
      <c r="AW381" s="25">
        <v>1</v>
      </c>
      <c r="AX381" s="25">
        <v>1</v>
      </c>
      <c r="AY381" s="25">
        <v>1</v>
      </c>
      <c r="AZ381" s="25">
        <v>1</v>
      </c>
      <c r="BA381" s="25">
        <v>1</v>
      </c>
      <c r="BB381" s="25">
        <v>1</v>
      </c>
      <c r="BC381" s="25">
        <v>1</v>
      </c>
      <c r="BD381" s="25">
        <v>1</v>
      </c>
    </row>
    <row r="382" spans="27:56" x14ac:dyDescent="0.25">
      <c r="AA382" s="68" t="str">
        <f t="shared" si="21"/>
        <v>Fotos\\.jpg</v>
      </c>
      <c r="AB382" s="53">
        <f t="shared" si="22"/>
        <v>2.617801047120419E-3</v>
      </c>
      <c r="AC382" s="25">
        <f t="shared" si="23"/>
        <v>382</v>
      </c>
      <c r="AD382" s="51">
        <f t="shared" si="24"/>
        <v>1</v>
      </c>
      <c r="AE382" s="25">
        <v>1</v>
      </c>
      <c r="AF382" s="25">
        <v>1</v>
      </c>
      <c r="AG382" s="25">
        <v>1</v>
      </c>
      <c r="AH382" s="25">
        <v>1</v>
      </c>
      <c r="AI382" s="25">
        <f>IF(OR(Apresentação!$E$3='Base de Dados e filtragem'!AI$2,Apresentação!$E$3='Base de Dados e filtragem'!E382),1,0)</f>
        <v>1</v>
      </c>
      <c r="AJ382" s="25">
        <f>IF(OR(Apresentação!$E$4='Base de Dados e filtragem'!AJ$2,Apresentação!$E$4='Base de Dados e filtragem'!F382),1,0)</f>
        <v>1</v>
      </c>
      <c r="AK382" s="25">
        <f>IF(OR(Apresentação!$E$5='Base de Dados e filtragem'!AK$2,Apresentação!$E$5='Base de Dados e filtragem'!G382),1,0)</f>
        <v>1</v>
      </c>
      <c r="AL382" s="25">
        <f>IF(OR(Apresentação!$E$6='Base de Dados e filtragem'!AL$2,Apresentação!$E$6='Base de Dados e filtragem'!H382),1,0)</f>
        <v>1</v>
      </c>
      <c r="AM382" s="25">
        <f>IF(OR(Apresentação!$I$2='Base de Dados e filtragem'!AM$2,Apresentação!$I$2='Base de Dados e filtragem'!I382),1,0)</f>
        <v>1</v>
      </c>
      <c r="AN382" s="25">
        <f>IF(OR(Apresentação!$I$3='Base de Dados e filtragem'!AN$2,Apresentação!$I$3='Base de Dados e filtragem'!J382),1,0)</f>
        <v>1</v>
      </c>
      <c r="AO382" s="25">
        <f>IF(OR(Apresentação!$I$4='Base de Dados e filtragem'!AO$2,Apresentação!$I$4='Base de Dados e filtragem'!K382),1,0)</f>
        <v>1</v>
      </c>
      <c r="AP382" s="25">
        <f>IF(OR(Apresentação!$I$5='Base de Dados e filtragem'!AP$2,Apresentação!$I$5='Base de Dados e filtragem'!L382),1,0)</f>
        <v>1</v>
      </c>
      <c r="AQ382" s="25">
        <f>IF(OR(Apresentação!$I$6='Base de Dados e filtragem'!AQ$2,Apresentação!$I$6='Base de Dados e filtragem'!M382),1,0)</f>
        <v>1</v>
      </c>
      <c r="AR382" s="25">
        <v>1</v>
      </c>
      <c r="AS382" s="25">
        <v>1</v>
      </c>
      <c r="AT382" s="25">
        <v>1</v>
      </c>
      <c r="AU382" s="25">
        <v>1</v>
      </c>
      <c r="AV382" s="25">
        <v>1</v>
      </c>
      <c r="AW382" s="25">
        <v>1</v>
      </c>
      <c r="AX382" s="25">
        <v>1</v>
      </c>
      <c r="AY382" s="25">
        <v>1</v>
      </c>
      <c r="AZ382" s="25">
        <v>1</v>
      </c>
      <c r="BA382" s="25">
        <v>1</v>
      </c>
      <c r="BB382" s="25">
        <v>1</v>
      </c>
      <c r="BC382" s="25">
        <v>1</v>
      </c>
      <c r="BD382" s="25">
        <v>1</v>
      </c>
    </row>
    <row r="383" spans="27:56" x14ac:dyDescent="0.25">
      <c r="AA383" s="68" t="str">
        <f t="shared" si="21"/>
        <v>Fotos\\.jpg</v>
      </c>
      <c r="AB383" s="53">
        <f t="shared" si="22"/>
        <v>2.6109660574412533E-3</v>
      </c>
      <c r="AC383" s="25">
        <f t="shared" si="23"/>
        <v>383</v>
      </c>
      <c r="AD383" s="51">
        <f t="shared" si="24"/>
        <v>1</v>
      </c>
      <c r="AE383" s="25">
        <v>1</v>
      </c>
      <c r="AF383" s="25">
        <v>1</v>
      </c>
      <c r="AG383" s="25">
        <v>1</v>
      </c>
      <c r="AH383" s="25">
        <v>1</v>
      </c>
      <c r="AI383" s="25">
        <f>IF(OR(Apresentação!$E$3='Base de Dados e filtragem'!AI$2,Apresentação!$E$3='Base de Dados e filtragem'!E383),1,0)</f>
        <v>1</v>
      </c>
      <c r="AJ383" s="25">
        <f>IF(OR(Apresentação!$E$4='Base de Dados e filtragem'!AJ$2,Apresentação!$E$4='Base de Dados e filtragem'!F383),1,0)</f>
        <v>1</v>
      </c>
      <c r="AK383" s="25">
        <f>IF(OR(Apresentação!$E$5='Base de Dados e filtragem'!AK$2,Apresentação!$E$5='Base de Dados e filtragem'!G383),1,0)</f>
        <v>1</v>
      </c>
      <c r="AL383" s="25">
        <f>IF(OR(Apresentação!$E$6='Base de Dados e filtragem'!AL$2,Apresentação!$E$6='Base de Dados e filtragem'!H383),1,0)</f>
        <v>1</v>
      </c>
      <c r="AM383" s="25">
        <f>IF(OR(Apresentação!$I$2='Base de Dados e filtragem'!AM$2,Apresentação!$I$2='Base de Dados e filtragem'!I383),1,0)</f>
        <v>1</v>
      </c>
      <c r="AN383" s="25">
        <f>IF(OR(Apresentação!$I$3='Base de Dados e filtragem'!AN$2,Apresentação!$I$3='Base de Dados e filtragem'!J383),1,0)</f>
        <v>1</v>
      </c>
      <c r="AO383" s="25">
        <f>IF(OR(Apresentação!$I$4='Base de Dados e filtragem'!AO$2,Apresentação!$I$4='Base de Dados e filtragem'!K383),1,0)</f>
        <v>1</v>
      </c>
      <c r="AP383" s="25">
        <f>IF(OR(Apresentação!$I$5='Base de Dados e filtragem'!AP$2,Apresentação!$I$5='Base de Dados e filtragem'!L383),1,0)</f>
        <v>1</v>
      </c>
      <c r="AQ383" s="25">
        <f>IF(OR(Apresentação!$I$6='Base de Dados e filtragem'!AQ$2,Apresentação!$I$6='Base de Dados e filtragem'!M383),1,0)</f>
        <v>1</v>
      </c>
      <c r="AR383" s="25">
        <v>1</v>
      </c>
      <c r="AS383" s="25">
        <v>1</v>
      </c>
      <c r="AT383" s="25">
        <v>1</v>
      </c>
      <c r="AU383" s="25">
        <v>1</v>
      </c>
      <c r="AV383" s="25">
        <v>1</v>
      </c>
      <c r="AW383" s="25">
        <v>1</v>
      </c>
      <c r="AX383" s="25">
        <v>1</v>
      </c>
      <c r="AY383" s="25">
        <v>1</v>
      </c>
      <c r="AZ383" s="25">
        <v>1</v>
      </c>
      <c r="BA383" s="25">
        <v>1</v>
      </c>
      <c r="BB383" s="25">
        <v>1</v>
      </c>
      <c r="BC383" s="25">
        <v>1</v>
      </c>
      <c r="BD383" s="25">
        <v>1</v>
      </c>
    </row>
    <row r="384" spans="27:56" x14ac:dyDescent="0.25">
      <c r="AA384" s="68" t="str">
        <f t="shared" si="21"/>
        <v>Fotos\\.jpg</v>
      </c>
      <c r="AB384" s="53">
        <f t="shared" si="22"/>
        <v>2.6041666666666665E-3</v>
      </c>
      <c r="AC384" s="25">
        <f t="shared" si="23"/>
        <v>384</v>
      </c>
      <c r="AD384" s="51">
        <f t="shared" si="24"/>
        <v>1</v>
      </c>
      <c r="AE384" s="25">
        <v>1</v>
      </c>
      <c r="AF384" s="25">
        <v>1</v>
      </c>
      <c r="AG384" s="25">
        <v>1</v>
      </c>
      <c r="AH384" s="25">
        <v>1</v>
      </c>
      <c r="AI384" s="25">
        <f>IF(OR(Apresentação!$E$3='Base de Dados e filtragem'!AI$2,Apresentação!$E$3='Base de Dados e filtragem'!E384),1,0)</f>
        <v>1</v>
      </c>
      <c r="AJ384" s="25">
        <f>IF(OR(Apresentação!$E$4='Base de Dados e filtragem'!AJ$2,Apresentação!$E$4='Base de Dados e filtragem'!F384),1,0)</f>
        <v>1</v>
      </c>
      <c r="AK384" s="25">
        <f>IF(OR(Apresentação!$E$5='Base de Dados e filtragem'!AK$2,Apresentação!$E$5='Base de Dados e filtragem'!G384),1,0)</f>
        <v>1</v>
      </c>
      <c r="AL384" s="25">
        <f>IF(OR(Apresentação!$E$6='Base de Dados e filtragem'!AL$2,Apresentação!$E$6='Base de Dados e filtragem'!H384),1,0)</f>
        <v>1</v>
      </c>
      <c r="AM384" s="25">
        <f>IF(OR(Apresentação!$I$2='Base de Dados e filtragem'!AM$2,Apresentação!$I$2='Base de Dados e filtragem'!I384),1,0)</f>
        <v>1</v>
      </c>
      <c r="AN384" s="25">
        <f>IF(OR(Apresentação!$I$3='Base de Dados e filtragem'!AN$2,Apresentação!$I$3='Base de Dados e filtragem'!J384),1,0)</f>
        <v>1</v>
      </c>
      <c r="AO384" s="25">
        <f>IF(OR(Apresentação!$I$4='Base de Dados e filtragem'!AO$2,Apresentação!$I$4='Base de Dados e filtragem'!K384),1,0)</f>
        <v>1</v>
      </c>
      <c r="AP384" s="25">
        <f>IF(OR(Apresentação!$I$5='Base de Dados e filtragem'!AP$2,Apresentação!$I$5='Base de Dados e filtragem'!L384),1,0)</f>
        <v>1</v>
      </c>
      <c r="AQ384" s="25">
        <f>IF(OR(Apresentação!$I$6='Base de Dados e filtragem'!AQ$2,Apresentação!$I$6='Base de Dados e filtragem'!M384),1,0)</f>
        <v>1</v>
      </c>
      <c r="AR384" s="25">
        <v>1</v>
      </c>
      <c r="AS384" s="25">
        <v>1</v>
      </c>
      <c r="AT384" s="25">
        <v>1</v>
      </c>
      <c r="AU384" s="25">
        <v>1</v>
      </c>
      <c r="AV384" s="25">
        <v>1</v>
      </c>
      <c r="AW384" s="25">
        <v>1</v>
      </c>
      <c r="AX384" s="25">
        <v>1</v>
      </c>
      <c r="AY384" s="25">
        <v>1</v>
      </c>
      <c r="AZ384" s="25">
        <v>1</v>
      </c>
      <c r="BA384" s="25">
        <v>1</v>
      </c>
      <c r="BB384" s="25">
        <v>1</v>
      </c>
      <c r="BC384" s="25">
        <v>1</v>
      </c>
      <c r="BD384" s="25">
        <v>1</v>
      </c>
    </row>
    <row r="385" spans="27:56" x14ac:dyDescent="0.25">
      <c r="AA385" s="68" t="str">
        <f t="shared" si="21"/>
        <v>Fotos\\.jpg</v>
      </c>
      <c r="AB385" s="53">
        <f t="shared" si="22"/>
        <v>2.5974025974025974E-3</v>
      </c>
      <c r="AC385" s="25">
        <f t="shared" si="23"/>
        <v>385</v>
      </c>
      <c r="AD385" s="51">
        <f t="shared" si="24"/>
        <v>1</v>
      </c>
      <c r="AE385" s="25">
        <v>1</v>
      </c>
      <c r="AF385" s="25">
        <v>1</v>
      </c>
      <c r="AG385" s="25">
        <v>1</v>
      </c>
      <c r="AH385" s="25">
        <v>1</v>
      </c>
      <c r="AI385" s="25">
        <f>IF(OR(Apresentação!$E$3='Base de Dados e filtragem'!AI$2,Apresentação!$E$3='Base de Dados e filtragem'!E385),1,0)</f>
        <v>1</v>
      </c>
      <c r="AJ385" s="25">
        <f>IF(OR(Apresentação!$E$4='Base de Dados e filtragem'!AJ$2,Apresentação!$E$4='Base de Dados e filtragem'!F385),1,0)</f>
        <v>1</v>
      </c>
      <c r="AK385" s="25">
        <f>IF(OR(Apresentação!$E$5='Base de Dados e filtragem'!AK$2,Apresentação!$E$5='Base de Dados e filtragem'!G385),1,0)</f>
        <v>1</v>
      </c>
      <c r="AL385" s="25">
        <f>IF(OR(Apresentação!$E$6='Base de Dados e filtragem'!AL$2,Apresentação!$E$6='Base de Dados e filtragem'!H385),1,0)</f>
        <v>1</v>
      </c>
      <c r="AM385" s="25">
        <f>IF(OR(Apresentação!$I$2='Base de Dados e filtragem'!AM$2,Apresentação!$I$2='Base de Dados e filtragem'!I385),1,0)</f>
        <v>1</v>
      </c>
      <c r="AN385" s="25">
        <f>IF(OR(Apresentação!$I$3='Base de Dados e filtragem'!AN$2,Apresentação!$I$3='Base de Dados e filtragem'!J385),1,0)</f>
        <v>1</v>
      </c>
      <c r="AO385" s="25">
        <f>IF(OR(Apresentação!$I$4='Base de Dados e filtragem'!AO$2,Apresentação!$I$4='Base de Dados e filtragem'!K385),1,0)</f>
        <v>1</v>
      </c>
      <c r="AP385" s="25">
        <f>IF(OR(Apresentação!$I$5='Base de Dados e filtragem'!AP$2,Apresentação!$I$5='Base de Dados e filtragem'!L385),1,0)</f>
        <v>1</v>
      </c>
      <c r="AQ385" s="25">
        <f>IF(OR(Apresentação!$I$6='Base de Dados e filtragem'!AQ$2,Apresentação!$I$6='Base de Dados e filtragem'!M385),1,0)</f>
        <v>1</v>
      </c>
      <c r="AR385" s="25">
        <v>1</v>
      </c>
      <c r="AS385" s="25">
        <v>1</v>
      </c>
      <c r="AT385" s="25">
        <v>1</v>
      </c>
      <c r="AU385" s="25">
        <v>1</v>
      </c>
      <c r="AV385" s="25">
        <v>1</v>
      </c>
      <c r="AW385" s="25">
        <v>1</v>
      </c>
      <c r="AX385" s="25">
        <v>1</v>
      </c>
      <c r="AY385" s="25">
        <v>1</v>
      </c>
      <c r="AZ385" s="25">
        <v>1</v>
      </c>
      <c r="BA385" s="25">
        <v>1</v>
      </c>
      <c r="BB385" s="25">
        <v>1</v>
      </c>
      <c r="BC385" s="25">
        <v>1</v>
      </c>
      <c r="BD385" s="25">
        <v>1</v>
      </c>
    </row>
    <row r="386" spans="27:56" x14ac:dyDescent="0.25">
      <c r="AA386" s="68" t="str">
        <f t="shared" si="21"/>
        <v>Fotos\\.jpg</v>
      </c>
      <c r="AB386" s="53">
        <f t="shared" si="22"/>
        <v>2.5906735751295338E-3</v>
      </c>
      <c r="AC386" s="25">
        <f t="shared" si="23"/>
        <v>386</v>
      </c>
      <c r="AD386" s="51">
        <f t="shared" si="24"/>
        <v>1</v>
      </c>
      <c r="AE386" s="25">
        <v>1</v>
      </c>
      <c r="AF386" s="25">
        <v>1</v>
      </c>
      <c r="AG386" s="25">
        <v>1</v>
      </c>
      <c r="AH386" s="25">
        <v>1</v>
      </c>
      <c r="AI386" s="25">
        <f>IF(OR(Apresentação!$E$3='Base de Dados e filtragem'!AI$2,Apresentação!$E$3='Base de Dados e filtragem'!E386),1,0)</f>
        <v>1</v>
      </c>
      <c r="AJ386" s="25">
        <f>IF(OR(Apresentação!$E$4='Base de Dados e filtragem'!AJ$2,Apresentação!$E$4='Base de Dados e filtragem'!F386),1,0)</f>
        <v>1</v>
      </c>
      <c r="AK386" s="25">
        <f>IF(OR(Apresentação!$E$5='Base de Dados e filtragem'!AK$2,Apresentação!$E$5='Base de Dados e filtragem'!G386),1,0)</f>
        <v>1</v>
      </c>
      <c r="AL386" s="25">
        <f>IF(OR(Apresentação!$E$6='Base de Dados e filtragem'!AL$2,Apresentação!$E$6='Base de Dados e filtragem'!H386),1,0)</f>
        <v>1</v>
      </c>
      <c r="AM386" s="25">
        <f>IF(OR(Apresentação!$I$2='Base de Dados e filtragem'!AM$2,Apresentação!$I$2='Base de Dados e filtragem'!I386),1,0)</f>
        <v>1</v>
      </c>
      <c r="AN386" s="25">
        <f>IF(OR(Apresentação!$I$3='Base de Dados e filtragem'!AN$2,Apresentação!$I$3='Base de Dados e filtragem'!J386),1,0)</f>
        <v>1</v>
      </c>
      <c r="AO386" s="25">
        <f>IF(OR(Apresentação!$I$4='Base de Dados e filtragem'!AO$2,Apresentação!$I$4='Base de Dados e filtragem'!K386),1,0)</f>
        <v>1</v>
      </c>
      <c r="AP386" s="25">
        <f>IF(OR(Apresentação!$I$5='Base de Dados e filtragem'!AP$2,Apresentação!$I$5='Base de Dados e filtragem'!L386),1,0)</f>
        <v>1</v>
      </c>
      <c r="AQ386" s="25">
        <f>IF(OR(Apresentação!$I$6='Base de Dados e filtragem'!AQ$2,Apresentação!$I$6='Base de Dados e filtragem'!M386),1,0)</f>
        <v>1</v>
      </c>
      <c r="AR386" s="25">
        <v>1</v>
      </c>
      <c r="AS386" s="25">
        <v>1</v>
      </c>
      <c r="AT386" s="25">
        <v>1</v>
      </c>
      <c r="AU386" s="25">
        <v>1</v>
      </c>
      <c r="AV386" s="25">
        <v>1</v>
      </c>
      <c r="AW386" s="25">
        <v>1</v>
      </c>
      <c r="AX386" s="25">
        <v>1</v>
      </c>
      <c r="AY386" s="25">
        <v>1</v>
      </c>
      <c r="AZ386" s="25">
        <v>1</v>
      </c>
      <c r="BA386" s="25">
        <v>1</v>
      </c>
      <c r="BB386" s="25">
        <v>1</v>
      </c>
      <c r="BC386" s="25">
        <v>1</v>
      </c>
      <c r="BD386" s="25">
        <v>1</v>
      </c>
    </row>
    <row r="387" spans="27:56" x14ac:dyDescent="0.25">
      <c r="AA387" s="68" t="str">
        <f t="shared" si="21"/>
        <v>Fotos\\.jpg</v>
      </c>
      <c r="AB387" s="53">
        <f t="shared" si="22"/>
        <v>2.5839793281653748E-3</v>
      </c>
      <c r="AC387" s="25">
        <f t="shared" si="23"/>
        <v>387</v>
      </c>
      <c r="AD387" s="51">
        <f t="shared" si="24"/>
        <v>1</v>
      </c>
      <c r="AE387" s="25">
        <v>1</v>
      </c>
      <c r="AF387" s="25">
        <v>1</v>
      </c>
      <c r="AG387" s="25">
        <v>1</v>
      </c>
      <c r="AH387" s="25">
        <v>1</v>
      </c>
      <c r="AI387" s="25">
        <f>IF(OR(Apresentação!$E$3='Base de Dados e filtragem'!AI$2,Apresentação!$E$3='Base de Dados e filtragem'!E387),1,0)</f>
        <v>1</v>
      </c>
      <c r="AJ387" s="25">
        <f>IF(OR(Apresentação!$E$4='Base de Dados e filtragem'!AJ$2,Apresentação!$E$4='Base de Dados e filtragem'!F387),1,0)</f>
        <v>1</v>
      </c>
      <c r="AK387" s="25">
        <f>IF(OR(Apresentação!$E$5='Base de Dados e filtragem'!AK$2,Apresentação!$E$5='Base de Dados e filtragem'!G387),1,0)</f>
        <v>1</v>
      </c>
      <c r="AL387" s="25">
        <f>IF(OR(Apresentação!$E$6='Base de Dados e filtragem'!AL$2,Apresentação!$E$6='Base de Dados e filtragem'!H387),1,0)</f>
        <v>1</v>
      </c>
      <c r="AM387" s="25">
        <f>IF(OR(Apresentação!$I$2='Base de Dados e filtragem'!AM$2,Apresentação!$I$2='Base de Dados e filtragem'!I387),1,0)</f>
        <v>1</v>
      </c>
      <c r="AN387" s="25">
        <f>IF(OR(Apresentação!$I$3='Base de Dados e filtragem'!AN$2,Apresentação!$I$3='Base de Dados e filtragem'!J387),1,0)</f>
        <v>1</v>
      </c>
      <c r="AO387" s="25">
        <f>IF(OR(Apresentação!$I$4='Base de Dados e filtragem'!AO$2,Apresentação!$I$4='Base de Dados e filtragem'!K387),1,0)</f>
        <v>1</v>
      </c>
      <c r="AP387" s="25">
        <f>IF(OR(Apresentação!$I$5='Base de Dados e filtragem'!AP$2,Apresentação!$I$5='Base de Dados e filtragem'!L387),1,0)</f>
        <v>1</v>
      </c>
      <c r="AQ387" s="25">
        <f>IF(OR(Apresentação!$I$6='Base de Dados e filtragem'!AQ$2,Apresentação!$I$6='Base de Dados e filtragem'!M387),1,0)</f>
        <v>1</v>
      </c>
      <c r="AR387" s="25">
        <v>1</v>
      </c>
      <c r="AS387" s="25">
        <v>1</v>
      </c>
      <c r="AT387" s="25">
        <v>1</v>
      </c>
      <c r="AU387" s="25">
        <v>1</v>
      </c>
      <c r="AV387" s="25">
        <v>1</v>
      </c>
      <c r="AW387" s="25">
        <v>1</v>
      </c>
      <c r="AX387" s="25">
        <v>1</v>
      </c>
      <c r="AY387" s="25">
        <v>1</v>
      </c>
      <c r="AZ387" s="25">
        <v>1</v>
      </c>
      <c r="BA387" s="25">
        <v>1</v>
      </c>
      <c r="BB387" s="25">
        <v>1</v>
      </c>
      <c r="BC387" s="25">
        <v>1</v>
      </c>
      <c r="BD387" s="25">
        <v>1</v>
      </c>
    </row>
    <row r="388" spans="27:56" x14ac:dyDescent="0.25">
      <c r="AA388" s="68" t="str">
        <f t="shared" ref="AA388:AA451" si="25">"Fotos\"&amp;I388&amp;"\"&amp;A388&amp;".jpg"</f>
        <v>Fotos\\.jpg</v>
      </c>
      <c r="AB388" s="53">
        <f t="shared" ref="AB388:AB451" si="26">AD388/AC388</f>
        <v>2.5773195876288659E-3</v>
      </c>
      <c r="AC388" s="25">
        <f t="shared" ref="AC388:AC451" si="27">AC387+1</f>
        <v>388</v>
      </c>
      <c r="AD388" s="51">
        <f t="shared" ref="AD388:AD451" si="28">PRODUCT(AE388:BD388)</f>
        <v>1</v>
      </c>
      <c r="AE388" s="25">
        <v>1</v>
      </c>
      <c r="AF388" s="25">
        <v>1</v>
      </c>
      <c r="AG388" s="25">
        <v>1</v>
      </c>
      <c r="AH388" s="25">
        <v>1</v>
      </c>
      <c r="AI388" s="25">
        <f>IF(OR(Apresentação!$E$3='Base de Dados e filtragem'!AI$2,Apresentação!$E$3='Base de Dados e filtragem'!E388),1,0)</f>
        <v>1</v>
      </c>
      <c r="AJ388" s="25">
        <f>IF(OR(Apresentação!$E$4='Base de Dados e filtragem'!AJ$2,Apresentação!$E$4='Base de Dados e filtragem'!F388),1,0)</f>
        <v>1</v>
      </c>
      <c r="AK388" s="25">
        <f>IF(OR(Apresentação!$E$5='Base de Dados e filtragem'!AK$2,Apresentação!$E$5='Base de Dados e filtragem'!G388),1,0)</f>
        <v>1</v>
      </c>
      <c r="AL388" s="25">
        <f>IF(OR(Apresentação!$E$6='Base de Dados e filtragem'!AL$2,Apresentação!$E$6='Base de Dados e filtragem'!H388),1,0)</f>
        <v>1</v>
      </c>
      <c r="AM388" s="25">
        <f>IF(OR(Apresentação!$I$2='Base de Dados e filtragem'!AM$2,Apresentação!$I$2='Base de Dados e filtragem'!I388),1,0)</f>
        <v>1</v>
      </c>
      <c r="AN388" s="25">
        <f>IF(OR(Apresentação!$I$3='Base de Dados e filtragem'!AN$2,Apresentação!$I$3='Base de Dados e filtragem'!J388),1,0)</f>
        <v>1</v>
      </c>
      <c r="AO388" s="25">
        <f>IF(OR(Apresentação!$I$4='Base de Dados e filtragem'!AO$2,Apresentação!$I$4='Base de Dados e filtragem'!K388),1,0)</f>
        <v>1</v>
      </c>
      <c r="AP388" s="25">
        <f>IF(OR(Apresentação!$I$5='Base de Dados e filtragem'!AP$2,Apresentação!$I$5='Base de Dados e filtragem'!L388),1,0)</f>
        <v>1</v>
      </c>
      <c r="AQ388" s="25">
        <f>IF(OR(Apresentação!$I$6='Base de Dados e filtragem'!AQ$2,Apresentação!$I$6='Base de Dados e filtragem'!M388),1,0)</f>
        <v>1</v>
      </c>
      <c r="AR388" s="25">
        <v>1</v>
      </c>
      <c r="AS388" s="25">
        <v>1</v>
      </c>
      <c r="AT388" s="25">
        <v>1</v>
      </c>
      <c r="AU388" s="25">
        <v>1</v>
      </c>
      <c r="AV388" s="25">
        <v>1</v>
      </c>
      <c r="AW388" s="25">
        <v>1</v>
      </c>
      <c r="AX388" s="25">
        <v>1</v>
      </c>
      <c r="AY388" s="25">
        <v>1</v>
      </c>
      <c r="AZ388" s="25">
        <v>1</v>
      </c>
      <c r="BA388" s="25">
        <v>1</v>
      </c>
      <c r="BB388" s="25">
        <v>1</v>
      </c>
      <c r="BC388" s="25">
        <v>1</v>
      </c>
      <c r="BD388" s="25">
        <v>1</v>
      </c>
    </row>
    <row r="389" spans="27:56" x14ac:dyDescent="0.25">
      <c r="AA389" s="68" t="str">
        <f t="shared" si="25"/>
        <v>Fotos\\.jpg</v>
      </c>
      <c r="AB389" s="53">
        <f t="shared" si="26"/>
        <v>2.5706940874035988E-3</v>
      </c>
      <c r="AC389" s="25">
        <f t="shared" si="27"/>
        <v>389</v>
      </c>
      <c r="AD389" s="51">
        <f t="shared" si="28"/>
        <v>1</v>
      </c>
      <c r="AE389" s="25">
        <v>1</v>
      </c>
      <c r="AF389" s="25">
        <v>1</v>
      </c>
      <c r="AG389" s="25">
        <v>1</v>
      </c>
      <c r="AH389" s="25">
        <v>1</v>
      </c>
      <c r="AI389" s="25">
        <f>IF(OR(Apresentação!$E$3='Base de Dados e filtragem'!AI$2,Apresentação!$E$3='Base de Dados e filtragem'!E389),1,0)</f>
        <v>1</v>
      </c>
      <c r="AJ389" s="25">
        <f>IF(OR(Apresentação!$E$4='Base de Dados e filtragem'!AJ$2,Apresentação!$E$4='Base de Dados e filtragem'!F389),1,0)</f>
        <v>1</v>
      </c>
      <c r="AK389" s="25">
        <f>IF(OR(Apresentação!$E$5='Base de Dados e filtragem'!AK$2,Apresentação!$E$5='Base de Dados e filtragem'!G389),1,0)</f>
        <v>1</v>
      </c>
      <c r="AL389" s="25">
        <f>IF(OR(Apresentação!$E$6='Base de Dados e filtragem'!AL$2,Apresentação!$E$6='Base de Dados e filtragem'!H389),1,0)</f>
        <v>1</v>
      </c>
      <c r="AM389" s="25">
        <f>IF(OR(Apresentação!$I$2='Base de Dados e filtragem'!AM$2,Apresentação!$I$2='Base de Dados e filtragem'!I389),1,0)</f>
        <v>1</v>
      </c>
      <c r="AN389" s="25">
        <f>IF(OR(Apresentação!$I$3='Base de Dados e filtragem'!AN$2,Apresentação!$I$3='Base de Dados e filtragem'!J389),1,0)</f>
        <v>1</v>
      </c>
      <c r="AO389" s="25">
        <f>IF(OR(Apresentação!$I$4='Base de Dados e filtragem'!AO$2,Apresentação!$I$4='Base de Dados e filtragem'!K389),1,0)</f>
        <v>1</v>
      </c>
      <c r="AP389" s="25">
        <f>IF(OR(Apresentação!$I$5='Base de Dados e filtragem'!AP$2,Apresentação!$I$5='Base de Dados e filtragem'!L389),1,0)</f>
        <v>1</v>
      </c>
      <c r="AQ389" s="25">
        <f>IF(OR(Apresentação!$I$6='Base de Dados e filtragem'!AQ$2,Apresentação!$I$6='Base de Dados e filtragem'!M389),1,0)</f>
        <v>1</v>
      </c>
      <c r="AR389" s="25">
        <v>1</v>
      </c>
      <c r="AS389" s="25">
        <v>1</v>
      </c>
      <c r="AT389" s="25">
        <v>1</v>
      </c>
      <c r="AU389" s="25">
        <v>1</v>
      </c>
      <c r="AV389" s="25">
        <v>1</v>
      </c>
      <c r="AW389" s="25">
        <v>1</v>
      </c>
      <c r="AX389" s="25">
        <v>1</v>
      </c>
      <c r="AY389" s="25">
        <v>1</v>
      </c>
      <c r="AZ389" s="25">
        <v>1</v>
      </c>
      <c r="BA389" s="25">
        <v>1</v>
      </c>
      <c r="BB389" s="25">
        <v>1</v>
      </c>
      <c r="BC389" s="25">
        <v>1</v>
      </c>
      <c r="BD389" s="25">
        <v>1</v>
      </c>
    </row>
    <row r="390" spans="27:56" x14ac:dyDescent="0.25">
      <c r="AA390" s="68" t="str">
        <f t="shared" si="25"/>
        <v>Fotos\\.jpg</v>
      </c>
      <c r="AB390" s="53">
        <f t="shared" si="26"/>
        <v>2.5641025641025641E-3</v>
      </c>
      <c r="AC390" s="25">
        <f t="shared" si="27"/>
        <v>390</v>
      </c>
      <c r="AD390" s="51">
        <f t="shared" si="28"/>
        <v>1</v>
      </c>
      <c r="AE390" s="25">
        <v>1</v>
      </c>
      <c r="AF390" s="25">
        <v>1</v>
      </c>
      <c r="AG390" s="25">
        <v>1</v>
      </c>
      <c r="AH390" s="25">
        <v>1</v>
      </c>
      <c r="AI390" s="25">
        <f>IF(OR(Apresentação!$E$3='Base de Dados e filtragem'!AI$2,Apresentação!$E$3='Base de Dados e filtragem'!E390),1,0)</f>
        <v>1</v>
      </c>
      <c r="AJ390" s="25">
        <f>IF(OR(Apresentação!$E$4='Base de Dados e filtragem'!AJ$2,Apresentação!$E$4='Base de Dados e filtragem'!F390),1,0)</f>
        <v>1</v>
      </c>
      <c r="AK390" s="25">
        <f>IF(OR(Apresentação!$E$5='Base de Dados e filtragem'!AK$2,Apresentação!$E$5='Base de Dados e filtragem'!G390),1,0)</f>
        <v>1</v>
      </c>
      <c r="AL390" s="25">
        <f>IF(OR(Apresentação!$E$6='Base de Dados e filtragem'!AL$2,Apresentação!$E$6='Base de Dados e filtragem'!H390),1,0)</f>
        <v>1</v>
      </c>
      <c r="AM390" s="25">
        <f>IF(OR(Apresentação!$I$2='Base de Dados e filtragem'!AM$2,Apresentação!$I$2='Base de Dados e filtragem'!I390),1,0)</f>
        <v>1</v>
      </c>
      <c r="AN390" s="25">
        <f>IF(OR(Apresentação!$I$3='Base de Dados e filtragem'!AN$2,Apresentação!$I$3='Base de Dados e filtragem'!J390),1,0)</f>
        <v>1</v>
      </c>
      <c r="AO390" s="25">
        <f>IF(OR(Apresentação!$I$4='Base de Dados e filtragem'!AO$2,Apresentação!$I$4='Base de Dados e filtragem'!K390),1,0)</f>
        <v>1</v>
      </c>
      <c r="AP390" s="25">
        <f>IF(OR(Apresentação!$I$5='Base de Dados e filtragem'!AP$2,Apresentação!$I$5='Base de Dados e filtragem'!L390),1,0)</f>
        <v>1</v>
      </c>
      <c r="AQ390" s="25">
        <f>IF(OR(Apresentação!$I$6='Base de Dados e filtragem'!AQ$2,Apresentação!$I$6='Base de Dados e filtragem'!M390),1,0)</f>
        <v>1</v>
      </c>
      <c r="AR390" s="25">
        <v>1</v>
      </c>
      <c r="AS390" s="25">
        <v>1</v>
      </c>
      <c r="AT390" s="25">
        <v>1</v>
      </c>
      <c r="AU390" s="25">
        <v>1</v>
      </c>
      <c r="AV390" s="25">
        <v>1</v>
      </c>
      <c r="AW390" s="25">
        <v>1</v>
      </c>
      <c r="AX390" s="25">
        <v>1</v>
      </c>
      <c r="AY390" s="25">
        <v>1</v>
      </c>
      <c r="AZ390" s="25">
        <v>1</v>
      </c>
      <c r="BA390" s="25">
        <v>1</v>
      </c>
      <c r="BB390" s="25">
        <v>1</v>
      </c>
      <c r="BC390" s="25">
        <v>1</v>
      </c>
      <c r="BD390" s="25">
        <v>1</v>
      </c>
    </row>
    <row r="391" spans="27:56" x14ac:dyDescent="0.25">
      <c r="AA391" s="68" t="str">
        <f t="shared" si="25"/>
        <v>Fotos\\.jpg</v>
      </c>
      <c r="AB391" s="53">
        <f t="shared" si="26"/>
        <v>2.5575447570332483E-3</v>
      </c>
      <c r="AC391" s="25">
        <f t="shared" si="27"/>
        <v>391</v>
      </c>
      <c r="AD391" s="51">
        <f t="shared" si="28"/>
        <v>1</v>
      </c>
      <c r="AE391" s="25">
        <v>1</v>
      </c>
      <c r="AF391" s="25">
        <v>1</v>
      </c>
      <c r="AG391" s="25">
        <v>1</v>
      </c>
      <c r="AH391" s="25">
        <v>1</v>
      </c>
      <c r="AI391" s="25">
        <f>IF(OR(Apresentação!$E$3='Base de Dados e filtragem'!AI$2,Apresentação!$E$3='Base de Dados e filtragem'!E391),1,0)</f>
        <v>1</v>
      </c>
      <c r="AJ391" s="25">
        <f>IF(OR(Apresentação!$E$4='Base de Dados e filtragem'!AJ$2,Apresentação!$E$4='Base de Dados e filtragem'!F391),1,0)</f>
        <v>1</v>
      </c>
      <c r="AK391" s="25">
        <f>IF(OR(Apresentação!$E$5='Base de Dados e filtragem'!AK$2,Apresentação!$E$5='Base de Dados e filtragem'!G391),1,0)</f>
        <v>1</v>
      </c>
      <c r="AL391" s="25">
        <f>IF(OR(Apresentação!$E$6='Base de Dados e filtragem'!AL$2,Apresentação!$E$6='Base de Dados e filtragem'!H391),1,0)</f>
        <v>1</v>
      </c>
      <c r="AM391" s="25">
        <f>IF(OR(Apresentação!$I$2='Base de Dados e filtragem'!AM$2,Apresentação!$I$2='Base de Dados e filtragem'!I391),1,0)</f>
        <v>1</v>
      </c>
      <c r="AN391" s="25">
        <f>IF(OR(Apresentação!$I$3='Base de Dados e filtragem'!AN$2,Apresentação!$I$3='Base de Dados e filtragem'!J391),1,0)</f>
        <v>1</v>
      </c>
      <c r="AO391" s="25">
        <f>IF(OR(Apresentação!$I$4='Base de Dados e filtragem'!AO$2,Apresentação!$I$4='Base de Dados e filtragem'!K391),1,0)</f>
        <v>1</v>
      </c>
      <c r="AP391" s="25">
        <f>IF(OR(Apresentação!$I$5='Base de Dados e filtragem'!AP$2,Apresentação!$I$5='Base de Dados e filtragem'!L391),1,0)</f>
        <v>1</v>
      </c>
      <c r="AQ391" s="25">
        <f>IF(OR(Apresentação!$I$6='Base de Dados e filtragem'!AQ$2,Apresentação!$I$6='Base de Dados e filtragem'!M391),1,0)</f>
        <v>1</v>
      </c>
      <c r="AR391" s="25">
        <v>1</v>
      </c>
      <c r="AS391" s="25">
        <v>1</v>
      </c>
      <c r="AT391" s="25">
        <v>1</v>
      </c>
      <c r="AU391" s="25">
        <v>1</v>
      </c>
      <c r="AV391" s="25">
        <v>1</v>
      </c>
      <c r="AW391" s="25">
        <v>1</v>
      </c>
      <c r="AX391" s="25">
        <v>1</v>
      </c>
      <c r="AY391" s="25">
        <v>1</v>
      </c>
      <c r="AZ391" s="25">
        <v>1</v>
      </c>
      <c r="BA391" s="25">
        <v>1</v>
      </c>
      <c r="BB391" s="25">
        <v>1</v>
      </c>
      <c r="BC391" s="25">
        <v>1</v>
      </c>
      <c r="BD391" s="25">
        <v>1</v>
      </c>
    </row>
    <row r="392" spans="27:56" x14ac:dyDescent="0.25">
      <c r="AA392" s="68" t="str">
        <f t="shared" si="25"/>
        <v>Fotos\\.jpg</v>
      </c>
      <c r="AB392" s="53">
        <f t="shared" si="26"/>
        <v>2.5510204081632651E-3</v>
      </c>
      <c r="AC392" s="25">
        <f t="shared" si="27"/>
        <v>392</v>
      </c>
      <c r="AD392" s="51">
        <f t="shared" si="28"/>
        <v>1</v>
      </c>
      <c r="AE392" s="25">
        <v>1</v>
      </c>
      <c r="AF392" s="25">
        <v>1</v>
      </c>
      <c r="AG392" s="25">
        <v>1</v>
      </c>
      <c r="AH392" s="25">
        <v>1</v>
      </c>
      <c r="AI392" s="25">
        <f>IF(OR(Apresentação!$E$3='Base de Dados e filtragem'!AI$2,Apresentação!$E$3='Base de Dados e filtragem'!E392),1,0)</f>
        <v>1</v>
      </c>
      <c r="AJ392" s="25">
        <f>IF(OR(Apresentação!$E$4='Base de Dados e filtragem'!AJ$2,Apresentação!$E$4='Base de Dados e filtragem'!F392),1,0)</f>
        <v>1</v>
      </c>
      <c r="AK392" s="25">
        <f>IF(OR(Apresentação!$E$5='Base de Dados e filtragem'!AK$2,Apresentação!$E$5='Base de Dados e filtragem'!G392),1,0)</f>
        <v>1</v>
      </c>
      <c r="AL392" s="25">
        <f>IF(OR(Apresentação!$E$6='Base de Dados e filtragem'!AL$2,Apresentação!$E$6='Base de Dados e filtragem'!H392),1,0)</f>
        <v>1</v>
      </c>
      <c r="AM392" s="25">
        <f>IF(OR(Apresentação!$I$2='Base de Dados e filtragem'!AM$2,Apresentação!$I$2='Base de Dados e filtragem'!I392),1,0)</f>
        <v>1</v>
      </c>
      <c r="AN392" s="25">
        <f>IF(OR(Apresentação!$I$3='Base de Dados e filtragem'!AN$2,Apresentação!$I$3='Base de Dados e filtragem'!J392),1,0)</f>
        <v>1</v>
      </c>
      <c r="AO392" s="25">
        <f>IF(OR(Apresentação!$I$4='Base de Dados e filtragem'!AO$2,Apresentação!$I$4='Base de Dados e filtragem'!K392),1,0)</f>
        <v>1</v>
      </c>
      <c r="AP392" s="25">
        <f>IF(OR(Apresentação!$I$5='Base de Dados e filtragem'!AP$2,Apresentação!$I$5='Base de Dados e filtragem'!L392),1,0)</f>
        <v>1</v>
      </c>
      <c r="AQ392" s="25">
        <f>IF(OR(Apresentação!$I$6='Base de Dados e filtragem'!AQ$2,Apresentação!$I$6='Base de Dados e filtragem'!M392),1,0)</f>
        <v>1</v>
      </c>
      <c r="AR392" s="25">
        <v>1</v>
      </c>
      <c r="AS392" s="25">
        <v>1</v>
      </c>
      <c r="AT392" s="25">
        <v>1</v>
      </c>
      <c r="AU392" s="25">
        <v>1</v>
      </c>
      <c r="AV392" s="25">
        <v>1</v>
      </c>
      <c r="AW392" s="25">
        <v>1</v>
      </c>
      <c r="AX392" s="25">
        <v>1</v>
      </c>
      <c r="AY392" s="25">
        <v>1</v>
      </c>
      <c r="AZ392" s="25">
        <v>1</v>
      </c>
      <c r="BA392" s="25">
        <v>1</v>
      </c>
      <c r="BB392" s="25">
        <v>1</v>
      </c>
      <c r="BC392" s="25">
        <v>1</v>
      </c>
      <c r="BD392" s="25">
        <v>1</v>
      </c>
    </row>
    <row r="393" spans="27:56" x14ac:dyDescent="0.25">
      <c r="AA393" s="68" t="str">
        <f t="shared" si="25"/>
        <v>Fotos\\.jpg</v>
      </c>
      <c r="AB393" s="53">
        <f t="shared" si="26"/>
        <v>2.5445292620865142E-3</v>
      </c>
      <c r="AC393" s="25">
        <f t="shared" si="27"/>
        <v>393</v>
      </c>
      <c r="AD393" s="51">
        <f t="shared" si="28"/>
        <v>1</v>
      </c>
      <c r="AE393" s="25">
        <v>1</v>
      </c>
      <c r="AF393" s="25">
        <v>1</v>
      </c>
      <c r="AG393" s="25">
        <v>1</v>
      </c>
      <c r="AH393" s="25">
        <v>1</v>
      </c>
      <c r="AI393" s="25">
        <f>IF(OR(Apresentação!$E$3='Base de Dados e filtragem'!AI$2,Apresentação!$E$3='Base de Dados e filtragem'!E393),1,0)</f>
        <v>1</v>
      </c>
      <c r="AJ393" s="25">
        <f>IF(OR(Apresentação!$E$4='Base de Dados e filtragem'!AJ$2,Apresentação!$E$4='Base de Dados e filtragem'!F393),1,0)</f>
        <v>1</v>
      </c>
      <c r="AK393" s="25">
        <f>IF(OR(Apresentação!$E$5='Base de Dados e filtragem'!AK$2,Apresentação!$E$5='Base de Dados e filtragem'!G393),1,0)</f>
        <v>1</v>
      </c>
      <c r="AL393" s="25">
        <f>IF(OR(Apresentação!$E$6='Base de Dados e filtragem'!AL$2,Apresentação!$E$6='Base de Dados e filtragem'!H393),1,0)</f>
        <v>1</v>
      </c>
      <c r="AM393" s="25">
        <f>IF(OR(Apresentação!$I$2='Base de Dados e filtragem'!AM$2,Apresentação!$I$2='Base de Dados e filtragem'!I393),1,0)</f>
        <v>1</v>
      </c>
      <c r="AN393" s="25">
        <f>IF(OR(Apresentação!$I$3='Base de Dados e filtragem'!AN$2,Apresentação!$I$3='Base de Dados e filtragem'!J393),1,0)</f>
        <v>1</v>
      </c>
      <c r="AO393" s="25">
        <f>IF(OR(Apresentação!$I$4='Base de Dados e filtragem'!AO$2,Apresentação!$I$4='Base de Dados e filtragem'!K393),1,0)</f>
        <v>1</v>
      </c>
      <c r="AP393" s="25">
        <f>IF(OR(Apresentação!$I$5='Base de Dados e filtragem'!AP$2,Apresentação!$I$5='Base de Dados e filtragem'!L393),1,0)</f>
        <v>1</v>
      </c>
      <c r="AQ393" s="25">
        <f>IF(OR(Apresentação!$I$6='Base de Dados e filtragem'!AQ$2,Apresentação!$I$6='Base de Dados e filtragem'!M393),1,0)</f>
        <v>1</v>
      </c>
      <c r="AR393" s="25">
        <v>1</v>
      </c>
      <c r="AS393" s="25">
        <v>1</v>
      </c>
      <c r="AT393" s="25">
        <v>1</v>
      </c>
      <c r="AU393" s="25">
        <v>1</v>
      </c>
      <c r="AV393" s="25">
        <v>1</v>
      </c>
      <c r="AW393" s="25">
        <v>1</v>
      </c>
      <c r="AX393" s="25">
        <v>1</v>
      </c>
      <c r="AY393" s="25">
        <v>1</v>
      </c>
      <c r="AZ393" s="25">
        <v>1</v>
      </c>
      <c r="BA393" s="25">
        <v>1</v>
      </c>
      <c r="BB393" s="25">
        <v>1</v>
      </c>
      <c r="BC393" s="25">
        <v>1</v>
      </c>
      <c r="BD393" s="25">
        <v>1</v>
      </c>
    </row>
    <row r="394" spans="27:56" x14ac:dyDescent="0.25">
      <c r="AA394" s="68" t="str">
        <f t="shared" si="25"/>
        <v>Fotos\\.jpg</v>
      </c>
      <c r="AB394" s="53">
        <f t="shared" si="26"/>
        <v>2.5380710659898475E-3</v>
      </c>
      <c r="AC394" s="25">
        <f t="shared" si="27"/>
        <v>394</v>
      </c>
      <c r="AD394" s="51">
        <f t="shared" si="28"/>
        <v>1</v>
      </c>
      <c r="AE394" s="25">
        <v>1</v>
      </c>
      <c r="AF394" s="25">
        <v>1</v>
      </c>
      <c r="AG394" s="25">
        <v>1</v>
      </c>
      <c r="AH394" s="25">
        <v>1</v>
      </c>
      <c r="AI394" s="25">
        <f>IF(OR(Apresentação!$E$3='Base de Dados e filtragem'!AI$2,Apresentação!$E$3='Base de Dados e filtragem'!E394),1,0)</f>
        <v>1</v>
      </c>
      <c r="AJ394" s="25">
        <f>IF(OR(Apresentação!$E$4='Base de Dados e filtragem'!AJ$2,Apresentação!$E$4='Base de Dados e filtragem'!F394),1,0)</f>
        <v>1</v>
      </c>
      <c r="AK394" s="25">
        <f>IF(OR(Apresentação!$E$5='Base de Dados e filtragem'!AK$2,Apresentação!$E$5='Base de Dados e filtragem'!G394),1,0)</f>
        <v>1</v>
      </c>
      <c r="AL394" s="25">
        <f>IF(OR(Apresentação!$E$6='Base de Dados e filtragem'!AL$2,Apresentação!$E$6='Base de Dados e filtragem'!H394),1,0)</f>
        <v>1</v>
      </c>
      <c r="AM394" s="25">
        <f>IF(OR(Apresentação!$I$2='Base de Dados e filtragem'!AM$2,Apresentação!$I$2='Base de Dados e filtragem'!I394),1,0)</f>
        <v>1</v>
      </c>
      <c r="AN394" s="25">
        <f>IF(OR(Apresentação!$I$3='Base de Dados e filtragem'!AN$2,Apresentação!$I$3='Base de Dados e filtragem'!J394),1,0)</f>
        <v>1</v>
      </c>
      <c r="AO394" s="25">
        <f>IF(OR(Apresentação!$I$4='Base de Dados e filtragem'!AO$2,Apresentação!$I$4='Base de Dados e filtragem'!K394),1,0)</f>
        <v>1</v>
      </c>
      <c r="AP394" s="25">
        <f>IF(OR(Apresentação!$I$5='Base de Dados e filtragem'!AP$2,Apresentação!$I$5='Base de Dados e filtragem'!L394),1,0)</f>
        <v>1</v>
      </c>
      <c r="AQ394" s="25">
        <f>IF(OR(Apresentação!$I$6='Base de Dados e filtragem'!AQ$2,Apresentação!$I$6='Base de Dados e filtragem'!M394),1,0)</f>
        <v>1</v>
      </c>
      <c r="AR394" s="25">
        <v>1</v>
      </c>
      <c r="AS394" s="25">
        <v>1</v>
      </c>
      <c r="AT394" s="25">
        <v>1</v>
      </c>
      <c r="AU394" s="25">
        <v>1</v>
      </c>
      <c r="AV394" s="25">
        <v>1</v>
      </c>
      <c r="AW394" s="25">
        <v>1</v>
      </c>
      <c r="AX394" s="25">
        <v>1</v>
      </c>
      <c r="AY394" s="25">
        <v>1</v>
      </c>
      <c r="AZ394" s="25">
        <v>1</v>
      </c>
      <c r="BA394" s="25">
        <v>1</v>
      </c>
      <c r="BB394" s="25">
        <v>1</v>
      </c>
      <c r="BC394" s="25">
        <v>1</v>
      </c>
      <c r="BD394" s="25">
        <v>1</v>
      </c>
    </row>
    <row r="395" spans="27:56" x14ac:dyDescent="0.25">
      <c r="AA395" s="68" t="str">
        <f t="shared" si="25"/>
        <v>Fotos\\.jpg</v>
      </c>
      <c r="AB395" s="53">
        <f t="shared" si="26"/>
        <v>2.5316455696202532E-3</v>
      </c>
      <c r="AC395" s="25">
        <f t="shared" si="27"/>
        <v>395</v>
      </c>
      <c r="AD395" s="51">
        <f t="shared" si="28"/>
        <v>1</v>
      </c>
      <c r="AE395" s="25">
        <v>1</v>
      </c>
      <c r="AF395" s="25">
        <v>1</v>
      </c>
      <c r="AG395" s="25">
        <v>1</v>
      </c>
      <c r="AH395" s="25">
        <v>1</v>
      </c>
      <c r="AI395" s="25">
        <f>IF(OR(Apresentação!$E$3='Base de Dados e filtragem'!AI$2,Apresentação!$E$3='Base de Dados e filtragem'!E395),1,0)</f>
        <v>1</v>
      </c>
      <c r="AJ395" s="25">
        <f>IF(OR(Apresentação!$E$4='Base de Dados e filtragem'!AJ$2,Apresentação!$E$4='Base de Dados e filtragem'!F395),1,0)</f>
        <v>1</v>
      </c>
      <c r="AK395" s="25">
        <f>IF(OR(Apresentação!$E$5='Base de Dados e filtragem'!AK$2,Apresentação!$E$5='Base de Dados e filtragem'!G395),1,0)</f>
        <v>1</v>
      </c>
      <c r="AL395" s="25">
        <f>IF(OR(Apresentação!$E$6='Base de Dados e filtragem'!AL$2,Apresentação!$E$6='Base de Dados e filtragem'!H395),1,0)</f>
        <v>1</v>
      </c>
      <c r="AM395" s="25">
        <f>IF(OR(Apresentação!$I$2='Base de Dados e filtragem'!AM$2,Apresentação!$I$2='Base de Dados e filtragem'!I395),1,0)</f>
        <v>1</v>
      </c>
      <c r="AN395" s="25">
        <f>IF(OR(Apresentação!$I$3='Base de Dados e filtragem'!AN$2,Apresentação!$I$3='Base de Dados e filtragem'!J395),1,0)</f>
        <v>1</v>
      </c>
      <c r="AO395" s="25">
        <f>IF(OR(Apresentação!$I$4='Base de Dados e filtragem'!AO$2,Apresentação!$I$4='Base de Dados e filtragem'!K395),1,0)</f>
        <v>1</v>
      </c>
      <c r="AP395" s="25">
        <f>IF(OR(Apresentação!$I$5='Base de Dados e filtragem'!AP$2,Apresentação!$I$5='Base de Dados e filtragem'!L395),1,0)</f>
        <v>1</v>
      </c>
      <c r="AQ395" s="25">
        <f>IF(OR(Apresentação!$I$6='Base de Dados e filtragem'!AQ$2,Apresentação!$I$6='Base de Dados e filtragem'!M395),1,0)</f>
        <v>1</v>
      </c>
      <c r="AR395" s="25">
        <v>1</v>
      </c>
      <c r="AS395" s="25">
        <v>1</v>
      </c>
      <c r="AT395" s="25">
        <v>1</v>
      </c>
      <c r="AU395" s="25">
        <v>1</v>
      </c>
      <c r="AV395" s="25">
        <v>1</v>
      </c>
      <c r="AW395" s="25">
        <v>1</v>
      </c>
      <c r="AX395" s="25">
        <v>1</v>
      </c>
      <c r="AY395" s="25">
        <v>1</v>
      </c>
      <c r="AZ395" s="25">
        <v>1</v>
      </c>
      <c r="BA395" s="25">
        <v>1</v>
      </c>
      <c r="BB395" s="25">
        <v>1</v>
      </c>
      <c r="BC395" s="25">
        <v>1</v>
      </c>
      <c r="BD395" s="25">
        <v>1</v>
      </c>
    </row>
    <row r="396" spans="27:56" x14ac:dyDescent="0.25">
      <c r="AA396" s="68" t="str">
        <f t="shared" si="25"/>
        <v>Fotos\\.jpg</v>
      </c>
      <c r="AB396" s="53">
        <f t="shared" si="26"/>
        <v>2.5252525252525255E-3</v>
      </c>
      <c r="AC396" s="25">
        <f t="shared" si="27"/>
        <v>396</v>
      </c>
      <c r="AD396" s="51">
        <f t="shared" si="28"/>
        <v>1</v>
      </c>
      <c r="AE396" s="25">
        <v>1</v>
      </c>
      <c r="AF396" s="25">
        <v>1</v>
      </c>
      <c r="AG396" s="25">
        <v>1</v>
      </c>
      <c r="AH396" s="25">
        <v>1</v>
      </c>
      <c r="AI396" s="25">
        <f>IF(OR(Apresentação!$E$3='Base de Dados e filtragem'!AI$2,Apresentação!$E$3='Base de Dados e filtragem'!E396),1,0)</f>
        <v>1</v>
      </c>
      <c r="AJ396" s="25">
        <f>IF(OR(Apresentação!$E$4='Base de Dados e filtragem'!AJ$2,Apresentação!$E$4='Base de Dados e filtragem'!F396),1,0)</f>
        <v>1</v>
      </c>
      <c r="AK396" s="25">
        <f>IF(OR(Apresentação!$E$5='Base de Dados e filtragem'!AK$2,Apresentação!$E$5='Base de Dados e filtragem'!G396),1,0)</f>
        <v>1</v>
      </c>
      <c r="AL396" s="25">
        <f>IF(OR(Apresentação!$E$6='Base de Dados e filtragem'!AL$2,Apresentação!$E$6='Base de Dados e filtragem'!H396),1,0)</f>
        <v>1</v>
      </c>
      <c r="AM396" s="25">
        <f>IF(OR(Apresentação!$I$2='Base de Dados e filtragem'!AM$2,Apresentação!$I$2='Base de Dados e filtragem'!I396),1,0)</f>
        <v>1</v>
      </c>
      <c r="AN396" s="25">
        <f>IF(OR(Apresentação!$I$3='Base de Dados e filtragem'!AN$2,Apresentação!$I$3='Base de Dados e filtragem'!J396),1,0)</f>
        <v>1</v>
      </c>
      <c r="AO396" s="25">
        <f>IF(OR(Apresentação!$I$4='Base de Dados e filtragem'!AO$2,Apresentação!$I$4='Base de Dados e filtragem'!K396),1,0)</f>
        <v>1</v>
      </c>
      <c r="AP396" s="25">
        <f>IF(OR(Apresentação!$I$5='Base de Dados e filtragem'!AP$2,Apresentação!$I$5='Base de Dados e filtragem'!L396),1,0)</f>
        <v>1</v>
      </c>
      <c r="AQ396" s="25">
        <f>IF(OR(Apresentação!$I$6='Base de Dados e filtragem'!AQ$2,Apresentação!$I$6='Base de Dados e filtragem'!M396),1,0)</f>
        <v>1</v>
      </c>
      <c r="AR396" s="25">
        <v>1</v>
      </c>
      <c r="AS396" s="25">
        <v>1</v>
      </c>
      <c r="AT396" s="25">
        <v>1</v>
      </c>
      <c r="AU396" s="25">
        <v>1</v>
      </c>
      <c r="AV396" s="25">
        <v>1</v>
      </c>
      <c r="AW396" s="25">
        <v>1</v>
      </c>
      <c r="AX396" s="25">
        <v>1</v>
      </c>
      <c r="AY396" s="25">
        <v>1</v>
      </c>
      <c r="AZ396" s="25">
        <v>1</v>
      </c>
      <c r="BA396" s="25">
        <v>1</v>
      </c>
      <c r="BB396" s="25">
        <v>1</v>
      </c>
      <c r="BC396" s="25">
        <v>1</v>
      </c>
      <c r="BD396" s="25">
        <v>1</v>
      </c>
    </row>
    <row r="397" spans="27:56" x14ac:dyDescent="0.25">
      <c r="AA397" s="68" t="str">
        <f t="shared" si="25"/>
        <v>Fotos\\.jpg</v>
      </c>
      <c r="AB397" s="53">
        <f t="shared" si="26"/>
        <v>2.5188916876574307E-3</v>
      </c>
      <c r="AC397" s="25">
        <f t="shared" si="27"/>
        <v>397</v>
      </c>
      <c r="AD397" s="51">
        <f t="shared" si="28"/>
        <v>1</v>
      </c>
      <c r="AE397" s="25">
        <v>1</v>
      </c>
      <c r="AF397" s="25">
        <v>1</v>
      </c>
      <c r="AG397" s="25">
        <v>1</v>
      </c>
      <c r="AH397" s="25">
        <v>1</v>
      </c>
      <c r="AI397" s="25">
        <f>IF(OR(Apresentação!$E$3='Base de Dados e filtragem'!AI$2,Apresentação!$E$3='Base de Dados e filtragem'!E397),1,0)</f>
        <v>1</v>
      </c>
      <c r="AJ397" s="25">
        <f>IF(OR(Apresentação!$E$4='Base de Dados e filtragem'!AJ$2,Apresentação!$E$4='Base de Dados e filtragem'!F397),1,0)</f>
        <v>1</v>
      </c>
      <c r="AK397" s="25">
        <f>IF(OR(Apresentação!$E$5='Base de Dados e filtragem'!AK$2,Apresentação!$E$5='Base de Dados e filtragem'!G397),1,0)</f>
        <v>1</v>
      </c>
      <c r="AL397" s="25">
        <f>IF(OR(Apresentação!$E$6='Base de Dados e filtragem'!AL$2,Apresentação!$E$6='Base de Dados e filtragem'!H397),1,0)</f>
        <v>1</v>
      </c>
      <c r="AM397" s="25">
        <f>IF(OR(Apresentação!$I$2='Base de Dados e filtragem'!AM$2,Apresentação!$I$2='Base de Dados e filtragem'!I397),1,0)</f>
        <v>1</v>
      </c>
      <c r="AN397" s="25">
        <f>IF(OR(Apresentação!$I$3='Base de Dados e filtragem'!AN$2,Apresentação!$I$3='Base de Dados e filtragem'!J397),1,0)</f>
        <v>1</v>
      </c>
      <c r="AO397" s="25">
        <f>IF(OR(Apresentação!$I$4='Base de Dados e filtragem'!AO$2,Apresentação!$I$4='Base de Dados e filtragem'!K397),1,0)</f>
        <v>1</v>
      </c>
      <c r="AP397" s="25">
        <f>IF(OR(Apresentação!$I$5='Base de Dados e filtragem'!AP$2,Apresentação!$I$5='Base de Dados e filtragem'!L397),1,0)</f>
        <v>1</v>
      </c>
      <c r="AQ397" s="25">
        <f>IF(OR(Apresentação!$I$6='Base de Dados e filtragem'!AQ$2,Apresentação!$I$6='Base de Dados e filtragem'!M397),1,0)</f>
        <v>1</v>
      </c>
      <c r="AR397" s="25">
        <v>1</v>
      </c>
      <c r="AS397" s="25">
        <v>1</v>
      </c>
      <c r="AT397" s="25">
        <v>1</v>
      </c>
      <c r="AU397" s="25">
        <v>1</v>
      </c>
      <c r="AV397" s="25">
        <v>1</v>
      </c>
      <c r="AW397" s="25">
        <v>1</v>
      </c>
      <c r="AX397" s="25">
        <v>1</v>
      </c>
      <c r="AY397" s="25">
        <v>1</v>
      </c>
      <c r="AZ397" s="25">
        <v>1</v>
      </c>
      <c r="BA397" s="25">
        <v>1</v>
      </c>
      <c r="BB397" s="25">
        <v>1</v>
      </c>
      <c r="BC397" s="25">
        <v>1</v>
      </c>
      <c r="BD397" s="25">
        <v>1</v>
      </c>
    </row>
    <row r="398" spans="27:56" x14ac:dyDescent="0.25">
      <c r="AA398" s="68" t="str">
        <f t="shared" si="25"/>
        <v>Fotos\\.jpg</v>
      </c>
      <c r="AB398" s="53">
        <f t="shared" si="26"/>
        <v>2.5125628140703518E-3</v>
      </c>
      <c r="AC398" s="25">
        <f t="shared" si="27"/>
        <v>398</v>
      </c>
      <c r="AD398" s="51">
        <f t="shared" si="28"/>
        <v>1</v>
      </c>
      <c r="AE398" s="25">
        <v>1</v>
      </c>
      <c r="AF398" s="25">
        <v>1</v>
      </c>
      <c r="AG398" s="25">
        <v>1</v>
      </c>
      <c r="AH398" s="25">
        <v>1</v>
      </c>
      <c r="AI398" s="25">
        <f>IF(OR(Apresentação!$E$3='Base de Dados e filtragem'!AI$2,Apresentação!$E$3='Base de Dados e filtragem'!E398),1,0)</f>
        <v>1</v>
      </c>
      <c r="AJ398" s="25">
        <f>IF(OR(Apresentação!$E$4='Base de Dados e filtragem'!AJ$2,Apresentação!$E$4='Base de Dados e filtragem'!F398),1,0)</f>
        <v>1</v>
      </c>
      <c r="AK398" s="25">
        <f>IF(OR(Apresentação!$E$5='Base de Dados e filtragem'!AK$2,Apresentação!$E$5='Base de Dados e filtragem'!G398),1,0)</f>
        <v>1</v>
      </c>
      <c r="AL398" s="25">
        <f>IF(OR(Apresentação!$E$6='Base de Dados e filtragem'!AL$2,Apresentação!$E$6='Base de Dados e filtragem'!H398),1,0)</f>
        <v>1</v>
      </c>
      <c r="AM398" s="25">
        <f>IF(OR(Apresentação!$I$2='Base de Dados e filtragem'!AM$2,Apresentação!$I$2='Base de Dados e filtragem'!I398),1,0)</f>
        <v>1</v>
      </c>
      <c r="AN398" s="25">
        <f>IF(OR(Apresentação!$I$3='Base de Dados e filtragem'!AN$2,Apresentação!$I$3='Base de Dados e filtragem'!J398),1,0)</f>
        <v>1</v>
      </c>
      <c r="AO398" s="25">
        <f>IF(OR(Apresentação!$I$4='Base de Dados e filtragem'!AO$2,Apresentação!$I$4='Base de Dados e filtragem'!K398),1,0)</f>
        <v>1</v>
      </c>
      <c r="AP398" s="25">
        <f>IF(OR(Apresentação!$I$5='Base de Dados e filtragem'!AP$2,Apresentação!$I$5='Base de Dados e filtragem'!L398),1,0)</f>
        <v>1</v>
      </c>
      <c r="AQ398" s="25">
        <f>IF(OR(Apresentação!$I$6='Base de Dados e filtragem'!AQ$2,Apresentação!$I$6='Base de Dados e filtragem'!M398),1,0)</f>
        <v>1</v>
      </c>
      <c r="AR398" s="25">
        <v>1</v>
      </c>
      <c r="AS398" s="25">
        <v>1</v>
      </c>
      <c r="AT398" s="25">
        <v>1</v>
      </c>
      <c r="AU398" s="25">
        <v>1</v>
      </c>
      <c r="AV398" s="25">
        <v>1</v>
      </c>
      <c r="AW398" s="25">
        <v>1</v>
      </c>
      <c r="AX398" s="25">
        <v>1</v>
      </c>
      <c r="AY398" s="25">
        <v>1</v>
      </c>
      <c r="AZ398" s="25">
        <v>1</v>
      </c>
      <c r="BA398" s="25">
        <v>1</v>
      </c>
      <c r="BB398" s="25">
        <v>1</v>
      </c>
      <c r="BC398" s="25">
        <v>1</v>
      </c>
      <c r="BD398" s="25">
        <v>1</v>
      </c>
    </row>
    <row r="399" spans="27:56" x14ac:dyDescent="0.25">
      <c r="AA399" s="68" t="str">
        <f t="shared" si="25"/>
        <v>Fotos\\.jpg</v>
      </c>
      <c r="AB399" s="53">
        <f t="shared" si="26"/>
        <v>2.5062656641604009E-3</v>
      </c>
      <c r="AC399" s="25">
        <f t="shared" si="27"/>
        <v>399</v>
      </c>
      <c r="AD399" s="51">
        <f t="shared" si="28"/>
        <v>1</v>
      </c>
      <c r="AE399" s="25">
        <v>1</v>
      </c>
      <c r="AF399" s="25">
        <v>1</v>
      </c>
      <c r="AG399" s="25">
        <v>1</v>
      </c>
      <c r="AH399" s="25">
        <v>1</v>
      </c>
      <c r="AI399" s="25">
        <f>IF(OR(Apresentação!$E$3='Base de Dados e filtragem'!AI$2,Apresentação!$E$3='Base de Dados e filtragem'!E399),1,0)</f>
        <v>1</v>
      </c>
      <c r="AJ399" s="25">
        <f>IF(OR(Apresentação!$E$4='Base de Dados e filtragem'!AJ$2,Apresentação!$E$4='Base de Dados e filtragem'!F399),1,0)</f>
        <v>1</v>
      </c>
      <c r="AK399" s="25">
        <f>IF(OR(Apresentação!$E$5='Base de Dados e filtragem'!AK$2,Apresentação!$E$5='Base de Dados e filtragem'!G399),1,0)</f>
        <v>1</v>
      </c>
      <c r="AL399" s="25">
        <f>IF(OR(Apresentação!$E$6='Base de Dados e filtragem'!AL$2,Apresentação!$E$6='Base de Dados e filtragem'!H399),1,0)</f>
        <v>1</v>
      </c>
      <c r="AM399" s="25">
        <f>IF(OR(Apresentação!$I$2='Base de Dados e filtragem'!AM$2,Apresentação!$I$2='Base de Dados e filtragem'!I399),1,0)</f>
        <v>1</v>
      </c>
      <c r="AN399" s="25">
        <f>IF(OR(Apresentação!$I$3='Base de Dados e filtragem'!AN$2,Apresentação!$I$3='Base de Dados e filtragem'!J399),1,0)</f>
        <v>1</v>
      </c>
      <c r="AO399" s="25">
        <f>IF(OR(Apresentação!$I$4='Base de Dados e filtragem'!AO$2,Apresentação!$I$4='Base de Dados e filtragem'!K399),1,0)</f>
        <v>1</v>
      </c>
      <c r="AP399" s="25">
        <f>IF(OR(Apresentação!$I$5='Base de Dados e filtragem'!AP$2,Apresentação!$I$5='Base de Dados e filtragem'!L399),1,0)</f>
        <v>1</v>
      </c>
      <c r="AQ399" s="25">
        <f>IF(OR(Apresentação!$I$6='Base de Dados e filtragem'!AQ$2,Apresentação!$I$6='Base de Dados e filtragem'!M399),1,0)</f>
        <v>1</v>
      </c>
      <c r="AR399" s="25">
        <v>1</v>
      </c>
      <c r="AS399" s="25">
        <v>1</v>
      </c>
      <c r="AT399" s="25">
        <v>1</v>
      </c>
      <c r="AU399" s="25">
        <v>1</v>
      </c>
      <c r="AV399" s="25">
        <v>1</v>
      </c>
      <c r="AW399" s="25">
        <v>1</v>
      </c>
      <c r="AX399" s="25">
        <v>1</v>
      </c>
      <c r="AY399" s="25">
        <v>1</v>
      </c>
      <c r="AZ399" s="25">
        <v>1</v>
      </c>
      <c r="BA399" s="25">
        <v>1</v>
      </c>
      <c r="BB399" s="25">
        <v>1</v>
      </c>
      <c r="BC399" s="25">
        <v>1</v>
      </c>
      <c r="BD399" s="25">
        <v>1</v>
      </c>
    </row>
    <row r="400" spans="27:56" x14ac:dyDescent="0.25">
      <c r="AA400" s="68" t="str">
        <f t="shared" si="25"/>
        <v>Fotos\\.jpg</v>
      </c>
      <c r="AB400" s="53">
        <f t="shared" si="26"/>
        <v>2.5000000000000001E-3</v>
      </c>
      <c r="AC400" s="25">
        <f t="shared" si="27"/>
        <v>400</v>
      </c>
      <c r="AD400" s="51">
        <f t="shared" si="28"/>
        <v>1</v>
      </c>
      <c r="AE400" s="25">
        <v>1</v>
      </c>
      <c r="AF400" s="25">
        <v>1</v>
      </c>
      <c r="AG400" s="25">
        <v>1</v>
      </c>
      <c r="AH400" s="25">
        <v>1</v>
      </c>
      <c r="AI400" s="25">
        <f>IF(OR(Apresentação!$E$3='Base de Dados e filtragem'!AI$2,Apresentação!$E$3='Base de Dados e filtragem'!E400),1,0)</f>
        <v>1</v>
      </c>
      <c r="AJ400" s="25">
        <f>IF(OR(Apresentação!$E$4='Base de Dados e filtragem'!AJ$2,Apresentação!$E$4='Base de Dados e filtragem'!F400),1,0)</f>
        <v>1</v>
      </c>
      <c r="AK400" s="25">
        <f>IF(OR(Apresentação!$E$5='Base de Dados e filtragem'!AK$2,Apresentação!$E$5='Base de Dados e filtragem'!G400),1,0)</f>
        <v>1</v>
      </c>
      <c r="AL400" s="25">
        <f>IF(OR(Apresentação!$E$6='Base de Dados e filtragem'!AL$2,Apresentação!$E$6='Base de Dados e filtragem'!H400),1,0)</f>
        <v>1</v>
      </c>
      <c r="AM400" s="25">
        <f>IF(OR(Apresentação!$I$2='Base de Dados e filtragem'!AM$2,Apresentação!$I$2='Base de Dados e filtragem'!I400),1,0)</f>
        <v>1</v>
      </c>
      <c r="AN400" s="25">
        <f>IF(OR(Apresentação!$I$3='Base de Dados e filtragem'!AN$2,Apresentação!$I$3='Base de Dados e filtragem'!J400),1,0)</f>
        <v>1</v>
      </c>
      <c r="AO400" s="25">
        <f>IF(OR(Apresentação!$I$4='Base de Dados e filtragem'!AO$2,Apresentação!$I$4='Base de Dados e filtragem'!K400),1,0)</f>
        <v>1</v>
      </c>
      <c r="AP400" s="25">
        <f>IF(OR(Apresentação!$I$5='Base de Dados e filtragem'!AP$2,Apresentação!$I$5='Base de Dados e filtragem'!L400),1,0)</f>
        <v>1</v>
      </c>
      <c r="AQ400" s="25">
        <f>IF(OR(Apresentação!$I$6='Base de Dados e filtragem'!AQ$2,Apresentação!$I$6='Base de Dados e filtragem'!M400),1,0)</f>
        <v>1</v>
      </c>
      <c r="AR400" s="25">
        <v>1</v>
      </c>
      <c r="AS400" s="25">
        <v>1</v>
      </c>
      <c r="AT400" s="25">
        <v>1</v>
      </c>
      <c r="AU400" s="25">
        <v>1</v>
      </c>
      <c r="AV400" s="25">
        <v>1</v>
      </c>
      <c r="AW400" s="25">
        <v>1</v>
      </c>
      <c r="AX400" s="25">
        <v>1</v>
      </c>
      <c r="AY400" s="25">
        <v>1</v>
      </c>
      <c r="AZ400" s="25">
        <v>1</v>
      </c>
      <c r="BA400" s="25">
        <v>1</v>
      </c>
      <c r="BB400" s="25">
        <v>1</v>
      </c>
      <c r="BC400" s="25">
        <v>1</v>
      </c>
      <c r="BD400" s="25">
        <v>1</v>
      </c>
    </row>
    <row r="401" spans="27:56" x14ac:dyDescent="0.25">
      <c r="AA401" s="68" t="str">
        <f t="shared" si="25"/>
        <v>Fotos\\.jpg</v>
      </c>
      <c r="AB401" s="53">
        <f t="shared" si="26"/>
        <v>2.4937655860349127E-3</v>
      </c>
      <c r="AC401" s="25">
        <f t="shared" si="27"/>
        <v>401</v>
      </c>
      <c r="AD401" s="51">
        <f t="shared" si="28"/>
        <v>1</v>
      </c>
      <c r="AE401" s="25">
        <v>1</v>
      </c>
      <c r="AF401" s="25">
        <v>1</v>
      </c>
      <c r="AG401" s="25">
        <v>1</v>
      </c>
      <c r="AH401" s="25">
        <v>1</v>
      </c>
      <c r="AI401" s="25">
        <f>IF(OR(Apresentação!$E$3='Base de Dados e filtragem'!AI$2,Apresentação!$E$3='Base de Dados e filtragem'!E401),1,0)</f>
        <v>1</v>
      </c>
      <c r="AJ401" s="25">
        <f>IF(OR(Apresentação!$E$4='Base de Dados e filtragem'!AJ$2,Apresentação!$E$4='Base de Dados e filtragem'!F401),1,0)</f>
        <v>1</v>
      </c>
      <c r="AK401" s="25">
        <f>IF(OR(Apresentação!$E$5='Base de Dados e filtragem'!AK$2,Apresentação!$E$5='Base de Dados e filtragem'!G401),1,0)</f>
        <v>1</v>
      </c>
      <c r="AL401" s="25">
        <f>IF(OR(Apresentação!$E$6='Base de Dados e filtragem'!AL$2,Apresentação!$E$6='Base de Dados e filtragem'!H401),1,0)</f>
        <v>1</v>
      </c>
      <c r="AM401" s="25">
        <f>IF(OR(Apresentação!$I$2='Base de Dados e filtragem'!AM$2,Apresentação!$I$2='Base de Dados e filtragem'!I401),1,0)</f>
        <v>1</v>
      </c>
      <c r="AN401" s="25">
        <f>IF(OR(Apresentação!$I$3='Base de Dados e filtragem'!AN$2,Apresentação!$I$3='Base de Dados e filtragem'!J401),1,0)</f>
        <v>1</v>
      </c>
      <c r="AO401" s="25">
        <f>IF(OR(Apresentação!$I$4='Base de Dados e filtragem'!AO$2,Apresentação!$I$4='Base de Dados e filtragem'!K401),1,0)</f>
        <v>1</v>
      </c>
      <c r="AP401" s="25">
        <f>IF(OR(Apresentação!$I$5='Base de Dados e filtragem'!AP$2,Apresentação!$I$5='Base de Dados e filtragem'!L401),1,0)</f>
        <v>1</v>
      </c>
      <c r="AQ401" s="25">
        <f>IF(OR(Apresentação!$I$6='Base de Dados e filtragem'!AQ$2,Apresentação!$I$6='Base de Dados e filtragem'!M401),1,0)</f>
        <v>1</v>
      </c>
      <c r="AR401" s="25">
        <v>1</v>
      </c>
      <c r="AS401" s="25">
        <v>1</v>
      </c>
      <c r="AT401" s="25">
        <v>1</v>
      </c>
      <c r="AU401" s="25">
        <v>1</v>
      </c>
      <c r="AV401" s="25">
        <v>1</v>
      </c>
      <c r="AW401" s="25">
        <v>1</v>
      </c>
      <c r="AX401" s="25">
        <v>1</v>
      </c>
      <c r="AY401" s="25">
        <v>1</v>
      </c>
      <c r="AZ401" s="25">
        <v>1</v>
      </c>
      <c r="BA401" s="25">
        <v>1</v>
      </c>
      <c r="BB401" s="25">
        <v>1</v>
      </c>
      <c r="BC401" s="25">
        <v>1</v>
      </c>
      <c r="BD401" s="25">
        <v>1</v>
      </c>
    </row>
    <row r="402" spans="27:56" x14ac:dyDescent="0.25">
      <c r="AA402" s="68" t="str">
        <f t="shared" si="25"/>
        <v>Fotos\\.jpg</v>
      </c>
      <c r="AB402" s="53">
        <f t="shared" si="26"/>
        <v>2.4875621890547263E-3</v>
      </c>
      <c r="AC402" s="25">
        <f t="shared" si="27"/>
        <v>402</v>
      </c>
      <c r="AD402" s="51">
        <f t="shared" si="28"/>
        <v>1</v>
      </c>
      <c r="AE402" s="25">
        <v>1</v>
      </c>
      <c r="AF402" s="25">
        <v>1</v>
      </c>
      <c r="AG402" s="25">
        <v>1</v>
      </c>
      <c r="AH402" s="25">
        <v>1</v>
      </c>
      <c r="AI402" s="25">
        <f>IF(OR(Apresentação!$E$3='Base de Dados e filtragem'!AI$2,Apresentação!$E$3='Base de Dados e filtragem'!E402),1,0)</f>
        <v>1</v>
      </c>
      <c r="AJ402" s="25">
        <f>IF(OR(Apresentação!$E$4='Base de Dados e filtragem'!AJ$2,Apresentação!$E$4='Base de Dados e filtragem'!F402),1,0)</f>
        <v>1</v>
      </c>
      <c r="AK402" s="25">
        <f>IF(OR(Apresentação!$E$5='Base de Dados e filtragem'!AK$2,Apresentação!$E$5='Base de Dados e filtragem'!G402),1,0)</f>
        <v>1</v>
      </c>
      <c r="AL402" s="25">
        <f>IF(OR(Apresentação!$E$6='Base de Dados e filtragem'!AL$2,Apresentação!$E$6='Base de Dados e filtragem'!H402),1,0)</f>
        <v>1</v>
      </c>
      <c r="AM402" s="25">
        <f>IF(OR(Apresentação!$I$2='Base de Dados e filtragem'!AM$2,Apresentação!$I$2='Base de Dados e filtragem'!I402),1,0)</f>
        <v>1</v>
      </c>
      <c r="AN402" s="25">
        <f>IF(OR(Apresentação!$I$3='Base de Dados e filtragem'!AN$2,Apresentação!$I$3='Base de Dados e filtragem'!J402),1,0)</f>
        <v>1</v>
      </c>
      <c r="AO402" s="25">
        <f>IF(OR(Apresentação!$I$4='Base de Dados e filtragem'!AO$2,Apresentação!$I$4='Base de Dados e filtragem'!K402),1,0)</f>
        <v>1</v>
      </c>
      <c r="AP402" s="25">
        <f>IF(OR(Apresentação!$I$5='Base de Dados e filtragem'!AP$2,Apresentação!$I$5='Base de Dados e filtragem'!L402),1,0)</f>
        <v>1</v>
      </c>
      <c r="AQ402" s="25">
        <f>IF(OR(Apresentação!$I$6='Base de Dados e filtragem'!AQ$2,Apresentação!$I$6='Base de Dados e filtragem'!M402),1,0)</f>
        <v>1</v>
      </c>
      <c r="AR402" s="25">
        <v>1</v>
      </c>
      <c r="AS402" s="25">
        <v>1</v>
      </c>
      <c r="AT402" s="25">
        <v>1</v>
      </c>
      <c r="AU402" s="25">
        <v>1</v>
      </c>
      <c r="AV402" s="25">
        <v>1</v>
      </c>
      <c r="AW402" s="25">
        <v>1</v>
      </c>
      <c r="AX402" s="25">
        <v>1</v>
      </c>
      <c r="AY402" s="25">
        <v>1</v>
      </c>
      <c r="AZ402" s="25">
        <v>1</v>
      </c>
      <c r="BA402" s="25">
        <v>1</v>
      </c>
      <c r="BB402" s="25">
        <v>1</v>
      </c>
      <c r="BC402" s="25">
        <v>1</v>
      </c>
      <c r="BD402" s="25">
        <v>1</v>
      </c>
    </row>
    <row r="403" spans="27:56" x14ac:dyDescent="0.25">
      <c r="AA403" s="68" t="str">
        <f t="shared" si="25"/>
        <v>Fotos\\.jpg</v>
      </c>
      <c r="AB403" s="53">
        <f t="shared" si="26"/>
        <v>2.4813895781637717E-3</v>
      </c>
      <c r="AC403" s="25">
        <f t="shared" si="27"/>
        <v>403</v>
      </c>
      <c r="AD403" s="51">
        <f t="shared" si="28"/>
        <v>1</v>
      </c>
      <c r="AE403" s="25">
        <v>1</v>
      </c>
      <c r="AF403" s="25">
        <v>1</v>
      </c>
      <c r="AG403" s="25">
        <v>1</v>
      </c>
      <c r="AH403" s="25">
        <v>1</v>
      </c>
      <c r="AI403" s="25">
        <f>IF(OR(Apresentação!$E$3='Base de Dados e filtragem'!AI$2,Apresentação!$E$3='Base de Dados e filtragem'!E403),1,0)</f>
        <v>1</v>
      </c>
      <c r="AJ403" s="25">
        <f>IF(OR(Apresentação!$E$4='Base de Dados e filtragem'!AJ$2,Apresentação!$E$4='Base de Dados e filtragem'!F403),1,0)</f>
        <v>1</v>
      </c>
      <c r="AK403" s="25">
        <f>IF(OR(Apresentação!$E$5='Base de Dados e filtragem'!AK$2,Apresentação!$E$5='Base de Dados e filtragem'!G403),1,0)</f>
        <v>1</v>
      </c>
      <c r="AL403" s="25">
        <f>IF(OR(Apresentação!$E$6='Base de Dados e filtragem'!AL$2,Apresentação!$E$6='Base de Dados e filtragem'!H403),1,0)</f>
        <v>1</v>
      </c>
      <c r="AM403" s="25">
        <f>IF(OR(Apresentação!$I$2='Base de Dados e filtragem'!AM$2,Apresentação!$I$2='Base de Dados e filtragem'!I403),1,0)</f>
        <v>1</v>
      </c>
      <c r="AN403" s="25">
        <f>IF(OR(Apresentação!$I$3='Base de Dados e filtragem'!AN$2,Apresentação!$I$3='Base de Dados e filtragem'!J403),1,0)</f>
        <v>1</v>
      </c>
      <c r="AO403" s="25">
        <f>IF(OR(Apresentação!$I$4='Base de Dados e filtragem'!AO$2,Apresentação!$I$4='Base de Dados e filtragem'!K403),1,0)</f>
        <v>1</v>
      </c>
      <c r="AP403" s="25">
        <f>IF(OR(Apresentação!$I$5='Base de Dados e filtragem'!AP$2,Apresentação!$I$5='Base de Dados e filtragem'!L403),1,0)</f>
        <v>1</v>
      </c>
      <c r="AQ403" s="25">
        <f>IF(OR(Apresentação!$I$6='Base de Dados e filtragem'!AQ$2,Apresentação!$I$6='Base de Dados e filtragem'!M403),1,0)</f>
        <v>1</v>
      </c>
      <c r="AR403" s="25">
        <v>1</v>
      </c>
      <c r="AS403" s="25">
        <v>1</v>
      </c>
      <c r="AT403" s="25">
        <v>1</v>
      </c>
      <c r="AU403" s="25">
        <v>1</v>
      </c>
      <c r="AV403" s="25">
        <v>1</v>
      </c>
      <c r="AW403" s="25">
        <v>1</v>
      </c>
      <c r="AX403" s="25">
        <v>1</v>
      </c>
      <c r="AY403" s="25">
        <v>1</v>
      </c>
      <c r="AZ403" s="25">
        <v>1</v>
      </c>
      <c r="BA403" s="25">
        <v>1</v>
      </c>
      <c r="BB403" s="25">
        <v>1</v>
      </c>
      <c r="BC403" s="25">
        <v>1</v>
      </c>
      <c r="BD403" s="25">
        <v>1</v>
      </c>
    </row>
    <row r="404" spans="27:56" x14ac:dyDescent="0.25">
      <c r="AA404" s="68" t="str">
        <f t="shared" si="25"/>
        <v>Fotos\\.jpg</v>
      </c>
      <c r="AB404" s="53">
        <f t="shared" si="26"/>
        <v>2.4752475247524753E-3</v>
      </c>
      <c r="AC404" s="25">
        <f t="shared" si="27"/>
        <v>404</v>
      </c>
      <c r="AD404" s="51">
        <f t="shared" si="28"/>
        <v>1</v>
      </c>
      <c r="AE404" s="25">
        <v>1</v>
      </c>
      <c r="AF404" s="25">
        <v>1</v>
      </c>
      <c r="AG404" s="25">
        <v>1</v>
      </c>
      <c r="AH404" s="25">
        <v>1</v>
      </c>
      <c r="AI404" s="25">
        <f>IF(OR(Apresentação!$E$3='Base de Dados e filtragem'!AI$2,Apresentação!$E$3='Base de Dados e filtragem'!E404),1,0)</f>
        <v>1</v>
      </c>
      <c r="AJ404" s="25">
        <f>IF(OR(Apresentação!$E$4='Base de Dados e filtragem'!AJ$2,Apresentação!$E$4='Base de Dados e filtragem'!F404),1,0)</f>
        <v>1</v>
      </c>
      <c r="AK404" s="25">
        <f>IF(OR(Apresentação!$E$5='Base de Dados e filtragem'!AK$2,Apresentação!$E$5='Base de Dados e filtragem'!G404),1,0)</f>
        <v>1</v>
      </c>
      <c r="AL404" s="25">
        <f>IF(OR(Apresentação!$E$6='Base de Dados e filtragem'!AL$2,Apresentação!$E$6='Base de Dados e filtragem'!H404),1,0)</f>
        <v>1</v>
      </c>
      <c r="AM404" s="25">
        <f>IF(OR(Apresentação!$I$2='Base de Dados e filtragem'!AM$2,Apresentação!$I$2='Base de Dados e filtragem'!I404),1,0)</f>
        <v>1</v>
      </c>
      <c r="AN404" s="25">
        <f>IF(OR(Apresentação!$I$3='Base de Dados e filtragem'!AN$2,Apresentação!$I$3='Base de Dados e filtragem'!J404),1,0)</f>
        <v>1</v>
      </c>
      <c r="AO404" s="25">
        <f>IF(OR(Apresentação!$I$4='Base de Dados e filtragem'!AO$2,Apresentação!$I$4='Base de Dados e filtragem'!K404),1,0)</f>
        <v>1</v>
      </c>
      <c r="AP404" s="25">
        <f>IF(OR(Apresentação!$I$5='Base de Dados e filtragem'!AP$2,Apresentação!$I$5='Base de Dados e filtragem'!L404),1,0)</f>
        <v>1</v>
      </c>
      <c r="AQ404" s="25">
        <f>IF(OR(Apresentação!$I$6='Base de Dados e filtragem'!AQ$2,Apresentação!$I$6='Base de Dados e filtragem'!M404),1,0)</f>
        <v>1</v>
      </c>
      <c r="AR404" s="25">
        <v>1</v>
      </c>
      <c r="AS404" s="25">
        <v>1</v>
      </c>
      <c r="AT404" s="25">
        <v>1</v>
      </c>
      <c r="AU404" s="25">
        <v>1</v>
      </c>
      <c r="AV404" s="25">
        <v>1</v>
      </c>
      <c r="AW404" s="25">
        <v>1</v>
      </c>
      <c r="AX404" s="25">
        <v>1</v>
      </c>
      <c r="AY404" s="25">
        <v>1</v>
      </c>
      <c r="AZ404" s="25">
        <v>1</v>
      </c>
      <c r="BA404" s="25">
        <v>1</v>
      </c>
      <c r="BB404" s="25">
        <v>1</v>
      </c>
      <c r="BC404" s="25">
        <v>1</v>
      </c>
      <c r="BD404" s="25">
        <v>1</v>
      </c>
    </row>
    <row r="405" spans="27:56" x14ac:dyDescent="0.25">
      <c r="AA405" s="68" t="str">
        <f t="shared" si="25"/>
        <v>Fotos\\.jpg</v>
      </c>
      <c r="AB405" s="53">
        <f t="shared" si="26"/>
        <v>2.4691358024691358E-3</v>
      </c>
      <c r="AC405" s="25">
        <f t="shared" si="27"/>
        <v>405</v>
      </c>
      <c r="AD405" s="51">
        <f t="shared" si="28"/>
        <v>1</v>
      </c>
      <c r="AE405" s="25">
        <v>1</v>
      </c>
      <c r="AF405" s="25">
        <v>1</v>
      </c>
      <c r="AG405" s="25">
        <v>1</v>
      </c>
      <c r="AH405" s="25">
        <v>1</v>
      </c>
      <c r="AI405" s="25">
        <f>IF(OR(Apresentação!$E$3='Base de Dados e filtragem'!AI$2,Apresentação!$E$3='Base de Dados e filtragem'!E405),1,0)</f>
        <v>1</v>
      </c>
      <c r="AJ405" s="25">
        <f>IF(OR(Apresentação!$E$4='Base de Dados e filtragem'!AJ$2,Apresentação!$E$4='Base de Dados e filtragem'!F405),1,0)</f>
        <v>1</v>
      </c>
      <c r="AK405" s="25">
        <f>IF(OR(Apresentação!$E$5='Base de Dados e filtragem'!AK$2,Apresentação!$E$5='Base de Dados e filtragem'!G405),1,0)</f>
        <v>1</v>
      </c>
      <c r="AL405" s="25">
        <f>IF(OR(Apresentação!$E$6='Base de Dados e filtragem'!AL$2,Apresentação!$E$6='Base de Dados e filtragem'!H405),1,0)</f>
        <v>1</v>
      </c>
      <c r="AM405" s="25">
        <f>IF(OR(Apresentação!$I$2='Base de Dados e filtragem'!AM$2,Apresentação!$I$2='Base de Dados e filtragem'!I405),1,0)</f>
        <v>1</v>
      </c>
      <c r="AN405" s="25">
        <f>IF(OR(Apresentação!$I$3='Base de Dados e filtragem'!AN$2,Apresentação!$I$3='Base de Dados e filtragem'!J405),1,0)</f>
        <v>1</v>
      </c>
      <c r="AO405" s="25">
        <f>IF(OR(Apresentação!$I$4='Base de Dados e filtragem'!AO$2,Apresentação!$I$4='Base de Dados e filtragem'!K405),1,0)</f>
        <v>1</v>
      </c>
      <c r="AP405" s="25">
        <f>IF(OR(Apresentação!$I$5='Base de Dados e filtragem'!AP$2,Apresentação!$I$5='Base de Dados e filtragem'!L405),1,0)</f>
        <v>1</v>
      </c>
      <c r="AQ405" s="25">
        <f>IF(OR(Apresentação!$I$6='Base de Dados e filtragem'!AQ$2,Apresentação!$I$6='Base de Dados e filtragem'!M405),1,0)</f>
        <v>1</v>
      </c>
      <c r="AR405" s="25">
        <v>1</v>
      </c>
      <c r="AS405" s="25">
        <v>1</v>
      </c>
      <c r="AT405" s="25">
        <v>1</v>
      </c>
      <c r="AU405" s="25">
        <v>1</v>
      </c>
      <c r="AV405" s="25">
        <v>1</v>
      </c>
      <c r="AW405" s="25">
        <v>1</v>
      </c>
      <c r="AX405" s="25">
        <v>1</v>
      </c>
      <c r="AY405" s="25">
        <v>1</v>
      </c>
      <c r="AZ405" s="25">
        <v>1</v>
      </c>
      <c r="BA405" s="25">
        <v>1</v>
      </c>
      <c r="BB405" s="25">
        <v>1</v>
      </c>
      <c r="BC405" s="25">
        <v>1</v>
      </c>
      <c r="BD405" s="25">
        <v>1</v>
      </c>
    </row>
    <row r="406" spans="27:56" x14ac:dyDescent="0.25">
      <c r="AA406" s="68" t="str">
        <f t="shared" si="25"/>
        <v>Fotos\\.jpg</v>
      </c>
      <c r="AB406" s="53">
        <f t="shared" si="26"/>
        <v>2.4630541871921183E-3</v>
      </c>
      <c r="AC406" s="25">
        <f t="shared" si="27"/>
        <v>406</v>
      </c>
      <c r="AD406" s="51">
        <f t="shared" si="28"/>
        <v>1</v>
      </c>
      <c r="AE406" s="25">
        <v>1</v>
      </c>
      <c r="AF406" s="25">
        <v>1</v>
      </c>
      <c r="AG406" s="25">
        <v>1</v>
      </c>
      <c r="AH406" s="25">
        <v>1</v>
      </c>
      <c r="AI406" s="25">
        <f>IF(OR(Apresentação!$E$3='Base de Dados e filtragem'!AI$2,Apresentação!$E$3='Base de Dados e filtragem'!E406),1,0)</f>
        <v>1</v>
      </c>
      <c r="AJ406" s="25">
        <f>IF(OR(Apresentação!$E$4='Base de Dados e filtragem'!AJ$2,Apresentação!$E$4='Base de Dados e filtragem'!F406),1,0)</f>
        <v>1</v>
      </c>
      <c r="AK406" s="25">
        <f>IF(OR(Apresentação!$E$5='Base de Dados e filtragem'!AK$2,Apresentação!$E$5='Base de Dados e filtragem'!G406),1,0)</f>
        <v>1</v>
      </c>
      <c r="AL406" s="25">
        <f>IF(OR(Apresentação!$E$6='Base de Dados e filtragem'!AL$2,Apresentação!$E$6='Base de Dados e filtragem'!H406),1,0)</f>
        <v>1</v>
      </c>
      <c r="AM406" s="25">
        <f>IF(OR(Apresentação!$I$2='Base de Dados e filtragem'!AM$2,Apresentação!$I$2='Base de Dados e filtragem'!I406),1,0)</f>
        <v>1</v>
      </c>
      <c r="AN406" s="25">
        <f>IF(OR(Apresentação!$I$3='Base de Dados e filtragem'!AN$2,Apresentação!$I$3='Base de Dados e filtragem'!J406),1,0)</f>
        <v>1</v>
      </c>
      <c r="AO406" s="25">
        <f>IF(OR(Apresentação!$I$4='Base de Dados e filtragem'!AO$2,Apresentação!$I$4='Base de Dados e filtragem'!K406),1,0)</f>
        <v>1</v>
      </c>
      <c r="AP406" s="25">
        <f>IF(OR(Apresentação!$I$5='Base de Dados e filtragem'!AP$2,Apresentação!$I$5='Base de Dados e filtragem'!L406),1,0)</f>
        <v>1</v>
      </c>
      <c r="AQ406" s="25">
        <f>IF(OR(Apresentação!$I$6='Base de Dados e filtragem'!AQ$2,Apresentação!$I$6='Base de Dados e filtragem'!M406),1,0)</f>
        <v>1</v>
      </c>
      <c r="AR406" s="25">
        <v>1</v>
      </c>
      <c r="AS406" s="25">
        <v>1</v>
      </c>
      <c r="AT406" s="25">
        <v>1</v>
      </c>
      <c r="AU406" s="25">
        <v>1</v>
      </c>
      <c r="AV406" s="25">
        <v>1</v>
      </c>
      <c r="AW406" s="25">
        <v>1</v>
      </c>
      <c r="AX406" s="25">
        <v>1</v>
      </c>
      <c r="AY406" s="25">
        <v>1</v>
      </c>
      <c r="AZ406" s="25">
        <v>1</v>
      </c>
      <c r="BA406" s="25">
        <v>1</v>
      </c>
      <c r="BB406" s="25">
        <v>1</v>
      </c>
      <c r="BC406" s="25">
        <v>1</v>
      </c>
      <c r="BD406" s="25">
        <v>1</v>
      </c>
    </row>
    <row r="407" spans="27:56" x14ac:dyDescent="0.25">
      <c r="AA407" s="68" t="str">
        <f t="shared" si="25"/>
        <v>Fotos\\.jpg</v>
      </c>
      <c r="AB407" s="53">
        <f t="shared" si="26"/>
        <v>2.4570024570024569E-3</v>
      </c>
      <c r="AC407" s="25">
        <f t="shared" si="27"/>
        <v>407</v>
      </c>
      <c r="AD407" s="51">
        <f t="shared" si="28"/>
        <v>1</v>
      </c>
      <c r="AE407" s="25">
        <v>1</v>
      </c>
      <c r="AF407" s="25">
        <v>1</v>
      </c>
      <c r="AG407" s="25">
        <v>1</v>
      </c>
      <c r="AH407" s="25">
        <v>1</v>
      </c>
      <c r="AI407" s="25">
        <f>IF(OR(Apresentação!$E$3='Base de Dados e filtragem'!AI$2,Apresentação!$E$3='Base de Dados e filtragem'!E407),1,0)</f>
        <v>1</v>
      </c>
      <c r="AJ407" s="25">
        <f>IF(OR(Apresentação!$E$4='Base de Dados e filtragem'!AJ$2,Apresentação!$E$4='Base de Dados e filtragem'!F407),1,0)</f>
        <v>1</v>
      </c>
      <c r="AK407" s="25">
        <f>IF(OR(Apresentação!$E$5='Base de Dados e filtragem'!AK$2,Apresentação!$E$5='Base de Dados e filtragem'!G407),1,0)</f>
        <v>1</v>
      </c>
      <c r="AL407" s="25">
        <f>IF(OR(Apresentação!$E$6='Base de Dados e filtragem'!AL$2,Apresentação!$E$6='Base de Dados e filtragem'!H407),1,0)</f>
        <v>1</v>
      </c>
      <c r="AM407" s="25">
        <f>IF(OR(Apresentação!$I$2='Base de Dados e filtragem'!AM$2,Apresentação!$I$2='Base de Dados e filtragem'!I407),1,0)</f>
        <v>1</v>
      </c>
      <c r="AN407" s="25">
        <f>IF(OR(Apresentação!$I$3='Base de Dados e filtragem'!AN$2,Apresentação!$I$3='Base de Dados e filtragem'!J407),1,0)</f>
        <v>1</v>
      </c>
      <c r="AO407" s="25">
        <f>IF(OR(Apresentação!$I$4='Base de Dados e filtragem'!AO$2,Apresentação!$I$4='Base de Dados e filtragem'!K407),1,0)</f>
        <v>1</v>
      </c>
      <c r="AP407" s="25">
        <f>IF(OR(Apresentação!$I$5='Base de Dados e filtragem'!AP$2,Apresentação!$I$5='Base de Dados e filtragem'!L407),1,0)</f>
        <v>1</v>
      </c>
      <c r="AQ407" s="25">
        <f>IF(OR(Apresentação!$I$6='Base de Dados e filtragem'!AQ$2,Apresentação!$I$6='Base de Dados e filtragem'!M407),1,0)</f>
        <v>1</v>
      </c>
      <c r="AR407" s="25">
        <v>1</v>
      </c>
      <c r="AS407" s="25">
        <v>1</v>
      </c>
      <c r="AT407" s="25">
        <v>1</v>
      </c>
      <c r="AU407" s="25">
        <v>1</v>
      </c>
      <c r="AV407" s="25">
        <v>1</v>
      </c>
      <c r="AW407" s="25">
        <v>1</v>
      </c>
      <c r="AX407" s="25">
        <v>1</v>
      </c>
      <c r="AY407" s="25">
        <v>1</v>
      </c>
      <c r="AZ407" s="25">
        <v>1</v>
      </c>
      <c r="BA407" s="25">
        <v>1</v>
      </c>
      <c r="BB407" s="25">
        <v>1</v>
      </c>
      <c r="BC407" s="25">
        <v>1</v>
      </c>
      <c r="BD407" s="25">
        <v>1</v>
      </c>
    </row>
    <row r="408" spans="27:56" x14ac:dyDescent="0.25">
      <c r="AA408" s="68" t="str">
        <f t="shared" si="25"/>
        <v>Fotos\\.jpg</v>
      </c>
      <c r="AB408" s="53">
        <f t="shared" si="26"/>
        <v>2.4509803921568627E-3</v>
      </c>
      <c r="AC408" s="25">
        <f t="shared" si="27"/>
        <v>408</v>
      </c>
      <c r="AD408" s="51">
        <f t="shared" si="28"/>
        <v>1</v>
      </c>
      <c r="AE408" s="25">
        <v>1</v>
      </c>
      <c r="AF408" s="25">
        <v>1</v>
      </c>
      <c r="AG408" s="25">
        <v>1</v>
      </c>
      <c r="AH408" s="25">
        <v>1</v>
      </c>
      <c r="AI408" s="25">
        <f>IF(OR(Apresentação!$E$3='Base de Dados e filtragem'!AI$2,Apresentação!$E$3='Base de Dados e filtragem'!E408),1,0)</f>
        <v>1</v>
      </c>
      <c r="AJ408" s="25">
        <f>IF(OR(Apresentação!$E$4='Base de Dados e filtragem'!AJ$2,Apresentação!$E$4='Base de Dados e filtragem'!F408),1,0)</f>
        <v>1</v>
      </c>
      <c r="AK408" s="25">
        <f>IF(OR(Apresentação!$E$5='Base de Dados e filtragem'!AK$2,Apresentação!$E$5='Base de Dados e filtragem'!G408),1,0)</f>
        <v>1</v>
      </c>
      <c r="AL408" s="25">
        <f>IF(OR(Apresentação!$E$6='Base de Dados e filtragem'!AL$2,Apresentação!$E$6='Base de Dados e filtragem'!H408),1,0)</f>
        <v>1</v>
      </c>
      <c r="AM408" s="25">
        <f>IF(OR(Apresentação!$I$2='Base de Dados e filtragem'!AM$2,Apresentação!$I$2='Base de Dados e filtragem'!I408),1,0)</f>
        <v>1</v>
      </c>
      <c r="AN408" s="25">
        <f>IF(OR(Apresentação!$I$3='Base de Dados e filtragem'!AN$2,Apresentação!$I$3='Base de Dados e filtragem'!J408),1,0)</f>
        <v>1</v>
      </c>
      <c r="AO408" s="25">
        <f>IF(OR(Apresentação!$I$4='Base de Dados e filtragem'!AO$2,Apresentação!$I$4='Base de Dados e filtragem'!K408),1,0)</f>
        <v>1</v>
      </c>
      <c r="AP408" s="25">
        <f>IF(OR(Apresentação!$I$5='Base de Dados e filtragem'!AP$2,Apresentação!$I$5='Base de Dados e filtragem'!L408),1,0)</f>
        <v>1</v>
      </c>
      <c r="AQ408" s="25">
        <f>IF(OR(Apresentação!$I$6='Base de Dados e filtragem'!AQ$2,Apresentação!$I$6='Base de Dados e filtragem'!M408),1,0)</f>
        <v>1</v>
      </c>
      <c r="AR408" s="25">
        <v>1</v>
      </c>
      <c r="AS408" s="25">
        <v>1</v>
      </c>
      <c r="AT408" s="25">
        <v>1</v>
      </c>
      <c r="AU408" s="25">
        <v>1</v>
      </c>
      <c r="AV408" s="25">
        <v>1</v>
      </c>
      <c r="AW408" s="25">
        <v>1</v>
      </c>
      <c r="AX408" s="25">
        <v>1</v>
      </c>
      <c r="AY408" s="25">
        <v>1</v>
      </c>
      <c r="AZ408" s="25">
        <v>1</v>
      </c>
      <c r="BA408" s="25">
        <v>1</v>
      </c>
      <c r="BB408" s="25">
        <v>1</v>
      </c>
      <c r="BC408" s="25">
        <v>1</v>
      </c>
      <c r="BD408" s="25">
        <v>1</v>
      </c>
    </row>
    <row r="409" spans="27:56" x14ac:dyDescent="0.25">
      <c r="AA409" s="68" t="str">
        <f t="shared" si="25"/>
        <v>Fotos\\.jpg</v>
      </c>
      <c r="AB409" s="53">
        <f t="shared" si="26"/>
        <v>2.4449877750611247E-3</v>
      </c>
      <c r="AC409" s="25">
        <f t="shared" si="27"/>
        <v>409</v>
      </c>
      <c r="AD409" s="51">
        <f t="shared" si="28"/>
        <v>1</v>
      </c>
      <c r="AE409" s="25">
        <v>1</v>
      </c>
      <c r="AF409" s="25">
        <v>1</v>
      </c>
      <c r="AG409" s="25">
        <v>1</v>
      </c>
      <c r="AH409" s="25">
        <v>1</v>
      </c>
      <c r="AI409" s="25">
        <f>IF(OR(Apresentação!$E$3='Base de Dados e filtragem'!AI$2,Apresentação!$E$3='Base de Dados e filtragem'!E409),1,0)</f>
        <v>1</v>
      </c>
      <c r="AJ409" s="25">
        <f>IF(OR(Apresentação!$E$4='Base de Dados e filtragem'!AJ$2,Apresentação!$E$4='Base de Dados e filtragem'!F409),1,0)</f>
        <v>1</v>
      </c>
      <c r="AK409" s="25">
        <f>IF(OR(Apresentação!$E$5='Base de Dados e filtragem'!AK$2,Apresentação!$E$5='Base de Dados e filtragem'!G409),1,0)</f>
        <v>1</v>
      </c>
      <c r="AL409" s="25">
        <f>IF(OR(Apresentação!$E$6='Base de Dados e filtragem'!AL$2,Apresentação!$E$6='Base de Dados e filtragem'!H409),1,0)</f>
        <v>1</v>
      </c>
      <c r="AM409" s="25">
        <f>IF(OR(Apresentação!$I$2='Base de Dados e filtragem'!AM$2,Apresentação!$I$2='Base de Dados e filtragem'!I409),1,0)</f>
        <v>1</v>
      </c>
      <c r="AN409" s="25">
        <f>IF(OR(Apresentação!$I$3='Base de Dados e filtragem'!AN$2,Apresentação!$I$3='Base de Dados e filtragem'!J409),1,0)</f>
        <v>1</v>
      </c>
      <c r="AO409" s="25">
        <f>IF(OR(Apresentação!$I$4='Base de Dados e filtragem'!AO$2,Apresentação!$I$4='Base de Dados e filtragem'!K409),1,0)</f>
        <v>1</v>
      </c>
      <c r="AP409" s="25">
        <f>IF(OR(Apresentação!$I$5='Base de Dados e filtragem'!AP$2,Apresentação!$I$5='Base de Dados e filtragem'!L409),1,0)</f>
        <v>1</v>
      </c>
      <c r="AQ409" s="25">
        <f>IF(OR(Apresentação!$I$6='Base de Dados e filtragem'!AQ$2,Apresentação!$I$6='Base de Dados e filtragem'!M409),1,0)</f>
        <v>1</v>
      </c>
      <c r="AR409" s="25">
        <v>1</v>
      </c>
      <c r="AS409" s="25">
        <v>1</v>
      </c>
      <c r="AT409" s="25">
        <v>1</v>
      </c>
      <c r="AU409" s="25">
        <v>1</v>
      </c>
      <c r="AV409" s="25">
        <v>1</v>
      </c>
      <c r="AW409" s="25">
        <v>1</v>
      </c>
      <c r="AX409" s="25">
        <v>1</v>
      </c>
      <c r="AY409" s="25">
        <v>1</v>
      </c>
      <c r="AZ409" s="25">
        <v>1</v>
      </c>
      <c r="BA409" s="25">
        <v>1</v>
      </c>
      <c r="BB409" s="25">
        <v>1</v>
      </c>
      <c r="BC409" s="25">
        <v>1</v>
      </c>
      <c r="BD409" s="25">
        <v>1</v>
      </c>
    </row>
    <row r="410" spans="27:56" x14ac:dyDescent="0.25">
      <c r="AA410" s="68" t="str">
        <f t="shared" si="25"/>
        <v>Fotos\\.jpg</v>
      </c>
      <c r="AB410" s="53">
        <f t="shared" si="26"/>
        <v>2.4390243902439024E-3</v>
      </c>
      <c r="AC410" s="25">
        <f t="shared" si="27"/>
        <v>410</v>
      </c>
      <c r="AD410" s="51">
        <f t="shared" si="28"/>
        <v>1</v>
      </c>
      <c r="AE410" s="25">
        <v>1</v>
      </c>
      <c r="AF410" s="25">
        <v>1</v>
      </c>
      <c r="AG410" s="25">
        <v>1</v>
      </c>
      <c r="AH410" s="25">
        <v>1</v>
      </c>
      <c r="AI410" s="25">
        <f>IF(OR(Apresentação!$E$3='Base de Dados e filtragem'!AI$2,Apresentação!$E$3='Base de Dados e filtragem'!E410),1,0)</f>
        <v>1</v>
      </c>
      <c r="AJ410" s="25">
        <f>IF(OR(Apresentação!$E$4='Base de Dados e filtragem'!AJ$2,Apresentação!$E$4='Base de Dados e filtragem'!F410),1,0)</f>
        <v>1</v>
      </c>
      <c r="AK410" s="25">
        <f>IF(OR(Apresentação!$E$5='Base de Dados e filtragem'!AK$2,Apresentação!$E$5='Base de Dados e filtragem'!G410),1,0)</f>
        <v>1</v>
      </c>
      <c r="AL410" s="25">
        <f>IF(OR(Apresentação!$E$6='Base de Dados e filtragem'!AL$2,Apresentação!$E$6='Base de Dados e filtragem'!H410),1,0)</f>
        <v>1</v>
      </c>
      <c r="AM410" s="25">
        <f>IF(OR(Apresentação!$I$2='Base de Dados e filtragem'!AM$2,Apresentação!$I$2='Base de Dados e filtragem'!I410),1,0)</f>
        <v>1</v>
      </c>
      <c r="AN410" s="25">
        <f>IF(OR(Apresentação!$I$3='Base de Dados e filtragem'!AN$2,Apresentação!$I$3='Base de Dados e filtragem'!J410),1,0)</f>
        <v>1</v>
      </c>
      <c r="AO410" s="25">
        <f>IF(OR(Apresentação!$I$4='Base de Dados e filtragem'!AO$2,Apresentação!$I$4='Base de Dados e filtragem'!K410),1,0)</f>
        <v>1</v>
      </c>
      <c r="AP410" s="25">
        <f>IF(OR(Apresentação!$I$5='Base de Dados e filtragem'!AP$2,Apresentação!$I$5='Base de Dados e filtragem'!L410),1,0)</f>
        <v>1</v>
      </c>
      <c r="AQ410" s="25">
        <f>IF(OR(Apresentação!$I$6='Base de Dados e filtragem'!AQ$2,Apresentação!$I$6='Base de Dados e filtragem'!M410),1,0)</f>
        <v>1</v>
      </c>
      <c r="AR410" s="25">
        <v>1</v>
      </c>
      <c r="AS410" s="25">
        <v>1</v>
      </c>
      <c r="AT410" s="25">
        <v>1</v>
      </c>
      <c r="AU410" s="25">
        <v>1</v>
      </c>
      <c r="AV410" s="25">
        <v>1</v>
      </c>
      <c r="AW410" s="25">
        <v>1</v>
      </c>
      <c r="AX410" s="25">
        <v>1</v>
      </c>
      <c r="AY410" s="25">
        <v>1</v>
      </c>
      <c r="AZ410" s="25">
        <v>1</v>
      </c>
      <c r="BA410" s="25">
        <v>1</v>
      </c>
      <c r="BB410" s="25">
        <v>1</v>
      </c>
      <c r="BC410" s="25">
        <v>1</v>
      </c>
      <c r="BD410" s="25">
        <v>1</v>
      </c>
    </row>
    <row r="411" spans="27:56" x14ac:dyDescent="0.25">
      <c r="AA411" s="68" t="str">
        <f t="shared" si="25"/>
        <v>Fotos\\.jpg</v>
      </c>
      <c r="AB411" s="53">
        <f t="shared" si="26"/>
        <v>2.4330900243309003E-3</v>
      </c>
      <c r="AC411" s="25">
        <f t="shared" si="27"/>
        <v>411</v>
      </c>
      <c r="AD411" s="51">
        <f t="shared" si="28"/>
        <v>1</v>
      </c>
      <c r="AE411" s="25">
        <v>1</v>
      </c>
      <c r="AF411" s="25">
        <v>1</v>
      </c>
      <c r="AG411" s="25">
        <v>1</v>
      </c>
      <c r="AH411" s="25">
        <v>1</v>
      </c>
      <c r="AI411" s="25">
        <f>IF(OR(Apresentação!$E$3='Base de Dados e filtragem'!AI$2,Apresentação!$E$3='Base de Dados e filtragem'!E411),1,0)</f>
        <v>1</v>
      </c>
      <c r="AJ411" s="25">
        <f>IF(OR(Apresentação!$E$4='Base de Dados e filtragem'!AJ$2,Apresentação!$E$4='Base de Dados e filtragem'!F411),1,0)</f>
        <v>1</v>
      </c>
      <c r="AK411" s="25">
        <f>IF(OR(Apresentação!$E$5='Base de Dados e filtragem'!AK$2,Apresentação!$E$5='Base de Dados e filtragem'!G411),1,0)</f>
        <v>1</v>
      </c>
      <c r="AL411" s="25">
        <f>IF(OR(Apresentação!$E$6='Base de Dados e filtragem'!AL$2,Apresentação!$E$6='Base de Dados e filtragem'!H411),1,0)</f>
        <v>1</v>
      </c>
      <c r="AM411" s="25">
        <f>IF(OR(Apresentação!$I$2='Base de Dados e filtragem'!AM$2,Apresentação!$I$2='Base de Dados e filtragem'!I411),1,0)</f>
        <v>1</v>
      </c>
      <c r="AN411" s="25">
        <f>IF(OR(Apresentação!$I$3='Base de Dados e filtragem'!AN$2,Apresentação!$I$3='Base de Dados e filtragem'!J411),1,0)</f>
        <v>1</v>
      </c>
      <c r="AO411" s="25">
        <f>IF(OR(Apresentação!$I$4='Base de Dados e filtragem'!AO$2,Apresentação!$I$4='Base de Dados e filtragem'!K411),1,0)</f>
        <v>1</v>
      </c>
      <c r="AP411" s="25">
        <f>IF(OR(Apresentação!$I$5='Base de Dados e filtragem'!AP$2,Apresentação!$I$5='Base de Dados e filtragem'!L411),1,0)</f>
        <v>1</v>
      </c>
      <c r="AQ411" s="25">
        <f>IF(OR(Apresentação!$I$6='Base de Dados e filtragem'!AQ$2,Apresentação!$I$6='Base de Dados e filtragem'!M411),1,0)</f>
        <v>1</v>
      </c>
      <c r="AR411" s="25">
        <v>1</v>
      </c>
      <c r="AS411" s="25">
        <v>1</v>
      </c>
      <c r="AT411" s="25">
        <v>1</v>
      </c>
      <c r="AU411" s="25">
        <v>1</v>
      </c>
      <c r="AV411" s="25">
        <v>1</v>
      </c>
      <c r="AW411" s="25">
        <v>1</v>
      </c>
      <c r="AX411" s="25">
        <v>1</v>
      </c>
      <c r="AY411" s="25">
        <v>1</v>
      </c>
      <c r="AZ411" s="25">
        <v>1</v>
      </c>
      <c r="BA411" s="25">
        <v>1</v>
      </c>
      <c r="BB411" s="25">
        <v>1</v>
      </c>
      <c r="BC411" s="25">
        <v>1</v>
      </c>
      <c r="BD411" s="25">
        <v>1</v>
      </c>
    </row>
    <row r="412" spans="27:56" x14ac:dyDescent="0.25">
      <c r="AA412" s="68" t="str">
        <f t="shared" si="25"/>
        <v>Fotos\\.jpg</v>
      </c>
      <c r="AB412" s="53">
        <f t="shared" si="26"/>
        <v>2.4271844660194173E-3</v>
      </c>
      <c r="AC412" s="25">
        <f t="shared" si="27"/>
        <v>412</v>
      </c>
      <c r="AD412" s="51">
        <f t="shared" si="28"/>
        <v>1</v>
      </c>
      <c r="AE412" s="25">
        <v>1</v>
      </c>
      <c r="AF412" s="25">
        <v>1</v>
      </c>
      <c r="AG412" s="25">
        <v>1</v>
      </c>
      <c r="AH412" s="25">
        <v>1</v>
      </c>
      <c r="AI412" s="25">
        <f>IF(OR(Apresentação!$E$3='Base de Dados e filtragem'!AI$2,Apresentação!$E$3='Base de Dados e filtragem'!E412),1,0)</f>
        <v>1</v>
      </c>
      <c r="AJ412" s="25">
        <f>IF(OR(Apresentação!$E$4='Base de Dados e filtragem'!AJ$2,Apresentação!$E$4='Base de Dados e filtragem'!F412),1,0)</f>
        <v>1</v>
      </c>
      <c r="AK412" s="25">
        <f>IF(OR(Apresentação!$E$5='Base de Dados e filtragem'!AK$2,Apresentação!$E$5='Base de Dados e filtragem'!G412),1,0)</f>
        <v>1</v>
      </c>
      <c r="AL412" s="25">
        <f>IF(OR(Apresentação!$E$6='Base de Dados e filtragem'!AL$2,Apresentação!$E$6='Base de Dados e filtragem'!H412),1,0)</f>
        <v>1</v>
      </c>
      <c r="AM412" s="25">
        <f>IF(OR(Apresentação!$I$2='Base de Dados e filtragem'!AM$2,Apresentação!$I$2='Base de Dados e filtragem'!I412),1,0)</f>
        <v>1</v>
      </c>
      <c r="AN412" s="25">
        <f>IF(OR(Apresentação!$I$3='Base de Dados e filtragem'!AN$2,Apresentação!$I$3='Base de Dados e filtragem'!J412),1,0)</f>
        <v>1</v>
      </c>
      <c r="AO412" s="25">
        <f>IF(OR(Apresentação!$I$4='Base de Dados e filtragem'!AO$2,Apresentação!$I$4='Base de Dados e filtragem'!K412),1,0)</f>
        <v>1</v>
      </c>
      <c r="AP412" s="25">
        <f>IF(OR(Apresentação!$I$5='Base de Dados e filtragem'!AP$2,Apresentação!$I$5='Base de Dados e filtragem'!L412),1,0)</f>
        <v>1</v>
      </c>
      <c r="AQ412" s="25">
        <f>IF(OR(Apresentação!$I$6='Base de Dados e filtragem'!AQ$2,Apresentação!$I$6='Base de Dados e filtragem'!M412),1,0)</f>
        <v>1</v>
      </c>
      <c r="AR412" s="25">
        <v>1</v>
      </c>
      <c r="AS412" s="25">
        <v>1</v>
      </c>
      <c r="AT412" s="25">
        <v>1</v>
      </c>
      <c r="AU412" s="25">
        <v>1</v>
      </c>
      <c r="AV412" s="25">
        <v>1</v>
      </c>
      <c r="AW412" s="25">
        <v>1</v>
      </c>
      <c r="AX412" s="25">
        <v>1</v>
      </c>
      <c r="AY412" s="25">
        <v>1</v>
      </c>
      <c r="AZ412" s="25">
        <v>1</v>
      </c>
      <c r="BA412" s="25">
        <v>1</v>
      </c>
      <c r="BB412" s="25">
        <v>1</v>
      </c>
      <c r="BC412" s="25">
        <v>1</v>
      </c>
      <c r="BD412" s="25">
        <v>1</v>
      </c>
    </row>
    <row r="413" spans="27:56" x14ac:dyDescent="0.25">
      <c r="AA413" s="68" t="str">
        <f t="shared" si="25"/>
        <v>Fotos\\.jpg</v>
      </c>
      <c r="AB413" s="53">
        <f t="shared" si="26"/>
        <v>2.4213075060532689E-3</v>
      </c>
      <c r="AC413" s="25">
        <f t="shared" si="27"/>
        <v>413</v>
      </c>
      <c r="AD413" s="51">
        <f t="shared" si="28"/>
        <v>1</v>
      </c>
      <c r="AE413" s="25">
        <v>1</v>
      </c>
      <c r="AF413" s="25">
        <v>1</v>
      </c>
      <c r="AG413" s="25">
        <v>1</v>
      </c>
      <c r="AH413" s="25">
        <v>1</v>
      </c>
      <c r="AI413" s="25">
        <f>IF(OR(Apresentação!$E$3='Base de Dados e filtragem'!AI$2,Apresentação!$E$3='Base de Dados e filtragem'!E413),1,0)</f>
        <v>1</v>
      </c>
      <c r="AJ413" s="25">
        <f>IF(OR(Apresentação!$E$4='Base de Dados e filtragem'!AJ$2,Apresentação!$E$4='Base de Dados e filtragem'!F413),1,0)</f>
        <v>1</v>
      </c>
      <c r="AK413" s="25">
        <f>IF(OR(Apresentação!$E$5='Base de Dados e filtragem'!AK$2,Apresentação!$E$5='Base de Dados e filtragem'!G413),1,0)</f>
        <v>1</v>
      </c>
      <c r="AL413" s="25">
        <f>IF(OR(Apresentação!$E$6='Base de Dados e filtragem'!AL$2,Apresentação!$E$6='Base de Dados e filtragem'!H413),1,0)</f>
        <v>1</v>
      </c>
      <c r="AM413" s="25">
        <f>IF(OR(Apresentação!$I$2='Base de Dados e filtragem'!AM$2,Apresentação!$I$2='Base de Dados e filtragem'!I413),1,0)</f>
        <v>1</v>
      </c>
      <c r="AN413" s="25">
        <f>IF(OR(Apresentação!$I$3='Base de Dados e filtragem'!AN$2,Apresentação!$I$3='Base de Dados e filtragem'!J413),1,0)</f>
        <v>1</v>
      </c>
      <c r="AO413" s="25">
        <f>IF(OR(Apresentação!$I$4='Base de Dados e filtragem'!AO$2,Apresentação!$I$4='Base de Dados e filtragem'!K413),1,0)</f>
        <v>1</v>
      </c>
      <c r="AP413" s="25">
        <f>IF(OR(Apresentação!$I$5='Base de Dados e filtragem'!AP$2,Apresentação!$I$5='Base de Dados e filtragem'!L413),1,0)</f>
        <v>1</v>
      </c>
      <c r="AQ413" s="25">
        <f>IF(OR(Apresentação!$I$6='Base de Dados e filtragem'!AQ$2,Apresentação!$I$6='Base de Dados e filtragem'!M413),1,0)</f>
        <v>1</v>
      </c>
      <c r="AR413" s="25">
        <v>1</v>
      </c>
      <c r="AS413" s="25">
        <v>1</v>
      </c>
      <c r="AT413" s="25">
        <v>1</v>
      </c>
      <c r="AU413" s="25">
        <v>1</v>
      </c>
      <c r="AV413" s="25">
        <v>1</v>
      </c>
      <c r="AW413" s="25">
        <v>1</v>
      </c>
      <c r="AX413" s="25">
        <v>1</v>
      </c>
      <c r="AY413" s="25">
        <v>1</v>
      </c>
      <c r="AZ413" s="25">
        <v>1</v>
      </c>
      <c r="BA413" s="25">
        <v>1</v>
      </c>
      <c r="BB413" s="25">
        <v>1</v>
      </c>
      <c r="BC413" s="25">
        <v>1</v>
      </c>
      <c r="BD413" s="25">
        <v>1</v>
      </c>
    </row>
    <row r="414" spans="27:56" x14ac:dyDescent="0.25">
      <c r="AA414" s="68" t="str">
        <f t="shared" si="25"/>
        <v>Fotos\\.jpg</v>
      </c>
      <c r="AB414" s="53">
        <f t="shared" si="26"/>
        <v>2.4154589371980675E-3</v>
      </c>
      <c r="AC414" s="25">
        <f t="shared" si="27"/>
        <v>414</v>
      </c>
      <c r="AD414" s="51">
        <f t="shared" si="28"/>
        <v>1</v>
      </c>
      <c r="AE414" s="25">
        <v>1</v>
      </c>
      <c r="AF414" s="25">
        <v>1</v>
      </c>
      <c r="AG414" s="25">
        <v>1</v>
      </c>
      <c r="AH414" s="25">
        <v>1</v>
      </c>
      <c r="AI414" s="25">
        <f>IF(OR(Apresentação!$E$3='Base de Dados e filtragem'!AI$2,Apresentação!$E$3='Base de Dados e filtragem'!E414),1,0)</f>
        <v>1</v>
      </c>
      <c r="AJ414" s="25">
        <f>IF(OR(Apresentação!$E$4='Base de Dados e filtragem'!AJ$2,Apresentação!$E$4='Base de Dados e filtragem'!F414),1,0)</f>
        <v>1</v>
      </c>
      <c r="AK414" s="25">
        <f>IF(OR(Apresentação!$E$5='Base de Dados e filtragem'!AK$2,Apresentação!$E$5='Base de Dados e filtragem'!G414),1,0)</f>
        <v>1</v>
      </c>
      <c r="AL414" s="25">
        <f>IF(OR(Apresentação!$E$6='Base de Dados e filtragem'!AL$2,Apresentação!$E$6='Base de Dados e filtragem'!H414),1,0)</f>
        <v>1</v>
      </c>
      <c r="AM414" s="25">
        <f>IF(OR(Apresentação!$I$2='Base de Dados e filtragem'!AM$2,Apresentação!$I$2='Base de Dados e filtragem'!I414),1,0)</f>
        <v>1</v>
      </c>
      <c r="AN414" s="25">
        <f>IF(OR(Apresentação!$I$3='Base de Dados e filtragem'!AN$2,Apresentação!$I$3='Base de Dados e filtragem'!J414),1,0)</f>
        <v>1</v>
      </c>
      <c r="AO414" s="25">
        <f>IF(OR(Apresentação!$I$4='Base de Dados e filtragem'!AO$2,Apresentação!$I$4='Base de Dados e filtragem'!K414),1,0)</f>
        <v>1</v>
      </c>
      <c r="AP414" s="25">
        <f>IF(OR(Apresentação!$I$5='Base de Dados e filtragem'!AP$2,Apresentação!$I$5='Base de Dados e filtragem'!L414),1,0)</f>
        <v>1</v>
      </c>
      <c r="AQ414" s="25">
        <f>IF(OR(Apresentação!$I$6='Base de Dados e filtragem'!AQ$2,Apresentação!$I$6='Base de Dados e filtragem'!M414),1,0)</f>
        <v>1</v>
      </c>
      <c r="AR414" s="25">
        <v>1</v>
      </c>
      <c r="AS414" s="25">
        <v>1</v>
      </c>
      <c r="AT414" s="25">
        <v>1</v>
      </c>
      <c r="AU414" s="25">
        <v>1</v>
      </c>
      <c r="AV414" s="25">
        <v>1</v>
      </c>
      <c r="AW414" s="25">
        <v>1</v>
      </c>
      <c r="AX414" s="25">
        <v>1</v>
      </c>
      <c r="AY414" s="25">
        <v>1</v>
      </c>
      <c r="AZ414" s="25">
        <v>1</v>
      </c>
      <c r="BA414" s="25">
        <v>1</v>
      </c>
      <c r="BB414" s="25">
        <v>1</v>
      </c>
      <c r="BC414" s="25">
        <v>1</v>
      </c>
      <c r="BD414" s="25">
        <v>1</v>
      </c>
    </row>
    <row r="415" spans="27:56" x14ac:dyDescent="0.25">
      <c r="AA415" s="68" t="str">
        <f t="shared" si="25"/>
        <v>Fotos\\.jpg</v>
      </c>
      <c r="AB415" s="53">
        <f t="shared" si="26"/>
        <v>2.4096385542168677E-3</v>
      </c>
      <c r="AC415" s="25">
        <f t="shared" si="27"/>
        <v>415</v>
      </c>
      <c r="AD415" s="51">
        <f t="shared" si="28"/>
        <v>1</v>
      </c>
      <c r="AE415" s="25">
        <v>1</v>
      </c>
      <c r="AF415" s="25">
        <v>1</v>
      </c>
      <c r="AG415" s="25">
        <v>1</v>
      </c>
      <c r="AH415" s="25">
        <v>1</v>
      </c>
      <c r="AI415" s="25">
        <f>IF(OR(Apresentação!$E$3='Base de Dados e filtragem'!AI$2,Apresentação!$E$3='Base de Dados e filtragem'!E415),1,0)</f>
        <v>1</v>
      </c>
      <c r="AJ415" s="25">
        <f>IF(OR(Apresentação!$E$4='Base de Dados e filtragem'!AJ$2,Apresentação!$E$4='Base de Dados e filtragem'!F415),1,0)</f>
        <v>1</v>
      </c>
      <c r="AK415" s="25">
        <f>IF(OR(Apresentação!$E$5='Base de Dados e filtragem'!AK$2,Apresentação!$E$5='Base de Dados e filtragem'!G415),1,0)</f>
        <v>1</v>
      </c>
      <c r="AL415" s="25">
        <f>IF(OR(Apresentação!$E$6='Base de Dados e filtragem'!AL$2,Apresentação!$E$6='Base de Dados e filtragem'!H415),1,0)</f>
        <v>1</v>
      </c>
      <c r="AM415" s="25">
        <f>IF(OR(Apresentação!$I$2='Base de Dados e filtragem'!AM$2,Apresentação!$I$2='Base de Dados e filtragem'!I415),1,0)</f>
        <v>1</v>
      </c>
      <c r="AN415" s="25">
        <f>IF(OR(Apresentação!$I$3='Base de Dados e filtragem'!AN$2,Apresentação!$I$3='Base de Dados e filtragem'!J415),1,0)</f>
        <v>1</v>
      </c>
      <c r="AO415" s="25">
        <f>IF(OR(Apresentação!$I$4='Base de Dados e filtragem'!AO$2,Apresentação!$I$4='Base de Dados e filtragem'!K415),1,0)</f>
        <v>1</v>
      </c>
      <c r="AP415" s="25">
        <f>IF(OR(Apresentação!$I$5='Base de Dados e filtragem'!AP$2,Apresentação!$I$5='Base de Dados e filtragem'!L415),1,0)</f>
        <v>1</v>
      </c>
      <c r="AQ415" s="25">
        <f>IF(OR(Apresentação!$I$6='Base de Dados e filtragem'!AQ$2,Apresentação!$I$6='Base de Dados e filtragem'!M415),1,0)</f>
        <v>1</v>
      </c>
      <c r="AR415" s="25">
        <v>1</v>
      </c>
      <c r="AS415" s="25">
        <v>1</v>
      </c>
      <c r="AT415" s="25">
        <v>1</v>
      </c>
      <c r="AU415" s="25">
        <v>1</v>
      </c>
      <c r="AV415" s="25">
        <v>1</v>
      </c>
      <c r="AW415" s="25">
        <v>1</v>
      </c>
      <c r="AX415" s="25">
        <v>1</v>
      </c>
      <c r="AY415" s="25">
        <v>1</v>
      </c>
      <c r="AZ415" s="25">
        <v>1</v>
      </c>
      <c r="BA415" s="25">
        <v>1</v>
      </c>
      <c r="BB415" s="25">
        <v>1</v>
      </c>
      <c r="BC415" s="25">
        <v>1</v>
      </c>
      <c r="BD415" s="25">
        <v>1</v>
      </c>
    </row>
    <row r="416" spans="27:56" x14ac:dyDescent="0.25">
      <c r="AA416" s="68" t="str">
        <f t="shared" si="25"/>
        <v>Fotos\\.jpg</v>
      </c>
      <c r="AB416" s="53">
        <f t="shared" si="26"/>
        <v>2.403846153846154E-3</v>
      </c>
      <c r="AC416" s="25">
        <f t="shared" si="27"/>
        <v>416</v>
      </c>
      <c r="AD416" s="51">
        <f t="shared" si="28"/>
        <v>1</v>
      </c>
      <c r="AE416" s="25">
        <v>1</v>
      </c>
      <c r="AF416" s="25">
        <v>1</v>
      </c>
      <c r="AG416" s="25">
        <v>1</v>
      </c>
      <c r="AH416" s="25">
        <v>1</v>
      </c>
      <c r="AI416" s="25">
        <f>IF(OR(Apresentação!$E$3='Base de Dados e filtragem'!AI$2,Apresentação!$E$3='Base de Dados e filtragem'!E416),1,0)</f>
        <v>1</v>
      </c>
      <c r="AJ416" s="25">
        <f>IF(OR(Apresentação!$E$4='Base de Dados e filtragem'!AJ$2,Apresentação!$E$4='Base de Dados e filtragem'!F416),1,0)</f>
        <v>1</v>
      </c>
      <c r="AK416" s="25">
        <f>IF(OR(Apresentação!$E$5='Base de Dados e filtragem'!AK$2,Apresentação!$E$5='Base de Dados e filtragem'!G416),1,0)</f>
        <v>1</v>
      </c>
      <c r="AL416" s="25">
        <f>IF(OR(Apresentação!$E$6='Base de Dados e filtragem'!AL$2,Apresentação!$E$6='Base de Dados e filtragem'!H416),1,0)</f>
        <v>1</v>
      </c>
      <c r="AM416" s="25">
        <f>IF(OR(Apresentação!$I$2='Base de Dados e filtragem'!AM$2,Apresentação!$I$2='Base de Dados e filtragem'!I416),1,0)</f>
        <v>1</v>
      </c>
      <c r="AN416" s="25">
        <f>IF(OR(Apresentação!$I$3='Base de Dados e filtragem'!AN$2,Apresentação!$I$3='Base de Dados e filtragem'!J416),1,0)</f>
        <v>1</v>
      </c>
      <c r="AO416" s="25">
        <f>IF(OR(Apresentação!$I$4='Base de Dados e filtragem'!AO$2,Apresentação!$I$4='Base de Dados e filtragem'!K416),1,0)</f>
        <v>1</v>
      </c>
      <c r="AP416" s="25">
        <f>IF(OR(Apresentação!$I$5='Base de Dados e filtragem'!AP$2,Apresentação!$I$5='Base de Dados e filtragem'!L416),1,0)</f>
        <v>1</v>
      </c>
      <c r="AQ416" s="25">
        <f>IF(OR(Apresentação!$I$6='Base de Dados e filtragem'!AQ$2,Apresentação!$I$6='Base de Dados e filtragem'!M416),1,0)</f>
        <v>1</v>
      </c>
      <c r="AR416" s="25">
        <v>1</v>
      </c>
      <c r="AS416" s="25">
        <v>1</v>
      </c>
      <c r="AT416" s="25">
        <v>1</v>
      </c>
      <c r="AU416" s="25">
        <v>1</v>
      </c>
      <c r="AV416" s="25">
        <v>1</v>
      </c>
      <c r="AW416" s="25">
        <v>1</v>
      </c>
      <c r="AX416" s="25">
        <v>1</v>
      </c>
      <c r="AY416" s="25">
        <v>1</v>
      </c>
      <c r="AZ416" s="25">
        <v>1</v>
      </c>
      <c r="BA416" s="25">
        <v>1</v>
      </c>
      <c r="BB416" s="25">
        <v>1</v>
      </c>
      <c r="BC416" s="25">
        <v>1</v>
      </c>
      <c r="BD416" s="25">
        <v>1</v>
      </c>
    </row>
    <row r="417" spans="27:56" x14ac:dyDescent="0.25">
      <c r="AA417" s="68" t="str">
        <f t="shared" si="25"/>
        <v>Fotos\\.jpg</v>
      </c>
      <c r="AB417" s="53">
        <f t="shared" si="26"/>
        <v>2.3980815347721821E-3</v>
      </c>
      <c r="AC417" s="25">
        <f t="shared" si="27"/>
        <v>417</v>
      </c>
      <c r="AD417" s="51">
        <f t="shared" si="28"/>
        <v>1</v>
      </c>
      <c r="AE417" s="25">
        <v>1</v>
      </c>
      <c r="AF417" s="25">
        <v>1</v>
      </c>
      <c r="AG417" s="25">
        <v>1</v>
      </c>
      <c r="AH417" s="25">
        <v>1</v>
      </c>
      <c r="AI417" s="25">
        <f>IF(OR(Apresentação!$E$3='Base de Dados e filtragem'!AI$2,Apresentação!$E$3='Base de Dados e filtragem'!E417),1,0)</f>
        <v>1</v>
      </c>
      <c r="AJ417" s="25">
        <f>IF(OR(Apresentação!$E$4='Base de Dados e filtragem'!AJ$2,Apresentação!$E$4='Base de Dados e filtragem'!F417),1,0)</f>
        <v>1</v>
      </c>
      <c r="AK417" s="25">
        <f>IF(OR(Apresentação!$E$5='Base de Dados e filtragem'!AK$2,Apresentação!$E$5='Base de Dados e filtragem'!G417),1,0)</f>
        <v>1</v>
      </c>
      <c r="AL417" s="25">
        <f>IF(OR(Apresentação!$E$6='Base de Dados e filtragem'!AL$2,Apresentação!$E$6='Base de Dados e filtragem'!H417),1,0)</f>
        <v>1</v>
      </c>
      <c r="AM417" s="25">
        <f>IF(OR(Apresentação!$I$2='Base de Dados e filtragem'!AM$2,Apresentação!$I$2='Base de Dados e filtragem'!I417),1,0)</f>
        <v>1</v>
      </c>
      <c r="AN417" s="25">
        <f>IF(OR(Apresentação!$I$3='Base de Dados e filtragem'!AN$2,Apresentação!$I$3='Base de Dados e filtragem'!J417),1,0)</f>
        <v>1</v>
      </c>
      <c r="AO417" s="25">
        <f>IF(OR(Apresentação!$I$4='Base de Dados e filtragem'!AO$2,Apresentação!$I$4='Base de Dados e filtragem'!K417),1,0)</f>
        <v>1</v>
      </c>
      <c r="AP417" s="25">
        <f>IF(OR(Apresentação!$I$5='Base de Dados e filtragem'!AP$2,Apresentação!$I$5='Base de Dados e filtragem'!L417),1,0)</f>
        <v>1</v>
      </c>
      <c r="AQ417" s="25">
        <f>IF(OR(Apresentação!$I$6='Base de Dados e filtragem'!AQ$2,Apresentação!$I$6='Base de Dados e filtragem'!M417),1,0)</f>
        <v>1</v>
      </c>
      <c r="AR417" s="25">
        <v>1</v>
      </c>
      <c r="AS417" s="25">
        <v>1</v>
      </c>
      <c r="AT417" s="25">
        <v>1</v>
      </c>
      <c r="AU417" s="25">
        <v>1</v>
      </c>
      <c r="AV417" s="25">
        <v>1</v>
      </c>
      <c r="AW417" s="25">
        <v>1</v>
      </c>
      <c r="AX417" s="25">
        <v>1</v>
      </c>
      <c r="AY417" s="25">
        <v>1</v>
      </c>
      <c r="AZ417" s="25">
        <v>1</v>
      </c>
      <c r="BA417" s="25">
        <v>1</v>
      </c>
      <c r="BB417" s="25">
        <v>1</v>
      </c>
      <c r="BC417" s="25">
        <v>1</v>
      </c>
      <c r="BD417" s="25">
        <v>1</v>
      </c>
    </row>
    <row r="418" spans="27:56" x14ac:dyDescent="0.25">
      <c r="AA418" s="68" t="str">
        <f t="shared" si="25"/>
        <v>Fotos\\.jpg</v>
      </c>
      <c r="AB418" s="53">
        <f t="shared" si="26"/>
        <v>2.3923444976076554E-3</v>
      </c>
      <c r="AC418" s="25">
        <f t="shared" si="27"/>
        <v>418</v>
      </c>
      <c r="AD418" s="51">
        <f t="shared" si="28"/>
        <v>1</v>
      </c>
      <c r="AE418" s="25">
        <v>1</v>
      </c>
      <c r="AF418" s="25">
        <v>1</v>
      </c>
      <c r="AG418" s="25">
        <v>1</v>
      </c>
      <c r="AH418" s="25">
        <v>1</v>
      </c>
      <c r="AI418" s="25">
        <f>IF(OR(Apresentação!$E$3='Base de Dados e filtragem'!AI$2,Apresentação!$E$3='Base de Dados e filtragem'!E418),1,0)</f>
        <v>1</v>
      </c>
      <c r="AJ418" s="25">
        <f>IF(OR(Apresentação!$E$4='Base de Dados e filtragem'!AJ$2,Apresentação!$E$4='Base de Dados e filtragem'!F418),1,0)</f>
        <v>1</v>
      </c>
      <c r="AK418" s="25">
        <f>IF(OR(Apresentação!$E$5='Base de Dados e filtragem'!AK$2,Apresentação!$E$5='Base de Dados e filtragem'!G418),1,0)</f>
        <v>1</v>
      </c>
      <c r="AL418" s="25">
        <f>IF(OR(Apresentação!$E$6='Base de Dados e filtragem'!AL$2,Apresentação!$E$6='Base de Dados e filtragem'!H418),1,0)</f>
        <v>1</v>
      </c>
      <c r="AM418" s="25">
        <f>IF(OR(Apresentação!$I$2='Base de Dados e filtragem'!AM$2,Apresentação!$I$2='Base de Dados e filtragem'!I418),1,0)</f>
        <v>1</v>
      </c>
      <c r="AN418" s="25">
        <f>IF(OR(Apresentação!$I$3='Base de Dados e filtragem'!AN$2,Apresentação!$I$3='Base de Dados e filtragem'!J418),1,0)</f>
        <v>1</v>
      </c>
      <c r="AO418" s="25">
        <f>IF(OR(Apresentação!$I$4='Base de Dados e filtragem'!AO$2,Apresentação!$I$4='Base de Dados e filtragem'!K418),1,0)</f>
        <v>1</v>
      </c>
      <c r="AP418" s="25">
        <f>IF(OR(Apresentação!$I$5='Base de Dados e filtragem'!AP$2,Apresentação!$I$5='Base de Dados e filtragem'!L418),1,0)</f>
        <v>1</v>
      </c>
      <c r="AQ418" s="25">
        <f>IF(OR(Apresentação!$I$6='Base de Dados e filtragem'!AQ$2,Apresentação!$I$6='Base de Dados e filtragem'!M418),1,0)</f>
        <v>1</v>
      </c>
      <c r="AR418" s="25">
        <v>1</v>
      </c>
      <c r="AS418" s="25">
        <v>1</v>
      </c>
      <c r="AT418" s="25">
        <v>1</v>
      </c>
      <c r="AU418" s="25">
        <v>1</v>
      </c>
      <c r="AV418" s="25">
        <v>1</v>
      </c>
      <c r="AW418" s="25">
        <v>1</v>
      </c>
      <c r="AX418" s="25">
        <v>1</v>
      </c>
      <c r="AY418" s="25">
        <v>1</v>
      </c>
      <c r="AZ418" s="25">
        <v>1</v>
      </c>
      <c r="BA418" s="25">
        <v>1</v>
      </c>
      <c r="BB418" s="25">
        <v>1</v>
      </c>
      <c r="BC418" s="25">
        <v>1</v>
      </c>
      <c r="BD418" s="25">
        <v>1</v>
      </c>
    </row>
    <row r="419" spans="27:56" x14ac:dyDescent="0.25">
      <c r="AA419" s="68" t="str">
        <f t="shared" si="25"/>
        <v>Fotos\\.jpg</v>
      </c>
      <c r="AB419" s="53">
        <f t="shared" si="26"/>
        <v>2.3866348448687352E-3</v>
      </c>
      <c r="AC419" s="25">
        <f t="shared" si="27"/>
        <v>419</v>
      </c>
      <c r="AD419" s="51">
        <f t="shared" si="28"/>
        <v>1</v>
      </c>
      <c r="AE419" s="25">
        <v>1</v>
      </c>
      <c r="AF419" s="25">
        <v>1</v>
      </c>
      <c r="AG419" s="25">
        <v>1</v>
      </c>
      <c r="AH419" s="25">
        <v>1</v>
      </c>
      <c r="AI419" s="25">
        <f>IF(OR(Apresentação!$E$3='Base de Dados e filtragem'!AI$2,Apresentação!$E$3='Base de Dados e filtragem'!E419),1,0)</f>
        <v>1</v>
      </c>
      <c r="AJ419" s="25">
        <f>IF(OR(Apresentação!$E$4='Base de Dados e filtragem'!AJ$2,Apresentação!$E$4='Base de Dados e filtragem'!F419),1,0)</f>
        <v>1</v>
      </c>
      <c r="AK419" s="25">
        <f>IF(OR(Apresentação!$E$5='Base de Dados e filtragem'!AK$2,Apresentação!$E$5='Base de Dados e filtragem'!G419),1,0)</f>
        <v>1</v>
      </c>
      <c r="AL419" s="25">
        <f>IF(OR(Apresentação!$E$6='Base de Dados e filtragem'!AL$2,Apresentação!$E$6='Base de Dados e filtragem'!H419),1,0)</f>
        <v>1</v>
      </c>
      <c r="AM419" s="25">
        <f>IF(OR(Apresentação!$I$2='Base de Dados e filtragem'!AM$2,Apresentação!$I$2='Base de Dados e filtragem'!I419),1,0)</f>
        <v>1</v>
      </c>
      <c r="AN419" s="25">
        <f>IF(OR(Apresentação!$I$3='Base de Dados e filtragem'!AN$2,Apresentação!$I$3='Base de Dados e filtragem'!J419),1,0)</f>
        <v>1</v>
      </c>
      <c r="AO419" s="25">
        <f>IF(OR(Apresentação!$I$4='Base de Dados e filtragem'!AO$2,Apresentação!$I$4='Base de Dados e filtragem'!K419),1,0)</f>
        <v>1</v>
      </c>
      <c r="AP419" s="25">
        <f>IF(OR(Apresentação!$I$5='Base de Dados e filtragem'!AP$2,Apresentação!$I$5='Base de Dados e filtragem'!L419),1,0)</f>
        <v>1</v>
      </c>
      <c r="AQ419" s="25">
        <f>IF(OR(Apresentação!$I$6='Base de Dados e filtragem'!AQ$2,Apresentação!$I$6='Base de Dados e filtragem'!M419),1,0)</f>
        <v>1</v>
      </c>
      <c r="AR419" s="25">
        <v>1</v>
      </c>
      <c r="AS419" s="25">
        <v>1</v>
      </c>
      <c r="AT419" s="25">
        <v>1</v>
      </c>
      <c r="AU419" s="25">
        <v>1</v>
      </c>
      <c r="AV419" s="25">
        <v>1</v>
      </c>
      <c r="AW419" s="25">
        <v>1</v>
      </c>
      <c r="AX419" s="25">
        <v>1</v>
      </c>
      <c r="AY419" s="25">
        <v>1</v>
      </c>
      <c r="AZ419" s="25">
        <v>1</v>
      </c>
      <c r="BA419" s="25">
        <v>1</v>
      </c>
      <c r="BB419" s="25">
        <v>1</v>
      </c>
      <c r="BC419" s="25">
        <v>1</v>
      </c>
      <c r="BD419" s="25">
        <v>1</v>
      </c>
    </row>
    <row r="420" spans="27:56" x14ac:dyDescent="0.25">
      <c r="AA420" s="68" t="str">
        <f t="shared" si="25"/>
        <v>Fotos\\.jpg</v>
      </c>
      <c r="AB420" s="53">
        <f t="shared" si="26"/>
        <v>2.3809523809523812E-3</v>
      </c>
      <c r="AC420" s="25">
        <f t="shared" si="27"/>
        <v>420</v>
      </c>
      <c r="AD420" s="51">
        <f t="shared" si="28"/>
        <v>1</v>
      </c>
      <c r="AE420" s="25">
        <v>1</v>
      </c>
      <c r="AF420" s="25">
        <v>1</v>
      </c>
      <c r="AG420" s="25">
        <v>1</v>
      </c>
      <c r="AH420" s="25">
        <v>1</v>
      </c>
      <c r="AI420" s="25">
        <f>IF(OR(Apresentação!$E$3='Base de Dados e filtragem'!AI$2,Apresentação!$E$3='Base de Dados e filtragem'!E420),1,0)</f>
        <v>1</v>
      </c>
      <c r="AJ420" s="25">
        <f>IF(OR(Apresentação!$E$4='Base de Dados e filtragem'!AJ$2,Apresentação!$E$4='Base de Dados e filtragem'!F420),1,0)</f>
        <v>1</v>
      </c>
      <c r="AK420" s="25">
        <f>IF(OR(Apresentação!$E$5='Base de Dados e filtragem'!AK$2,Apresentação!$E$5='Base de Dados e filtragem'!G420),1,0)</f>
        <v>1</v>
      </c>
      <c r="AL420" s="25">
        <f>IF(OR(Apresentação!$E$6='Base de Dados e filtragem'!AL$2,Apresentação!$E$6='Base de Dados e filtragem'!H420),1,0)</f>
        <v>1</v>
      </c>
      <c r="AM420" s="25">
        <f>IF(OR(Apresentação!$I$2='Base de Dados e filtragem'!AM$2,Apresentação!$I$2='Base de Dados e filtragem'!I420),1,0)</f>
        <v>1</v>
      </c>
      <c r="AN420" s="25">
        <f>IF(OR(Apresentação!$I$3='Base de Dados e filtragem'!AN$2,Apresentação!$I$3='Base de Dados e filtragem'!J420),1,0)</f>
        <v>1</v>
      </c>
      <c r="AO420" s="25">
        <f>IF(OR(Apresentação!$I$4='Base de Dados e filtragem'!AO$2,Apresentação!$I$4='Base de Dados e filtragem'!K420),1,0)</f>
        <v>1</v>
      </c>
      <c r="AP420" s="25">
        <f>IF(OR(Apresentação!$I$5='Base de Dados e filtragem'!AP$2,Apresentação!$I$5='Base de Dados e filtragem'!L420),1,0)</f>
        <v>1</v>
      </c>
      <c r="AQ420" s="25">
        <f>IF(OR(Apresentação!$I$6='Base de Dados e filtragem'!AQ$2,Apresentação!$I$6='Base de Dados e filtragem'!M420),1,0)</f>
        <v>1</v>
      </c>
      <c r="AR420" s="25">
        <v>1</v>
      </c>
      <c r="AS420" s="25">
        <v>1</v>
      </c>
      <c r="AT420" s="25">
        <v>1</v>
      </c>
      <c r="AU420" s="25">
        <v>1</v>
      </c>
      <c r="AV420" s="25">
        <v>1</v>
      </c>
      <c r="AW420" s="25">
        <v>1</v>
      </c>
      <c r="AX420" s="25">
        <v>1</v>
      </c>
      <c r="AY420" s="25">
        <v>1</v>
      </c>
      <c r="AZ420" s="25">
        <v>1</v>
      </c>
      <c r="BA420" s="25">
        <v>1</v>
      </c>
      <c r="BB420" s="25">
        <v>1</v>
      </c>
      <c r="BC420" s="25">
        <v>1</v>
      </c>
      <c r="BD420" s="25">
        <v>1</v>
      </c>
    </row>
    <row r="421" spans="27:56" x14ac:dyDescent="0.25">
      <c r="AA421" s="68" t="str">
        <f t="shared" si="25"/>
        <v>Fotos\\.jpg</v>
      </c>
      <c r="AB421" s="53">
        <f t="shared" si="26"/>
        <v>2.3752969121140144E-3</v>
      </c>
      <c r="AC421" s="25">
        <f t="shared" si="27"/>
        <v>421</v>
      </c>
      <c r="AD421" s="51">
        <f t="shared" si="28"/>
        <v>1</v>
      </c>
      <c r="AE421" s="25">
        <v>1</v>
      </c>
      <c r="AF421" s="25">
        <v>1</v>
      </c>
      <c r="AG421" s="25">
        <v>1</v>
      </c>
      <c r="AH421" s="25">
        <v>1</v>
      </c>
      <c r="AI421" s="25">
        <f>IF(OR(Apresentação!$E$3='Base de Dados e filtragem'!AI$2,Apresentação!$E$3='Base de Dados e filtragem'!E421),1,0)</f>
        <v>1</v>
      </c>
      <c r="AJ421" s="25">
        <f>IF(OR(Apresentação!$E$4='Base de Dados e filtragem'!AJ$2,Apresentação!$E$4='Base de Dados e filtragem'!F421),1,0)</f>
        <v>1</v>
      </c>
      <c r="AK421" s="25">
        <f>IF(OR(Apresentação!$E$5='Base de Dados e filtragem'!AK$2,Apresentação!$E$5='Base de Dados e filtragem'!G421),1,0)</f>
        <v>1</v>
      </c>
      <c r="AL421" s="25">
        <f>IF(OR(Apresentação!$E$6='Base de Dados e filtragem'!AL$2,Apresentação!$E$6='Base de Dados e filtragem'!H421),1,0)</f>
        <v>1</v>
      </c>
      <c r="AM421" s="25">
        <f>IF(OR(Apresentação!$I$2='Base de Dados e filtragem'!AM$2,Apresentação!$I$2='Base de Dados e filtragem'!I421),1,0)</f>
        <v>1</v>
      </c>
      <c r="AN421" s="25">
        <f>IF(OR(Apresentação!$I$3='Base de Dados e filtragem'!AN$2,Apresentação!$I$3='Base de Dados e filtragem'!J421),1,0)</f>
        <v>1</v>
      </c>
      <c r="AO421" s="25">
        <f>IF(OR(Apresentação!$I$4='Base de Dados e filtragem'!AO$2,Apresentação!$I$4='Base de Dados e filtragem'!K421),1,0)</f>
        <v>1</v>
      </c>
      <c r="AP421" s="25">
        <f>IF(OR(Apresentação!$I$5='Base de Dados e filtragem'!AP$2,Apresentação!$I$5='Base de Dados e filtragem'!L421),1,0)</f>
        <v>1</v>
      </c>
      <c r="AQ421" s="25">
        <f>IF(OR(Apresentação!$I$6='Base de Dados e filtragem'!AQ$2,Apresentação!$I$6='Base de Dados e filtragem'!M421),1,0)</f>
        <v>1</v>
      </c>
      <c r="AR421" s="25">
        <v>1</v>
      </c>
      <c r="AS421" s="25">
        <v>1</v>
      </c>
      <c r="AT421" s="25">
        <v>1</v>
      </c>
      <c r="AU421" s="25">
        <v>1</v>
      </c>
      <c r="AV421" s="25">
        <v>1</v>
      </c>
      <c r="AW421" s="25">
        <v>1</v>
      </c>
      <c r="AX421" s="25">
        <v>1</v>
      </c>
      <c r="AY421" s="25">
        <v>1</v>
      </c>
      <c r="AZ421" s="25">
        <v>1</v>
      </c>
      <c r="BA421" s="25">
        <v>1</v>
      </c>
      <c r="BB421" s="25">
        <v>1</v>
      </c>
      <c r="BC421" s="25">
        <v>1</v>
      </c>
      <c r="BD421" s="25">
        <v>1</v>
      </c>
    </row>
    <row r="422" spans="27:56" x14ac:dyDescent="0.25">
      <c r="AA422" s="68" t="str">
        <f t="shared" si="25"/>
        <v>Fotos\\.jpg</v>
      </c>
      <c r="AB422" s="53">
        <f t="shared" si="26"/>
        <v>2.3696682464454978E-3</v>
      </c>
      <c r="AC422" s="25">
        <f t="shared" si="27"/>
        <v>422</v>
      </c>
      <c r="AD422" s="51">
        <f t="shared" si="28"/>
        <v>1</v>
      </c>
      <c r="AE422" s="25">
        <v>1</v>
      </c>
      <c r="AF422" s="25">
        <v>1</v>
      </c>
      <c r="AG422" s="25">
        <v>1</v>
      </c>
      <c r="AH422" s="25">
        <v>1</v>
      </c>
      <c r="AI422" s="25">
        <f>IF(OR(Apresentação!$E$3='Base de Dados e filtragem'!AI$2,Apresentação!$E$3='Base de Dados e filtragem'!E422),1,0)</f>
        <v>1</v>
      </c>
      <c r="AJ422" s="25">
        <f>IF(OR(Apresentação!$E$4='Base de Dados e filtragem'!AJ$2,Apresentação!$E$4='Base de Dados e filtragem'!F422),1,0)</f>
        <v>1</v>
      </c>
      <c r="AK422" s="25">
        <f>IF(OR(Apresentação!$E$5='Base de Dados e filtragem'!AK$2,Apresentação!$E$5='Base de Dados e filtragem'!G422),1,0)</f>
        <v>1</v>
      </c>
      <c r="AL422" s="25">
        <f>IF(OR(Apresentação!$E$6='Base de Dados e filtragem'!AL$2,Apresentação!$E$6='Base de Dados e filtragem'!H422),1,0)</f>
        <v>1</v>
      </c>
      <c r="AM422" s="25">
        <f>IF(OR(Apresentação!$I$2='Base de Dados e filtragem'!AM$2,Apresentação!$I$2='Base de Dados e filtragem'!I422),1,0)</f>
        <v>1</v>
      </c>
      <c r="AN422" s="25">
        <f>IF(OR(Apresentação!$I$3='Base de Dados e filtragem'!AN$2,Apresentação!$I$3='Base de Dados e filtragem'!J422),1,0)</f>
        <v>1</v>
      </c>
      <c r="AO422" s="25">
        <f>IF(OR(Apresentação!$I$4='Base de Dados e filtragem'!AO$2,Apresentação!$I$4='Base de Dados e filtragem'!K422),1,0)</f>
        <v>1</v>
      </c>
      <c r="AP422" s="25">
        <f>IF(OR(Apresentação!$I$5='Base de Dados e filtragem'!AP$2,Apresentação!$I$5='Base de Dados e filtragem'!L422),1,0)</f>
        <v>1</v>
      </c>
      <c r="AQ422" s="25">
        <f>IF(OR(Apresentação!$I$6='Base de Dados e filtragem'!AQ$2,Apresentação!$I$6='Base de Dados e filtragem'!M422),1,0)</f>
        <v>1</v>
      </c>
      <c r="AR422" s="25">
        <v>1</v>
      </c>
      <c r="AS422" s="25">
        <v>1</v>
      </c>
      <c r="AT422" s="25">
        <v>1</v>
      </c>
      <c r="AU422" s="25">
        <v>1</v>
      </c>
      <c r="AV422" s="25">
        <v>1</v>
      </c>
      <c r="AW422" s="25">
        <v>1</v>
      </c>
      <c r="AX422" s="25">
        <v>1</v>
      </c>
      <c r="AY422" s="25">
        <v>1</v>
      </c>
      <c r="AZ422" s="25">
        <v>1</v>
      </c>
      <c r="BA422" s="25">
        <v>1</v>
      </c>
      <c r="BB422" s="25">
        <v>1</v>
      </c>
      <c r="BC422" s="25">
        <v>1</v>
      </c>
      <c r="BD422" s="25">
        <v>1</v>
      </c>
    </row>
    <row r="423" spans="27:56" x14ac:dyDescent="0.25">
      <c r="AA423" s="68" t="str">
        <f t="shared" si="25"/>
        <v>Fotos\\.jpg</v>
      </c>
      <c r="AB423" s="53">
        <f t="shared" si="26"/>
        <v>2.3640661938534278E-3</v>
      </c>
      <c r="AC423" s="25">
        <f t="shared" si="27"/>
        <v>423</v>
      </c>
      <c r="AD423" s="51">
        <f t="shared" si="28"/>
        <v>1</v>
      </c>
      <c r="AE423" s="25">
        <v>1</v>
      </c>
      <c r="AF423" s="25">
        <v>1</v>
      </c>
      <c r="AG423" s="25">
        <v>1</v>
      </c>
      <c r="AH423" s="25">
        <v>1</v>
      </c>
      <c r="AI423" s="25">
        <f>IF(OR(Apresentação!$E$3='Base de Dados e filtragem'!AI$2,Apresentação!$E$3='Base de Dados e filtragem'!E423),1,0)</f>
        <v>1</v>
      </c>
      <c r="AJ423" s="25">
        <f>IF(OR(Apresentação!$E$4='Base de Dados e filtragem'!AJ$2,Apresentação!$E$4='Base de Dados e filtragem'!F423),1,0)</f>
        <v>1</v>
      </c>
      <c r="AK423" s="25">
        <f>IF(OR(Apresentação!$E$5='Base de Dados e filtragem'!AK$2,Apresentação!$E$5='Base de Dados e filtragem'!G423),1,0)</f>
        <v>1</v>
      </c>
      <c r="AL423" s="25">
        <f>IF(OR(Apresentação!$E$6='Base de Dados e filtragem'!AL$2,Apresentação!$E$6='Base de Dados e filtragem'!H423),1,0)</f>
        <v>1</v>
      </c>
      <c r="AM423" s="25">
        <f>IF(OR(Apresentação!$I$2='Base de Dados e filtragem'!AM$2,Apresentação!$I$2='Base de Dados e filtragem'!I423),1,0)</f>
        <v>1</v>
      </c>
      <c r="AN423" s="25">
        <f>IF(OR(Apresentação!$I$3='Base de Dados e filtragem'!AN$2,Apresentação!$I$3='Base de Dados e filtragem'!J423),1,0)</f>
        <v>1</v>
      </c>
      <c r="AO423" s="25">
        <f>IF(OR(Apresentação!$I$4='Base de Dados e filtragem'!AO$2,Apresentação!$I$4='Base de Dados e filtragem'!K423),1,0)</f>
        <v>1</v>
      </c>
      <c r="AP423" s="25">
        <f>IF(OR(Apresentação!$I$5='Base de Dados e filtragem'!AP$2,Apresentação!$I$5='Base de Dados e filtragem'!L423),1,0)</f>
        <v>1</v>
      </c>
      <c r="AQ423" s="25">
        <f>IF(OR(Apresentação!$I$6='Base de Dados e filtragem'!AQ$2,Apresentação!$I$6='Base de Dados e filtragem'!M423),1,0)</f>
        <v>1</v>
      </c>
      <c r="AR423" s="25">
        <v>1</v>
      </c>
      <c r="AS423" s="25">
        <v>1</v>
      </c>
      <c r="AT423" s="25">
        <v>1</v>
      </c>
      <c r="AU423" s="25">
        <v>1</v>
      </c>
      <c r="AV423" s="25">
        <v>1</v>
      </c>
      <c r="AW423" s="25">
        <v>1</v>
      </c>
      <c r="AX423" s="25">
        <v>1</v>
      </c>
      <c r="AY423" s="25">
        <v>1</v>
      </c>
      <c r="AZ423" s="25">
        <v>1</v>
      </c>
      <c r="BA423" s="25">
        <v>1</v>
      </c>
      <c r="BB423" s="25">
        <v>1</v>
      </c>
      <c r="BC423" s="25">
        <v>1</v>
      </c>
      <c r="BD423" s="25">
        <v>1</v>
      </c>
    </row>
    <row r="424" spans="27:56" x14ac:dyDescent="0.25">
      <c r="AA424" s="68" t="str">
        <f t="shared" si="25"/>
        <v>Fotos\\.jpg</v>
      </c>
      <c r="AB424" s="53">
        <f t="shared" si="26"/>
        <v>2.3584905660377358E-3</v>
      </c>
      <c r="AC424" s="25">
        <f t="shared" si="27"/>
        <v>424</v>
      </c>
      <c r="AD424" s="51">
        <f t="shared" si="28"/>
        <v>1</v>
      </c>
      <c r="AE424" s="25">
        <v>1</v>
      </c>
      <c r="AF424" s="25">
        <v>1</v>
      </c>
      <c r="AG424" s="25">
        <v>1</v>
      </c>
      <c r="AH424" s="25">
        <v>1</v>
      </c>
      <c r="AI424" s="25">
        <f>IF(OR(Apresentação!$E$3='Base de Dados e filtragem'!AI$2,Apresentação!$E$3='Base de Dados e filtragem'!E424),1,0)</f>
        <v>1</v>
      </c>
      <c r="AJ424" s="25">
        <f>IF(OR(Apresentação!$E$4='Base de Dados e filtragem'!AJ$2,Apresentação!$E$4='Base de Dados e filtragem'!F424),1,0)</f>
        <v>1</v>
      </c>
      <c r="AK424" s="25">
        <f>IF(OR(Apresentação!$E$5='Base de Dados e filtragem'!AK$2,Apresentação!$E$5='Base de Dados e filtragem'!G424),1,0)</f>
        <v>1</v>
      </c>
      <c r="AL424" s="25">
        <f>IF(OR(Apresentação!$E$6='Base de Dados e filtragem'!AL$2,Apresentação!$E$6='Base de Dados e filtragem'!H424),1,0)</f>
        <v>1</v>
      </c>
      <c r="AM424" s="25">
        <f>IF(OR(Apresentação!$I$2='Base de Dados e filtragem'!AM$2,Apresentação!$I$2='Base de Dados e filtragem'!I424),1,0)</f>
        <v>1</v>
      </c>
      <c r="AN424" s="25">
        <f>IF(OR(Apresentação!$I$3='Base de Dados e filtragem'!AN$2,Apresentação!$I$3='Base de Dados e filtragem'!J424),1,0)</f>
        <v>1</v>
      </c>
      <c r="AO424" s="25">
        <f>IF(OR(Apresentação!$I$4='Base de Dados e filtragem'!AO$2,Apresentação!$I$4='Base de Dados e filtragem'!K424),1,0)</f>
        <v>1</v>
      </c>
      <c r="AP424" s="25">
        <f>IF(OR(Apresentação!$I$5='Base de Dados e filtragem'!AP$2,Apresentação!$I$5='Base de Dados e filtragem'!L424),1,0)</f>
        <v>1</v>
      </c>
      <c r="AQ424" s="25">
        <f>IF(OR(Apresentação!$I$6='Base de Dados e filtragem'!AQ$2,Apresentação!$I$6='Base de Dados e filtragem'!M424),1,0)</f>
        <v>1</v>
      </c>
      <c r="AR424" s="25">
        <v>1</v>
      </c>
      <c r="AS424" s="25">
        <v>1</v>
      </c>
      <c r="AT424" s="25">
        <v>1</v>
      </c>
      <c r="AU424" s="25">
        <v>1</v>
      </c>
      <c r="AV424" s="25">
        <v>1</v>
      </c>
      <c r="AW424" s="25">
        <v>1</v>
      </c>
      <c r="AX424" s="25">
        <v>1</v>
      </c>
      <c r="AY424" s="25">
        <v>1</v>
      </c>
      <c r="AZ424" s="25">
        <v>1</v>
      </c>
      <c r="BA424" s="25">
        <v>1</v>
      </c>
      <c r="BB424" s="25">
        <v>1</v>
      </c>
      <c r="BC424" s="25">
        <v>1</v>
      </c>
      <c r="BD424" s="25">
        <v>1</v>
      </c>
    </row>
    <row r="425" spans="27:56" x14ac:dyDescent="0.25">
      <c r="AA425" s="68" t="str">
        <f t="shared" si="25"/>
        <v>Fotos\\.jpg</v>
      </c>
      <c r="AB425" s="53">
        <f t="shared" si="26"/>
        <v>2.352941176470588E-3</v>
      </c>
      <c r="AC425" s="25">
        <f t="shared" si="27"/>
        <v>425</v>
      </c>
      <c r="AD425" s="51">
        <f t="shared" si="28"/>
        <v>1</v>
      </c>
      <c r="AE425" s="25">
        <v>1</v>
      </c>
      <c r="AF425" s="25">
        <v>1</v>
      </c>
      <c r="AG425" s="25">
        <v>1</v>
      </c>
      <c r="AH425" s="25">
        <v>1</v>
      </c>
      <c r="AI425" s="25">
        <f>IF(OR(Apresentação!$E$3='Base de Dados e filtragem'!AI$2,Apresentação!$E$3='Base de Dados e filtragem'!E425),1,0)</f>
        <v>1</v>
      </c>
      <c r="AJ425" s="25">
        <f>IF(OR(Apresentação!$E$4='Base de Dados e filtragem'!AJ$2,Apresentação!$E$4='Base de Dados e filtragem'!F425),1,0)</f>
        <v>1</v>
      </c>
      <c r="AK425" s="25">
        <f>IF(OR(Apresentação!$E$5='Base de Dados e filtragem'!AK$2,Apresentação!$E$5='Base de Dados e filtragem'!G425),1,0)</f>
        <v>1</v>
      </c>
      <c r="AL425" s="25">
        <f>IF(OR(Apresentação!$E$6='Base de Dados e filtragem'!AL$2,Apresentação!$E$6='Base de Dados e filtragem'!H425),1,0)</f>
        <v>1</v>
      </c>
      <c r="AM425" s="25">
        <f>IF(OR(Apresentação!$I$2='Base de Dados e filtragem'!AM$2,Apresentação!$I$2='Base de Dados e filtragem'!I425),1,0)</f>
        <v>1</v>
      </c>
      <c r="AN425" s="25">
        <f>IF(OR(Apresentação!$I$3='Base de Dados e filtragem'!AN$2,Apresentação!$I$3='Base de Dados e filtragem'!J425),1,0)</f>
        <v>1</v>
      </c>
      <c r="AO425" s="25">
        <f>IF(OR(Apresentação!$I$4='Base de Dados e filtragem'!AO$2,Apresentação!$I$4='Base de Dados e filtragem'!K425),1,0)</f>
        <v>1</v>
      </c>
      <c r="AP425" s="25">
        <f>IF(OR(Apresentação!$I$5='Base de Dados e filtragem'!AP$2,Apresentação!$I$5='Base de Dados e filtragem'!L425),1,0)</f>
        <v>1</v>
      </c>
      <c r="AQ425" s="25">
        <f>IF(OR(Apresentação!$I$6='Base de Dados e filtragem'!AQ$2,Apresentação!$I$6='Base de Dados e filtragem'!M425),1,0)</f>
        <v>1</v>
      </c>
      <c r="AR425" s="25">
        <v>1</v>
      </c>
      <c r="AS425" s="25">
        <v>1</v>
      </c>
      <c r="AT425" s="25">
        <v>1</v>
      </c>
      <c r="AU425" s="25">
        <v>1</v>
      </c>
      <c r="AV425" s="25">
        <v>1</v>
      </c>
      <c r="AW425" s="25">
        <v>1</v>
      </c>
      <c r="AX425" s="25">
        <v>1</v>
      </c>
      <c r="AY425" s="25">
        <v>1</v>
      </c>
      <c r="AZ425" s="25">
        <v>1</v>
      </c>
      <c r="BA425" s="25">
        <v>1</v>
      </c>
      <c r="BB425" s="25">
        <v>1</v>
      </c>
      <c r="BC425" s="25">
        <v>1</v>
      </c>
      <c r="BD425" s="25">
        <v>1</v>
      </c>
    </row>
    <row r="426" spans="27:56" x14ac:dyDescent="0.25">
      <c r="AA426" s="68" t="str">
        <f t="shared" si="25"/>
        <v>Fotos\\.jpg</v>
      </c>
      <c r="AB426" s="53">
        <f t="shared" si="26"/>
        <v>2.3474178403755869E-3</v>
      </c>
      <c r="AC426" s="25">
        <f t="shared" si="27"/>
        <v>426</v>
      </c>
      <c r="AD426" s="51">
        <f t="shared" si="28"/>
        <v>1</v>
      </c>
      <c r="AE426" s="25">
        <v>1</v>
      </c>
      <c r="AF426" s="25">
        <v>1</v>
      </c>
      <c r="AG426" s="25">
        <v>1</v>
      </c>
      <c r="AH426" s="25">
        <v>1</v>
      </c>
      <c r="AI426" s="25">
        <f>IF(OR(Apresentação!$E$3='Base de Dados e filtragem'!AI$2,Apresentação!$E$3='Base de Dados e filtragem'!E426),1,0)</f>
        <v>1</v>
      </c>
      <c r="AJ426" s="25">
        <f>IF(OR(Apresentação!$E$4='Base de Dados e filtragem'!AJ$2,Apresentação!$E$4='Base de Dados e filtragem'!F426),1,0)</f>
        <v>1</v>
      </c>
      <c r="AK426" s="25">
        <f>IF(OR(Apresentação!$E$5='Base de Dados e filtragem'!AK$2,Apresentação!$E$5='Base de Dados e filtragem'!G426),1,0)</f>
        <v>1</v>
      </c>
      <c r="AL426" s="25">
        <f>IF(OR(Apresentação!$E$6='Base de Dados e filtragem'!AL$2,Apresentação!$E$6='Base de Dados e filtragem'!H426),1,0)</f>
        <v>1</v>
      </c>
      <c r="AM426" s="25">
        <f>IF(OR(Apresentação!$I$2='Base de Dados e filtragem'!AM$2,Apresentação!$I$2='Base de Dados e filtragem'!I426),1,0)</f>
        <v>1</v>
      </c>
      <c r="AN426" s="25">
        <f>IF(OR(Apresentação!$I$3='Base de Dados e filtragem'!AN$2,Apresentação!$I$3='Base de Dados e filtragem'!J426),1,0)</f>
        <v>1</v>
      </c>
      <c r="AO426" s="25">
        <f>IF(OR(Apresentação!$I$4='Base de Dados e filtragem'!AO$2,Apresentação!$I$4='Base de Dados e filtragem'!K426),1,0)</f>
        <v>1</v>
      </c>
      <c r="AP426" s="25">
        <f>IF(OR(Apresentação!$I$5='Base de Dados e filtragem'!AP$2,Apresentação!$I$5='Base de Dados e filtragem'!L426),1,0)</f>
        <v>1</v>
      </c>
      <c r="AQ426" s="25">
        <f>IF(OR(Apresentação!$I$6='Base de Dados e filtragem'!AQ$2,Apresentação!$I$6='Base de Dados e filtragem'!M426),1,0)</f>
        <v>1</v>
      </c>
      <c r="AR426" s="25">
        <v>1</v>
      </c>
      <c r="AS426" s="25">
        <v>1</v>
      </c>
      <c r="AT426" s="25">
        <v>1</v>
      </c>
      <c r="AU426" s="25">
        <v>1</v>
      </c>
      <c r="AV426" s="25">
        <v>1</v>
      </c>
      <c r="AW426" s="25">
        <v>1</v>
      </c>
      <c r="AX426" s="25">
        <v>1</v>
      </c>
      <c r="AY426" s="25">
        <v>1</v>
      </c>
      <c r="AZ426" s="25">
        <v>1</v>
      </c>
      <c r="BA426" s="25">
        <v>1</v>
      </c>
      <c r="BB426" s="25">
        <v>1</v>
      </c>
      <c r="BC426" s="25">
        <v>1</v>
      </c>
      <c r="BD426" s="25">
        <v>1</v>
      </c>
    </row>
    <row r="427" spans="27:56" x14ac:dyDescent="0.25">
      <c r="AA427" s="68" t="str">
        <f t="shared" si="25"/>
        <v>Fotos\\.jpg</v>
      </c>
      <c r="AB427" s="53">
        <f t="shared" si="26"/>
        <v>2.34192037470726E-3</v>
      </c>
      <c r="AC427" s="25">
        <f t="shared" si="27"/>
        <v>427</v>
      </c>
      <c r="AD427" s="51">
        <f t="shared" si="28"/>
        <v>1</v>
      </c>
      <c r="AE427" s="25">
        <v>1</v>
      </c>
      <c r="AF427" s="25">
        <v>1</v>
      </c>
      <c r="AG427" s="25">
        <v>1</v>
      </c>
      <c r="AH427" s="25">
        <v>1</v>
      </c>
      <c r="AI427" s="25">
        <f>IF(OR(Apresentação!$E$3='Base de Dados e filtragem'!AI$2,Apresentação!$E$3='Base de Dados e filtragem'!E427),1,0)</f>
        <v>1</v>
      </c>
      <c r="AJ427" s="25">
        <f>IF(OR(Apresentação!$E$4='Base de Dados e filtragem'!AJ$2,Apresentação!$E$4='Base de Dados e filtragem'!F427),1,0)</f>
        <v>1</v>
      </c>
      <c r="AK427" s="25">
        <f>IF(OR(Apresentação!$E$5='Base de Dados e filtragem'!AK$2,Apresentação!$E$5='Base de Dados e filtragem'!G427),1,0)</f>
        <v>1</v>
      </c>
      <c r="AL427" s="25">
        <f>IF(OR(Apresentação!$E$6='Base de Dados e filtragem'!AL$2,Apresentação!$E$6='Base de Dados e filtragem'!H427),1,0)</f>
        <v>1</v>
      </c>
      <c r="AM427" s="25">
        <f>IF(OR(Apresentação!$I$2='Base de Dados e filtragem'!AM$2,Apresentação!$I$2='Base de Dados e filtragem'!I427),1,0)</f>
        <v>1</v>
      </c>
      <c r="AN427" s="25">
        <f>IF(OR(Apresentação!$I$3='Base de Dados e filtragem'!AN$2,Apresentação!$I$3='Base de Dados e filtragem'!J427),1,0)</f>
        <v>1</v>
      </c>
      <c r="AO427" s="25">
        <f>IF(OR(Apresentação!$I$4='Base de Dados e filtragem'!AO$2,Apresentação!$I$4='Base de Dados e filtragem'!K427),1,0)</f>
        <v>1</v>
      </c>
      <c r="AP427" s="25">
        <f>IF(OR(Apresentação!$I$5='Base de Dados e filtragem'!AP$2,Apresentação!$I$5='Base de Dados e filtragem'!L427),1,0)</f>
        <v>1</v>
      </c>
      <c r="AQ427" s="25">
        <f>IF(OR(Apresentação!$I$6='Base de Dados e filtragem'!AQ$2,Apresentação!$I$6='Base de Dados e filtragem'!M427),1,0)</f>
        <v>1</v>
      </c>
      <c r="AR427" s="25">
        <v>1</v>
      </c>
      <c r="AS427" s="25">
        <v>1</v>
      </c>
      <c r="AT427" s="25">
        <v>1</v>
      </c>
      <c r="AU427" s="25">
        <v>1</v>
      </c>
      <c r="AV427" s="25">
        <v>1</v>
      </c>
      <c r="AW427" s="25">
        <v>1</v>
      </c>
      <c r="AX427" s="25">
        <v>1</v>
      </c>
      <c r="AY427" s="25">
        <v>1</v>
      </c>
      <c r="AZ427" s="25">
        <v>1</v>
      </c>
      <c r="BA427" s="25">
        <v>1</v>
      </c>
      <c r="BB427" s="25">
        <v>1</v>
      </c>
      <c r="BC427" s="25">
        <v>1</v>
      </c>
      <c r="BD427" s="25">
        <v>1</v>
      </c>
    </row>
    <row r="428" spans="27:56" x14ac:dyDescent="0.25">
      <c r="AA428" s="68" t="str">
        <f t="shared" si="25"/>
        <v>Fotos\\.jpg</v>
      </c>
      <c r="AB428" s="53">
        <f t="shared" si="26"/>
        <v>2.3364485981308409E-3</v>
      </c>
      <c r="AC428" s="25">
        <f t="shared" si="27"/>
        <v>428</v>
      </c>
      <c r="AD428" s="51">
        <f t="shared" si="28"/>
        <v>1</v>
      </c>
      <c r="AE428" s="25">
        <v>1</v>
      </c>
      <c r="AF428" s="25">
        <v>1</v>
      </c>
      <c r="AG428" s="25">
        <v>1</v>
      </c>
      <c r="AH428" s="25">
        <v>1</v>
      </c>
      <c r="AI428" s="25">
        <f>IF(OR(Apresentação!$E$3='Base de Dados e filtragem'!AI$2,Apresentação!$E$3='Base de Dados e filtragem'!E428),1,0)</f>
        <v>1</v>
      </c>
      <c r="AJ428" s="25">
        <f>IF(OR(Apresentação!$E$4='Base de Dados e filtragem'!AJ$2,Apresentação!$E$4='Base de Dados e filtragem'!F428),1,0)</f>
        <v>1</v>
      </c>
      <c r="AK428" s="25">
        <f>IF(OR(Apresentação!$E$5='Base de Dados e filtragem'!AK$2,Apresentação!$E$5='Base de Dados e filtragem'!G428),1,0)</f>
        <v>1</v>
      </c>
      <c r="AL428" s="25">
        <f>IF(OR(Apresentação!$E$6='Base de Dados e filtragem'!AL$2,Apresentação!$E$6='Base de Dados e filtragem'!H428),1,0)</f>
        <v>1</v>
      </c>
      <c r="AM428" s="25">
        <f>IF(OR(Apresentação!$I$2='Base de Dados e filtragem'!AM$2,Apresentação!$I$2='Base de Dados e filtragem'!I428),1,0)</f>
        <v>1</v>
      </c>
      <c r="AN428" s="25">
        <f>IF(OR(Apresentação!$I$3='Base de Dados e filtragem'!AN$2,Apresentação!$I$3='Base de Dados e filtragem'!J428),1,0)</f>
        <v>1</v>
      </c>
      <c r="AO428" s="25">
        <f>IF(OR(Apresentação!$I$4='Base de Dados e filtragem'!AO$2,Apresentação!$I$4='Base de Dados e filtragem'!K428),1,0)</f>
        <v>1</v>
      </c>
      <c r="AP428" s="25">
        <f>IF(OR(Apresentação!$I$5='Base de Dados e filtragem'!AP$2,Apresentação!$I$5='Base de Dados e filtragem'!L428),1,0)</f>
        <v>1</v>
      </c>
      <c r="AQ428" s="25">
        <f>IF(OR(Apresentação!$I$6='Base de Dados e filtragem'!AQ$2,Apresentação!$I$6='Base de Dados e filtragem'!M428),1,0)</f>
        <v>1</v>
      </c>
      <c r="AR428" s="25">
        <v>1</v>
      </c>
      <c r="AS428" s="25">
        <v>1</v>
      </c>
      <c r="AT428" s="25">
        <v>1</v>
      </c>
      <c r="AU428" s="25">
        <v>1</v>
      </c>
      <c r="AV428" s="25">
        <v>1</v>
      </c>
      <c r="AW428" s="25">
        <v>1</v>
      </c>
      <c r="AX428" s="25">
        <v>1</v>
      </c>
      <c r="AY428" s="25">
        <v>1</v>
      </c>
      <c r="AZ428" s="25">
        <v>1</v>
      </c>
      <c r="BA428" s="25">
        <v>1</v>
      </c>
      <c r="BB428" s="25">
        <v>1</v>
      </c>
      <c r="BC428" s="25">
        <v>1</v>
      </c>
      <c r="BD428" s="25">
        <v>1</v>
      </c>
    </row>
    <row r="429" spans="27:56" x14ac:dyDescent="0.25">
      <c r="AA429" s="68" t="str">
        <f t="shared" si="25"/>
        <v>Fotos\\.jpg</v>
      </c>
      <c r="AB429" s="53">
        <f t="shared" si="26"/>
        <v>2.331002331002331E-3</v>
      </c>
      <c r="AC429" s="25">
        <f t="shared" si="27"/>
        <v>429</v>
      </c>
      <c r="AD429" s="51">
        <f t="shared" si="28"/>
        <v>1</v>
      </c>
      <c r="AE429" s="25">
        <v>1</v>
      </c>
      <c r="AF429" s="25">
        <v>1</v>
      </c>
      <c r="AG429" s="25">
        <v>1</v>
      </c>
      <c r="AH429" s="25">
        <v>1</v>
      </c>
      <c r="AI429" s="25">
        <f>IF(OR(Apresentação!$E$3='Base de Dados e filtragem'!AI$2,Apresentação!$E$3='Base de Dados e filtragem'!E429),1,0)</f>
        <v>1</v>
      </c>
      <c r="AJ429" s="25">
        <f>IF(OR(Apresentação!$E$4='Base de Dados e filtragem'!AJ$2,Apresentação!$E$4='Base de Dados e filtragem'!F429),1,0)</f>
        <v>1</v>
      </c>
      <c r="AK429" s="25">
        <f>IF(OR(Apresentação!$E$5='Base de Dados e filtragem'!AK$2,Apresentação!$E$5='Base de Dados e filtragem'!G429),1,0)</f>
        <v>1</v>
      </c>
      <c r="AL429" s="25">
        <f>IF(OR(Apresentação!$E$6='Base de Dados e filtragem'!AL$2,Apresentação!$E$6='Base de Dados e filtragem'!H429),1,0)</f>
        <v>1</v>
      </c>
      <c r="AM429" s="25">
        <f>IF(OR(Apresentação!$I$2='Base de Dados e filtragem'!AM$2,Apresentação!$I$2='Base de Dados e filtragem'!I429),1,0)</f>
        <v>1</v>
      </c>
      <c r="AN429" s="25">
        <f>IF(OR(Apresentação!$I$3='Base de Dados e filtragem'!AN$2,Apresentação!$I$3='Base de Dados e filtragem'!J429),1,0)</f>
        <v>1</v>
      </c>
      <c r="AO429" s="25">
        <f>IF(OR(Apresentação!$I$4='Base de Dados e filtragem'!AO$2,Apresentação!$I$4='Base de Dados e filtragem'!K429),1,0)</f>
        <v>1</v>
      </c>
      <c r="AP429" s="25">
        <f>IF(OR(Apresentação!$I$5='Base de Dados e filtragem'!AP$2,Apresentação!$I$5='Base de Dados e filtragem'!L429),1,0)</f>
        <v>1</v>
      </c>
      <c r="AQ429" s="25">
        <f>IF(OR(Apresentação!$I$6='Base de Dados e filtragem'!AQ$2,Apresentação!$I$6='Base de Dados e filtragem'!M429),1,0)</f>
        <v>1</v>
      </c>
      <c r="AR429" s="25">
        <v>1</v>
      </c>
      <c r="AS429" s="25">
        <v>1</v>
      </c>
      <c r="AT429" s="25">
        <v>1</v>
      </c>
      <c r="AU429" s="25">
        <v>1</v>
      </c>
      <c r="AV429" s="25">
        <v>1</v>
      </c>
      <c r="AW429" s="25">
        <v>1</v>
      </c>
      <c r="AX429" s="25">
        <v>1</v>
      </c>
      <c r="AY429" s="25">
        <v>1</v>
      </c>
      <c r="AZ429" s="25">
        <v>1</v>
      </c>
      <c r="BA429" s="25">
        <v>1</v>
      </c>
      <c r="BB429" s="25">
        <v>1</v>
      </c>
      <c r="BC429" s="25">
        <v>1</v>
      </c>
      <c r="BD429" s="25">
        <v>1</v>
      </c>
    </row>
    <row r="430" spans="27:56" x14ac:dyDescent="0.25">
      <c r="AA430" s="68" t="str">
        <f t="shared" si="25"/>
        <v>Fotos\\.jpg</v>
      </c>
      <c r="AB430" s="53">
        <f t="shared" si="26"/>
        <v>2.3255813953488372E-3</v>
      </c>
      <c r="AC430" s="25">
        <f t="shared" si="27"/>
        <v>430</v>
      </c>
      <c r="AD430" s="51">
        <f t="shared" si="28"/>
        <v>1</v>
      </c>
      <c r="AE430" s="25">
        <v>1</v>
      </c>
      <c r="AF430" s="25">
        <v>1</v>
      </c>
      <c r="AG430" s="25">
        <v>1</v>
      </c>
      <c r="AH430" s="25">
        <v>1</v>
      </c>
      <c r="AI430" s="25">
        <f>IF(OR(Apresentação!$E$3='Base de Dados e filtragem'!AI$2,Apresentação!$E$3='Base de Dados e filtragem'!E430),1,0)</f>
        <v>1</v>
      </c>
      <c r="AJ430" s="25">
        <f>IF(OR(Apresentação!$E$4='Base de Dados e filtragem'!AJ$2,Apresentação!$E$4='Base de Dados e filtragem'!F430),1,0)</f>
        <v>1</v>
      </c>
      <c r="AK430" s="25">
        <f>IF(OR(Apresentação!$E$5='Base de Dados e filtragem'!AK$2,Apresentação!$E$5='Base de Dados e filtragem'!G430),1,0)</f>
        <v>1</v>
      </c>
      <c r="AL430" s="25">
        <f>IF(OR(Apresentação!$E$6='Base de Dados e filtragem'!AL$2,Apresentação!$E$6='Base de Dados e filtragem'!H430),1,0)</f>
        <v>1</v>
      </c>
      <c r="AM430" s="25">
        <f>IF(OR(Apresentação!$I$2='Base de Dados e filtragem'!AM$2,Apresentação!$I$2='Base de Dados e filtragem'!I430),1,0)</f>
        <v>1</v>
      </c>
      <c r="AN430" s="25">
        <f>IF(OR(Apresentação!$I$3='Base de Dados e filtragem'!AN$2,Apresentação!$I$3='Base de Dados e filtragem'!J430),1,0)</f>
        <v>1</v>
      </c>
      <c r="AO430" s="25">
        <f>IF(OR(Apresentação!$I$4='Base de Dados e filtragem'!AO$2,Apresentação!$I$4='Base de Dados e filtragem'!K430),1,0)</f>
        <v>1</v>
      </c>
      <c r="AP430" s="25">
        <f>IF(OR(Apresentação!$I$5='Base de Dados e filtragem'!AP$2,Apresentação!$I$5='Base de Dados e filtragem'!L430),1,0)</f>
        <v>1</v>
      </c>
      <c r="AQ430" s="25">
        <f>IF(OR(Apresentação!$I$6='Base de Dados e filtragem'!AQ$2,Apresentação!$I$6='Base de Dados e filtragem'!M430),1,0)</f>
        <v>1</v>
      </c>
      <c r="AR430" s="25">
        <v>1</v>
      </c>
      <c r="AS430" s="25">
        <v>1</v>
      </c>
      <c r="AT430" s="25">
        <v>1</v>
      </c>
      <c r="AU430" s="25">
        <v>1</v>
      </c>
      <c r="AV430" s="25">
        <v>1</v>
      </c>
      <c r="AW430" s="25">
        <v>1</v>
      </c>
      <c r="AX430" s="25">
        <v>1</v>
      </c>
      <c r="AY430" s="25">
        <v>1</v>
      </c>
      <c r="AZ430" s="25">
        <v>1</v>
      </c>
      <c r="BA430" s="25">
        <v>1</v>
      </c>
      <c r="BB430" s="25">
        <v>1</v>
      </c>
      <c r="BC430" s="25">
        <v>1</v>
      </c>
      <c r="BD430" s="25">
        <v>1</v>
      </c>
    </row>
    <row r="431" spans="27:56" x14ac:dyDescent="0.25">
      <c r="AA431" s="68" t="str">
        <f t="shared" si="25"/>
        <v>Fotos\\.jpg</v>
      </c>
      <c r="AB431" s="53">
        <f t="shared" si="26"/>
        <v>2.3201856148491878E-3</v>
      </c>
      <c r="AC431" s="25">
        <f t="shared" si="27"/>
        <v>431</v>
      </c>
      <c r="AD431" s="51">
        <f t="shared" si="28"/>
        <v>1</v>
      </c>
      <c r="AE431" s="25">
        <v>1</v>
      </c>
      <c r="AF431" s="25">
        <v>1</v>
      </c>
      <c r="AG431" s="25">
        <v>1</v>
      </c>
      <c r="AH431" s="25">
        <v>1</v>
      </c>
      <c r="AI431" s="25">
        <f>IF(OR(Apresentação!$E$3='Base de Dados e filtragem'!AI$2,Apresentação!$E$3='Base de Dados e filtragem'!E431),1,0)</f>
        <v>1</v>
      </c>
      <c r="AJ431" s="25">
        <f>IF(OR(Apresentação!$E$4='Base de Dados e filtragem'!AJ$2,Apresentação!$E$4='Base de Dados e filtragem'!F431),1,0)</f>
        <v>1</v>
      </c>
      <c r="AK431" s="25">
        <f>IF(OR(Apresentação!$E$5='Base de Dados e filtragem'!AK$2,Apresentação!$E$5='Base de Dados e filtragem'!G431),1,0)</f>
        <v>1</v>
      </c>
      <c r="AL431" s="25">
        <f>IF(OR(Apresentação!$E$6='Base de Dados e filtragem'!AL$2,Apresentação!$E$6='Base de Dados e filtragem'!H431),1,0)</f>
        <v>1</v>
      </c>
      <c r="AM431" s="25">
        <f>IF(OR(Apresentação!$I$2='Base de Dados e filtragem'!AM$2,Apresentação!$I$2='Base de Dados e filtragem'!I431),1,0)</f>
        <v>1</v>
      </c>
      <c r="AN431" s="25">
        <f>IF(OR(Apresentação!$I$3='Base de Dados e filtragem'!AN$2,Apresentação!$I$3='Base de Dados e filtragem'!J431),1,0)</f>
        <v>1</v>
      </c>
      <c r="AO431" s="25">
        <f>IF(OR(Apresentação!$I$4='Base de Dados e filtragem'!AO$2,Apresentação!$I$4='Base de Dados e filtragem'!K431),1,0)</f>
        <v>1</v>
      </c>
      <c r="AP431" s="25">
        <f>IF(OR(Apresentação!$I$5='Base de Dados e filtragem'!AP$2,Apresentação!$I$5='Base de Dados e filtragem'!L431),1,0)</f>
        <v>1</v>
      </c>
      <c r="AQ431" s="25">
        <f>IF(OR(Apresentação!$I$6='Base de Dados e filtragem'!AQ$2,Apresentação!$I$6='Base de Dados e filtragem'!M431),1,0)</f>
        <v>1</v>
      </c>
      <c r="AR431" s="25">
        <v>1</v>
      </c>
      <c r="AS431" s="25">
        <v>1</v>
      </c>
      <c r="AT431" s="25">
        <v>1</v>
      </c>
      <c r="AU431" s="25">
        <v>1</v>
      </c>
      <c r="AV431" s="25">
        <v>1</v>
      </c>
      <c r="AW431" s="25">
        <v>1</v>
      </c>
      <c r="AX431" s="25">
        <v>1</v>
      </c>
      <c r="AY431" s="25">
        <v>1</v>
      </c>
      <c r="AZ431" s="25">
        <v>1</v>
      </c>
      <c r="BA431" s="25">
        <v>1</v>
      </c>
      <c r="BB431" s="25">
        <v>1</v>
      </c>
      <c r="BC431" s="25">
        <v>1</v>
      </c>
      <c r="BD431" s="25">
        <v>1</v>
      </c>
    </row>
    <row r="432" spans="27:56" x14ac:dyDescent="0.25">
      <c r="AA432" s="68" t="str">
        <f t="shared" si="25"/>
        <v>Fotos\\.jpg</v>
      </c>
      <c r="AB432" s="53">
        <f t="shared" si="26"/>
        <v>2.3148148148148147E-3</v>
      </c>
      <c r="AC432" s="25">
        <f t="shared" si="27"/>
        <v>432</v>
      </c>
      <c r="AD432" s="51">
        <f t="shared" si="28"/>
        <v>1</v>
      </c>
      <c r="AE432" s="25">
        <v>1</v>
      </c>
      <c r="AF432" s="25">
        <v>1</v>
      </c>
      <c r="AG432" s="25">
        <v>1</v>
      </c>
      <c r="AH432" s="25">
        <v>1</v>
      </c>
      <c r="AI432" s="25">
        <f>IF(OR(Apresentação!$E$3='Base de Dados e filtragem'!AI$2,Apresentação!$E$3='Base de Dados e filtragem'!E432),1,0)</f>
        <v>1</v>
      </c>
      <c r="AJ432" s="25">
        <f>IF(OR(Apresentação!$E$4='Base de Dados e filtragem'!AJ$2,Apresentação!$E$4='Base de Dados e filtragem'!F432),1,0)</f>
        <v>1</v>
      </c>
      <c r="AK432" s="25">
        <f>IF(OR(Apresentação!$E$5='Base de Dados e filtragem'!AK$2,Apresentação!$E$5='Base de Dados e filtragem'!G432),1,0)</f>
        <v>1</v>
      </c>
      <c r="AL432" s="25">
        <f>IF(OR(Apresentação!$E$6='Base de Dados e filtragem'!AL$2,Apresentação!$E$6='Base de Dados e filtragem'!H432),1,0)</f>
        <v>1</v>
      </c>
      <c r="AM432" s="25">
        <f>IF(OR(Apresentação!$I$2='Base de Dados e filtragem'!AM$2,Apresentação!$I$2='Base de Dados e filtragem'!I432),1,0)</f>
        <v>1</v>
      </c>
      <c r="AN432" s="25">
        <f>IF(OR(Apresentação!$I$3='Base de Dados e filtragem'!AN$2,Apresentação!$I$3='Base de Dados e filtragem'!J432),1,0)</f>
        <v>1</v>
      </c>
      <c r="AO432" s="25">
        <f>IF(OR(Apresentação!$I$4='Base de Dados e filtragem'!AO$2,Apresentação!$I$4='Base de Dados e filtragem'!K432),1,0)</f>
        <v>1</v>
      </c>
      <c r="AP432" s="25">
        <f>IF(OR(Apresentação!$I$5='Base de Dados e filtragem'!AP$2,Apresentação!$I$5='Base de Dados e filtragem'!L432),1,0)</f>
        <v>1</v>
      </c>
      <c r="AQ432" s="25">
        <f>IF(OR(Apresentação!$I$6='Base de Dados e filtragem'!AQ$2,Apresentação!$I$6='Base de Dados e filtragem'!M432),1,0)</f>
        <v>1</v>
      </c>
      <c r="AR432" s="25">
        <v>1</v>
      </c>
      <c r="AS432" s="25">
        <v>1</v>
      </c>
      <c r="AT432" s="25">
        <v>1</v>
      </c>
      <c r="AU432" s="25">
        <v>1</v>
      </c>
      <c r="AV432" s="25">
        <v>1</v>
      </c>
      <c r="AW432" s="25">
        <v>1</v>
      </c>
      <c r="AX432" s="25">
        <v>1</v>
      </c>
      <c r="AY432" s="25">
        <v>1</v>
      </c>
      <c r="AZ432" s="25">
        <v>1</v>
      </c>
      <c r="BA432" s="25">
        <v>1</v>
      </c>
      <c r="BB432" s="25">
        <v>1</v>
      </c>
      <c r="BC432" s="25">
        <v>1</v>
      </c>
      <c r="BD432" s="25">
        <v>1</v>
      </c>
    </row>
    <row r="433" spans="27:56" x14ac:dyDescent="0.25">
      <c r="AA433" s="68" t="str">
        <f t="shared" si="25"/>
        <v>Fotos\\.jpg</v>
      </c>
      <c r="AB433" s="53">
        <f t="shared" si="26"/>
        <v>2.3094688221709007E-3</v>
      </c>
      <c r="AC433" s="25">
        <f t="shared" si="27"/>
        <v>433</v>
      </c>
      <c r="AD433" s="51">
        <f t="shared" si="28"/>
        <v>1</v>
      </c>
      <c r="AE433" s="25">
        <v>1</v>
      </c>
      <c r="AF433" s="25">
        <v>1</v>
      </c>
      <c r="AG433" s="25">
        <v>1</v>
      </c>
      <c r="AH433" s="25">
        <v>1</v>
      </c>
      <c r="AI433" s="25">
        <f>IF(OR(Apresentação!$E$3='Base de Dados e filtragem'!AI$2,Apresentação!$E$3='Base de Dados e filtragem'!E433),1,0)</f>
        <v>1</v>
      </c>
      <c r="AJ433" s="25">
        <f>IF(OR(Apresentação!$E$4='Base de Dados e filtragem'!AJ$2,Apresentação!$E$4='Base de Dados e filtragem'!F433),1,0)</f>
        <v>1</v>
      </c>
      <c r="AK433" s="25">
        <f>IF(OR(Apresentação!$E$5='Base de Dados e filtragem'!AK$2,Apresentação!$E$5='Base de Dados e filtragem'!G433),1,0)</f>
        <v>1</v>
      </c>
      <c r="AL433" s="25">
        <f>IF(OR(Apresentação!$E$6='Base de Dados e filtragem'!AL$2,Apresentação!$E$6='Base de Dados e filtragem'!H433),1,0)</f>
        <v>1</v>
      </c>
      <c r="AM433" s="25">
        <f>IF(OR(Apresentação!$I$2='Base de Dados e filtragem'!AM$2,Apresentação!$I$2='Base de Dados e filtragem'!I433),1,0)</f>
        <v>1</v>
      </c>
      <c r="AN433" s="25">
        <f>IF(OR(Apresentação!$I$3='Base de Dados e filtragem'!AN$2,Apresentação!$I$3='Base de Dados e filtragem'!J433),1,0)</f>
        <v>1</v>
      </c>
      <c r="AO433" s="25">
        <f>IF(OR(Apresentação!$I$4='Base de Dados e filtragem'!AO$2,Apresentação!$I$4='Base de Dados e filtragem'!K433),1,0)</f>
        <v>1</v>
      </c>
      <c r="AP433" s="25">
        <f>IF(OR(Apresentação!$I$5='Base de Dados e filtragem'!AP$2,Apresentação!$I$5='Base de Dados e filtragem'!L433),1,0)</f>
        <v>1</v>
      </c>
      <c r="AQ433" s="25">
        <f>IF(OR(Apresentação!$I$6='Base de Dados e filtragem'!AQ$2,Apresentação!$I$6='Base de Dados e filtragem'!M433),1,0)</f>
        <v>1</v>
      </c>
      <c r="AR433" s="25">
        <v>1</v>
      </c>
      <c r="AS433" s="25">
        <v>1</v>
      </c>
      <c r="AT433" s="25">
        <v>1</v>
      </c>
      <c r="AU433" s="25">
        <v>1</v>
      </c>
      <c r="AV433" s="25">
        <v>1</v>
      </c>
      <c r="AW433" s="25">
        <v>1</v>
      </c>
      <c r="AX433" s="25">
        <v>1</v>
      </c>
      <c r="AY433" s="25">
        <v>1</v>
      </c>
      <c r="AZ433" s="25">
        <v>1</v>
      </c>
      <c r="BA433" s="25">
        <v>1</v>
      </c>
      <c r="BB433" s="25">
        <v>1</v>
      </c>
      <c r="BC433" s="25">
        <v>1</v>
      </c>
      <c r="BD433" s="25">
        <v>1</v>
      </c>
    </row>
    <row r="434" spans="27:56" x14ac:dyDescent="0.25">
      <c r="AA434" s="68" t="str">
        <f t="shared" si="25"/>
        <v>Fotos\\.jpg</v>
      </c>
      <c r="AB434" s="53">
        <f t="shared" si="26"/>
        <v>2.304147465437788E-3</v>
      </c>
      <c r="AC434" s="25">
        <f t="shared" si="27"/>
        <v>434</v>
      </c>
      <c r="AD434" s="51">
        <f t="shared" si="28"/>
        <v>1</v>
      </c>
      <c r="AE434" s="25">
        <v>1</v>
      </c>
      <c r="AF434" s="25">
        <v>1</v>
      </c>
      <c r="AG434" s="25">
        <v>1</v>
      </c>
      <c r="AH434" s="25">
        <v>1</v>
      </c>
      <c r="AI434" s="25">
        <f>IF(OR(Apresentação!$E$3='Base de Dados e filtragem'!AI$2,Apresentação!$E$3='Base de Dados e filtragem'!E434),1,0)</f>
        <v>1</v>
      </c>
      <c r="AJ434" s="25">
        <f>IF(OR(Apresentação!$E$4='Base de Dados e filtragem'!AJ$2,Apresentação!$E$4='Base de Dados e filtragem'!F434),1,0)</f>
        <v>1</v>
      </c>
      <c r="AK434" s="25">
        <f>IF(OR(Apresentação!$E$5='Base de Dados e filtragem'!AK$2,Apresentação!$E$5='Base de Dados e filtragem'!G434),1,0)</f>
        <v>1</v>
      </c>
      <c r="AL434" s="25">
        <f>IF(OR(Apresentação!$E$6='Base de Dados e filtragem'!AL$2,Apresentação!$E$6='Base de Dados e filtragem'!H434),1,0)</f>
        <v>1</v>
      </c>
      <c r="AM434" s="25">
        <f>IF(OR(Apresentação!$I$2='Base de Dados e filtragem'!AM$2,Apresentação!$I$2='Base de Dados e filtragem'!I434),1,0)</f>
        <v>1</v>
      </c>
      <c r="AN434" s="25">
        <f>IF(OR(Apresentação!$I$3='Base de Dados e filtragem'!AN$2,Apresentação!$I$3='Base de Dados e filtragem'!J434),1,0)</f>
        <v>1</v>
      </c>
      <c r="AO434" s="25">
        <f>IF(OR(Apresentação!$I$4='Base de Dados e filtragem'!AO$2,Apresentação!$I$4='Base de Dados e filtragem'!K434),1,0)</f>
        <v>1</v>
      </c>
      <c r="AP434" s="25">
        <f>IF(OR(Apresentação!$I$5='Base de Dados e filtragem'!AP$2,Apresentação!$I$5='Base de Dados e filtragem'!L434),1,0)</f>
        <v>1</v>
      </c>
      <c r="AQ434" s="25">
        <f>IF(OR(Apresentação!$I$6='Base de Dados e filtragem'!AQ$2,Apresentação!$I$6='Base de Dados e filtragem'!M434),1,0)</f>
        <v>1</v>
      </c>
      <c r="AR434" s="25">
        <v>1</v>
      </c>
      <c r="AS434" s="25">
        <v>1</v>
      </c>
      <c r="AT434" s="25">
        <v>1</v>
      </c>
      <c r="AU434" s="25">
        <v>1</v>
      </c>
      <c r="AV434" s="25">
        <v>1</v>
      </c>
      <c r="AW434" s="25">
        <v>1</v>
      </c>
      <c r="AX434" s="25">
        <v>1</v>
      </c>
      <c r="AY434" s="25">
        <v>1</v>
      </c>
      <c r="AZ434" s="25">
        <v>1</v>
      </c>
      <c r="BA434" s="25">
        <v>1</v>
      </c>
      <c r="BB434" s="25">
        <v>1</v>
      </c>
      <c r="BC434" s="25">
        <v>1</v>
      </c>
      <c r="BD434" s="25">
        <v>1</v>
      </c>
    </row>
    <row r="435" spans="27:56" x14ac:dyDescent="0.25">
      <c r="AA435" s="68" t="str">
        <f t="shared" si="25"/>
        <v>Fotos\\.jpg</v>
      </c>
      <c r="AB435" s="53">
        <f t="shared" si="26"/>
        <v>2.2988505747126436E-3</v>
      </c>
      <c r="AC435" s="25">
        <f t="shared" si="27"/>
        <v>435</v>
      </c>
      <c r="AD435" s="51">
        <f t="shared" si="28"/>
        <v>1</v>
      </c>
      <c r="AE435" s="25">
        <v>1</v>
      </c>
      <c r="AF435" s="25">
        <v>1</v>
      </c>
      <c r="AG435" s="25">
        <v>1</v>
      </c>
      <c r="AH435" s="25">
        <v>1</v>
      </c>
      <c r="AI435" s="25">
        <f>IF(OR(Apresentação!$E$3='Base de Dados e filtragem'!AI$2,Apresentação!$E$3='Base de Dados e filtragem'!E435),1,0)</f>
        <v>1</v>
      </c>
      <c r="AJ435" s="25">
        <f>IF(OR(Apresentação!$E$4='Base de Dados e filtragem'!AJ$2,Apresentação!$E$4='Base de Dados e filtragem'!F435),1,0)</f>
        <v>1</v>
      </c>
      <c r="AK435" s="25">
        <f>IF(OR(Apresentação!$E$5='Base de Dados e filtragem'!AK$2,Apresentação!$E$5='Base de Dados e filtragem'!G435),1,0)</f>
        <v>1</v>
      </c>
      <c r="AL435" s="25">
        <f>IF(OR(Apresentação!$E$6='Base de Dados e filtragem'!AL$2,Apresentação!$E$6='Base de Dados e filtragem'!H435),1,0)</f>
        <v>1</v>
      </c>
      <c r="AM435" s="25">
        <f>IF(OR(Apresentação!$I$2='Base de Dados e filtragem'!AM$2,Apresentação!$I$2='Base de Dados e filtragem'!I435),1,0)</f>
        <v>1</v>
      </c>
      <c r="AN435" s="25">
        <f>IF(OR(Apresentação!$I$3='Base de Dados e filtragem'!AN$2,Apresentação!$I$3='Base de Dados e filtragem'!J435),1,0)</f>
        <v>1</v>
      </c>
      <c r="AO435" s="25">
        <f>IF(OR(Apresentação!$I$4='Base de Dados e filtragem'!AO$2,Apresentação!$I$4='Base de Dados e filtragem'!K435),1,0)</f>
        <v>1</v>
      </c>
      <c r="AP435" s="25">
        <f>IF(OR(Apresentação!$I$5='Base de Dados e filtragem'!AP$2,Apresentação!$I$5='Base de Dados e filtragem'!L435),1,0)</f>
        <v>1</v>
      </c>
      <c r="AQ435" s="25">
        <f>IF(OR(Apresentação!$I$6='Base de Dados e filtragem'!AQ$2,Apresentação!$I$6='Base de Dados e filtragem'!M435),1,0)</f>
        <v>1</v>
      </c>
      <c r="AR435" s="25">
        <v>1</v>
      </c>
      <c r="AS435" s="25">
        <v>1</v>
      </c>
      <c r="AT435" s="25">
        <v>1</v>
      </c>
      <c r="AU435" s="25">
        <v>1</v>
      </c>
      <c r="AV435" s="25">
        <v>1</v>
      </c>
      <c r="AW435" s="25">
        <v>1</v>
      </c>
      <c r="AX435" s="25">
        <v>1</v>
      </c>
      <c r="AY435" s="25">
        <v>1</v>
      </c>
      <c r="AZ435" s="25">
        <v>1</v>
      </c>
      <c r="BA435" s="25">
        <v>1</v>
      </c>
      <c r="BB435" s="25">
        <v>1</v>
      </c>
      <c r="BC435" s="25">
        <v>1</v>
      </c>
      <c r="BD435" s="25">
        <v>1</v>
      </c>
    </row>
    <row r="436" spans="27:56" x14ac:dyDescent="0.25">
      <c r="AA436" s="68" t="str">
        <f t="shared" si="25"/>
        <v>Fotos\\.jpg</v>
      </c>
      <c r="AB436" s="53">
        <f t="shared" si="26"/>
        <v>2.2935779816513763E-3</v>
      </c>
      <c r="AC436" s="25">
        <f t="shared" si="27"/>
        <v>436</v>
      </c>
      <c r="AD436" s="51">
        <f t="shared" si="28"/>
        <v>1</v>
      </c>
      <c r="AE436" s="25">
        <v>1</v>
      </c>
      <c r="AF436" s="25">
        <v>1</v>
      </c>
      <c r="AG436" s="25">
        <v>1</v>
      </c>
      <c r="AH436" s="25">
        <v>1</v>
      </c>
      <c r="AI436" s="25">
        <f>IF(OR(Apresentação!$E$3='Base de Dados e filtragem'!AI$2,Apresentação!$E$3='Base de Dados e filtragem'!E436),1,0)</f>
        <v>1</v>
      </c>
      <c r="AJ436" s="25">
        <f>IF(OR(Apresentação!$E$4='Base de Dados e filtragem'!AJ$2,Apresentação!$E$4='Base de Dados e filtragem'!F436),1,0)</f>
        <v>1</v>
      </c>
      <c r="AK436" s="25">
        <f>IF(OR(Apresentação!$E$5='Base de Dados e filtragem'!AK$2,Apresentação!$E$5='Base de Dados e filtragem'!G436),1,0)</f>
        <v>1</v>
      </c>
      <c r="AL436" s="25">
        <f>IF(OR(Apresentação!$E$6='Base de Dados e filtragem'!AL$2,Apresentação!$E$6='Base de Dados e filtragem'!H436),1,0)</f>
        <v>1</v>
      </c>
      <c r="AM436" s="25">
        <f>IF(OR(Apresentação!$I$2='Base de Dados e filtragem'!AM$2,Apresentação!$I$2='Base de Dados e filtragem'!I436),1,0)</f>
        <v>1</v>
      </c>
      <c r="AN436" s="25">
        <f>IF(OR(Apresentação!$I$3='Base de Dados e filtragem'!AN$2,Apresentação!$I$3='Base de Dados e filtragem'!J436),1,0)</f>
        <v>1</v>
      </c>
      <c r="AO436" s="25">
        <f>IF(OR(Apresentação!$I$4='Base de Dados e filtragem'!AO$2,Apresentação!$I$4='Base de Dados e filtragem'!K436),1,0)</f>
        <v>1</v>
      </c>
      <c r="AP436" s="25">
        <f>IF(OR(Apresentação!$I$5='Base de Dados e filtragem'!AP$2,Apresentação!$I$5='Base de Dados e filtragem'!L436),1,0)</f>
        <v>1</v>
      </c>
      <c r="AQ436" s="25">
        <f>IF(OR(Apresentação!$I$6='Base de Dados e filtragem'!AQ$2,Apresentação!$I$6='Base de Dados e filtragem'!M436),1,0)</f>
        <v>1</v>
      </c>
      <c r="AR436" s="25">
        <v>1</v>
      </c>
      <c r="AS436" s="25">
        <v>1</v>
      </c>
      <c r="AT436" s="25">
        <v>1</v>
      </c>
      <c r="AU436" s="25">
        <v>1</v>
      </c>
      <c r="AV436" s="25">
        <v>1</v>
      </c>
      <c r="AW436" s="25">
        <v>1</v>
      </c>
      <c r="AX436" s="25">
        <v>1</v>
      </c>
      <c r="AY436" s="25">
        <v>1</v>
      </c>
      <c r="AZ436" s="25">
        <v>1</v>
      </c>
      <c r="BA436" s="25">
        <v>1</v>
      </c>
      <c r="BB436" s="25">
        <v>1</v>
      </c>
      <c r="BC436" s="25">
        <v>1</v>
      </c>
      <c r="BD436" s="25">
        <v>1</v>
      </c>
    </row>
    <row r="437" spans="27:56" x14ac:dyDescent="0.25">
      <c r="AA437" s="68" t="str">
        <f t="shared" si="25"/>
        <v>Fotos\\.jpg</v>
      </c>
      <c r="AB437" s="53">
        <f t="shared" si="26"/>
        <v>2.2883295194508009E-3</v>
      </c>
      <c r="AC437" s="25">
        <f t="shared" si="27"/>
        <v>437</v>
      </c>
      <c r="AD437" s="51">
        <f t="shared" si="28"/>
        <v>1</v>
      </c>
      <c r="AE437" s="25">
        <v>1</v>
      </c>
      <c r="AF437" s="25">
        <v>1</v>
      </c>
      <c r="AG437" s="25">
        <v>1</v>
      </c>
      <c r="AH437" s="25">
        <v>1</v>
      </c>
      <c r="AI437" s="25">
        <f>IF(OR(Apresentação!$E$3='Base de Dados e filtragem'!AI$2,Apresentação!$E$3='Base de Dados e filtragem'!E437),1,0)</f>
        <v>1</v>
      </c>
      <c r="AJ437" s="25">
        <f>IF(OR(Apresentação!$E$4='Base de Dados e filtragem'!AJ$2,Apresentação!$E$4='Base de Dados e filtragem'!F437),1,0)</f>
        <v>1</v>
      </c>
      <c r="AK437" s="25">
        <f>IF(OR(Apresentação!$E$5='Base de Dados e filtragem'!AK$2,Apresentação!$E$5='Base de Dados e filtragem'!G437),1,0)</f>
        <v>1</v>
      </c>
      <c r="AL437" s="25">
        <f>IF(OR(Apresentação!$E$6='Base de Dados e filtragem'!AL$2,Apresentação!$E$6='Base de Dados e filtragem'!H437),1,0)</f>
        <v>1</v>
      </c>
      <c r="AM437" s="25">
        <f>IF(OR(Apresentação!$I$2='Base de Dados e filtragem'!AM$2,Apresentação!$I$2='Base de Dados e filtragem'!I437),1,0)</f>
        <v>1</v>
      </c>
      <c r="AN437" s="25">
        <f>IF(OR(Apresentação!$I$3='Base de Dados e filtragem'!AN$2,Apresentação!$I$3='Base de Dados e filtragem'!J437),1,0)</f>
        <v>1</v>
      </c>
      <c r="AO437" s="25">
        <f>IF(OR(Apresentação!$I$4='Base de Dados e filtragem'!AO$2,Apresentação!$I$4='Base de Dados e filtragem'!K437),1,0)</f>
        <v>1</v>
      </c>
      <c r="AP437" s="25">
        <f>IF(OR(Apresentação!$I$5='Base de Dados e filtragem'!AP$2,Apresentação!$I$5='Base de Dados e filtragem'!L437),1,0)</f>
        <v>1</v>
      </c>
      <c r="AQ437" s="25">
        <f>IF(OR(Apresentação!$I$6='Base de Dados e filtragem'!AQ$2,Apresentação!$I$6='Base de Dados e filtragem'!M437),1,0)</f>
        <v>1</v>
      </c>
      <c r="AR437" s="25">
        <v>1</v>
      </c>
      <c r="AS437" s="25">
        <v>1</v>
      </c>
      <c r="AT437" s="25">
        <v>1</v>
      </c>
      <c r="AU437" s="25">
        <v>1</v>
      </c>
      <c r="AV437" s="25">
        <v>1</v>
      </c>
      <c r="AW437" s="25">
        <v>1</v>
      </c>
      <c r="AX437" s="25">
        <v>1</v>
      </c>
      <c r="AY437" s="25">
        <v>1</v>
      </c>
      <c r="AZ437" s="25">
        <v>1</v>
      </c>
      <c r="BA437" s="25">
        <v>1</v>
      </c>
      <c r="BB437" s="25">
        <v>1</v>
      </c>
      <c r="BC437" s="25">
        <v>1</v>
      </c>
      <c r="BD437" s="25">
        <v>1</v>
      </c>
    </row>
    <row r="438" spans="27:56" x14ac:dyDescent="0.25">
      <c r="AA438" s="68" t="str">
        <f t="shared" si="25"/>
        <v>Fotos\\.jpg</v>
      </c>
      <c r="AB438" s="53">
        <f t="shared" si="26"/>
        <v>2.2831050228310501E-3</v>
      </c>
      <c r="AC438" s="25">
        <f t="shared" si="27"/>
        <v>438</v>
      </c>
      <c r="AD438" s="51">
        <f t="shared" si="28"/>
        <v>1</v>
      </c>
      <c r="AE438" s="25">
        <v>1</v>
      </c>
      <c r="AF438" s="25">
        <v>1</v>
      </c>
      <c r="AG438" s="25">
        <v>1</v>
      </c>
      <c r="AH438" s="25">
        <v>1</v>
      </c>
      <c r="AI438" s="25">
        <f>IF(OR(Apresentação!$E$3='Base de Dados e filtragem'!AI$2,Apresentação!$E$3='Base de Dados e filtragem'!E438),1,0)</f>
        <v>1</v>
      </c>
      <c r="AJ438" s="25">
        <f>IF(OR(Apresentação!$E$4='Base de Dados e filtragem'!AJ$2,Apresentação!$E$4='Base de Dados e filtragem'!F438),1,0)</f>
        <v>1</v>
      </c>
      <c r="AK438" s="25">
        <f>IF(OR(Apresentação!$E$5='Base de Dados e filtragem'!AK$2,Apresentação!$E$5='Base de Dados e filtragem'!G438),1,0)</f>
        <v>1</v>
      </c>
      <c r="AL438" s="25">
        <f>IF(OR(Apresentação!$E$6='Base de Dados e filtragem'!AL$2,Apresentação!$E$6='Base de Dados e filtragem'!H438),1,0)</f>
        <v>1</v>
      </c>
      <c r="AM438" s="25">
        <f>IF(OR(Apresentação!$I$2='Base de Dados e filtragem'!AM$2,Apresentação!$I$2='Base de Dados e filtragem'!I438),1,0)</f>
        <v>1</v>
      </c>
      <c r="AN438" s="25">
        <f>IF(OR(Apresentação!$I$3='Base de Dados e filtragem'!AN$2,Apresentação!$I$3='Base de Dados e filtragem'!J438),1,0)</f>
        <v>1</v>
      </c>
      <c r="AO438" s="25">
        <f>IF(OR(Apresentação!$I$4='Base de Dados e filtragem'!AO$2,Apresentação!$I$4='Base de Dados e filtragem'!K438),1,0)</f>
        <v>1</v>
      </c>
      <c r="AP438" s="25">
        <f>IF(OR(Apresentação!$I$5='Base de Dados e filtragem'!AP$2,Apresentação!$I$5='Base de Dados e filtragem'!L438),1,0)</f>
        <v>1</v>
      </c>
      <c r="AQ438" s="25">
        <f>IF(OR(Apresentação!$I$6='Base de Dados e filtragem'!AQ$2,Apresentação!$I$6='Base de Dados e filtragem'!M438),1,0)</f>
        <v>1</v>
      </c>
      <c r="AR438" s="25">
        <v>1</v>
      </c>
      <c r="AS438" s="25">
        <v>1</v>
      </c>
      <c r="AT438" s="25">
        <v>1</v>
      </c>
      <c r="AU438" s="25">
        <v>1</v>
      </c>
      <c r="AV438" s="25">
        <v>1</v>
      </c>
      <c r="AW438" s="25">
        <v>1</v>
      </c>
      <c r="AX438" s="25">
        <v>1</v>
      </c>
      <c r="AY438" s="25">
        <v>1</v>
      </c>
      <c r="AZ438" s="25">
        <v>1</v>
      </c>
      <c r="BA438" s="25">
        <v>1</v>
      </c>
      <c r="BB438" s="25">
        <v>1</v>
      </c>
      <c r="BC438" s="25">
        <v>1</v>
      </c>
      <c r="BD438" s="25">
        <v>1</v>
      </c>
    </row>
    <row r="439" spans="27:56" x14ac:dyDescent="0.25">
      <c r="AA439" s="68" t="str">
        <f t="shared" si="25"/>
        <v>Fotos\\.jpg</v>
      </c>
      <c r="AB439" s="53">
        <f t="shared" si="26"/>
        <v>2.2779043280182231E-3</v>
      </c>
      <c r="AC439" s="25">
        <f t="shared" si="27"/>
        <v>439</v>
      </c>
      <c r="AD439" s="51">
        <f t="shared" si="28"/>
        <v>1</v>
      </c>
      <c r="AE439" s="25">
        <v>1</v>
      </c>
      <c r="AF439" s="25">
        <v>1</v>
      </c>
      <c r="AG439" s="25">
        <v>1</v>
      </c>
      <c r="AH439" s="25">
        <v>1</v>
      </c>
      <c r="AI439" s="25">
        <f>IF(OR(Apresentação!$E$3='Base de Dados e filtragem'!AI$2,Apresentação!$E$3='Base de Dados e filtragem'!E439),1,0)</f>
        <v>1</v>
      </c>
      <c r="AJ439" s="25">
        <f>IF(OR(Apresentação!$E$4='Base de Dados e filtragem'!AJ$2,Apresentação!$E$4='Base de Dados e filtragem'!F439),1,0)</f>
        <v>1</v>
      </c>
      <c r="AK439" s="25">
        <f>IF(OR(Apresentação!$E$5='Base de Dados e filtragem'!AK$2,Apresentação!$E$5='Base de Dados e filtragem'!G439),1,0)</f>
        <v>1</v>
      </c>
      <c r="AL439" s="25">
        <f>IF(OR(Apresentação!$E$6='Base de Dados e filtragem'!AL$2,Apresentação!$E$6='Base de Dados e filtragem'!H439),1,0)</f>
        <v>1</v>
      </c>
      <c r="AM439" s="25">
        <f>IF(OR(Apresentação!$I$2='Base de Dados e filtragem'!AM$2,Apresentação!$I$2='Base de Dados e filtragem'!I439),1,0)</f>
        <v>1</v>
      </c>
      <c r="AN439" s="25">
        <f>IF(OR(Apresentação!$I$3='Base de Dados e filtragem'!AN$2,Apresentação!$I$3='Base de Dados e filtragem'!J439),1,0)</f>
        <v>1</v>
      </c>
      <c r="AO439" s="25">
        <f>IF(OR(Apresentação!$I$4='Base de Dados e filtragem'!AO$2,Apresentação!$I$4='Base de Dados e filtragem'!K439),1,0)</f>
        <v>1</v>
      </c>
      <c r="AP439" s="25">
        <f>IF(OR(Apresentação!$I$5='Base de Dados e filtragem'!AP$2,Apresentação!$I$5='Base de Dados e filtragem'!L439),1,0)</f>
        <v>1</v>
      </c>
      <c r="AQ439" s="25">
        <f>IF(OR(Apresentação!$I$6='Base de Dados e filtragem'!AQ$2,Apresentação!$I$6='Base de Dados e filtragem'!M439),1,0)</f>
        <v>1</v>
      </c>
      <c r="AR439" s="25">
        <v>1</v>
      </c>
      <c r="AS439" s="25">
        <v>1</v>
      </c>
      <c r="AT439" s="25">
        <v>1</v>
      </c>
      <c r="AU439" s="25">
        <v>1</v>
      </c>
      <c r="AV439" s="25">
        <v>1</v>
      </c>
      <c r="AW439" s="25">
        <v>1</v>
      </c>
      <c r="AX439" s="25">
        <v>1</v>
      </c>
      <c r="AY439" s="25">
        <v>1</v>
      </c>
      <c r="AZ439" s="25">
        <v>1</v>
      </c>
      <c r="BA439" s="25">
        <v>1</v>
      </c>
      <c r="BB439" s="25">
        <v>1</v>
      </c>
      <c r="BC439" s="25">
        <v>1</v>
      </c>
      <c r="BD439" s="25">
        <v>1</v>
      </c>
    </row>
    <row r="440" spans="27:56" x14ac:dyDescent="0.25">
      <c r="AA440" s="68" t="str">
        <f t="shared" si="25"/>
        <v>Fotos\\.jpg</v>
      </c>
      <c r="AB440" s="53">
        <f t="shared" si="26"/>
        <v>2.2727272727272726E-3</v>
      </c>
      <c r="AC440" s="25">
        <f t="shared" si="27"/>
        <v>440</v>
      </c>
      <c r="AD440" s="51">
        <f t="shared" si="28"/>
        <v>1</v>
      </c>
      <c r="AE440" s="25">
        <v>1</v>
      </c>
      <c r="AF440" s="25">
        <v>1</v>
      </c>
      <c r="AG440" s="25">
        <v>1</v>
      </c>
      <c r="AH440" s="25">
        <v>1</v>
      </c>
      <c r="AI440" s="25">
        <f>IF(OR(Apresentação!$E$3='Base de Dados e filtragem'!AI$2,Apresentação!$E$3='Base de Dados e filtragem'!E440),1,0)</f>
        <v>1</v>
      </c>
      <c r="AJ440" s="25">
        <f>IF(OR(Apresentação!$E$4='Base de Dados e filtragem'!AJ$2,Apresentação!$E$4='Base de Dados e filtragem'!F440),1,0)</f>
        <v>1</v>
      </c>
      <c r="AK440" s="25">
        <f>IF(OR(Apresentação!$E$5='Base de Dados e filtragem'!AK$2,Apresentação!$E$5='Base de Dados e filtragem'!G440),1,0)</f>
        <v>1</v>
      </c>
      <c r="AL440" s="25">
        <f>IF(OR(Apresentação!$E$6='Base de Dados e filtragem'!AL$2,Apresentação!$E$6='Base de Dados e filtragem'!H440),1,0)</f>
        <v>1</v>
      </c>
      <c r="AM440" s="25">
        <f>IF(OR(Apresentação!$I$2='Base de Dados e filtragem'!AM$2,Apresentação!$I$2='Base de Dados e filtragem'!I440),1,0)</f>
        <v>1</v>
      </c>
      <c r="AN440" s="25">
        <f>IF(OR(Apresentação!$I$3='Base de Dados e filtragem'!AN$2,Apresentação!$I$3='Base de Dados e filtragem'!J440),1,0)</f>
        <v>1</v>
      </c>
      <c r="AO440" s="25">
        <f>IF(OR(Apresentação!$I$4='Base de Dados e filtragem'!AO$2,Apresentação!$I$4='Base de Dados e filtragem'!K440),1,0)</f>
        <v>1</v>
      </c>
      <c r="AP440" s="25">
        <f>IF(OR(Apresentação!$I$5='Base de Dados e filtragem'!AP$2,Apresentação!$I$5='Base de Dados e filtragem'!L440),1,0)</f>
        <v>1</v>
      </c>
      <c r="AQ440" s="25">
        <f>IF(OR(Apresentação!$I$6='Base de Dados e filtragem'!AQ$2,Apresentação!$I$6='Base de Dados e filtragem'!M440),1,0)</f>
        <v>1</v>
      </c>
      <c r="AR440" s="25">
        <v>1</v>
      </c>
      <c r="AS440" s="25">
        <v>1</v>
      </c>
      <c r="AT440" s="25">
        <v>1</v>
      </c>
      <c r="AU440" s="25">
        <v>1</v>
      </c>
      <c r="AV440" s="25">
        <v>1</v>
      </c>
      <c r="AW440" s="25">
        <v>1</v>
      </c>
      <c r="AX440" s="25">
        <v>1</v>
      </c>
      <c r="AY440" s="25">
        <v>1</v>
      </c>
      <c r="AZ440" s="25">
        <v>1</v>
      </c>
      <c r="BA440" s="25">
        <v>1</v>
      </c>
      <c r="BB440" s="25">
        <v>1</v>
      </c>
      <c r="BC440" s="25">
        <v>1</v>
      </c>
      <c r="BD440" s="25">
        <v>1</v>
      </c>
    </row>
    <row r="441" spans="27:56" x14ac:dyDescent="0.25">
      <c r="AA441" s="68" t="str">
        <f t="shared" si="25"/>
        <v>Fotos\\.jpg</v>
      </c>
      <c r="AB441" s="53">
        <f t="shared" si="26"/>
        <v>2.2675736961451248E-3</v>
      </c>
      <c r="AC441" s="25">
        <f t="shared" si="27"/>
        <v>441</v>
      </c>
      <c r="AD441" s="51">
        <f t="shared" si="28"/>
        <v>1</v>
      </c>
      <c r="AE441" s="25">
        <v>1</v>
      </c>
      <c r="AF441" s="25">
        <v>1</v>
      </c>
      <c r="AG441" s="25">
        <v>1</v>
      </c>
      <c r="AH441" s="25">
        <v>1</v>
      </c>
      <c r="AI441" s="25">
        <f>IF(OR(Apresentação!$E$3='Base de Dados e filtragem'!AI$2,Apresentação!$E$3='Base de Dados e filtragem'!E441),1,0)</f>
        <v>1</v>
      </c>
      <c r="AJ441" s="25">
        <f>IF(OR(Apresentação!$E$4='Base de Dados e filtragem'!AJ$2,Apresentação!$E$4='Base de Dados e filtragem'!F441),1,0)</f>
        <v>1</v>
      </c>
      <c r="AK441" s="25">
        <f>IF(OR(Apresentação!$E$5='Base de Dados e filtragem'!AK$2,Apresentação!$E$5='Base de Dados e filtragem'!G441),1,0)</f>
        <v>1</v>
      </c>
      <c r="AL441" s="25">
        <f>IF(OR(Apresentação!$E$6='Base de Dados e filtragem'!AL$2,Apresentação!$E$6='Base de Dados e filtragem'!H441),1,0)</f>
        <v>1</v>
      </c>
      <c r="AM441" s="25">
        <f>IF(OR(Apresentação!$I$2='Base de Dados e filtragem'!AM$2,Apresentação!$I$2='Base de Dados e filtragem'!I441),1,0)</f>
        <v>1</v>
      </c>
      <c r="AN441" s="25">
        <f>IF(OR(Apresentação!$I$3='Base de Dados e filtragem'!AN$2,Apresentação!$I$3='Base de Dados e filtragem'!J441),1,0)</f>
        <v>1</v>
      </c>
      <c r="AO441" s="25">
        <f>IF(OR(Apresentação!$I$4='Base de Dados e filtragem'!AO$2,Apresentação!$I$4='Base de Dados e filtragem'!K441),1,0)</f>
        <v>1</v>
      </c>
      <c r="AP441" s="25">
        <f>IF(OR(Apresentação!$I$5='Base de Dados e filtragem'!AP$2,Apresentação!$I$5='Base de Dados e filtragem'!L441),1,0)</f>
        <v>1</v>
      </c>
      <c r="AQ441" s="25">
        <f>IF(OR(Apresentação!$I$6='Base de Dados e filtragem'!AQ$2,Apresentação!$I$6='Base de Dados e filtragem'!M441),1,0)</f>
        <v>1</v>
      </c>
      <c r="AR441" s="25">
        <v>1</v>
      </c>
      <c r="AS441" s="25">
        <v>1</v>
      </c>
      <c r="AT441" s="25">
        <v>1</v>
      </c>
      <c r="AU441" s="25">
        <v>1</v>
      </c>
      <c r="AV441" s="25">
        <v>1</v>
      </c>
      <c r="AW441" s="25">
        <v>1</v>
      </c>
      <c r="AX441" s="25">
        <v>1</v>
      </c>
      <c r="AY441" s="25">
        <v>1</v>
      </c>
      <c r="AZ441" s="25">
        <v>1</v>
      </c>
      <c r="BA441" s="25">
        <v>1</v>
      </c>
      <c r="BB441" s="25">
        <v>1</v>
      </c>
      <c r="BC441" s="25">
        <v>1</v>
      </c>
      <c r="BD441" s="25">
        <v>1</v>
      </c>
    </row>
    <row r="442" spans="27:56" x14ac:dyDescent="0.25">
      <c r="AA442" s="68" t="str">
        <f t="shared" si="25"/>
        <v>Fotos\\.jpg</v>
      </c>
      <c r="AB442" s="53">
        <f t="shared" si="26"/>
        <v>2.2624434389140274E-3</v>
      </c>
      <c r="AC442" s="25">
        <f t="shared" si="27"/>
        <v>442</v>
      </c>
      <c r="AD442" s="51">
        <f t="shared" si="28"/>
        <v>1</v>
      </c>
      <c r="AE442" s="25">
        <v>1</v>
      </c>
      <c r="AF442" s="25">
        <v>1</v>
      </c>
      <c r="AG442" s="25">
        <v>1</v>
      </c>
      <c r="AH442" s="25">
        <v>1</v>
      </c>
      <c r="AI442" s="25">
        <f>IF(OR(Apresentação!$E$3='Base de Dados e filtragem'!AI$2,Apresentação!$E$3='Base de Dados e filtragem'!E442),1,0)</f>
        <v>1</v>
      </c>
      <c r="AJ442" s="25">
        <f>IF(OR(Apresentação!$E$4='Base de Dados e filtragem'!AJ$2,Apresentação!$E$4='Base de Dados e filtragem'!F442),1,0)</f>
        <v>1</v>
      </c>
      <c r="AK442" s="25">
        <f>IF(OR(Apresentação!$E$5='Base de Dados e filtragem'!AK$2,Apresentação!$E$5='Base de Dados e filtragem'!G442),1,0)</f>
        <v>1</v>
      </c>
      <c r="AL442" s="25">
        <f>IF(OR(Apresentação!$E$6='Base de Dados e filtragem'!AL$2,Apresentação!$E$6='Base de Dados e filtragem'!H442),1,0)</f>
        <v>1</v>
      </c>
      <c r="AM442" s="25">
        <f>IF(OR(Apresentação!$I$2='Base de Dados e filtragem'!AM$2,Apresentação!$I$2='Base de Dados e filtragem'!I442),1,0)</f>
        <v>1</v>
      </c>
      <c r="AN442" s="25">
        <f>IF(OR(Apresentação!$I$3='Base de Dados e filtragem'!AN$2,Apresentação!$I$3='Base de Dados e filtragem'!J442),1,0)</f>
        <v>1</v>
      </c>
      <c r="AO442" s="25">
        <f>IF(OR(Apresentação!$I$4='Base de Dados e filtragem'!AO$2,Apresentação!$I$4='Base de Dados e filtragem'!K442),1,0)</f>
        <v>1</v>
      </c>
      <c r="AP442" s="25">
        <f>IF(OR(Apresentação!$I$5='Base de Dados e filtragem'!AP$2,Apresentação!$I$5='Base de Dados e filtragem'!L442),1,0)</f>
        <v>1</v>
      </c>
      <c r="AQ442" s="25">
        <f>IF(OR(Apresentação!$I$6='Base de Dados e filtragem'!AQ$2,Apresentação!$I$6='Base de Dados e filtragem'!M442),1,0)</f>
        <v>1</v>
      </c>
      <c r="AR442" s="25">
        <v>1</v>
      </c>
      <c r="AS442" s="25">
        <v>1</v>
      </c>
      <c r="AT442" s="25">
        <v>1</v>
      </c>
      <c r="AU442" s="25">
        <v>1</v>
      </c>
      <c r="AV442" s="25">
        <v>1</v>
      </c>
      <c r="AW442" s="25">
        <v>1</v>
      </c>
      <c r="AX442" s="25">
        <v>1</v>
      </c>
      <c r="AY442" s="25">
        <v>1</v>
      </c>
      <c r="AZ442" s="25">
        <v>1</v>
      </c>
      <c r="BA442" s="25">
        <v>1</v>
      </c>
      <c r="BB442" s="25">
        <v>1</v>
      </c>
      <c r="BC442" s="25">
        <v>1</v>
      </c>
      <c r="BD442" s="25">
        <v>1</v>
      </c>
    </row>
    <row r="443" spans="27:56" x14ac:dyDescent="0.25">
      <c r="AA443" s="68" t="str">
        <f t="shared" si="25"/>
        <v>Fotos\\.jpg</v>
      </c>
      <c r="AB443" s="53">
        <f t="shared" si="26"/>
        <v>2.257336343115124E-3</v>
      </c>
      <c r="AC443" s="25">
        <f t="shared" si="27"/>
        <v>443</v>
      </c>
      <c r="AD443" s="51">
        <f t="shared" si="28"/>
        <v>1</v>
      </c>
      <c r="AE443" s="25">
        <v>1</v>
      </c>
      <c r="AF443" s="25">
        <v>1</v>
      </c>
      <c r="AG443" s="25">
        <v>1</v>
      </c>
      <c r="AH443" s="25">
        <v>1</v>
      </c>
      <c r="AI443" s="25">
        <f>IF(OR(Apresentação!$E$3='Base de Dados e filtragem'!AI$2,Apresentação!$E$3='Base de Dados e filtragem'!E443),1,0)</f>
        <v>1</v>
      </c>
      <c r="AJ443" s="25">
        <f>IF(OR(Apresentação!$E$4='Base de Dados e filtragem'!AJ$2,Apresentação!$E$4='Base de Dados e filtragem'!F443),1,0)</f>
        <v>1</v>
      </c>
      <c r="AK443" s="25">
        <f>IF(OR(Apresentação!$E$5='Base de Dados e filtragem'!AK$2,Apresentação!$E$5='Base de Dados e filtragem'!G443),1,0)</f>
        <v>1</v>
      </c>
      <c r="AL443" s="25">
        <f>IF(OR(Apresentação!$E$6='Base de Dados e filtragem'!AL$2,Apresentação!$E$6='Base de Dados e filtragem'!H443),1,0)</f>
        <v>1</v>
      </c>
      <c r="AM443" s="25">
        <f>IF(OR(Apresentação!$I$2='Base de Dados e filtragem'!AM$2,Apresentação!$I$2='Base de Dados e filtragem'!I443),1,0)</f>
        <v>1</v>
      </c>
      <c r="AN443" s="25">
        <f>IF(OR(Apresentação!$I$3='Base de Dados e filtragem'!AN$2,Apresentação!$I$3='Base de Dados e filtragem'!J443),1,0)</f>
        <v>1</v>
      </c>
      <c r="AO443" s="25">
        <f>IF(OR(Apresentação!$I$4='Base de Dados e filtragem'!AO$2,Apresentação!$I$4='Base de Dados e filtragem'!K443),1,0)</f>
        <v>1</v>
      </c>
      <c r="AP443" s="25">
        <f>IF(OR(Apresentação!$I$5='Base de Dados e filtragem'!AP$2,Apresentação!$I$5='Base de Dados e filtragem'!L443),1,0)</f>
        <v>1</v>
      </c>
      <c r="AQ443" s="25">
        <f>IF(OR(Apresentação!$I$6='Base de Dados e filtragem'!AQ$2,Apresentação!$I$6='Base de Dados e filtragem'!M443),1,0)</f>
        <v>1</v>
      </c>
      <c r="AR443" s="25">
        <v>1</v>
      </c>
      <c r="AS443" s="25">
        <v>1</v>
      </c>
      <c r="AT443" s="25">
        <v>1</v>
      </c>
      <c r="AU443" s="25">
        <v>1</v>
      </c>
      <c r="AV443" s="25">
        <v>1</v>
      </c>
      <c r="AW443" s="25">
        <v>1</v>
      </c>
      <c r="AX443" s="25">
        <v>1</v>
      </c>
      <c r="AY443" s="25">
        <v>1</v>
      </c>
      <c r="AZ443" s="25">
        <v>1</v>
      </c>
      <c r="BA443" s="25">
        <v>1</v>
      </c>
      <c r="BB443" s="25">
        <v>1</v>
      </c>
      <c r="BC443" s="25">
        <v>1</v>
      </c>
      <c r="BD443" s="25">
        <v>1</v>
      </c>
    </row>
    <row r="444" spans="27:56" x14ac:dyDescent="0.25">
      <c r="AA444" s="68" t="str">
        <f t="shared" si="25"/>
        <v>Fotos\\.jpg</v>
      </c>
      <c r="AB444" s="53">
        <f t="shared" si="26"/>
        <v>2.2522522522522522E-3</v>
      </c>
      <c r="AC444" s="25">
        <f t="shared" si="27"/>
        <v>444</v>
      </c>
      <c r="AD444" s="51">
        <f t="shared" si="28"/>
        <v>1</v>
      </c>
      <c r="AE444" s="25">
        <v>1</v>
      </c>
      <c r="AF444" s="25">
        <v>1</v>
      </c>
      <c r="AG444" s="25">
        <v>1</v>
      </c>
      <c r="AH444" s="25">
        <v>1</v>
      </c>
      <c r="AI444" s="25">
        <f>IF(OR(Apresentação!$E$3='Base de Dados e filtragem'!AI$2,Apresentação!$E$3='Base de Dados e filtragem'!E444),1,0)</f>
        <v>1</v>
      </c>
      <c r="AJ444" s="25">
        <f>IF(OR(Apresentação!$E$4='Base de Dados e filtragem'!AJ$2,Apresentação!$E$4='Base de Dados e filtragem'!F444),1,0)</f>
        <v>1</v>
      </c>
      <c r="AK444" s="25">
        <f>IF(OR(Apresentação!$E$5='Base de Dados e filtragem'!AK$2,Apresentação!$E$5='Base de Dados e filtragem'!G444),1,0)</f>
        <v>1</v>
      </c>
      <c r="AL444" s="25">
        <f>IF(OR(Apresentação!$E$6='Base de Dados e filtragem'!AL$2,Apresentação!$E$6='Base de Dados e filtragem'!H444),1,0)</f>
        <v>1</v>
      </c>
      <c r="AM444" s="25">
        <f>IF(OR(Apresentação!$I$2='Base de Dados e filtragem'!AM$2,Apresentação!$I$2='Base de Dados e filtragem'!I444),1,0)</f>
        <v>1</v>
      </c>
      <c r="AN444" s="25">
        <f>IF(OR(Apresentação!$I$3='Base de Dados e filtragem'!AN$2,Apresentação!$I$3='Base de Dados e filtragem'!J444),1,0)</f>
        <v>1</v>
      </c>
      <c r="AO444" s="25">
        <f>IF(OR(Apresentação!$I$4='Base de Dados e filtragem'!AO$2,Apresentação!$I$4='Base de Dados e filtragem'!K444),1,0)</f>
        <v>1</v>
      </c>
      <c r="AP444" s="25">
        <f>IF(OR(Apresentação!$I$5='Base de Dados e filtragem'!AP$2,Apresentação!$I$5='Base de Dados e filtragem'!L444),1,0)</f>
        <v>1</v>
      </c>
      <c r="AQ444" s="25">
        <f>IF(OR(Apresentação!$I$6='Base de Dados e filtragem'!AQ$2,Apresentação!$I$6='Base de Dados e filtragem'!M444),1,0)</f>
        <v>1</v>
      </c>
      <c r="AR444" s="25">
        <v>1</v>
      </c>
      <c r="AS444" s="25">
        <v>1</v>
      </c>
      <c r="AT444" s="25">
        <v>1</v>
      </c>
      <c r="AU444" s="25">
        <v>1</v>
      </c>
      <c r="AV444" s="25">
        <v>1</v>
      </c>
      <c r="AW444" s="25">
        <v>1</v>
      </c>
      <c r="AX444" s="25">
        <v>1</v>
      </c>
      <c r="AY444" s="25">
        <v>1</v>
      </c>
      <c r="AZ444" s="25">
        <v>1</v>
      </c>
      <c r="BA444" s="25">
        <v>1</v>
      </c>
      <c r="BB444" s="25">
        <v>1</v>
      </c>
      <c r="BC444" s="25">
        <v>1</v>
      </c>
      <c r="BD444" s="25">
        <v>1</v>
      </c>
    </row>
    <row r="445" spans="27:56" x14ac:dyDescent="0.25">
      <c r="AA445" s="68" t="str">
        <f t="shared" si="25"/>
        <v>Fotos\\.jpg</v>
      </c>
      <c r="AB445" s="53">
        <f t="shared" si="26"/>
        <v>2.2471910112359553E-3</v>
      </c>
      <c r="AC445" s="25">
        <f t="shared" si="27"/>
        <v>445</v>
      </c>
      <c r="AD445" s="51">
        <f t="shared" si="28"/>
        <v>1</v>
      </c>
      <c r="AE445" s="25">
        <v>1</v>
      </c>
      <c r="AF445" s="25">
        <v>1</v>
      </c>
      <c r="AG445" s="25">
        <v>1</v>
      </c>
      <c r="AH445" s="25">
        <v>1</v>
      </c>
      <c r="AI445" s="25">
        <f>IF(OR(Apresentação!$E$3='Base de Dados e filtragem'!AI$2,Apresentação!$E$3='Base de Dados e filtragem'!E445),1,0)</f>
        <v>1</v>
      </c>
      <c r="AJ445" s="25">
        <f>IF(OR(Apresentação!$E$4='Base de Dados e filtragem'!AJ$2,Apresentação!$E$4='Base de Dados e filtragem'!F445),1,0)</f>
        <v>1</v>
      </c>
      <c r="AK445" s="25">
        <f>IF(OR(Apresentação!$E$5='Base de Dados e filtragem'!AK$2,Apresentação!$E$5='Base de Dados e filtragem'!G445),1,0)</f>
        <v>1</v>
      </c>
      <c r="AL445" s="25">
        <f>IF(OR(Apresentação!$E$6='Base de Dados e filtragem'!AL$2,Apresentação!$E$6='Base de Dados e filtragem'!H445),1,0)</f>
        <v>1</v>
      </c>
      <c r="AM445" s="25">
        <f>IF(OR(Apresentação!$I$2='Base de Dados e filtragem'!AM$2,Apresentação!$I$2='Base de Dados e filtragem'!I445),1,0)</f>
        <v>1</v>
      </c>
      <c r="AN445" s="25">
        <f>IF(OR(Apresentação!$I$3='Base de Dados e filtragem'!AN$2,Apresentação!$I$3='Base de Dados e filtragem'!J445),1,0)</f>
        <v>1</v>
      </c>
      <c r="AO445" s="25">
        <f>IF(OR(Apresentação!$I$4='Base de Dados e filtragem'!AO$2,Apresentação!$I$4='Base de Dados e filtragem'!K445),1,0)</f>
        <v>1</v>
      </c>
      <c r="AP445" s="25">
        <f>IF(OR(Apresentação!$I$5='Base de Dados e filtragem'!AP$2,Apresentação!$I$5='Base de Dados e filtragem'!L445),1,0)</f>
        <v>1</v>
      </c>
      <c r="AQ445" s="25">
        <f>IF(OR(Apresentação!$I$6='Base de Dados e filtragem'!AQ$2,Apresentação!$I$6='Base de Dados e filtragem'!M445),1,0)</f>
        <v>1</v>
      </c>
      <c r="AR445" s="25">
        <v>1</v>
      </c>
      <c r="AS445" s="25">
        <v>1</v>
      </c>
      <c r="AT445" s="25">
        <v>1</v>
      </c>
      <c r="AU445" s="25">
        <v>1</v>
      </c>
      <c r="AV445" s="25">
        <v>1</v>
      </c>
      <c r="AW445" s="25">
        <v>1</v>
      </c>
      <c r="AX445" s="25">
        <v>1</v>
      </c>
      <c r="AY445" s="25">
        <v>1</v>
      </c>
      <c r="AZ445" s="25">
        <v>1</v>
      </c>
      <c r="BA445" s="25">
        <v>1</v>
      </c>
      <c r="BB445" s="25">
        <v>1</v>
      </c>
      <c r="BC445" s="25">
        <v>1</v>
      </c>
      <c r="BD445" s="25">
        <v>1</v>
      </c>
    </row>
    <row r="446" spans="27:56" x14ac:dyDescent="0.25">
      <c r="AA446" s="68" t="str">
        <f t="shared" si="25"/>
        <v>Fotos\\.jpg</v>
      </c>
      <c r="AB446" s="53">
        <f t="shared" si="26"/>
        <v>2.242152466367713E-3</v>
      </c>
      <c r="AC446" s="25">
        <f t="shared" si="27"/>
        <v>446</v>
      </c>
      <c r="AD446" s="51">
        <f t="shared" si="28"/>
        <v>1</v>
      </c>
      <c r="AE446" s="25">
        <v>1</v>
      </c>
      <c r="AF446" s="25">
        <v>1</v>
      </c>
      <c r="AG446" s="25">
        <v>1</v>
      </c>
      <c r="AH446" s="25">
        <v>1</v>
      </c>
      <c r="AI446" s="25">
        <f>IF(OR(Apresentação!$E$3='Base de Dados e filtragem'!AI$2,Apresentação!$E$3='Base de Dados e filtragem'!E446),1,0)</f>
        <v>1</v>
      </c>
      <c r="AJ446" s="25">
        <f>IF(OR(Apresentação!$E$4='Base de Dados e filtragem'!AJ$2,Apresentação!$E$4='Base de Dados e filtragem'!F446),1,0)</f>
        <v>1</v>
      </c>
      <c r="AK446" s="25">
        <f>IF(OR(Apresentação!$E$5='Base de Dados e filtragem'!AK$2,Apresentação!$E$5='Base de Dados e filtragem'!G446),1,0)</f>
        <v>1</v>
      </c>
      <c r="AL446" s="25">
        <f>IF(OR(Apresentação!$E$6='Base de Dados e filtragem'!AL$2,Apresentação!$E$6='Base de Dados e filtragem'!H446),1,0)</f>
        <v>1</v>
      </c>
      <c r="AM446" s="25">
        <f>IF(OR(Apresentação!$I$2='Base de Dados e filtragem'!AM$2,Apresentação!$I$2='Base de Dados e filtragem'!I446),1,0)</f>
        <v>1</v>
      </c>
      <c r="AN446" s="25">
        <f>IF(OR(Apresentação!$I$3='Base de Dados e filtragem'!AN$2,Apresentação!$I$3='Base de Dados e filtragem'!J446),1,0)</f>
        <v>1</v>
      </c>
      <c r="AO446" s="25">
        <f>IF(OR(Apresentação!$I$4='Base de Dados e filtragem'!AO$2,Apresentação!$I$4='Base de Dados e filtragem'!K446),1,0)</f>
        <v>1</v>
      </c>
      <c r="AP446" s="25">
        <f>IF(OR(Apresentação!$I$5='Base de Dados e filtragem'!AP$2,Apresentação!$I$5='Base de Dados e filtragem'!L446),1,0)</f>
        <v>1</v>
      </c>
      <c r="AQ446" s="25">
        <f>IF(OR(Apresentação!$I$6='Base de Dados e filtragem'!AQ$2,Apresentação!$I$6='Base de Dados e filtragem'!M446),1,0)</f>
        <v>1</v>
      </c>
      <c r="AR446" s="25">
        <v>1</v>
      </c>
      <c r="AS446" s="25">
        <v>1</v>
      </c>
      <c r="AT446" s="25">
        <v>1</v>
      </c>
      <c r="AU446" s="25">
        <v>1</v>
      </c>
      <c r="AV446" s="25">
        <v>1</v>
      </c>
      <c r="AW446" s="25">
        <v>1</v>
      </c>
      <c r="AX446" s="25">
        <v>1</v>
      </c>
      <c r="AY446" s="25">
        <v>1</v>
      </c>
      <c r="AZ446" s="25">
        <v>1</v>
      </c>
      <c r="BA446" s="25">
        <v>1</v>
      </c>
      <c r="BB446" s="25">
        <v>1</v>
      </c>
      <c r="BC446" s="25">
        <v>1</v>
      </c>
      <c r="BD446" s="25">
        <v>1</v>
      </c>
    </row>
    <row r="447" spans="27:56" x14ac:dyDescent="0.25">
      <c r="AA447" s="68" t="str">
        <f t="shared" si="25"/>
        <v>Fotos\\.jpg</v>
      </c>
      <c r="AB447" s="53">
        <f t="shared" si="26"/>
        <v>2.2371364653243847E-3</v>
      </c>
      <c r="AC447" s="25">
        <f t="shared" si="27"/>
        <v>447</v>
      </c>
      <c r="AD447" s="51">
        <f t="shared" si="28"/>
        <v>1</v>
      </c>
      <c r="AE447" s="25">
        <v>1</v>
      </c>
      <c r="AF447" s="25">
        <v>1</v>
      </c>
      <c r="AG447" s="25">
        <v>1</v>
      </c>
      <c r="AH447" s="25">
        <v>1</v>
      </c>
      <c r="AI447" s="25">
        <f>IF(OR(Apresentação!$E$3='Base de Dados e filtragem'!AI$2,Apresentação!$E$3='Base de Dados e filtragem'!E447),1,0)</f>
        <v>1</v>
      </c>
      <c r="AJ447" s="25">
        <f>IF(OR(Apresentação!$E$4='Base de Dados e filtragem'!AJ$2,Apresentação!$E$4='Base de Dados e filtragem'!F447),1,0)</f>
        <v>1</v>
      </c>
      <c r="AK447" s="25">
        <f>IF(OR(Apresentação!$E$5='Base de Dados e filtragem'!AK$2,Apresentação!$E$5='Base de Dados e filtragem'!G447),1,0)</f>
        <v>1</v>
      </c>
      <c r="AL447" s="25">
        <f>IF(OR(Apresentação!$E$6='Base de Dados e filtragem'!AL$2,Apresentação!$E$6='Base de Dados e filtragem'!H447),1,0)</f>
        <v>1</v>
      </c>
      <c r="AM447" s="25">
        <f>IF(OR(Apresentação!$I$2='Base de Dados e filtragem'!AM$2,Apresentação!$I$2='Base de Dados e filtragem'!I447),1,0)</f>
        <v>1</v>
      </c>
      <c r="AN447" s="25">
        <f>IF(OR(Apresentação!$I$3='Base de Dados e filtragem'!AN$2,Apresentação!$I$3='Base de Dados e filtragem'!J447),1,0)</f>
        <v>1</v>
      </c>
      <c r="AO447" s="25">
        <f>IF(OR(Apresentação!$I$4='Base de Dados e filtragem'!AO$2,Apresentação!$I$4='Base de Dados e filtragem'!K447),1,0)</f>
        <v>1</v>
      </c>
      <c r="AP447" s="25">
        <f>IF(OR(Apresentação!$I$5='Base de Dados e filtragem'!AP$2,Apresentação!$I$5='Base de Dados e filtragem'!L447),1,0)</f>
        <v>1</v>
      </c>
      <c r="AQ447" s="25">
        <f>IF(OR(Apresentação!$I$6='Base de Dados e filtragem'!AQ$2,Apresentação!$I$6='Base de Dados e filtragem'!M447),1,0)</f>
        <v>1</v>
      </c>
      <c r="AR447" s="25">
        <v>1</v>
      </c>
      <c r="AS447" s="25">
        <v>1</v>
      </c>
      <c r="AT447" s="25">
        <v>1</v>
      </c>
      <c r="AU447" s="25">
        <v>1</v>
      </c>
      <c r="AV447" s="25">
        <v>1</v>
      </c>
      <c r="AW447" s="25">
        <v>1</v>
      </c>
      <c r="AX447" s="25">
        <v>1</v>
      </c>
      <c r="AY447" s="25">
        <v>1</v>
      </c>
      <c r="AZ447" s="25">
        <v>1</v>
      </c>
      <c r="BA447" s="25">
        <v>1</v>
      </c>
      <c r="BB447" s="25">
        <v>1</v>
      </c>
      <c r="BC447" s="25">
        <v>1</v>
      </c>
      <c r="BD447" s="25">
        <v>1</v>
      </c>
    </row>
    <row r="448" spans="27:56" x14ac:dyDescent="0.25">
      <c r="AA448" s="68" t="str">
        <f t="shared" si="25"/>
        <v>Fotos\\.jpg</v>
      </c>
      <c r="AB448" s="53">
        <f t="shared" si="26"/>
        <v>2.232142857142857E-3</v>
      </c>
      <c r="AC448" s="25">
        <f t="shared" si="27"/>
        <v>448</v>
      </c>
      <c r="AD448" s="51">
        <f t="shared" si="28"/>
        <v>1</v>
      </c>
      <c r="AE448" s="25">
        <v>1</v>
      </c>
      <c r="AF448" s="25">
        <v>1</v>
      </c>
      <c r="AG448" s="25">
        <v>1</v>
      </c>
      <c r="AH448" s="25">
        <v>1</v>
      </c>
      <c r="AI448" s="25">
        <f>IF(OR(Apresentação!$E$3='Base de Dados e filtragem'!AI$2,Apresentação!$E$3='Base de Dados e filtragem'!E448),1,0)</f>
        <v>1</v>
      </c>
      <c r="AJ448" s="25">
        <f>IF(OR(Apresentação!$E$4='Base de Dados e filtragem'!AJ$2,Apresentação!$E$4='Base de Dados e filtragem'!F448),1,0)</f>
        <v>1</v>
      </c>
      <c r="AK448" s="25">
        <f>IF(OR(Apresentação!$E$5='Base de Dados e filtragem'!AK$2,Apresentação!$E$5='Base de Dados e filtragem'!G448),1,0)</f>
        <v>1</v>
      </c>
      <c r="AL448" s="25">
        <f>IF(OR(Apresentação!$E$6='Base de Dados e filtragem'!AL$2,Apresentação!$E$6='Base de Dados e filtragem'!H448),1,0)</f>
        <v>1</v>
      </c>
      <c r="AM448" s="25">
        <f>IF(OR(Apresentação!$I$2='Base de Dados e filtragem'!AM$2,Apresentação!$I$2='Base de Dados e filtragem'!I448),1,0)</f>
        <v>1</v>
      </c>
      <c r="AN448" s="25">
        <f>IF(OR(Apresentação!$I$3='Base de Dados e filtragem'!AN$2,Apresentação!$I$3='Base de Dados e filtragem'!J448),1,0)</f>
        <v>1</v>
      </c>
      <c r="AO448" s="25">
        <f>IF(OR(Apresentação!$I$4='Base de Dados e filtragem'!AO$2,Apresentação!$I$4='Base de Dados e filtragem'!K448),1,0)</f>
        <v>1</v>
      </c>
      <c r="AP448" s="25">
        <f>IF(OR(Apresentação!$I$5='Base de Dados e filtragem'!AP$2,Apresentação!$I$5='Base de Dados e filtragem'!L448),1,0)</f>
        <v>1</v>
      </c>
      <c r="AQ448" s="25">
        <f>IF(OR(Apresentação!$I$6='Base de Dados e filtragem'!AQ$2,Apresentação!$I$6='Base de Dados e filtragem'!M448),1,0)</f>
        <v>1</v>
      </c>
      <c r="AR448" s="25">
        <v>1</v>
      </c>
      <c r="AS448" s="25">
        <v>1</v>
      </c>
      <c r="AT448" s="25">
        <v>1</v>
      </c>
      <c r="AU448" s="25">
        <v>1</v>
      </c>
      <c r="AV448" s="25">
        <v>1</v>
      </c>
      <c r="AW448" s="25">
        <v>1</v>
      </c>
      <c r="AX448" s="25">
        <v>1</v>
      </c>
      <c r="AY448" s="25">
        <v>1</v>
      </c>
      <c r="AZ448" s="25">
        <v>1</v>
      </c>
      <c r="BA448" s="25">
        <v>1</v>
      </c>
      <c r="BB448" s="25">
        <v>1</v>
      </c>
      <c r="BC448" s="25">
        <v>1</v>
      </c>
      <c r="BD448" s="25">
        <v>1</v>
      </c>
    </row>
    <row r="449" spans="27:56" x14ac:dyDescent="0.25">
      <c r="AA449" s="68" t="str">
        <f t="shared" si="25"/>
        <v>Fotos\\.jpg</v>
      </c>
      <c r="AB449" s="53">
        <f t="shared" si="26"/>
        <v>2.2271714922048997E-3</v>
      </c>
      <c r="AC449" s="25">
        <f t="shared" si="27"/>
        <v>449</v>
      </c>
      <c r="AD449" s="51">
        <f t="shared" si="28"/>
        <v>1</v>
      </c>
      <c r="AE449" s="25">
        <v>1</v>
      </c>
      <c r="AF449" s="25">
        <v>1</v>
      </c>
      <c r="AG449" s="25">
        <v>1</v>
      </c>
      <c r="AH449" s="25">
        <v>1</v>
      </c>
      <c r="AI449" s="25">
        <f>IF(OR(Apresentação!$E$3='Base de Dados e filtragem'!AI$2,Apresentação!$E$3='Base de Dados e filtragem'!E449),1,0)</f>
        <v>1</v>
      </c>
      <c r="AJ449" s="25">
        <f>IF(OR(Apresentação!$E$4='Base de Dados e filtragem'!AJ$2,Apresentação!$E$4='Base de Dados e filtragem'!F449),1,0)</f>
        <v>1</v>
      </c>
      <c r="AK449" s="25">
        <f>IF(OR(Apresentação!$E$5='Base de Dados e filtragem'!AK$2,Apresentação!$E$5='Base de Dados e filtragem'!G449),1,0)</f>
        <v>1</v>
      </c>
      <c r="AL449" s="25">
        <f>IF(OR(Apresentação!$E$6='Base de Dados e filtragem'!AL$2,Apresentação!$E$6='Base de Dados e filtragem'!H449),1,0)</f>
        <v>1</v>
      </c>
      <c r="AM449" s="25">
        <f>IF(OR(Apresentação!$I$2='Base de Dados e filtragem'!AM$2,Apresentação!$I$2='Base de Dados e filtragem'!I449),1,0)</f>
        <v>1</v>
      </c>
      <c r="AN449" s="25">
        <f>IF(OR(Apresentação!$I$3='Base de Dados e filtragem'!AN$2,Apresentação!$I$3='Base de Dados e filtragem'!J449),1,0)</f>
        <v>1</v>
      </c>
      <c r="AO449" s="25">
        <f>IF(OR(Apresentação!$I$4='Base de Dados e filtragem'!AO$2,Apresentação!$I$4='Base de Dados e filtragem'!K449),1,0)</f>
        <v>1</v>
      </c>
      <c r="AP449" s="25">
        <f>IF(OR(Apresentação!$I$5='Base de Dados e filtragem'!AP$2,Apresentação!$I$5='Base de Dados e filtragem'!L449),1,0)</f>
        <v>1</v>
      </c>
      <c r="AQ449" s="25">
        <f>IF(OR(Apresentação!$I$6='Base de Dados e filtragem'!AQ$2,Apresentação!$I$6='Base de Dados e filtragem'!M449),1,0)</f>
        <v>1</v>
      </c>
      <c r="AR449" s="25">
        <v>1</v>
      </c>
      <c r="AS449" s="25">
        <v>1</v>
      </c>
      <c r="AT449" s="25">
        <v>1</v>
      </c>
      <c r="AU449" s="25">
        <v>1</v>
      </c>
      <c r="AV449" s="25">
        <v>1</v>
      </c>
      <c r="AW449" s="25">
        <v>1</v>
      </c>
      <c r="AX449" s="25">
        <v>1</v>
      </c>
      <c r="AY449" s="25">
        <v>1</v>
      </c>
      <c r="AZ449" s="25">
        <v>1</v>
      </c>
      <c r="BA449" s="25">
        <v>1</v>
      </c>
      <c r="BB449" s="25">
        <v>1</v>
      </c>
      <c r="BC449" s="25">
        <v>1</v>
      </c>
      <c r="BD449" s="25">
        <v>1</v>
      </c>
    </row>
    <row r="450" spans="27:56" x14ac:dyDescent="0.25">
      <c r="AA450" s="68" t="str">
        <f t="shared" si="25"/>
        <v>Fotos\\.jpg</v>
      </c>
      <c r="AB450" s="53">
        <f t="shared" si="26"/>
        <v>2.2222222222222222E-3</v>
      </c>
      <c r="AC450" s="25">
        <f t="shared" si="27"/>
        <v>450</v>
      </c>
      <c r="AD450" s="51">
        <f t="shared" si="28"/>
        <v>1</v>
      </c>
      <c r="AE450" s="25">
        <v>1</v>
      </c>
      <c r="AF450" s="25">
        <v>1</v>
      </c>
      <c r="AG450" s="25">
        <v>1</v>
      </c>
      <c r="AH450" s="25">
        <v>1</v>
      </c>
      <c r="AI450" s="25">
        <f>IF(OR(Apresentação!$E$3='Base de Dados e filtragem'!AI$2,Apresentação!$E$3='Base de Dados e filtragem'!E450),1,0)</f>
        <v>1</v>
      </c>
      <c r="AJ450" s="25">
        <f>IF(OR(Apresentação!$E$4='Base de Dados e filtragem'!AJ$2,Apresentação!$E$4='Base de Dados e filtragem'!F450),1,0)</f>
        <v>1</v>
      </c>
      <c r="AK450" s="25">
        <f>IF(OR(Apresentação!$E$5='Base de Dados e filtragem'!AK$2,Apresentação!$E$5='Base de Dados e filtragem'!G450),1,0)</f>
        <v>1</v>
      </c>
      <c r="AL450" s="25">
        <f>IF(OR(Apresentação!$E$6='Base de Dados e filtragem'!AL$2,Apresentação!$E$6='Base de Dados e filtragem'!H450),1,0)</f>
        <v>1</v>
      </c>
      <c r="AM450" s="25">
        <f>IF(OR(Apresentação!$I$2='Base de Dados e filtragem'!AM$2,Apresentação!$I$2='Base de Dados e filtragem'!I450),1,0)</f>
        <v>1</v>
      </c>
      <c r="AN450" s="25">
        <f>IF(OR(Apresentação!$I$3='Base de Dados e filtragem'!AN$2,Apresentação!$I$3='Base de Dados e filtragem'!J450),1,0)</f>
        <v>1</v>
      </c>
      <c r="AO450" s="25">
        <f>IF(OR(Apresentação!$I$4='Base de Dados e filtragem'!AO$2,Apresentação!$I$4='Base de Dados e filtragem'!K450),1,0)</f>
        <v>1</v>
      </c>
      <c r="AP450" s="25">
        <f>IF(OR(Apresentação!$I$5='Base de Dados e filtragem'!AP$2,Apresentação!$I$5='Base de Dados e filtragem'!L450),1,0)</f>
        <v>1</v>
      </c>
      <c r="AQ450" s="25">
        <f>IF(OR(Apresentação!$I$6='Base de Dados e filtragem'!AQ$2,Apresentação!$I$6='Base de Dados e filtragem'!M450),1,0)</f>
        <v>1</v>
      </c>
      <c r="AR450" s="25">
        <v>1</v>
      </c>
      <c r="AS450" s="25">
        <v>1</v>
      </c>
      <c r="AT450" s="25">
        <v>1</v>
      </c>
      <c r="AU450" s="25">
        <v>1</v>
      </c>
      <c r="AV450" s="25">
        <v>1</v>
      </c>
      <c r="AW450" s="25">
        <v>1</v>
      </c>
      <c r="AX450" s="25">
        <v>1</v>
      </c>
      <c r="AY450" s="25">
        <v>1</v>
      </c>
      <c r="AZ450" s="25">
        <v>1</v>
      </c>
      <c r="BA450" s="25">
        <v>1</v>
      </c>
      <c r="BB450" s="25">
        <v>1</v>
      </c>
      <c r="BC450" s="25">
        <v>1</v>
      </c>
      <c r="BD450" s="25">
        <v>1</v>
      </c>
    </row>
    <row r="451" spans="27:56" x14ac:dyDescent="0.25">
      <c r="AA451" s="68" t="str">
        <f t="shared" si="25"/>
        <v>Fotos\\.jpg</v>
      </c>
      <c r="AB451" s="53">
        <f t="shared" si="26"/>
        <v>2.2172949002217295E-3</v>
      </c>
      <c r="AC451" s="25">
        <f t="shared" si="27"/>
        <v>451</v>
      </c>
      <c r="AD451" s="51">
        <f t="shared" si="28"/>
        <v>1</v>
      </c>
      <c r="AE451" s="25">
        <v>1</v>
      </c>
      <c r="AF451" s="25">
        <v>1</v>
      </c>
      <c r="AG451" s="25">
        <v>1</v>
      </c>
      <c r="AH451" s="25">
        <v>1</v>
      </c>
      <c r="AI451" s="25">
        <f>IF(OR(Apresentação!$E$3='Base de Dados e filtragem'!AI$2,Apresentação!$E$3='Base de Dados e filtragem'!E451),1,0)</f>
        <v>1</v>
      </c>
      <c r="AJ451" s="25">
        <f>IF(OR(Apresentação!$E$4='Base de Dados e filtragem'!AJ$2,Apresentação!$E$4='Base de Dados e filtragem'!F451),1,0)</f>
        <v>1</v>
      </c>
      <c r="AK451" s="25">
        <f>IF(OR(Apresentação!$E$5='Base de Dados e filtragem'!AK$2,Apresentação!$E$5='Base de Dados e filtragem'!G451),1,0)</f>
        <v>1</v>
      </c>
      <c r="AL451" s="25">
        <f>IF(OR(Apresentação!$E$6='Base de Dados e filtragem'!AL$2,Apresentação!$E$6='Base de Dados e filtragem'!H451),1,0)</f>
        <v>1</v>
      </c>
      <c r="AM451" s="25">
        <f>IF(OR(Apresentação!$I$2='Base de Dados e filtragem'!AM$2,Apresentação!$I$2='Base de Dados e filtragem'!I451),1,0)</f>
        <v>1</v>
      </c>
      <c r="AN451" s="25">
        <f>IF(OR(Apresentação!$I$3='Base de Dados e filtragem'!AN$2,Apresentação!$I$3='Base de Dados e filtragem'!J451),1,0)</f>
        <v>1</v>
      </c>
      <c r="AO451" s="25">
        <f>IF(OR(Apresentação!$I$4='Base de Dados e filtragem'!AO$2,Apresentação!$I$4='Base de Dados e filtragem'!K451),1,0)</f>
        <v>1</v>
      </c>
      <c r="AP451" s="25">
        <f>IF(OR(Apresentação!$I$5='Base de Dados e filtragem'!AP$2,Apresentação!$I$5='Base de Dados e filtragem'!L451),1,0)</f>
        <v>1</v>
      </c>
      <c r="AQ451" s="25">
        <f>IF(OR(Apresentação!$I$6='Base de Dados e filtragem'!AQ$2,Apresentação!$I$6='Base de Dados e filtragem'!M451),1,0)</f>
        <v>1</v>
      </c>
      <c r="AR451" s="25">
        <v>1</v>
      </c>
      <c r="AS451" s="25">
        <v>1</v>
      </c>
      <c r="AT451" s="25">
        <v>1</v>
      </c>
      <c r="AU451" s="25">
        <v>1</v>
      </c>
      <c r="AV451" s="25">
        <v>1</v>
      </c>
      <c r="AW451" s="25">
        <v>1</v>
      </c>
      <c r="AX451" s="25">
        <v>1</v>
      </c>
      <c r="AY451" s="25">
        <v>1</v>
      </c>
      <c r="AZ451" s="25">
        <v>1</v>
      </c>
      <c r="BA451" s="25">
        <v>1</v>
      </c>
      <c r="BB451" s="25">
        <v>1</v>
      </c>
      <c r="BC451" s="25">
        <v>1</v>
      </c>
      <c r="BD451" s="25">
        <v>1</v>
      </c>
    </row>
    <row r="452" spans="27:56" x14ac:dyDescent="0.25">
      <c r="AA452" s="68" t="str">
        <f t="shared" ref="AA452:AA515" si="29">"Fotos\"&amp;I452&amp;"\"&amp;A452&amp;".jpg"</f>
        <v>Fotos\\.jpg</v>
      </c>
      <c r="AB452" s="53">
        <f t="shared" ref="AB452:AB515" si="30">AD452/AC452</f>
        <v>2.2123893805309734E-3</v>
      </c>
      <c r="AC452" s="25">
        <f t="shared" ref="AC452:AC515" si="31">AC451+1</f>
        <v>452</v>
      </c>
      <c r="AD452" s="51">
        <f t="shared" ref="AD452:AD515" si="32">PRODUCT(AE452:BD452)</f>
        <v>1</v>
      </c>
      <c r="AE452" s="25">
        <v>1</v>
      </c>
      <c r="AF452" s="25">
        <v>1</v>
      </c>
      <c r="AG452" s="25">
        <v>1</v>
      </c>
      <c r="AH452" s="25">
        <v>1</v>
      </c>
      <c r="AI452" s="25">
        <f>IF(OR(Apresentação!$E$3='Base de Dados e filtragem'!AI$2,Apresentação!$E$3='Base de Dados e filtragem'!E452),1,0)</f>
        <v>1</v>
      </c>
      <c r="AJ452" s="25">
        <f>IF(OR(Apresentação!$E$4='Base de Dados e filtragem'!AJ$2,Apresentação!$E$4='Base de Dados e filtragem'!F452),1,0)</f>
        <v>1</v>
      </c>
      <c r="AK452" s="25">
        <f>IF(OR(Apresentação!$E$5='Base de Dados e filtragem'!AK$2,Apresentação!$E$5='Base de Dados e filtragem'!G452),1,0)</f>
        <v>1</v>
      </c>
      <c r="AL452" s="25">
        <f>IF(OR(Apresentação!$E$6='Base de Dados e filtragem'!AL$2,Apresentação!$E$6='Base de Dados e filtragem'!H452),1,0)</f>
        <v>1</v>
      </c>
      <c r="AM452" s="25">
        <f>IF(OR(Apresentação!$I$2='Base de Dados e filtragem'!AM$2,Apresentação!$I$2='Base de Dados e filtragem'!I452),1,0)</f>
        <v>1</v>
      </c>
      <c r="AN452" s="25">
        <f>IF(OR(Apresentação!$I$3='Base de Dados e filtragem'!AN$2,Apresentação!$I$3='Base de Dados e filtragem'!J452),1,0)</f>
        <v>1</v>
      </c>
      <c r="AO452" s="25">
        <f>IF(OR(Apresentação!$I$4='Base de Dados e filtragem'!AO$2,Apresentação!$I$4='Base de Dados e filtragem'!K452),1,0)</f>
        <v>1</v>
      </c>
      <c r="AP452" s="25">
        <f>IF(OR(Apresentação!$I$5='Base de Dados e filtragem'!AP$2,Apresentação!$I$5='Base de Dados e filtragem'!L452),1,0)</f>
        <v>1</v>
      </c>
      <c r="AQ452" s="25">
        <f>IF(OR(Apresentação!$I$6='Base de Dados e filtragem'!AQ$2,Apresentação!$I$6='Base de Dados e filtragem'!M452),1,0)</f>
        <v>1</v>
      </c>
      <c r="AR452" s="25">
        <v>1</v>
      </c>
      <c r="AS452" s="25">
        <v>1</v>
      </c>
      <c r="AT452" s="25">
        <v>1</v>
      </c>
      <c r="AU452" s="25">
        <v>1</v>
      </c>
      <c r="AV452" s="25">
        <v>1</v>
      </c>
      <c r="AW452" s="25">
        <v>1</v>
      </c>
      <c r="AX452" s="25">
        <v>1</v>
      </c>
      <c r="AY452" s="25">
        <v>1</v>
      </c>
      <c r="AZ452" s="25">
        <v>1</v>
      </c>
      <c r="BA452" s="25">
        <v>1</v>
      </c>
      <c r="BB452" s="25">
        <v>1</v>
      </c>
      <c r="BC452" s="25">
        <v>1</v>
      </c>
      <c r="BD452" s="25">
        <v>1</v>
      </c>
    </row>
    <row r="453" spans="27:56" x14ac:dyDescent="0.25">
      <c r="AA453" s="68" t="str">
        <f t="shared" si="29"/>
        <v>Fotos\\.jpg</v>
      </c>
      <c r="AB453" s="53">
        <f t="shared" si="30"/>
        <v>2.2075055187637969E-3</v>
      </c>
      <c r="AC453" s="25">
        <f t="shared" si="31"/>
        <v>453</v>
      </c>
      <c r="AD453" s="51">
        <f t="shared" si="32"/>
        <v>1</v>
      </c>
      <c r="AE453" s="25">
        <v>1</v>
      </c>
      <c r="AF453" s="25">
        <v>1</v>
      </c>
      <c r="AG453" s="25">
        <v>1</v>
      </c>
      <c r="AH453" s="25">
        <v>1</v>
      </c>
      <c r="AI453" s="25">
        <f>IF(OR(Apresentação!$E$3='Base de Dados e filtragem'!AI$2,Apresentação!$E$3='Base de Dados e filtragem'!E453),1,0)</f>
        <v>1</v>
      </c>
      <c r="AJ453" s="25">
        <f>IF(OR(Apresentação!$E$4='Base de Dados e filtragem'!AJ$2,Apresentação!$E$4='Base de Dados e filtragem'!F453),1,0)</f>
        <v>1</v>
      </c>
      <c r="AK453" s="25">
        <f>IF(OR(Apresentação!$E$5='Base de Dados e filtragem'!AK$2,Apresentação!$E$5='Base de Dados e filtragem'!G453),1,0)</f>
        <v>1</v>
      </c>
      <c r="AL453" s="25">
        <f>IF(OR(Apresentação!$E$6='Base de Dados e filtragem'!AL$2,Apresentação!$E$6='Base de Dados e filtragem'!H453),1,0)</f>
        <v>1</v>
      </c>
      <c r="AM453" s="25">
        <f>IF(OR(Apresentação!$I$2='Base de Dados e filtragem'!AM$2,Apresentação!$I$2='Base de Dados e filtragem'!I453),1,0)</f>
        <v>1</v>
      </c>
      <c r="AN453" s="25">
        <f>IF(OR(Apresentação!$I$3='Base de Dados e filtragem'!AN$2,Apresentação!$I$3='Base de Dados e filtragem'!J453),1,0)</f>
        <v>1</v>
      </c>
      <c r="AO453" s="25">
        <f>IF(OR(Apresentação!$I$4='Base de Dados e filtragem'!AO$2,Apresentação!$I$4='Base de Dados e filtragem'!K453),1,0)</f>
        <v>1</v>
      </c>
      <c r="AP453" s="25">
        <f>IF(OR(Apresentação!$I$5='Base de Dados e filtragem'!AP$2,Apresentação!$I$5='Base de Dados e filtragem'!L453),1,0)</f>
        <v>1</v>
      </c>
      <c r="AQ453" s="25">
        <f>IF(OR(Apresentação!$I$6='Base de Dados e filtragem'!AQ$2,Apresentação!$I$6='Base de Dados e filtragem'!M453),1,0)</f>
        <v>1</v>
      </c>
      <c r="AR453" s="25">
        <v>1</v>
      </c>
      <c r="AS453" s="25">
        <v>1</v>
      </c>
      <c r="AT453" s="25">
        <v>1</v>
      </c>
      <c r="AU453" s="25">
        <v>1</v>
      </c>
      <c r="AV453" s="25">
        <v>1</v>
      </c>
      <c r="AW453" s="25">
        <v>1</v>
      </c>
      <c r="AX453" s="25">
        <v>1</v>
      </c>
      <c r="AY453" s="25">
        <v>1</v>
      </c>
      <c r="AZ453" s="25">
        <v>1</v>
      </c>
      <c r="BA453" s="25">
        <v>1</v>
      </c>
      <c r="BB453" s="25">
        <v>1</v>
      </c>
      <c r="BC453" s="25">
        <v>1</v>
      </c>
      <c r="BD453" s="25">
        <v>1</v>
      </c>
    </row>
    <row r="454" spans="27:56" x14ac:dyDescent="0.25">
      <c r="AA454" s="68" t="str">
        <f t="shared" si="29"/>
        <v>Fotos\\.jpg</v>
      </c>
      <c r="AB454" s="53">
        <f t="shared" si="30"/>
        <v>2.2026431718061676E-3</v>
      </c>
      <c r="AC454" s="25">
        <f t="shared" si="31"/>
        <v>454</v>
      </c>
      <c r="AD454" s="51">
        <f t="shared" si="32"/>
        <v>1</v>
      </c>
      <c r="AE454" s="25">
        <v>1</v>
      </c>
      <c r="AF454" s="25">
        <v>1</v>
      </c>
      <c r="AG454" s="25">
        <v>1</v>
      </c>
      <c r="AH454" s="25">
        <v>1</v>
      </c>
      <c r="AI454" s="25">
        <f>IF(OR(Apresentação!$E$3='Base de Dados e filtragem'!AI$2,Apresentação!$E$3='Base de Dados e filtragem'!E454),1,0)</f>
        <v>1</v>
      </c>
      <c r="AJ454" s="25">
        <f>IF(OR(Apresentação!$E$4='Base de Dados e filtragem'!AJ$2,Apresentação!$E$4='Base de Dados e filtragem'!F454),1,0)</f>
        <v>1</v>
      </c>
      <c r="AK454" s="25">
        <f>IF(OR(Apresentação!$E$5='Base de Dados e filtragem'!AK$2,Apresentação!$E$5='Base de Dados e filtragem'!G454),1,0)</f>
        <v>1</v>
      </c>
      <c r="AL454" s="25">
        <f>IF(OR(Apresentação!$E$6='Base de Dados e filtragem'!AL$2,Apresentação!$E$6='Base de Dados e filtragem'!H454),1,0)</f>
        <v>1</v>
      </c>
      <c r="AM454" s="25">
        <f>IF(OR(Apresentação!$I$2='Base de Dados e filtragem'!AM$2,Apresentação!$I$2='Base de Dados e filtragem'!I454),1,0)</f>
        <v>1</v>
      </c>
      <c r="AN454" s="25">
        <f>IF(OR(Apresentação!$I$3='Base de Dados e filtragem'!AN$2,Apresentação!$I$3='Base de Dados e filtragem'!J454),1,0)</f>
        <v>1</v>
      </c>
      <c r="AO454" s="25">
        <f>IF(OR(Apresentação!$I$4='Base de Dados e filtragem'!AO$2,Apresentação!$I$4='Base de Dados e filtragem'!K454),1,0)</f>
        <v>1</v>
      </c>
      <c r="AP454" s="25">
        <f>IF(OR(Apresentação!$I$5='Base de Dados e filtragem'!AP$2,Apresentação!$I$5='Base de Dados e filtragem'!L454),1,0)</f>
        <v>1</v>
      </c>
      <c r="AQ454" s="25">
        <f>IF(OR(Apresentação!$I$6='Base de Dados e filtragem'!AQ$2,Apresentação!$I$6='Base de Dados e filtragem'!M454),1,0)</f>
        <v>1</v>
      </c>
      <c r="AR454" s="25">
        <v>1</v>
      </c>
      <c r="AS454" s="25">
        <v>1</v>
      </c>
      <c r="AT454" s="25">
        <v>1</v>
      </c>
      <c r="AU454" s="25">
        <v>1</v>
      </c>
      <c r="AV454" s="25">
        <v>1</v>
      </c>
      <c r="AW454" s="25">
        <v>1</v>
      </c>
      <c r="AX454" s="25">
        <v>1</v>
      </c>
      <c r="AY454" s="25">
        <v>1</v>
      </c>
      <c r="AZ454" s="25">
        <v>1</v>
      </c>
      <c r="BA454" s="25">
        <v>1</v>
      </c>
      <c r="BB454" s="25">
        <v>1</v>
      </c>
      <c r="BC454" s="25">
        <v>1</v>
      </c>
      <c r="BD454" s="25">
        <v>1</v>
      </c>
    </row>
    <row r="455" spans="27:56" x14ac:dyDescent="0.25">
      <c r="AA455" s="68" t="str">
        <f t="shared" si="29"/>
        <v>Fotos\\.jpg</v>
      </c>
      <c r="AB455" s="53">
        <f t="shared" si="30"/>
        <v>2.1978021978021978E-3</v>
      </c>
      <c r="AC455" s="25">
        <f t="shared" si="31"/>
        <v>455</v>
      </c>
      <c r="AD455" s="51">
        <f t="shared" si="32"/>
        <v>1</v>
      </c>
      <c r="AE455" s="25">
        <v>1</v>
      </c>
      <c r="AF455" s="25">
        <v>1</v>
      </c>
      <c r="AG455" s="25">
        <v>1</v>
      </c>
      <c r="AH455" s="25">
        <v>1</v>
      </c>
      <c r="AI455" s="25">
        <f>IF(OR(Apresentação!$E$3='Base de Dados e filtragem'!AI$2,Apresentação!$E$3='Base de Dados e filtragem'!E455),1,0)</f>
        <v>1</v>
      </c>
      <c r="AJ455" s="25">
        <f>IF(OR(Apresentação!$E$4='Base de Dados e filtragem'!AJ$2,Apresentação!$E$4='Base de Dados e filtragem'!F455),1,0)</f>
        <v>1</v>
      </c>
      <c r="AK455" s="25">
        <f>IF(OR(Apresentação!$E$5='Base de Dados e filtragem'!AK$2,Apresentação!$E$5='Base de Dados e filtragem'!G455),1,0)</f>
        <v>1</v>
      </c>
      <c r="AL455" s="25">
        <f>IF(OR(Apresentação!$E$6='Base de Dados e filtragem'!AL$2,Apresentação!$E$6='Base de Dados e filtragem'!H455),1,0)</f>
        <v>1</v>
      </c>
      <c r="AM455" s="25">
        <f>IF(OR(Apresentação!$I$2='Base de Dados e filtragem'!AM$2,Apresentação!$I$2='Base de Dados e filtragem'!I455),1,0)</f>
        <v>1</v>
      </c>
      <c r="AN455" s="25">
        <f>IF(OR(Apresentação!$I$3='Base de Dados e filtragem'!AN$2,Apresentação!$I$3='Base de Dados e filtragem'!J455),1,0)</f>
        <v>1</v>
      </c>
      <c r="AO455" s="25">
        <f>IF(OR(Apresentação!$I$4='Base de Dados e filtragem'!AO$2,Apresentação!$I$4='Base de Dados e filtragem'!K455),1,0)</f>
        <v>1</v>
      </c>
      <c r="AP455" s="25">
        <f>IF(OR(Apresentação!$I$5='Base de Dados e filtragem'!AP$2,Apresentação!$I$5='Base de Dados e filtragem'!L455),1,0)</f>
        <v>1</v>
      </c>
      <c r="AQ455" s="25">
        <f>IF(OR(Apresentação!$I$6='Base de Dados e filtragem'!AQ$2,Apresentação!$I$6='Base de Dados e filtragem'!M455),1,0)</f>
        <v>1</v>
      </c>
      <c r="AR455" s="25">
        <v>1</v>
      </c>
      <c r="AS455" s="25">
        <v>1</v>
      </c>
      <c r="AT455" s="25">
        <v>1</v>
      </c>
      <c r="AU455" s="25">
        <v>1</v>
      </c>
      <c r="AV455" s="25">
        <v>1</v>
      </c>
      <c r="AW455" s="25">
        <v>1</v>
      </c>
      <c r="AX455" s="25">
        <v>1</v>
      </c>
      <c r="AY455" s="25">
        <v>1</v>
      </c>
      <c r="AZ455" s="25">
        <v>1</v>
      </c>
      <c r="BA455" s="25">
        <v>1</v>
      </c>
      <c r="BB455" s="25">
        <v>1</v>
      </c>
      <c r="BC455" s="25">
        <v>1</v>
      </c>
      <c r="BD455" s="25">
        <v>1</v>
      </c>
    </row>
    <row r="456" spans="27:56" x14ac:dyDescent="0.25">
      <c r="AA456" s="68" t="str">
        <f t="shared" si="29"/>
        <v>Fotos\\.jpg</v>
      </c>
      <c r="AB456" s="53">
        <f t="shared" si="30"/>
        <v>2.1929824561403508E-3</v>
      </c>
      <c r="AC456" s="25">
        <f t="shared" si="31"/>
        <v>456</v>
      </c>
      <c r="AD456" s="51">
        <f t="shared" si="32"/>
        <v>1</v>
      </c>
      <c r="AE456" s="25">
        <v>1</v>
      </c>
      <c r="AF456" s="25">
        <v>1</v>
      </c>
      <c r="AG456" s="25">
        <v>1</v>
      </c>
      <c r="AH456" s="25">
        <v>1</v>
      </c>
      <c r="AI456" s="25">
        <f>IF(OR(Apresentação!$E$3='Base de Dados e filtragem'!AI$2,Apresentação!$E$3='Base de Dados e filtragem'!E456),1,0)</f>
        <v>1</v>
      </c>
      <c r="AJ456" s="25">
        <f>IF(OR(Apresentação!$E$4='Base de Dados e filtragem'!AJ$2,Apresentação!$E$4='Base de Dados e filtragem'!F456),1,0)</f>
        <v>1</v>
      </c>
      <c r="AK456" s="25">
        <f>IF(OR(Apresentação!$E$5='Base de Dados e filtragem'!AK$2,Apresentação!$E$5='Base de Dados e filtragem'!G456),1,0)</f>
        <v>1</v>
      </c>
      <c r="AL456" s="25">
        <f>IF(OR(Apresentação!$E$6='Base de Dados e filtragem'!AL$2,Apresentação!$E$6='Base de Dados e filtragem'!H456),1,0)</f>
        <v>1</v>
      </c>
      <c r="AM456" s="25">
        <f>IF(OR(Apresentação!$I$2='Base de Dados e filtragem'!AM$2,Apresentação!$I$2='Base de Dados e filtragem'!I456),1,0)</f>
        <v>1</v>
      </c>
      <c r="AN456" s="25">
        <f>IF(OR(Apresentação!$I$3='Base de Dados e filtragem'!AN$2,Apresentação!$I$3='Base de Dados e filtragem'!J456),1,0)</f>
        <v>1</v>
      </c>
      <c r="AO456" s="25">
        <f>IF(OR(Apresentação!$I$4='Base de Dados e filtragem'!AO$2,Apresentação!$I$4='Base de Dados e filtragem'!K456),1,0)</f>
        <v>1</v>
      </c>
      <c r="AP456" s="25">
        <f>IF(OR(Apresentação!$I$5='Base de Dados e filtragem'!AP$2,Apresentação!$I$5='Base de Dados e filtragem'!L456),1,0)</f>
        <v>1</v>
      </c>
      <c r="AQ456" s="25">
        <f>IF(OR(Apresentação!$I$6='Base de Dados e filtragem'!AQ$2,Apresentação!$I$6='Base de Dados e filtragem'!M456),1,0)</f>
        <v>1</v>
      </c>
      <c r="AR456" s="25">
        <v>1</v>
      </c>
      <c r="AS456" s="25">
        <v>1</v>
      </c>
      <c r="AT456" s="25">
        <v>1</v>
      </c>
      <c r="AU456" s="25">
        <v>1</v>
      </c>
      <c r="AV456" s="25">
        <v>1</v>
      </c>
      <c r="AW456" s="25">
        <v>1</v>
      </c>
      <c r="AX456" s="25">
        <v>1</v>
      </c>
      <c r="AY456" s="25">
        <v>1</v>
      </c>
      <c r="AZ456" s="25">
        <v>1</v>
      </c>
      <c r="BA456" s="25">
        <v>1</v>
      </c>
      <c r="BB456" s="25">
        <v>1</v>
      </c>
      <c r="BC456" s="25">
        <v>1</v>
      </c>
      <c r="BD456" s="25">
        <v>1</v>
      </c>
    </row>
    <row r="457" spans="27:56" x14ac:dyDescent="0.25">
      <c r="AA457" s="68" t="str">
        <f t="shared" si="29"/>
        <v>Fotos\\.jpg</v>
      </c>
      <c r="AB457" s="53">
        <f t="shared" si="30"/>
        <v>2.1881838074398249E-3</v>
      </c>
      <c r="AC457" s="25">
        <f t="shared" si="31"/>
        <v>457</v>
      </c>
      <c r="AD457" s="51">
        <f t="shared" si="32"/>
        <v>1</v>
      </c>
      <c r="AE457" s="25">
        <v>1</v>
      </c>
      <c r="AF457" s="25">
        <v>1</v>
      </c>
      <c r="AG457" s="25">
        <v>1</v>
      </c>
      <c r="AH457" s="25">
        <v>1</v>
      </c>
      <c r="AI457" s="25">
        <f>IF(OR(Apresentação!$E$3='Base de Dados e filtragem'!AI$2,Apresentação!$E$3='Base de Dados e filtragem'!E457),1,0)</f>
        <v>1</v>
      </c>
      <c r="AJ457" s="25">
        <f>IF(OR(Apresentação!$E$4='Base de Dados e filtragem'!AJ$2,Apresentação!$E$4='Base de Dados e filtragem'!F457),1,0)</f>
        <v>1</v>
      </c>
      <c r="AK457" s="25">
        <f>IF(OR(Apresentação!$E$5='Base de Dados e filtragem'!AK$2,Apresentação!$E$5='Base de Dados e filtragem'!G457),1,0)</f>
        <v>1</v>
      </c>
      <c r="AL457" s="25">
        <f>IF(OR(Apresentação!$E$6='Base de Dados e filtragem'!AL$2,Apresentação!$E$6='Base de Dados e filtragem'!H457),1,0)</f>
        <v>1</v>
      </c>
      <c r="AM457" s="25">
        <f>IF(OR(Apresentação!$I$2='Base de Dados e filtragem'!AM$2,Apresentação!$I$2='Base de Dados e filtragem'!I457),1,0)</f>
        <v>1</v>
      </c>
      <c r="AN457" s="25">
        <f>IF(OR(Apresentação!$I$3='Base de Dados e filtragem'!AN$2,Apresentação!$I$3='Base de Dados e filtragem'!J457),1,0)</f>
        <v>1</v>
      </c>
      <c r="AO457" s="25">
        <f>IF(OR(Apresentação!$I$4='Base de Dados e filtragem'!AO$2,Apresentação!$I$4='Base de Dados e filtragem'!K457),1,0)</f>
        <v>1</v>
      </c>
      <c r="AP457" s="25">
        <f>IF(OR(Apresentação!$I$5='Base de Dados e filtragem'!AP$2,Apresentação!$I$5='Base de Dados e filtragem'!L457),1,0)</f>
        <v>1</v>
      </c>
      <c r="AQ457" s="25">
        <f>IF(OR(Apresentação!$I$6='Base de Dados e filtragem'!AQ$2,Apresentação!$I$6='Base de Dados e filtragem'!M457),1,0)</f>
        <v>1</v>
      </c>
      <c r="AR457" s="25">
        <v>1</v>
      </c>
      <c r="AS457" s="25">
        <v>1</v>
      </c>
      <c r="AT457" s="25">
        <v>1</v>
      </c>
      <c r="AU457" s="25">
        <v>1</v>
      </c>
      <c r="AV457" s="25">
        <v>1</v>
      </c>
      <c r="AW457" s="25">
        <v>1</v>
      </c>
      <c r="AX457" s="25">
        <v>1</v>
      </c>
      <c r="AY457" s="25">
        <v>1</v>
      </c>
      <c r="AZ457" s="25">
        <v>1</v>
      </c>
      <c r="BA457" s="25">
        <v>1</v>
      </c>
      <c r="BB457" s="25">
        <v>1</v>
      </c>
      <c r="BC457" s="25">
        <v>1</v>
      </c>
      <c r="BD457" s="25">
        <v>1</v>
      </c>
    </row>
    <row r="458" spans="27:56" x14ac:dyDescent="0.25">
      <c r="AA458" s="68" t="str">
        <f t="shared" si="29"/>
        <v>Fotos\\.jpg</v>
      </c>
      <c r="AB458" s="53">
        <f t="shared" si="30"/>
        <v>2.1834061135371178E-3</v>
      </c>
      <c r="AC458" s="25">
        <f t="shared" si="31"/>
        <v>458</v>
      </c>
      <c r="AD458" s="51">
        <f t="shared" si="32"/>
        <v>1</v>
      </c>
      <c r="AE458" s="25">
        <v>1</v>
      </c>
      <c r="AF458" s="25">
        <v>1</v>
      </c>
      <c r="AG458" s="25">
        <v>1</v>
      </c>
      <c r="AH458" s="25">
        <v>1</v>
      </c>
      <c r="AI458" s="25">
        <f>IF(OR(Apresentação!$E$3='Base de Dados e filtragem'!AI$2,Apresentação!$E$3='Base de Dados e filtragem'!E458),1,0)</f>
        <v>1</v>
      </c>
      <c r="AJ458" s="25">
        <f>IF(OR(Apresentação!$E$4='Base de Dados e filtragem'!AJ$2,Apresentação!$E$4='Base de Dados e filtragem'!F458),1,0)</f>
        <v>1</v>
      </c>
      <c r="AK458" s="25">
        <f>IF(OR(Apresentação!$E$5='Base de Dados e filtragem'!AK$2,Apresentação!$E$5='Base de Dados e filtragem'!G458),1,0)</f>
        <v>1</v>
      </c>
      <c r="AL458" s="25">
        <f>IF(OR(Apresentação!$E$6='Base de Dados e filtragem'!AL$2,Apresentação!$E$6='Base de Dados e filtragem'!H458),1,0)</f>
        <v>1</v>
      </c>
      <c r="AM458" s="25">
        <f>IF(OR(Apresentação!$I$2='Base de Dados e filtragem'!AM$2,Apresentação!$I$2='Base de Dados e filtragem'!I458),1,0)</f>
        <v>1</v>
      </c>
      <c r="AN458" s="25">
        <f>IF(OR(Apresentação!$I$3='Base de Dados e filtragem'!AN$2,Apresentação!$I$3='Base de Dados e filtragem'!J458),1,0)</f>
        <v>1</v>
      </c>
      <c r="AO458" s="25">
        <f>IF(OR(Apresentação!$I$4='Base de Dados e filtragem'!AO$2,Apresentação!$I$4='Base de Dados e filtragem'!K458),1,0)</f>
        <v>1</v>
      </c>
      <c r="AP458" s="25">
        <f>IF(OR(Apresentação!$I$5='Base de Dados e filtragem'!AP$2,Apresentação!$I$5='Base de Dados e filtragem'!L458),1,0)</f>
        <v>1</v>
      </c>
      <c r="AQ458" s="25">
        <f>IF(OR(Apresentação!$I$6='Base de Dados e filtragem'!AQ$2,Apresentação!$I$6='Base de Dados e filtragem'!M458),1,0)</f>
        <v>1</v>
      </c>
      <c r="AR458" s="25">
        <v>1</v>
      </c>
      <c r="AS458" s="25">
        <v>1</v>
      </c>
      <c r="AT458" s="25">
        <v>1</v>
      </c>
      <c r="AU458" s="25">
        <v>1</v>
      </c>
      <c r="AV458" s="25">
        <v>1</v>
      </c>
      <c r="AW458" s="25">
        <v>1</v>
      </c>
      <c r="AX458" s="25">
        <v>1</v>
      </c>
      <c r="AY458" s="25">
        <v>1</v>
      </c>
      <c r="AZ458" s="25">
        <v>1</v>
      </c>
      <c r="BA458" s="25">
        <v>1</v>
      </c>
      <c r="BB458" s="25">
        <v>1</v>
      </c>
      <c r="BC458" s="25">
        <v>1</v>
      </c>
      <c r="BD458" s="25">
        <v>1</v>
      </c>
    </row>
    <row r="459" spans="27:56" x14ac:dyDescent="0.25">
      <c r="AA459" s="68" t="str">
        <f t="shared" si="29"/>
        <v>Fotos\\.jpg</v>
      </c>
      <c r="AB459" s="53">
        <f t="shared" si="30"/>
        <v>2.1786492374727671E-3</v>
      </c>
      <c r="AC459" s="25">
        <f t="shared" si="31"/>
        <v>459</v>
      </c>
      <c r="AD459" s="51">
        <f t="shared" si="32"/>
        <v>1</v>
      </c>
      <c r="AE459" s="25">
        <v>1</v>
      </c>
      <c r="AF459" s="25">
        <v>1</v>
      </c>
      <c r="AG459" s="25">
        <v>1</v>
      </c>
      <c r="AH459" s="25">
        <v>1</v>
      </c>
      <c r="AI459" s="25">
        <f>IF(OR(Apresentação!$E$3='Base de Dados e filtragem'!AI$2,Apresentação!$E$3='Base de Dados e filtragem'!E459),1,0)</f>
        <v>1</v>
      </c>
      <c r="AJ459" s="25">
        <f>IF(OR(Apresentação!$E$4='Base de Dados e filtragem'!AJ$2,Apresentação!$E$4='Base de Dados e filtragem'!F459),1,0)</f>
        <v>1</v>
      </c>
      <c r="AK459" s="25">
        <f>IF(OR(Apresentação!$E$5='Base de Dados e filtragem'!AK$2,Apresentação!$E$5='Base de Dados e filtragem'!G459),1,0)</f>
        <v>1</v>
      </c>
      <c r="AL459" s="25">
        <f>IF(OR(Apresentação!$E$6='Base de Dados e filtragem'!AL$2,Apresentação!$E$6='Base de Dados e filtragem'!H459),1,0)</f>
        <v>1</v>
      </c>
      <c r="AM459" s="25">
        <f>IF(OR(Apresentação!$I$2='Base de Dados e filtragem'!AM$2,Apresentação!$I$2='Base de Dados e filtragem'!I459),1,0)</f>
        <v>1</v>
      </c>
      <c r="AN459" s="25">
        <f>IF(OR(Apresentação!$I$3='Base de Dados e filtragem'!AN$2,Apresentação!$I$3='Base de Dados e filtragem'!J459),1,0)</f>
        <v>1</v>
      </c>
      <c r="AO459" s="25">
        <f>IF(OR(Apresentação!$I$4='Base de Dados e filtragem'!AO$2,Apresentação!$I$4='Base de Dados e filtragem'!K459),1,0)</f>
        <v>1</v>
      </c>
      <c r="AP459" s="25">
        <f>IF(OR(Apresentação!$I$5='Base de Dados e filtragem'!AP$2,Apresentação!$I$5='Base de Dados e filtragem'!L459),1,0)</f>
        <v>1</v>
      </c>
      <c r="AQ459" s="25">
        <f>IF(OR(Apresentação!$I$6='Base de Dados e filtragem'!AQ$2,Apresentação!$I$6='Base de Dados e filtragem'!M459),1,0)</f>
        <v>1</v>
      </c>
      <c r="AR459" s="25">
        <v>1</v>
      </c>
      <c r="AS459" s="25">
        <v>1</v>
      </c>
      <c r="AT459" s="25">
        <v>1</v>
      </c>
      <c r="AU459" s="25">
        <v>1</v>
      </c>
      <c r="AV459" s="25">
        <v>1</v>
      </c>
      <c r="AW459" s="25">
        <v>1</v>
      </c>
      <c r="AX459" s="25">
        <v>1</v>
      </c>
      <c r="AY459" s="25">
        <v>1</v>
      </c>
      <c r="AZ459" s="25">
        <v>1</v>
      </c>
      <c r="BA459" s="25">
        <v>1</v>
      </c>
      <c r="BB459" s="25">
        <v>1</v>
      </c>
      <c r="BC459" s="25">
        <v>1</v>
      </c>
      <c r="BD459" s="25">
        <v>1</v>
      </c>
    </row>
    <row r="460" spans="27:56" x14ac:dyDescent="0.25">
      <c r="AA460" s="68" t="str">
        <f t="shared" si="29"/>
        <v>Fotos\\.jpg</v>
      </c>
      <c r="AB460" s="53">
        <f t="shared" si="30"/>
        <v>2.1739130434782609E-3</v>
      </c>
      <c r="AC460" s="25">
        <f t="shared" si="31"/>
        <v>460</v>
      </c>
      <c r="AD460" s="51">
        <f t="shared" si="32"/>
        <v>1</v>
      </c>
      <c r="AE460" s="25">
        <v>1</v>
      </c>
      <c r="AF460" s="25">
        <v>1</v>
      </c>
      <c r="AG460" s="25">
        <v>1</v>
      </c>
      <c r="AH460" s="25">
        <v>1</v>
      </c>
      <c r="AI460" s="25">
        <f>IF(OR(Apresentação!$E$3='Base de Dados e filtragem'!AI$2,Apresentação!$E$3='Base de Dados e filtragem'!E460),1,0)</f>
        <v>1</v>
      </c>
      <c r="AJ460" s="25">
        <f>IF(OR(Apresentação!$E$4='Base de Dados e filtragem'!AJ$2,Apresentação!$E$4='Base de Dados e filtragem'!F460),1,0)</f>
        <v>1</v>
      </c>
      <c r="AK460" s="25">
        <f>IF(OR(Apresentação!$E$5='Base de Dados e filtragem'!AK$2,Apresentação!$E$5='Base de Dados e filtragem'!G460),1,0)</f>
        <v>1</v>
      </c>
      <c r="AL460" s="25">
        <f>IF(OR(Apresentação!$E$6='Base de Dados e filtragem'!AL$2,Apresentação!$E$6='Base de Dados e filtragem'!H460),1,0)</f>
        <v>1</v>
      </c>
      <c r="AM460" s="25">
        <f>IF(OR(Apresentação!$I$2='Base de Dados e filtragem'!AM$2,Apresentação!$I$2='Base de Dados e filtragem'!I460),1,0)</f>
        <v>1</v>
      </c>
      <c r="AN460" s="25">
        <f>IF(OR(Apresentação!$I$3='Base de Dados e filtragem'!AN$2,Apresentação!$I$3='Base de Dados e filtragem'!J460),1,0)</f>
        <v>1</v>
      </c>
      <c r="AO460" s="25">
        <f>IF(OR(Apresentação!$I$4='Base de Dados e filtragem'!AO$2,Apresentação!$I$4='Base de Dados e filtragem'!K460),1,0)</f>
        <v>1</v>
      </c>
      <c r="AP460" s="25">
        <f>IF(OR(Apresentação!$I$5='Base de Dados e filtragem'!AP$2,Apresentação!$I$5='Base de Dados e filtragem'!L460),1,0)</f>
        <v>1</v>
      </c>
      <c r="AQ460" s="25">
        <f>IF(OR(Apresentação!$I$6='Base de Dados e filtragem'!AQ$2,Apresentação!$I$6='Base de Dados e filtragem'!M460),1,0)</f>
        <v>1</v>
      </c>
      <c r="AR460" s="25">
        <v>1</v>
      </c>
      <c r="AS460" s="25">
        <v>1</v>
      </c>
      <c r="AT460" s="25">
        <v>1</v>
      </c>
      <c r="AU460" s="25">
        <v>1</v>
      </c>
      <c r="AV460" s="25">
        <v>1</v>
      </c>
      <c r="AW460" s="25">
        <v>1</v>
      </c>
      <c r="AX460" s="25">
        <v>1</v>
      </c>
      <c r="AY460" s="25">
        <v>1</v>
      </c>
      <c r="AZ460" s="25">
        <v>1</v>
      </c>
      <c r="BA460" s="25">
        <v>1</v>
      </c>
      <c r="BB460" s="25">
        <v>1</v>
      </c>
      <c r="BC460" s="25">
        <v>1</v>
      </c>
      <c r="BD460" s="25">
        <v>1</v>
      </c>
    </row>
    <row r="461" spans="27:56" x14ac:dyDescent="0.25">
      <c r="AA461" s="68" t="str">
        <f t="shared" si="29"/>
        <v>Fotos\\.jpg</v>
      </c>
      <c r="AB461" s="53">
        <f t="shared" si="30"/>
        <v>2.1691973969631237E-3</v>
      </c>
      <c r="AC461" s="25">
        <f t="shared" si="31"/>
        <v>461</v>
      </c>
      <c r="AD461" s="51">
        <f t="shared" si="32"/>
        <v>1</v>
      </c>
      <c r="AE461" s="25">
        <v>1</v>
      </c>
      <c r="AF461" s="25">
        <v>1</v>
      </c>
      <c r="AG461" s="25">
        <v>1</v>
      </c>
      <c r="AH461" s="25">
        <v>1</v>
      </c>
      <c r="AI461" s="25">
        <f>IF(OR(Apresentação!$E$3='Base de Dados e filtragem'!AI$2,Apresentação!$E$3='Base de Dados e filtragem'!E461),1,0)</f>
        <v>1</v>
      </c>
      <c r="AJ461" s="25">
        <f>IF(OR(Apresentação!$E$4='Base de Dados e filtragem'!AJ$2,Apresentação!$E$4='Base de Dados e filtragem'!F461),1,0)</f>
        <v>1</v>
      </c>
      <c r="AK461" s="25">
        <f>IF(OR(Apresentação!$E$5='Base de Dados e filtragem'!AK$2,Apresentação!$E$5='Base de Dados e filtragem'!G461),1,0)</f>
        <v>1</v>
      </c>
      <c r="AL461" s="25">
        <f>IF(OR(Apresentação!$E$6='Base de Dados e filtragem'!AL$2,Apresentação!$E$6='Base de Dados e filtragem'!H461),1,0)</f>
        <v>1</v>
      </c>
      <c r="AM461" s="25">
        <f>IF(OR(Apresentação!$I$2='Base de Dados e filtragem'!AM$2,Apresentação!$I$2='Base de Dados e filtragem'!I461),1,0)</f>
        <v>1</v>
      </c>
      <c r="AN461" s="25">
        <f>IF(OR(Apresentação!$I$3='Base de Dados e filtragem'!AN$2,Apresentação!$I$3='Base de Dados e filtragem'!J461),1,0)</f>
        <v>1</v>
      </c>
      <c r="AO461" s="25">
        <f>IF(OR(Apresentação!$I$4='Base de Dados e filtragem'!AO$2,Apresentação!$I$4='Base de Dados e filtragem'!K461),1,0)</f>
        <v>1</v>
      </c>
      <c r="AP461" s="25">
        <f>IF(OR(Apresentação!$I$5='Base de Dados e filtragem'!AP$2,Apresentação!$I$5='Base de Dados e filtragem'!L461),1,0)</f>
        <v>1</v>
      </c>
      <c r="AQ461" s="25">
        <f>IF(OR(Apresentação!$I$6='Base de Dados e filtragem'!AQ$2,Apresentação!$I$6='Base de Dados e filtragem'!M461),1,0)</f>
        <v>1</v>
      </c>
      <c r="AR461" s="25">
        <v>1</v>
      </c>
      <c r="AS461" s="25">
        <v>1</v>
      </c>
      <c r="AT461" s="25">
        <v>1</v>
      </c>
      <c r="AU461" s="25">
        <v>1</v>
      </c>
      <c r="AV461" s="25">
        <v>1</v>
      </c>
      <c r="AW461" s="25">
        <v>1</v>
      </c>
      <c r="AX461" s="25">
        <v>1</v>
      </c>
      <c r="AY461" s="25">
        <v>1</v>
      </c>
      <c r="AZ461" s="25">
        <v>1</v>
      </c>
      <c r="BA461" s="25">
        <v>1</v>
      </c>
      <c r="BB461" s="25">
        <v>1</v>
      </c>
      <c r="BC461" s="25">
        <v>1</v>
      </c>
      <c r="BD461" s="25">
        <v>1</v>
      </c>
    </row>
    <row r="462" spans="27:56" x14ac:dyDescent="0.25">
      <c r="AA462" s="68" t="str">
        <f t="shared" si="29"/>
        <v>Fotos\\.jpg</v>
      </c>
      <c r="AB462" s="53">
        <f t="shared" si="30"/>
        <v>2.1645021645021645E-3</v>
      </c>
      <c r="AC462" s="25">
        <f t="shared" si="31"/>
        <v>462</v>
      </c>
      <c r="AD462" s="51">
        <f t="shared" si="32"/>
        <v>1</v>
      </c>
      <c r="AE462" s="25">
        <v>1</v>
      </c>
      <c r="AF462" s="25">
        <v>1</v>
      </c>
      <c r="AG462" s="25">
        <v>1</v>
      </c>
      <c r="AH462" s="25">
        <v>1</v>
      </c>
      <c r="AI462" s="25">
        <f>IF(OR(Apresentação!$E$3='Base de Dados e filtragem'!AI$2,Apresentação!$E$3='Base de Dados e filtragem'!E462),1,0)</f>
        <v>1</v>
      </c>
      <c r="AJ462" s="25">
        <f>IF(OR(Apresentação!$E$4='Base de Dados e filtragem'!AJ$2,Apresentação!$E$4='Base de Dados e filtragem'!F462),1,0)</f>
        <v>1</v>
      </c>
      <c r="AK462" s="25">
        <f>IF(OR(Apresentação!$E$5='Base de Dados e filtragem'!AK$2,Apresentação!$E$5='Base de Dados e filtragem'!G462),1,0)</f>
        <v>1</v>
      </c>
      <c r="AL462" s="25">
        <f>IF(OR(Apresentação!$E$6='Base de Dados e filtragem'!AL$2,Apresentação!$E$6='Base de Dados e filtragem'!H462),1,0)</f>
        <v>1</v>
      </c>
      <c r="AM462" s="25">
        <f>IF(OR(Apresentação!$I$2='Base de Dados e filtragem'!AM$2,Apresentação!$I$2='Base de Dados e filtragem'!I462),1,0)</f>
        <v>1</v>
      </c>
      <c r="AN462" s="25">
        <f>IF(OR(Apresentação!$I$3='Base de Dados e filtragem'!AN$2,Apresentação!$I$3='Base de Dados e filtragem'!J462),1,0)</f>
        <v>1</v>
      </c>
      <c r="AO462" s="25">
        <f>IF(OR(Apresentação!$I$4='Base de Dados e filtragem'!AO$2,Apresentação!$I$4='Base de Dados e filtragem'!K462),1,0)</f>
        <v>1</v>
      </c>
      <c r="AP462" s="25">
        <f>IF(OR(Apresentação!$I$5='Base de Dados e filtragem'!AP$2,Apresentação!$I$5='Base de Dados e filtragem'!L462),1,0)</f>
        <v>1</v>
      </c>
      <c r="AQ462" s="25">
        <f>IF(OR(Apresentação!$I$6='Base de Dados e filtragem'!AQ$2,Apresentação!$I$6='Base de Dados e filtragem'!M462),1,0)</f>
        <v>1</v>
      </c>
      <c r="AR462" s="25">
        <v>1</v>
      </c>
      <c r="AS462" s="25">
        <v>1</v>
      </c>
      <c r="AT462" s="25">
        <v>1</v>
      </c>
      <c r="AU462" s="25">
        <v>1</v>
      </c>
      <c r="AV462" s="25">
        <v>1</v>
      </c>
      <c r="AW462" s="25">
        <v>1</v>
      </c>
      <c r="AX462" s="25">
        <v>1</v>
      </c>
      <c r="AY462" s="25">
        <v>1</v>
      </c>
      <c r="AZ462" s="25">
        <v>1</v>
      </c>
      <c r="BA462" s="25">
        <v>1</v>
      </c>
      <c r="BB462" s="25">
        <v>1</v>
      </c>
      <c r="BC462" s="25">
        <v>1</v>
      </c>
      <c r="BD462" s="25">
        <v>1</v>
      </c>
    </row>
    <row r="463" spans="27:56" x14ac:dyDescent="0.25">
      <c r="AA463" s="68" t="str">
        <f t="shared" si="29"/>
        <v>Fotos\\.jpg</v>
      </c>
      <c r="AB463" s="53">
        <f t="shared" si="30"/>
        <v>2.1598272138228943E-3</v>
      </c>
      <c r="AC463" s="25">
        <f t="shared" si="31"/>
        <v>463</v>
      </c>
      <c r="AD463" s="51">
        <f t="shared" si="32"/>
        <v>1</v>
      </c>
      <c r="AE463" s="25">
        <v>1</v>
      </c>
      <c r="AF463" s="25">
        <v>1</v>
      </c>
      <c r="AG463" s="25">
        <v>1</v>
      </c>
      <c r="AH463" s="25">
        <v>1</v>
      </c>
      <c r="AI463" s="25">
        <f>IF(OR(Apresentação!$E$3='Base de Dados e filtragem'!AI$2,Apresentação!$E$3='Base de Dados e filtragem'!E463),1,0)</f>
        <v>1</v>
      </c>
      <c r="AJ463" s="25">
        <f>IF(OR(Apresentação!$E$4='Base de Dados e filtragem'!AJ$2,Apresentação!$E$4='Base de Dados e filtragem'!F463),1,0)</f>
        <v>1</v>
      </c>
      <c r="AK463" s="25">
        <f>IF(OR(Apresentação!$E$5='Base de Dados e filtragem'!AK$2,Apresentação!$E$5='Base de Dados e filtragem'!G463),1,0)</f>
        <v>1</v>
      </c>
      <c r="AL463" s="25">
        <f>IF(OR(Apresentação!$E$6='Base de Dados e filtragem'!AL$2,Apresentação!$E$6='Base de Dados e filtragem'!H463),1,0)</f>
        <v>1</v>
      </c>
      <c r="AM463" s="25">
        <f>IF(OR(Apresentação!$I$2='Base de Dados e filtragem'!AM$2,Apresentação!$I$2='Base de Dados e filtragem'!I463),1,0)</f>
        <v>1</v>
      </c>
      <c r="AN463" s="25">
        <f>IF(OR(Apresentação!$I$3='Base de Dados e filtragem'!AN$2,Apresentação!$I$3='Base de Dados e filtragem'!J463),1,0)</f>
        <v>1</v>
      </c>
      <c r="AO463" s="25">
        <f>IF(OR(Apresentação!$I$4='Base de Dados e filtragem'!AO$2,Apresentação!$I$4='Base de Dados e filtragem'!K463),1,0)</f>
        <v>1</v>
      </c>
      <c r="AP463" s="25">
        <f>IF(OR(Apresentação!$I$5='Base de Dados e filtragem'!AP$2,Apresentação!$I$5='Base de Dados e filtragem'!L463),1,0)</f>
        <v>1</v>
      </c>
      <c r="AQ463" s="25">
        <f>IF(OR(Apresentação!$I$6='Base de Dados e filtragem'!AQ$2,Apresentação!$I$6='Base de Dados e filtragem'!M463),1,0)</f>
        <v>1</v>
      </c>
      <c r="AR463" s="25">
        <v>1</v>
      </c>
      <c r="AS463" s="25">
        <v>1</v>
      </c>
      <c r="AT463" s="25">
        <v>1</v>
      </c>
      <c r="AU463" s="25">
        <v>1</v>
      </c>
      <c r="AV463" s="25">
        <v>1</v>
      </c>
      <c r="AW463" s="25">
        <v>1</v>
      </c>
      <c r="AX463" s="25">
        <v>1</v>
      </c>
      <c r="AY463" s="25">
        <v>1</v>
      </c>
      <c r="AZ463" s="25">
        <v>1</v>
      </c>
      <c r="BA463" s="25">
        <v>1</v>
      </c>
      <c r="BB463" s="25">
        <v>1</v>
      </c>
      <c r="BC463" s="25">
        <v>1</v>
      </c>
      <c r="BD463" s="25">
        <v>1</v>
      </c>
    </row>
    <row r="464" spans="27:56" x14ac:dyDescent="0.25">
      <c r="AA464" s="68" t="str">
        <f t="shared" si="29"/>
        <v>Fotos\\.jpg</v>
      </c>
      <c r="AB464" s="53">
        <f t="shared" si="30"/>
        <v>2.1551724137931034E-3</v>
      </c>
      <c r="AC464" s="25">
        <f t="shared" si="31"/>
        <v>464</v>
      </c>
      <c r="AD464" s="51">
        <f t="shared" si="32"/>
        <v>1</v>
      </c>
      <c r="AE464" s="25">
        <v>1</v>
      </c>
      <c r="AF464" s="25">
        <v>1</v>
      </c>
      <c r="AG464" s="25">
        <v>1</v>
      </c>
      <c r="AH464" s="25">
        <v>1</v>
      </c>
      <c r="AI464" s="25">
        <f>IF(OR(Apresentação!$E$3='Base de Dados e filtragem'!AI$2,Apresentação!$E$3='Base de Dados e filtragem'!E464),1,0)</f>
        <v>1</v>
      </c>
      <c r="AJ464" s="25">
        <f>IF(OR(Apresentação!$E$4='Base de Dados e filtragem'!AJ$2,Apresentação!$E$4='Base de Dados e filtragem'!F464),1,0)</f>
        <v>1</v>
      </c>
      <c r="AK464" s="25">
        <f>IF(OR(Apresentação!$E$5='Base de Dados e filtragem'!AK$2,Apresentação!$E$5='Base de Dados e filtragem'!G464),1,0)</f>
        <v>1</v>
      </c>
      <c r="AL464" s="25">
        <f>IF(OR(Apresentação!$E$6='Base de Dados e filtragem'!AL$2,Apresentação!$E$6='Base de Dados e filtragem'!H464),1,0)</f>
        <v>1</v>
      </c>
      <c r="AM464" s="25">
        <f>IF(OR(Apresentação!$I$2='Base de Dados e filtragem'!AM$2,Apresentação!$I$2='Base de Dados e filtragem'!I464),1,0)</f>
        <v>1</v>
      </c>
      <c r="AN464" s="25">
        <f>IF(OR(Apresentação!$I$3='Base de Dados e filtragem'!AN$2,Apresentação!$I$3='Base de Dados e filtragem'!J464),1,0)</f>
        <v>1</v>
      </c>
      <c r="AO464" s="25">
        <f>IF(OR(Apresentação!$I$4='Base de Dados e filtragem'!AO$2,Apresentação!$I$4='Base de Dados e filtragem'!K464),1,0)</f>
        <v>1</v>
      </c>
      <c r="AP464" s="25">
        <f>IF(OR(Apresentação!$I$5='Base de Dados e filtragem'!AP$2,Apresentação!$I$5='Base de Dados e filtragem'!L464),1,0)</f>
        <v>1</v>
      </c>
      <c r="AQ464" s="25">
        <f>IF(OR(Apresentação!$I$6='Base de Dados e filtragem'!AQ$2,Apresentação!$I$6='Base de Dados e filtragem'!M464),1,0)</f>
        <v>1</v>
      </c>
      <c r="AR464" s="25">
        <v>1</v>
      </c>
      <c r="AS464" s="25">
        <v>1</v>
      </c>
      <c r="AT464" s="25">
        <v>1</v>
      </c>
      <c r="AU464" s="25">
        <v>1</v>
      </c>
      <c r="AV464" s="25">
        <v>1</v>
      </c>
      <c r="AW464" s="25">
        <v>1</v>
      </c>
      <c r="AX464" s="25">
        <v>1</v>
      </c>
      <c r="AY464" s="25">
        <v>1</v>
      </c>
      <c r="AZ464" s="25">
        <v>1</v>
      </c>
      <c r="BA464" s="25">
        <v>1</v>
      </c>
      <c r="BB464" s="25">
        <v>1</v>
      </c>
      <c r="BC464" s="25">
        <v>1</v>
      </c>
      <c r="BD464" s="25">
        <v>1</v>
      </c>
    </row>
    <row r="465" spans="27:56" x14ac:dyDescent="0.25">
      <c r="AA465" s="68" t="str">
        <f t="shared" si="29"/>
        <v>Fotos\\.jpg</v>
      </c>
      <c r="AB465" s="53">
        <f t="shared" si="30"/>
        <v>2.1505376344086021E-3</v>
      </c>
      <c r="AC465" s="25">
        <f t="shared" si="31"/>
        <v>465</v>
      </c>
      <c r="AD465" s="51">
        <f t="shared" si="32"/>
        <v>1</v>
      </c>
      <c r="AE465" s="25">
        <v>1</v>
      </c>
      <c r="AF465" s="25">
        <v>1</v>
      </c>
      <c r="AG465" s="25">
        <v>1</v>
      </c>
      <c r="AH465" s="25">
        <v>1</v>
      </c>
      <c r="AI465" s="25">
        <f>IF(OR(Apresentação!$E$3='Base de Dados e filtragem'!AI$2,Apresentação!$E$3='Base de Dados e filtragem'!E465),1,0)</f>
        <v>1</v>
      </c>
      <c r="AJ465" s="25">
        <f>IF(OR(Apresentação!$E$4='Base de Dados e filtragem'!AJ$2,Apresentação!$E$4='Base de Dados e filtragem'!F465),1,0)</f>
        <v>1</v>
      </c>
      <c r="AK465" s="25">
        <f>IF(OR(Apresentação!$E$5='Base de Dados e filtragem'!AK$2,Apresentação!$E$5='Base de Dados e filtragem'!G465),1,0)</f>
        <v>1</v>
      </c>
      <c r="AL465" s="25">
        <f>IF(OR(Apresentação!$E$6='Base de Dados e filtragem'!AL$2,Apresentação!$E$6='Base de Dados e filtragem'!H465),1,0)</f>
        <v>1</v>
      </c>
      <c r="AM465" s="25">
        <f>IF(OR(Apresentação!$I$2='Base de Dados e filtragem'!AM$2,Apresentação!$I$2='Base de Dados e filtragem'!I465),1,0)</f>
        <v>1</v>
      </c>
      <c r="AN465" s="25">
        <f>IF(OR(Apresentação!$I$3='Base de Dados e filtragem'!AN$2,Apresentação!$I$3='Base de Dados e filtragem'!J465),1,0)</f>
        <v>1</v>
      </c>
      <c r="AO465" s="25">
        <f>IF(OR(Apresentação!$I$4='Base de Dados e filtragem'!AO$2,Apresentação!$I$4='Base de Dados e filtragem'!K465),1,0)</f>
        <v>1</v>
      </c>
      <c r="AP465" s="25">
        <f>IF(OR(Apresentação!$I$5='Base de Dados e filtragem'!AP$2,Apresentação!$I$5='Base de Dados e filtragem'!L465),1,0)</f>
        <v>1</v>
      </c>
      <c r="AQ465" s="25">
        <f>IF(OR(Apresentação!$I$6='Base de Dados e filtragem'!AQ$2,Apresentação!$I$6='Base de Dados e filtragem'!M465),1,0)</f>
        <v>1</v>
      </c>
      <c r="AR465" s="25">
        <v>1</v>
      </c>
      <c r="AS465" s="25">
        <v>1</v>
      </c>
      <c r="AT465" s="25">
        <v>1</v>
      </c>
      <c r="AU465" s="25">
        <v>1</v>
      </c>
      <c r="AV465" s="25">
        <v>1</v>
      </c>
      <c r="AW465" s="25">
        <v>1</v>
      </c>
      <c r="AX465" s="25">
        <v>1</v>
      </c>
      <c r="AY465" s="25">
        <v>1</v>
      </c>
      <c r="AZ465" s="25">
        <v>1</v>
      </c>
      <c r="BA465" s="25">
        <v>1</v>
      </c>
      <c r="BB465" s="25">
        <v>1</v>
      </c>
      <c r="BC465" s="25">
        <v>1</v>
      </c>
      <c r="BD465" s="25">
        <v>1</v>
      </c>
    </row>
    <row r="466" spans="27:56" x14ac:dyDescent="0.25">
      <c r="AA466" s="68" t="str">
        <f t="shared" si="29"/>
        <v>Fotos\\.jpg</v>
      </c>
      <c r="AB466" s="53">
        <f t="shared" si="30"/>
        <v>2.1459227467811159E-3</v>
      </c>
      <c r="AC466" s="25">
        <f t="shared" si="31"/>
        <v>466</v>
      </c>
      <c r="AD466" s="51">
        <f t="shared" si="32"/>
        <v>1</v>
      </c>
      <c r="AE466" s="25">
        <v>1</v>
      </c>
      <c r="AF466" s="25">
        <v>1</v>
      </c>
      <c r="AG466" s="25">
        <v>1</v>
      </c>
      <c r="AH466" s="25">
        <v>1</v>
      </c>
      <c r="AI466" s="25">
        <f>IF(OR(Apresentação!$E$3='Base de Dados e filtragem'!AI$2,Apresentação!$E$3='Base de Dados e filtragem'!E466),1,0)</f>
        <v>1</v>
      </c>
      <c r="AJ466" s="25">
        <f>IF(OR(Apresentação!$E$4='Base de Dados e filtragem'!AJ$2,Apresentação!$E$4='Base de Dados e filtragem'!F466),1,0)</f>
        <v>1</v>
      </c>
      <c r="AK466" s="25">
        <f>IF(OR(Apresentação!$E$5='Base de Dados e filtragem'!AK$2,Apresentação!$E$5='Base de Dados e filtragem'!G466),1,0)</f>
        <v>1</v>
      </c>
      <c r="AL466" s="25">
        <f>IF(OR(Apresentação!$E$6='Base de Dados e filtragem'!AL$2,Apresentação!$E$6='Base de Dados e filtragem'!H466),1,0)</f>
        <v>1</v>
      </c>
      <c r="AM466" s="25">
        <f>IF(OR(Apresentação!$I$2='Base de Dados e filtragem'!AM$2,Apresentação!$I$2='Base de Dados e filtragem'!I466),1,0)</f>
        <v>1</v>
      </c>
      <c r="AN466" s="25">
        <f>IF(OR(Apresentação!$I$3='Base de Dados e filtragem'!AN$2,Apresentação!$I$3='Base de Dados e filtragem'!J466),1,0)</f>
        <v>1</v>
      </c>
      <c r="AO466" s="25">
        <f>IF(OR(Apresentação!$I$4='Base de Dados e filtragem'!AO$2,Apresentação!$I$4='Base de Dados e filtragem'!K466),1,0)</f>
        <v>1</v>
      </c>
      <c r="AP466" s="25">
        <f>IF(OR(Apresentação!$I$5='Base de Dados e filtragem'!AP$2,Apresentação!$I$5='Base de Dados e filtragem'!L466),1,0)</f>
        <v>1</v>
      </c>
      <c r="AQ466" s="25">
        <f>IF(OR(Apresentação!$I$6='Base de Dados e filtragem'!AQ$2,Apresentação!$I$6='Base de Dados e filtragem'!M466),1,0)</f>
        <v>1</v>
      </c>
      <c r="AR466" s="25">
        <v>1</v>
      </c>
      <c r="AS466" s="25">
        <v>1</v>
      </c>
      <c r="AT466" s="25">
        <v>1</v>
      </c>
      <c r="AU466" s="25">
        <v>1</v>
      </c>
      <c r="AV466" s="25">
        <v>1</v>
      </c>
      <c r="AW466" s="25">
        <v>1</v>
      </c>
      <c r="AX466" s="25">
        <v>1</v>
      </c>
      <c r="AY466" s="25">
        <v>1</v>
      </c>
      <c r="AZ466" s="25">
        <v>1</v>
      </c>
      <c r="BA466" s="25">
        <v>1</v>
      </c>
      <c r="BB466" s="25">
        <v>1</v>
      </c>
      <c r="BC466" s="25">
        <v>1</v>
      </c>
      <c r="BD466" s="25">
        <v>1</v>
      </c>
    </row>
    <row r="467" spans="27:56" x14ac:dyDescent="0.25">
      <c r="AA467" s="68" t="str">
        <f t="shared" si="29"/>
        <v>Fotos\\.jpg</v>
      </c>
      <c r="AB467" s="53">
        <f t="shared" si="30"/>
        <v>2.1413276231263384E-3</v>
      </c>
      <c r="AC467" s="25">
        <f t="shared" si="31"/>
        <v>467</v>
      </c>
      <c r="AD467" s="51">
        <f t="shared" si="32"/>
        <v>1</v>
      </c>
      <c r="AE467" s="25">
        <v>1</v>
      </c>
      <c r="AF467" s="25">
        <v>1</v>
      </c>
      <c r="AG467" s="25">
        <v>1</v>
      </c>
      <c r="AH467" s="25">
        <v>1</v>
      </c>
      <c r="AI467" s="25">
        <f>IF(OR(Apresentação!$E$3='Base de Dados e filtragem'!AI$2,Apresentação!$E$3='Base de Dados e filtragem'!E467),1,0)</f>
        <v>1</v>
      </c>
      <c r="AJ467" s="25">
        <f>IF(OR(Apresentação!$E$4='Base de Dados e filtragem'!AJ$2,Apresentação!$E$4='Base de Dados e filtragem'!F467),1,0)</f>
        <v>1</v>
      </c>
      <c r="AK467" s="25">
        <f>IF(OR(Apresentação!$E$5='Base de Dados e filtragem'!AK$2,Apresentação!$E$5='Base de Dados e filtragem'!G467),1,0)</f>
        <v>1</v>
      </c>
      <c r="AL467" s="25">
        <f>IF(OR(Apresentação!$E$6='Base de Dados e filtragem'!AL$2,Apresentação!$E$6='Base de Dados e filtragem'!H467),1,0)</f>
        <v>1</v>
      </c>
      <c r="AM467" s="25">
        <f>IF(OR(Apresentação!$I$2='Base de Dados e filtragem'!AM$2,Apresentação!$I$2='Base de Dados e filtragem'!I467),1,0)</f>
        <v>1</v>
      </c>
      <c r="AN467" s="25">
        <f>IF(OR(Apresentação!$I$3='Base de Dados e filtragem'!AN$2,Apresentação!$I$3='Base de Dados e filtragem'!J467),1,0)</f>
        <v>1</v>
      </c>
      <c r="AO467" s="25">
        <f>IF(OR(Apresentação!$I$4='Base de Dados e filtragem'!AO$2,Apresentação!$I$4='Base de Dados e filtragem'!K467),1,0)</f>
        <v>1</v>
      </c>
      <c r="AP467" s="25">
        <f>IF(OR(Apresentação!$I$5='Base de Dados e filtragem'!AP$2,Apresentação!$I$5='Base de Dados e filtragem'!L467),1,0)</f>
        <v>1</v>
      </c>
      <c r="AQ467" s="25">
        <f>IF(OR(Apresentação!$I$6='Base de Dados e filtragem'!AQ$2,Apresentação!$I$6='Base de Dados e filtragem'!M467),1,0)</f>
        <v>1</v>
      </c>
      <c r="AR467" s="25">
        <v>1</v>
      </c>
      <c r="AS467" s="25">
        <v>1</v>
      </c>
      <c r="AT467" s="25">
        <v>1</v>
      </c>
      <c r="AU467" s="25">
        <v>1</v>
      </c>
      <c r="AV467" s="25">
        <v>1</v>
      </c>
      <c r="AW467" s="25">
        <v>1</v>
      </c>
      <c r="AX467" s="25">
        <v>1</v>
      </c>
      <c r="AY467" s="25">
        <v>1</v>
      </c>
      <c r="AZ467" s="25">
        <v>1</v>
      </c>
      <c r="BA467" s="25">
        <v>1</v>
      </c>
      <c r="BB467" s="25">
        <v>1</v>
      </c>
      <c r="BC467" s="25">
        <v>1</v>
      </c>
      <c r="BD467" s="25">
        <v>1</v>
      </c>
    </row>
    <row r="468" spans="27:56" x14ac:dyDescent="0.25">
      <c r="AA468" s="68" t="str">
        <f t="shared" si="29"/>
        <v>Fotos\\.jpg</v>
      </c>
      <c r="AB468" s="53">
        <f t="shared" si="30"/>
        <v>2.136752136752137E-3</v>
      </c>
      <c r="AC468" s="25">
        <f t="shared" si="31"/>
        <v>468</v>
      </c>
      <c r="AD468" s="51">
        <f t="shared" si="32"/>
        <v>1</v>
      </c>
      <c r="AE468" s="25">
        <v>1</v>
      </c>
      <c r="AF468" s="25">
        <v>1</v>
      </c>
      <c r="AG468" s="25">
        <v>1</v>
      </c>
      <c r="AH468" s="25">
        <v>1</v>
      </c>
      <c r="AI468" s="25">
        <f>IF(OR(Apresentação!$E$3='Base de Dados e filtragem'!AI$2,Apresentação!$E$3='Base de Dados e filtragem'!E468),1,0)</f>
        <v>1</v>
      </c>
      <c r="AJ468" s="25">
        <f>IF(OR(Apresentação!$E$4='Base de Dados e filtragem'!AJ$2,Apresentação!$E$4='Base de Dados e filtragem'!F468),1,0)</f>
        <v>1</v>
      </c>
      <c r="AK468" s="25">
        <f>IF(OR(Apresentação!$E$5='Base de Dados e filtragem'!AK$2,Apresentação!$E$5='Base de Dados e filtragem'!G468),1,0)</f>
        <v>1</v>
      </c>
      <c r="AL468" s="25">
        <f>IF(OR(Apresentação!$E$6='Base de Dados e filtragem'!AL$2,Apresentação!$E$6='Base de Dados e filtragem'!H468),1,0)</f>
        <v>1</v>
      </c>
      <c r="AM468" s="25">
        <f>IF(OR(Apresentação!$I$2='Base de Dados e filtragem'!AM$2,Apresentação!$I$2='Base de Dados e filtragem'!I468),1,0)</f>
        <v>1</v>
      </c>
      <c r="AN468" s="25">
        <f>IF(OR(Apresentação!$I$3='Base de Dados e filtragem'!AN$2,Apresentação!$I$3='Base de Dados e filtragem'!J468),1,0)</f>
        <v>1</v>
      </c>
      <c r="AO468" s="25">
        <f>IF(OR(Apresentação!$I$4='Base de Dados e filtragem'!AO$2,Apresentação!$I$4='Base de Dados e filtragem'!K468),1,0)</f>
        <v>1</v>
      </c>
      <c r="AP468" s="25">
        <f>IF(OR(Apresentação!$I$5='Base de Dados e filtragem'!AP$2,Apresentação!$I$5='Base de Dados e filtragem'!L468),1,0)</f>
        <v>1</v>
      </c>
      <c r="AQ468" s="25">
        <f>IF(OR(Apresentação!$I$6='Base de Dados e filtragem'!AQ$2,Apresentação!$I$6='Base de Dados e filtragem'!M468),1,0)</f>
        <v>1</v>
      </c>
      <c r="AR468" s="25">
        <v>1</v>
      </c>
      <c r="AS468" s="25">
        <v>1</v>
      </c>
      <c r="AT468" s="25">
        <v>1</v>
      </c>
      <c r="AU468" s="25">
        <v>1</v>
      </c>
      <c r="AV468" s="25">
        <v>1</v>
      </c>
      <c r="AW468" s="25">
        <v>1</v>
      </c>
      <c r="AX468" s="25">
        <v>1</v>
      </c>
      <c r="AY468" s="25">
        <v>1</v>
      </c>
      <c r="AZ468" s="25">
        <v>1</v>
      </c>
      <c r="BA468" s="25">
        <v>1</v>
      </c>
      <c r="BB468" s="25">
        <v>1</v>
      </c>
      <c r="BC468" s="25">
        <v>1</v>
      </c>
      <c r="BD468" s="25">
        <v>1</v>
      </c>
    </row>
    <row r="469" spans="27:56" x14ac:dyDescent="0.25">
      <c r="AA469" s="68" t="str">
        <f t="shared" si="29"/>
        <v>Fotos\\.jpg</v>
      </c>
      <c r="AB469" s="53">
        <f t="shared" si="30"/>
        <v>2.1321961620469083E-3</v>
      </c>
      <c r="AC469" s="25">
        <f t="shared" si="31"/>
        <v>469</v>
      </c>
      <c r="AD469" s="51">
        <f t="shared" si="32"/>
        <v>1</v>
      </c>
      <c r="AE469" s="25">
        <v>1</v>
      </c>
      <c r="AF469" s="25">
        <v>1</v>
      </c>
      <c r="AG469" s="25">
        <v>1</v>
      </c>
      <c r="AH469" s="25">
        <v>1</v>
      </c>
      <c r="AI469" s="25">
        <f>IF(OR(Apresentação!$E$3='Base de Dados e filtragem'!AI$2,Apresentação!$E$3='Base de Dados e filtragem'!E469),1,0)</f>
        <v>1</v>
      </c>
      <c r="AJ469" s="25">
        <f>IF(OR(Apresentação!$E$4='Base de Dados e filtragem'!AJ$2,Apresentação!$E$4='Base de Dados e filtragem'!F469),1,0)</f>
        <v>1</v>
      </c>
      <c r="AK469" s="25">
        <f>IF(OR(Apresentação!$E$5='Base de Dados e filtragem'!AK$2,Apresentação!$E$5='Base de Dados e filtragem'!G469),1,0)</f>
        <v>1</v>
      </c>
      <c r="AL469" s="25">
        <f>IF(OR(Apresentação!$E$6='Base de Dados e filtragem'!AL$2,Apresentação!$E$6='Base de Dados e filtragem'!H469),1,0)</f>
        <v>1</v>
      </c>
      <c r="AM469" s="25">
        <f>IF(OR(Apresentação!$I$2='Base de Dados e filtragem'!AM$2,Apresentação!$I$2='Base de Dados e filtragem'!I469),1,0)</f>
        <v>1</v>
      </c>
      <c r="AN469" s="25">
        <f>IF(OR(Apresentação!$I$3='Base de Dados e filtragem'!AN$2,Apresentação!$I$3='Base de Dados e filtragem'!J469),1,0)</f>
        <v>1</v>
      </c>
      <c r="AO469" s="25">
        <f>IF(OR(Apresentação!$I$4='Base de Dados e filtragem'!AO$2,Apresentação!$I$4='Base de Dados e filtragem'!K469),1,0)</f>
        <v>1</v>
      </c>
      <c r="AP469" s="25">
        <f>IF(OR(Apresentação!$I$5='Base de Dados e filtragem'!AP$2,Apresentação!$I$5='Base de Dados e filtragem'!L469),1,0)</f>
        <v>1</v>
      </c>
      <c r="AQ469" s="25">
        <f>IF(OR(Apresentação!$I$6='Base de Dados e filtragem'!AQ$2,Apresentação!$I$6='Base de Dados e filtragem'!M469),1,0)</f>
        <v>1</v>
      </c>
      <c r="AR469" s="25">
        <v>1</v>
      </c>
      <c r="AS469" s="25">
        <v>1</v>
      </c>
      <c r="AT469" s="25">
        <v>1</v>
      </c>
      <c r="AU469" s="25">
        <v>1</v>
      </c>
      <c r="AV469" s="25">
        <v>1</v>
      </c>
      <c r="AW469" s="25">
        <v>1</v>
      </c>
      <c r="AX469" s="25">
        <v>1</v>
      </c>
      <c r="AY469" s="25">
        <v>1</v>
      </c>
      <c r="AZ469" s="25">
        <v>1</v>
      </c>
      <c r="BA469" s="25">
        <v>1</v>
      </c>
      <c r="BB469" s="25">
        <v>1</v>
      </c>
      <c r="BC469" s="25">
        <v>1</v>
      </c>
      <c r="BD469" s="25">
        <v>1</v>
      </c>
    </row>
    <row r="470" spans="27:56" x14ac:dyDescent="0.25">
      <c r="AA470" s="68" t="str">
        <f t="shared" si="29"/>
        <v>Fotos\\.jpg</v>
      </c>
      <c r="AB470" s="53">
        <f t="shared" si="30"/>
        <v>2.1276595744680851E-3</v>
      </c>
      <c r="AC470" s="25">
        <f t="shared" si="31"/>
        <v>470</v>
      </c>
      <c r="AD470" s="51">
        <f t="shared" si="32"/>
        <v>1</v>
      </c>
      <c r="AE470" s="25">
        <v>1</v>
      </c>
      <c r="AF470" s="25">
        <v>1</v>
      </c>
      <c r="AG470" s="25">
        <v>1</v>
      </c>
      <c r="AH470" s="25">
        <v>1</v>
      </c>
      <c r="AI470" s="25">
        <f>IF(OR(Apresentação!$E$3='Base de Dados e filtragem'!AI$2,Apresentação!$E$3='Base de Dados e filtragem'!E470),1,0)</f>
        <v>1</v>
      </c>
      <c r="AJ470" s="25">
        <f>IF(OR(Apresentação!$E$4='Base de Dados e filtragem'!AJ$2,Apresentação!$E$4='Base de Dados e filtragem'!F470),1,0)</f>
        <v>1</v>
      </c>
      <c r="AK470" s="25">
        <f>IF(OR(Apresentação!$E$5='Base de Dados e filtragem'!AK$2,Apresentação!$E$5='Base de Dados e filtragem'!G470),1,0)</f>
        <v>1</v>
      </c>
      <c r="AL470" s="25">
        <f>IF(OR(Apresentação!$E$6='Base de Dados e filtragem'!AL$2,Apresentação!$E$6='Base de Dados e filtragem'!H470),1,0)</f>
        <v>1</v>
      </c>
      <c r="AM470" s="25">
        <f>IF(OR(Apresentação!$I$2='Base de Dados e filtragem'!AM$2,Apresentação!$I$2='Base de Dados e filtragem'!I470),1,0)</f>
        <v>1</v>
      </c>
      <c r="AN470" s="25">
        <f>IF(OR(Apresentação!$I$3='Base de Dados e filtragem'!AN$2,Apresentação!$I$3='Base de Dados e filtragem'!J470),1,0)</f>
        <v>1</v>
      </c>
      <c r="AO470" s="25">
        <f>IF(OR(Apresentação!$I$4='Base de Dados e filtragem'!AO$2,Apresentação!$I$4='Base de Dados e filtragem'!K470),1,0)</f>
        <v>1</v>
      </c>
      <c r="AP470" s="25">
        <f>IF(OR(Apresentação!$I$5='Base de Dados e filtragem'!AP$2,Apresentação!$I$5='Base de Dados e filtragem'!L470),1,0)</f>
        <v>1</v>
      </c>
      <c r="AQ470" s="25">
        <f>IF(OR(Apresentação!$I$6='Base de Dados e filtragem'!AQ$2,Apresentação!$I$6='Base de Dados e filtragem'!M470),1,0)</f>
        <v>1</v>
      </c>
      <c r="AR470" s="25">
        <v>1</v>
      </c>
      <c r="AS470" s="25">
        <v>1</v>
      </c>
      <c r="AT470" s="25">
        <v>1</v>
      </c>
      <c r="AU470" s="25">
        <v>1</v>
      </c>
      <c r="AV470" s="25">
        <v>1</v>
      </c>
      <c r="AW470" s="25">
        <v>1</v>
      </c>
      <c r="AX470" s="25">
        <v>1</v>
      </c>
      <c r="AY470" s="25">
        <v>1</v>
      </c>
      <c r="AZ470" s="25">
        <v>1</v>
      </c>
      <c r="BA470" s="25">
        <v>1</v>
      </c>
      <c r="BB470" s="25">
        <v>1</v>
      </c>
      <c r="BC470" s="25">
        <v>1</v>
      </c>
      <c r="BD470" s="25">
        <v>1</v>
      </c>
    </row>
    <row r="471" spans="27:56" x14ac:dyDescent="0.25">
      <c r="AA471" s="68" t="str">
        <f t="shared" si="29"/>
        <v>Fotos\\.jpg</v>
      </c>
      <c r="AB471" s="53">
        <f t="shared" si="30"/>
        <v>2.1231422505307855E-3</v>
      </c>
      <c r="AC471" s="25">
        <f t="shared" si="31"/>
        <v>471</v>
      </c>
      <c r="AD471" s="51">
        <f t="shared" si="32"/>
        <v>1</v>
      </c>
      <c r="AE471" s="25">
        <v>1</v>
      </c>
      <c r="AF471" s="25">
        <v>1</v>
      </c>
      <c r="AG471" s="25">
        <v>1</v>
      </c>
      <c r="AH471" s="25">
        <v>1</v>
      </c>
      <c r="AI471" s="25">
        <f>IF(OR(Apresentação!$E$3='Base de Dados e filtragem'!AI$2,Apresentação!$E$3='Base de Dados e filtragem'!E471),1,0)</f>
        <v>1</v>
      </c>
      <c r="AJ471" s="25">
        <f>IF(OR(Apresentação!$E$4='Base de Dados e filtragem'!AJ$2,Apresentação!$E$4='Base de Dados e filtragem'!F471),1,0)</f>
        <v>1</v>
      </c>
      <c r="AK471" s="25">
        <f>IF(OR(Apresentação!$E$5='Base de Dados e filtragem'!AK$2,Apresentação!$E$5='Base de Dados e filtragem'!G471),1,0)</f>
        <v>1</v>
      </c>
      <c r="AL471" s="25">
        <f>IF(OR(Apresentação!$E$6='Base de Dados e filtragem'!AL$2,Apresentação!$E$6='Base de Dados e filtragem'!H471),1,0)</f>
        <v>1</v>
      </c>
      <c r="AM471" s="25">
        <f>IF(OR(Apresentação!$I$2='Base de Dados e filtragem'!AM$2,Apresentação!$I$2='Base de Dados e filtragem'!I471),1,0)</f>
        <v>1</v>
      </c>
      <c r="AN471" s="25">
        <f>IF(OR(Apresentação!$I$3='Base de Dados e filtragem'!AN$2,Apresentação!$I$3='Base de Dados e filtragem'!J471),1,0)</f>
        <v>1</v>
      </c>
      <c r="AO471" s="25">
        <f>IF(OR(Apresentação!$I$4='Base de Dados e filtragem'!AO$2,Apresentação!$I$4='Base de Dados e filtragem'!K471),1,0)</f>
        <v>1</v>
      </c>
      <c r="AP471" s="25">
        <f>IF(OR(Apresentação!$I$5='Base de Dados e filtragem'!AP$2,Apresentação!$I$5='Base de Dados e filtragem'!L471),1,0)</f>
        <v>1</v>
      </c>
      <c r="AQ471" s="25">
        <f>IF(OR(Apresentação!$I$6='Base de Dados e filtragem'!AQ$2,Apresentação!$I$6='Base de Dados e filtragem'!M471),1,0)</f>
        <v>1</v>
      </c>
      <c r="AR471" s="25">
        <v>1</v>
      </c>
      <c r="AS471" s="25">
        <v>1</v>
      </c>
      <c r="AT471" s="25">
        <v>1</v>
      </c>
      <c r="AU471" s="25">
        <v>1</v>
      </c>
      <c r="AV471" s="25">
        <v>1</v>
      </c>
      <c r="AW471" s="25">
        <v>1</v>
      </c>
      <c r="AX471" s="25">
        <v>1</v>
      </c>
      <c r="AY471" s="25">
        <v>1</v>
      </c>
      <c r="AZ471" s="25">
        <v>1</v>
      </c>
      <c r="BA471" s="25">
        <v>1</v>
      </c>
      <c r="BB471" s="25">
        <v>1</v>
      </c>
      <c r="BC471" s="25">
        <v>1</v>
      </c>
      <c r="BD471" s="25">
        <v>1</v>
      </c>
    </row>
    <row r="472" spans="27:56" x14ac:dyDescent="0.25">
      <c r="AA472" s="68" t="str">
        <f t="shared" si="29"/>
        <v>Fotos\\.jpg</v>
      </c>
      <c r="AB472" s="53">
        <f t="shared" si="30"/>
        <v>2.1186440677966102E-3</v>
      </c>
      <c r="AC472" s="25">
        <f t="shared" si="31"/>
        <v>472</v>
      </c>
      <c r="AD472" s="51">
        <f t="shared" si="32"/>
        <v>1</v>
      </c>
      <c r="AE472" s="25">
        <v>1</v>
      </c>
      <c r="AF472" s="25">
        <v>1</v>
      </c>
      <c r="AG472" s="25">
        <v>1</v>
      </c>
      <c r="AH472" s="25">
        <v>1</v>
      </c>
      <c r="AI472" s="25">
        <f>IF(OR(Apresentação!$E$3='Base de Dados e filtragem'!AI$2,Apresentação!$E$3='Base de Dados e filtragem'!E472),1,0)</f>
        <v>1</v>
      </c>
      <c r="AJ472" s="25">
        <f>IF(OR(Apresentação!$E$4='Base de Dados e filtragem'!AJ$2,Apresentação!$E$4='Base de Dados e filtragem'!F472),1,0)</f>
        <v>1</v>
      </c>
      <c r="AK472" s="25">
        <f>IF(OR(Apresentação!$E$5='Base de Dados e filtragem'!AK$2,Apresentação!$E$5='Base de Dados e filtragem'!G472),1,0)</f>
        <v>1</v>
      </c>
      <c r="AL472" s="25">
        <f>IF(OR(Apresentação!$E$6='Base de Dados e filtragem'!AL$2,Apresentação!$E$6='Base de Dados e filtragem'!H472),1,0)</f>
        <v>1</v>
      </c>
      <c r="AM472" s="25">
        <f>IF(OR(Apresentação!$I$2='Base de Dados e filtragem'!AM$2,Apresentação!$I$2='Base de Dados e filtragem'!I472),1,0)</f>
        <v>1</v>
      </c>
      <c r="AN472" s="25">
        <f>IF(OR(Apresentação!$I$3='Base de Dados e filtragem'!AN$2,Apresentação!$I$3='Base de Dados e filtragem'!J472),1,0)</f>
        <v>1</v>
      </c>
      <c r="AO472" s="25">
        <f>IF(OR(Apresentação!$I$4='Base de Dados e filtragem'!AO$2,Apresentação!$I$4='Base de Dados e filtragem'!K472),1,0)</f>
        <v>1</v>
      </c>
      <c r="AP472" s="25">
        <f>IF(OR(Apresentação!$I$5='Base de Dados e filtragem'!AP$2,Apresentação!$I$5='Base de Dados e filtragem'!L472),1,0)</f>
        <v>1</v>
      </c>
      <c r="AQ472" s="25">
        <f>IF(OR(Apresentação!$I$6='Base de Dados e filtragem'!AQ$2,Apresentação!$I$6='Base de Dados e filtragem'!M472),1,0)</f>
        <v>1</v>
      </c>
      <c r="AR472" s="25">
        <v>1</v>
      </c>
      <c r="AS472" s="25">
        <v>1</v>
      </c>
      <c r="AT472" s="25">
        <v>1</v>
      </c>
      <c r="AU472" s="25">
        <v>1</v>
      </c>
      <c r="AV472" s="25">
        <v>1</v>
      </c>
      <c r="AW472" s="25">
        <v>1</v>
      </c>
      <c r="AX472" s="25">
        <v>1</v>
      </c>
      <c r="AY472" s="25">
        <v>1</v>
      </c>
      <c r="AZ472" s="25">
        <v>1</v>
      </c>
      <c r="BA472" s="25">
        <v>1</v>
      </c>
      <c r="BB472" s="25">
        <v>1</v>
      </c>
      <c r="BC472" s="25">
        <v>1</v>
      </c>
      <c r="BD472" s="25">
        <v>1</v>
      </c>
    </row>
    <row r="473" spans="27:56" x14ac:dyDescent="0.25">
      <c r="AA473" s="68" t="str">
        <f t="shared" si="29"/>
        <v>Fotos\\.jpg</v>
      </c>
      <c r="AB473" s="53">
        <f t="shared" si="30"/>
        <v>2.1141649048625794E-3</v>
      </c>
      <c r="AC473" s="25">
        <f t="shared" si="31"/>
        <v>473</v>
      </c>
      <c r="AD473" s="51">
        <f t="shared" si="32"/>
        <v>1</v>
      </c>
      <c r="AE473" s="25">
        <v>1</v>
      </c>
      <c r="AF473" s="25">
        <v>1</v>
      </c>
      <c r="AG473" s="25">
        <v>1</v>
      </c>
      <c r="AH473" s="25">
        <v>1</v>
      </c>
      <c r="AI473" s="25">
        <f>IF(OR(Apresentação!$E$3='Base de Dados e filtragem'!AI$2,Apresentação!$E$3='Base de Dados e filtragem'!E473),1,0)</f>
        <v>1</v>
      </c>
      <c r="AJ473" s="25">
        <f>IF(OR(Apresentação!$E$4='Base de Dados e filtragem'!AJ$2,Apresentação!$E$4='Base de Dados e filtragem'!F473),1,0)</f>
        <v>1</v>
      </c>
      <c r="AK473" s="25">
        <f>IF(OR(Apresentação!$E$5='Base de Dados e filtragem'!AK$2,Apresentação!$E$5='Base de Dados e filtragem'!G473),1,0)</f>
        <v>1</v>
      </c>
      <c r="AL473" s="25">
        <f>IF(OR(Apresentação!$E$6='Base de Dados e filtragem'!AL$2,Apresentação!$E$6='Base de Dados e filtragem'!H473),1,0)</f>
        <v>1</v>
      </c>
      <c r="AM473" s="25">
        <f>IF(OR(Apresentação!$I$2='Base de Dados e filtragem'!AM$2,Apresentação!$I$2='Base de Dados e filtragem'!I473),1,0)</f>
        <v>1</v>
      </c>
      <c r="AN473" s="25">
        <f>IF(OR(Apresentação!$I$3='Base de Dados e filtragem'!AN$2,Apresentação!$I$3='Base de Dados e filtragem'!J473),1,0)</f>
        <v>1</v>
      </c>
      <c r="AO473" s="25">
        <f>IF(OR(Apresentação!$I$4='Base de Dados e filtragem'!AO$2,Apresentação!$I$4='Base de Dados e filtragem'!K473),1,0)</f>
        <v>1</v>
      </c>
      <c r="AP473" s="25">
        <f>IF(OR(Apresentação!$I$5='Base de Dados e filtragem'!AP$2,Apresentação!$I$5='Base de Dados e filtragem'!L473),1,0)</f>
        <v>1</v>
      </c>
      <c r="AQ473" s="25">
        <f>IF(OR(Apresentação!$I$6='Base de Dados e filtragem'!AQ$2,Apresentação!$I$6='Base de Dados e filtragem'!M473),1,0)</f>
        <v>1</v>
      </c>
      <c r="AR473" s="25">
        <v>1</v>
      </c>
      <c r="AS473" s="25">
        <v>1</v>
      </c>
      <c r="AT473" s="25">
        <v>1</v>
      </c>
      <c r="AU473" s="25">
        <v>1</v>
      </c>
      <c r="AV473" s="25">
        <v>1</v>
      </c>
      <c r="AW473" s="25">
        <v>1</v>
      </c>
      <c r="AX473" s="25">
        <v>1</v>
      </c>
      <c r="AY473" s="25">
        <v>1</v>
      </c>
      <c r="AZ473" s="25">
        <v>1</v>
      </c>
      <c r="BA473" s="25">
        <v>1</v>
      </c>
      <c r="BB473" s="25">
        <v>1</v>
      </c>
      <c r="BC473" s="25">
        <v>1</v>
      </c>
      <c r="BD473" s="25">
        <v>1</v>
      </c>
    </row>
    <row r="474" spans="27:56" x14ac:dyDescent="0.25">
      <c r="AA474" s="68" t="str">
        <f t="shared" si="29"/>
        <v>Fotos\\.jpg</v>
      </c>
      <c r="AB474" s="53">
        <f t="shared" si="30"/>
        <v>2.1097046413502108E-3</v>
      </c>
      <c r="AC474" s="25">
        <f t="shared" si="31"/>
        <v>474</v>
      </c>
      <c r="AD474" s="51">
        <f t="shared" si="32"/>
        <v>1</v>
      </c>
      <c r="AE474" s="25">
        <v>1</v>
      </c>
      <c r="AF474" s="25">
        <v>1</v>
      </c>
      <c r="AG474" s="25">
        <v>1</v>
      </c>
      <c r="AH474" s="25">
        <v>1</v>
      </c>
      <c r="AI474" s="25">
        <f>IF(OR(Apresentação!$E$3='Base de Dados e filtragem'!AI$2,Apresentação!$E$3='Base de Dados e filtragem'!E474),1,0)</f>
        <v>1</v>
      </c>
      <c r="AJ474" s="25">
        <f>IF(OR(Apresentação!$E$4='Base de Dados e filtragem'!AJ$2,Apresentação!$E$4='Base de Dados e filtragem'!F474),1,0)</f>
        <v>1</v>
      </c>
      <c r="AK474" s="25">
        <f>IF(OR(Apresentação!$E$5='Base de Dados e filtragem'!AK$2,Apresentação!$E$5='Base de Dados e filtragem'!G474),1,0)</f>
        <v>1</v>
      </c>
      <c r="AL474" s="25">
        <f>IF(OR(Apresentação!$E$6='Base de Dados e filtragem'!AL$2,Apresentação!$E$6='Base de Dados e filtragem'!H474),1,0)</f>
        <v>1</v>
      </c>
      <c r="AM474" s="25">
        <f>IF(OR(Apresentação!$I$2='Base de Dados e filtragem'!AM$2,Apresentação!$I$2='Base de Dados e filtragem'!I474),1,0)</f>
        <v>1</v>
      </c>
      <c r="AN474" s="25">
        <f>IF(OR(Apresentação!$I$3='Base de Dados e filtragem'!AN$2,Apresentação!$I$3='Base de Dados e filtragem'!J474),1,0)</f>
        <v>1</v>
      </c>
      <c r="AO474" s="25">
        <f>IF(OR(Apresentação!$I$4='Base de Dados e filtragem'!AO$2,Apresentação!$I$4='Base de Dados e filtragem'!K474),1,0)</f>
        <v>1</v>
      </c>
      <c r="AP474" s="25">
        <f>IF(OR(Apresentação!$I$5='Base de Dados e filtragem'!AP$2,Apresentação!$I$5='Base de Dados e filtragem'!L474),1,0)</f>
        <v>1</v>
      </c>
      <c r="AQ474" s="25">
        <f>IF(OR(Apresentação!$I$6='Base de Dados e filtragem'!AQ$2,Apresentação!$I$6='Base de Dados e filtragem'!M474),1,0)</f>
        <v>1</v>
      </c>
      <c r="AR474" s="25">
        <v>1</v>
      </c>
      <c r="AS474" s="25">
        <v>1</v>
      </c>
      <c r="AT474" s="25">
        <v>1</v>
      </c>
      <c r="AU474" s="25">
        <v>1</v>
      </c>
      <c r="AV474" s="25">
        <v>1</v>
      </c>
      <c r="AW474" s="25">
        <v>1</v>
      </c>
      <c r="AX474" s="25">
        <v>1</v>
      </c>
      <c r="AY474" s="25">
        <v>1</v>
      </c>
      <c r="AZ474" s="25">
        <v>1</v>
      </c>
      <c r="BA474" s="25">
        <v>1</v>
      </c>
      <c r="BB474" s="25">
        <v>1</v>
      </c>
      <c r="BC474" s="25">
        <v>1</v>
      </c>
      <c r="BD474" s="25">
        <v>1</v>
      </c>
    </row>
    <row r="475" spans="27:56" x14ac:dyDescent="0.25">
      <c r="AA475" s="68" t="str">
        <f t="shared" si="29"/>
        <v>Fotos\\.jpg</v>
      </c>
      <c r="AB475" s="53">
        <f t="shared" si="30"/>
        <v>2.1052631578947368E-3</v>
      </c>
      <c r="AC475" s="25">
        <f t="shared" si="31"/>
        <v>475</v>
      </c>
      <c r="AD475" s="51">
        <f t="shared" si="32"/>
        <v>1</v>
      </c>
      <c r="AE475" s="25">
        <v>1</v>
      </c>
      <c r="AF475" s="25">
        <v>1</v>
      </c>
      <c r="AG475" s="25">
        <v>1</v>
      </c>
      <c r="AH475" s="25">
        <v>1</v>
      </c>
      <c r="AI475" s="25">
        <f>IF(OR(Apresentação!$E$3='Base de Dados e filtragem'!AI$2,Apresentação!$E$3='Base de Dados e filtragem'!E475),1,0)</f>
        <v>1</v>
      </c>
      <c r="AJ475" s="25">
        <f>IF(OR(Apresentação!$E$4='Base de Dados e filtragem'!AJ$2,Apresentação!$E$4='Base de Dados e filtragem'!F475),1,0)</f>
        <v>1</v>
      </c>
      <c r="AK475" s="25">
        <f>IF(OR(Apresentação!$E$5='Base de Dados e filtragem'!AK$2,Apresentação!$E$5='Base de Dados e filtragem'!G475),1,0)</f>
        <v>1</v>
      </c>
      <c r="AL475" s="25">
        <f>IF(OR(Apresentação!$E$6='Base de Dados e filtragem'!AL$2,Apresentação!$E$6='Base de Dados e filtragem'!H475),1,0)</f>
        <v>1</v>
      </c>
      <c r="AM475" s="25">
        <f>IF(OR(Apresentação!$I$2='Base de Dados e filtragem'!AM$2,Apresentação!$I$2='Base de Dados e filtragem'!I475),1,0)</f>
        <v>1</v>
      </c>
      <c r="AN475" s="25">
        <f>IF(OR(Apresentação!$I$3='Base de Dados e filtragem'!AN$2,Apresentação!$I$3='Base de Dados e filtragem'!J475),1,0)</f>
        <v>1</v>
      </c>
      <c r="AO475" s="25">
        <f>IF(OR(Apresentação!$I$4='Base de Dados e filtragem'!AO$2,Apresentação!$I$4='Base de Dados e filtragem'!K475),1,0)</f>
        <v>1</v>
      </c>
      <c r="AP475" s="25">
        <f>IF(OR(Apresentação!$I$5='Base de Dados e filtragem'!AP$2,Apresentação!$I$5='Base de Dados e filtragem'!L475),1,0)</f>
        <v>1</v>
      </c>
      <c r="AQ475" s="25">
        <f>IF(OR(Apresentação!$I$6='Base de Dados e filtragem'!AQ$2,Apresentação!$I$6='Base de Dados e filtragem'!M475),1,0)</f>
        <v>1</v>
      </c>
      <c r="AR475" s="25">
        <v>1</v>
      </c>
      <c r="AS475" s="25">
        <v>1</v>
      </c>
      <c r="AT475" s="25">
        <v>1</v>
      </c>
      <c r="AU475" s="25">
        <v>1</v>
      </c>
      <c r="AV475" s="25">
        <v>1</v>
      </c>
      <c r="AW475" s="25">
        <v>1</v>
      </c>
      <c r="AX475" s="25">
        <v>1</v>
      </c>
      <c r="AY475" s="25">
        <v>1</v>
      </c>
      <c r="AZ475" s="25">
        <v>1</v>
      </c>
      <c r="BA475" s="25">
        <v>1</v>
      </c>
      <c r="BB475" s="25">
        <v>1</v>
      </c>
      <c r="BC475" s="25">
        <v>1</v>
      </c>
      <c r="BD475" s="25">
        <v>1</v>
      </c>
    </row>
    <row r="476" spans="27:56" x14ac:dyDescent="0.25">
      <c r="AA476" s="68" t="str">
        <f t="shared" si="29"/>
        <v>Fotos\\.jpg</v>
      </c>
      <c r="AB476" s="53">
        <f t="shared" si="30"/>
        <v>2.1008403361344537E-3</v>
      </c>
      <c r="AC476" s="25">
        <f t="shared" si="31"/>
        <v>476</v>
      </c>
      <c r="AD476" s="51">
        <f t="shared" si="32"/>
        <v>1</v>
      </c>
      <c r="AE476" s="25">
        <v>1</v>
      </c>
      <c r="AF476" s="25">
        <v>1</v>
      </c>
      <c r="AG476" s="25">
        <v>1</v>
      </c>
      <c r="AH476" s="25">
        <v>1</v>
      </c>
      <c r="AI476" s="25">
        <f>IF(OR(Apresentação!$E$3='Base de Dados e filtragem'!AI$2,Apresentação!$E$3='Base de Dados e filtragem'!E476),1,0)</f>
        <v>1</v>
      </c>
      <c r="AJ476" s="25">
        <f>IF(OR(Apresentação!$E$4='Base de Dados e filtragem'!AJ$2,Apresentação!$E$4='Base de Dados e filtragem'!F476),1,0)</f>
        <v>1</v>
      </c>
      <c r="AK476" s="25">
        <f>IF(OR(Apresentação!$E$5='Base de Dados e filtragem'!AK$2,Apresentação!$E$5='Base de Dados e filtragem'!G476),1,0)</f>
        <v>1</v>
      </c>
      <c r="AL476" s="25">
        <f>IF(OR(Apresentação!$E$6='Base de Dados e filtragem'!AL$2,Apresentação!$E$6='Base de Dados e filtragem'!H476),1,0)</f>
        <v>1</v>
      </c>
      <c r="AM476" s="25">
        <f>IF(OR(Apresentação!$I$2='Base de Dados e filtragem'!AM$2,Apresentação!$I$2='Base de Dados e filtragem'!I476),1,0)</f>
        <v>1</v>
      </c>
      <c r="AN476" s="25">
        <f>IF(OR(Apresentação!$I$3='Base de Dados e filtragem'!AN$2,Apresentação!$I$3='Base de Dados e filtragem'!J476),1,0)</f>
        <v>1</v>
      </c>
      <c r="AO476" s="25">
        <f>IF(OR(Apresentação!$I$4='Base de Dados e filtragem'!AO$2,Apresentação!$I$4='Base de Dados e filtragem'!K476),1,0)</f>
        <v>1</v>
      </c>
      <c r="AP476" s="25">
        <f>IF(OR(Apresentação!$I$5='Base de Dados e filtragem'!AP$2,Apresentação!$I$5='Base de Dados e filtragem'!L476),1,0)</f>
        <v>1</v>
      </c>
      <c r="AQ476" s="25">
        <f>IF(OR(Apresentação!$I$6='Base de Dados e filtragem'!AQ$2,Apresentação!$I$6='Base de Dados e filtragem'!M476),1,0)</f>
        <v>1</v>
      </c>
      <c r="AR476" s="25">
        <v>1</v>
      </c>
      <c r="AS476" s="25">
        <v>1</v>
      </c>
      <c r="AT476" s="25">
        <v>1</v>
      </c>
      <c r="AU476" s="25">
        <v>1</v>
      </c>
      <c r="AV476" s="25">
        <v>1</v>
      </c>
      <c r="AW476" s="25">
        <v>1</v>
      </c>
      <c r="AX476" s="25">
        <v>1</v>
      </c>
      <c r="AY476" s="25">
        <v>1</v>
      </c>
      <c r="AZ476" s="25">
        <v>1</v>
      </c>
      <c r="BA476" s="25">
        <v>1</v>
      </c>
      <c r="BB476" s="25">
        <v>1</v>
      </c>
      <c r="BC476" s="25">
        <v>1</v>
      </c>
      <c r="BD476" s="25">
        <v>1</v>
      </c>
    </row>
    <row r="477" spans="27:56" x14ac:dyDescent="0.25">
      <c r="AA477" s="68" t="str">
        <f t="shared" si="29"/>
        <v>Fotos\\.jpg</v>
      </c>
      <c r="AB477" s="53">
        <f t="shared" si="30"/>
        <v>2.0964360587002098E-3</v>
      </c>
      <c r="AC477" s="25">
        <f t="shared" si="31"/>
        <v>477</v>
      </c>
      <c r="AD477" s="51">
        <f t="shared" si="32"/>
        <v>1</v>
      </c>
      <c r="AE477" s="25">
        <v>1</v>
      </c>
      <c r="AF477" s="25">
        <v>1</v>
      </c>
      <c r="AG477" s="25">
        <v>1</v>
      </c>
      <c r="AH477" s="25">
        <v>1</v>
      </c>
      <c r="AI477" s="25">
        <f>IF(OR(Apresentação!$E$3='Base de Dados e filtragem'!AI$2,Apresentação!$E$3='Base de Dados e filtragem'!E477),1,0)</f>
        <v>1</v>
      </c>
      <c r="AJ477" s="25">
        <f>IF(OR(Apresentação!$E$4='Base de Dados e filtragem'!AJ$2,Apresentação!$E$4='Base de Dados e filtragem'!F477),1,0)</f>
        <v>1</v>
      </c>
      <c r="AK477" s="25">
        <f>IF(OR(Apresentação!$E$5='Base de Dados e filtragem'!AK$2,Apresentação!$E$5='Base de Dados e filtragem'!G477),1,0)</f>
        <v>1</v>
      </c>
      <c r="AL477" s="25">
        <f>IF(OR(Apresentação!$E$6='Base de Dados e filtragem'!AL$2,Apresentação!$E$6='Base de Dados e filtragem'!H477),1,0)</f>
        <v>1</v>
      </c>
      <c r="AM477" s="25">
        <f>IF(OR(Apresentação!$I$2='Base de Dados e filtragem'!AM$2,Apresentação!$I$2='Base de Dados e filtragem'!I477),1,0)</f>
        <v>1</v>
      </c>
      <c r="AN477" s="25">
        <f>IF(OR(Apresentação!$I$3='Base de Dados e filtragem'!AN$2,Apresentação!$I$3='Base de Dados e filtragem'!J477),1,0)</f>
        <v>1</v>
      </c>
      <c r="AO477" s="25">
        <f>IF(OR(Apresentação!$I$4='Base de Dados e filtragem'!AO$2,Apresentação!$I$4='Base de Dados e filtragem'!K477),1,0)</f>
        <v>1</v>
      </c>
      <c r="AP477" s="25">
        <f>IF(OR(Apresentação!$I$5='Base de Dados e filtragem'!AP$2,Apresentação!$I$5='Base de Dados e filtragem'!L477),1,0)</f>
        <v>1</v>
      </c>
      <c r="AQ477" s="25">
        <f>IF(OR(Apresentação!$I$6='Base de Dados e filtragem'!AQ$2,Apresentação!$I$6='Base de Dados e filtragem'!M477),1,0)</f>
        <v>1</v>
      </c>
      <c r="AR477" s="25">
        <v>1</v>
      </c>
      <c r="AS477" s="25">
        <v>1</v>
      </c>
      <c r="AT477" s="25">
        <v>1</v>
      </c>
      <c r="AU477" s="25">
        <v>1</v>
      </c>
      <c r="AV477" s="25">
        <v>1</v>
      </c>
      <c r="AW477" s="25">
        <v>1</v>
      </c>
      <c r="AX477" s="25">
        <v>1</v>
      </c>
      <c r="AY477" s="25">
        <v>1</v>
      </c>
      <c r="AZ477" s="25">
        <v>1</v>
      </c>
      <c r="BA477" s="25">
        <v>1</v>
      </c>
      <c r="BB477" s="25">
        <v>1</v>
      </c>
      <c r="BC477" s="25">
        <v>1</v>
      </c>
      <c r="BD477" s="25">
        <v>1</v>
      </c>
    </row>
    <row r="478" spans="27:56" x14ac:dyDescent="0.25">
      <c r="AA478" s="68" t="str">
        <f t="shared" si="29"/>
        <v>Fotos\\.jpg</v>
      </c>
      <c r="AB478" s="53">
        <f t="shared" si="30"/>
        <v>2.0920502092050207E-3</v>
      </c>
      <c r="AC478" s="25">
        <f t="shared" si="31"/>
        <v>478</v>
      </c>
      <c r="AD478" s="51">
        <f t="shared" si="32"/>
        <v>1</v>
      </c>
      <c r="AE478" s="25">
        <v>1</v>
      </c>
      <c r="AF478" s="25">
        <v>1</v>
      </c>
      <c r="AG478" s="25">
        <v>1</v>
      </c>
      <c r="AH478" s="25">
        <v>1</v>
      </c>
      <c r="AI478" s="25">
        <f>IF(OR(Apresentação!$E$3='Base de Dados e filtragem'!AI$2,Apresentação!$E$3='Base de Dados e filtragem'!E478),1,0)</f>
        <v>1</v>
      </c>
      <c r="AJ478" s="25">
        <f>IF(OR(Apresentação!$E$4='Base de Dados e filtragem'!AJ$2,Apresentação!$E$4='Base de Dados e filtragem'!F478),1,0)</f>
        <v>1</v>
      </c>
      <c r="AK478" s="25">
        <f>IF(OR(Apresentação!$E$5='Base de Dados e filtragem'!AK$2,Apresentação!$E$5='Base de Dados e filtragem'!G478),1,0)</f>
        <v>1</v>
      </c>
      <c r="AL478" s="25">
        <f>IF(OR(Apresentação!$E$6='Base de Dados e filtragem'!AL$2,Apresentação!$E$6='Base de Dados e filtragem'!H478),1,0)</f>
        <v>1</v>
      </c>
      <c r="AM478" s="25">
        <f>IF(OR(Apresentação!$I$2='Base de Dados e filtragem'!AM$2,Apresentação!$I$2='Base de Dados e filtragem'!I478),1,0)</f>
        <v>1</v>
      </c>
      <c r="AN478" s="25">
        <f>IF(OR(Apresentação!$I$3='Base de Dados e filtragem'!AN$2,Apresentação!$I$3='Base de Dados e filtragem'!J478),1,0)</f>
        <v>1</v>
      </c>
      <c r="AO478" s="25">
        <f>IF(OR(Apresentação!$I$4='Base de Dados e filtragem'!AO$2,Apresentação!$I$4='Base de Dados e filtragem'!K478),1,0)</f>
        <v>1</v>
      </c>
      <c r="AP478" s="25">
        <f>IF(OR(Apresentação!$I$5='Base de Dados e filtragem'!AP$2,Apresentação!$I$5='Base de Dados e filtragem'!L478),1,0)</f>
        <v>1</v>
      </c>
      <c r="AQ478" s="25">
        <f>IF(OR(Apresentação!$I$6='Base de Dados e filtragem'!AQ$2,Apresentação!$I$6='Base de Dados e filtragem'!M478),1,0)</f>
        <v>1</v>
      </c>
      <c r="AR478" s="25">
        <v>1</v>
      </c>
      <c r="AS478" s="25">
        <v>1</v>
      </c>
      <c r="AT478" s="25">
        <v>1</v>
      </c>
      <c r="AU478" s="25">
        <v>1</v>
      </c>
      <c r="AV478" s="25">
        <v>1</v>
      </c>
      <c r="AW478" s="25">
        <v>1</v>
      </c>
      <c r="AX478" s="25">
        <v>1</v>
      </c>
      <c r="AY478" s="25">
        <v>1</v>
      </c>
      <c r="AZ478" s="25">
        <v>1</v>
      </c>
      <c r="BA478" s="25">
        <v>1</v>
      </c>
      <c r="BB478" s="25">
        <v>1</v>
      </c>
      <c r="BC478" s="25">
        <v>1</v>
      </c>
      <c r="BD478" s="25">
        <v>1</v>
      </c>
    </row>
    <row r="479" spans="27:56" x14ac:dyDescent="0.25">
      <c r="AA479" s="68" t="str">
        <f t="shared" si="29"/>
        <v>Fotos\\.jpg</v>
      </c>
      <c r="AB479" s="53">
        <f t="shared" si="30"/>
        <v>2.0876826722338203E-3</v>
      </c>
      <c r="AC479" s="25">
        <f t="shared" si="31"/>
        <v>479</v>
      </c>
      <c r="AD479" s="51">
        <f t="shared" si="32"/>
        <v>1</v>
      </c>
      <c r="AE479" s="25">
        <v>1</v>
      </c>
      <c r="AF479" s="25">
        <v>1</v>
      </c>
      <c r="AG479" s="25">
        <v>1</v>
      </c>
      <c r="AH479" s="25">
        <v>1</v>
      </c>
      <c r="AI479" s="25">
        <f>IF(OR(Apresentação!$E$3='Base de Dados e filtragem'!AI$2,Apresentação!$E$3='Base de Dados e filtragem'!E479),1,0)</f>
        <v>1</v>
      </c>
      <c r="AJ479" s="25">
        <f>IF(OR(Apresentação!$E$4='Base de Dados e filtragem'!AJ$2,Apresentação!$E$4='Base de Dados e filtragem'!F479),1,0)</f>
        <v>1</v>
      </c>
      <c r="AK479" s="25">
        <f>IF(OR(Apresentação!$E$5='Base de Dados e filtragem'!AK$2,Apresentação!$E$5='Base de Dados e filtragem'!G479),1,0)</f>
        <v>1</v>
      </c>
      <c r="AL479" s="25">
        <f>IF(OR(Apresentação!$E$6='Base de Dados e filtragem'!AL$2,Apresentação!$E$6='Base de Dados e filtragem'!H479),1,0)</f>
        <v>1</v>
      </c>
      <c r="AM479" s="25">
        <f>IF(OR(Apresentação!$I$2='Base de Dados e filtragem'!AM$2,Apresentação!$I$2='Base de Dados e filtragem'!I479),1,0)</f>
        <v>1</v>
      </c>
      <c r="AN479" s="25">
        <f>IF(OR(Apresentação!$I$3='Base de Dados e filtragem'!AN$2,Apresentação!$I$3='Base de Dados e filtragem'!J479),1,0)</f>
        <v>1</v>
      </c>
      <c r="AO479" s="25">
        <f>IF(OR(Apresentação!$I$4='Base de Dados e filtragem'!AO$2,Apresentação!$I$4='Base de Dados e filtragem'!K479),1,0)</f>
        <v>1</v>
      </c>
      <c r="AP479" s="25">
        <f>IF(OR(Apresentação!$I$5='Base de Dados e filtragem'!AP$2,Apresentação!$I$5='Base de Dados e filtragem'!L479),1,0)</f>
        <v>1</v>
      </c>
      <c r="AQ479" s="25">
        <f>IF(OR(Apresentação!$I$6='Base de Dados e filtragem'!AQ$2,Apresentação!$I$6='Base de Dados e filtragem'!M479),1,0)</f>
        <v>1</v>
      </c>
      <c r="AR479" s="25">
        <v>1</v>
      </c>
      <c r="AS479" s="25">
        <v>1</v>
      </c>
      <c r="AT479" s="25">
        <v>1</v>
      </c>
      <c r="AU479" s="25">
        <v>1</v>
      </c>
      <c r="AV479" s="25">
        <v>1</v>
      </c>
      <c r="AW479" s="25">
        <v>1</v>
      </c>
      <c r="AX479" s="25">
        <v>1</v>
      </c>
      <c r="AY479" s="25">
        <v>1</v>
      </c>
      <c r="AZ479" s="25">
        <v>1</v>
      </c>
      <c r="BA479" s="25">
        <v>1</v>
      </c>
      <c r="BB479" s="25">
        <v>1</v>
      </c>
      <c r="BC479" s="25">
        <v>1</v>
      </c>
      <c r="BD479" s="25">
        <v>1</v>
      </c>
    </row>
    <row r="480" spans="27:56" x14ac:dyDescent="0.25">
      <c r="AA480" s="68" t="str">
        <f t="shared" si="29"/>
        <v>Fotos\\.jpg</v>
      </c>
      <c r="AB480" s="53">
        <f t="shared" si="30"/>
        <v>2.0833333333333333E-3</v>
      </c>
      <c r="AC480" s="25">
        <f t="shared" si="31"/>
        <v>480</v>
      </c>
      <c r="AD480" s="51">
        <f t="shared" si="32"/>
        <v>1</v>
      </c>
      <c r="AE480" s="25">
        <v>1</v>
      </c>
      <c r="AF480" s="25">
        <v>1</v>
      </c>
      <c r="AG480" s="25">
        <v>1</v>
      </c>
      <c r="AH480" s="25">
        <v>1</v>
      </c>
      <c r="AI480" s="25">
        <f>IF(OR(Apresentação!$E$3='Base de Dados e filtragem'!AI$2,Apresentação!$E$3='Base de Dados e filtragem'!E480),1,0)</f>
        <v>1</v>
      </c>
      <c r="AJ480" s="25">
        <f>IF(OR(Apresentação!$E$4='Base de Dados e filtragem'!AJ$2,Apresentação!$E$4='Base de Dados e filtragem'!F480),1,0)</f>
        <v>1</v>
      </c>
      <c r="AK480" s="25">
        <f>IF(OR(Apresentação!$E$5='Base de Dados e filtragem'!AK$2,Apresentação!$E$5='Base de Dados e filtragem'!G480),1,0)</f>
        <v>1</v>
      </c>
      <c r="AL480" s="25">
        <f>IF(OR(Apresentação!$E$6='Base de Dados e filtragem'!AL$2,Apresentação!$E$6='Base de Dados e filtragem'!H480),1,0)</f>
        <v>1</v>
      </c>
      <c r="AM480" s="25">
        <f>IF(OR(Apresentação!$I$2='Base de Dados e filtragem'!AM$2,Apresentação!$I$2='Base de Dados e filtragem'!I480),1,0)</f>
        <v>1</v>
      </c>
      <c r="AN480" s="25">
        <f>IF(OR(Apresentação!$I$3='Base de Dados e filtragem'!AN$2,Apresentação!$I$3='Base de Dados e filtragem'!J480),1,0)</f>
        <v>1</v>
      </c>
      <c r="AO480" s="25">
        <f>IF(OR(Apresentação!$I$4='Base de Dados e filtragem'!AO$2,Apresentação!$I$4='Base de Dados e filtragem'!K480),1,0)</f>
        <v>1</v>
      </c>
      <c r="AP480" s="25">
        <f>IF(OR(Apresentação!$I$5='Base de Dados e filtragem'!AP$2,Apresentação!$I$5='Base de Dados e filtragem'!L480),1,0)</f>
        <v>1</v>
      </c>
      <c r="AQ480" s="25">
        <f>IF(OR(Apresentação!$I$6='Base de Dados e filtragem'!AQ$2,Apresentação!$I$6='Base de Dados e filtragem'!M480),1,0)</f>
        <v>1</v>
      </c>
      <c r="AR480" s="25">
        <v>1</v>
      </c>
      <c r="AS480" s="25">
        <v>1</v>
      </c>
      <c r="AT480" s="25">
        <v>1</v>
      </c>
      <c r="AU480" s="25">
        <v>1</v>
      </c>
      <c r="AV480" s="25">
        <v>1</v>
      </c>
      <c r="AW480" s="25">
        <v>1</v>
      </c>
      <c r="AX480" s="25">
        <v>1</v>
      </c>
      <c r="AY480" s="25">
        <v>1</v>
      </c>
      <c r="AZ480" s="25">
        <v>1</v>
      </c>
      <c r="BA480" s="25">
        <v>1</v>
      </c>
      <c r="BB480" s="25">
        <v>1</v>
      </c>
      <c r="BC480" s="25">
        <v>1</v>
      </c>
      <c r="BD480" s="25">
        <v>1</v>
      </c>
    </row>
    <row r="481" spans="27:56" x14ac:dyDescent="0.25">
      <c r="AA481" s="68" t="str">
        <f t="shared" si="29"/>
        <v>Fotos\\.jpg</v>
      </c>
      <c r="AB481" s="53">
        <f t="shared" si="30"/>
        <v>2.0790020790020791E-3</v>
      </c>
      <c r="AC481" s="25">
        <f t="shared" si="31"/>
        <v>481</v>
      </c>
      <c r="AD481" s="51">
        <f t="shared" si="32"/>
        <v>1</v>
      </c>
      <c r="AE481" s="25">
        <v>1</v>
      </c>
      <c r="AF481" s="25">
        <v>1</v>
      </c>
      <c r="AG481" s="25">
        <v>1</v>
      </c>
      <c r="AH481" s="25">
        <v>1</v>
      </c>
      <c r="AI481" s="25">
        <f>IF(OR(Apresentação!$E$3='Base de Dados e filtragem'!AI$2,Apresentação!$E$3='Base de Dados e filtragem'!E481),1,0)</f>
        <v>1</v>
      </c>
      <c r="AJ481" s="25">
        <f>IF(OR(Apresentação!$E$4='Base de Dados e filtragem'!AJ$2,Apresentação!$E$4='Base de Dados e filtragem'!F481),1,0)</f>
        <v>1</v>
      </c>
      <c r="AK481" s="25">
        <f>IF(OR(Apresentação!$E$5='Base de Dados e filtragem'!AK$2,Apresentação!$E$5='Base de Dados e filtragem'!G481),1,0)</f>
        <v>1</v>
      </c>
      <c r="AL481" s="25">
        <f>IF(OR(Apresentação!$E$6='Base de Dados e filtragem'!AL$2,Apresentação!$E$6='Base de Dados e filtragem'!H481),1,0)</f>
        <v>1</v>
      </c>
      <c r="AM481" s="25">
        <f>IF(OR(Apresentação!$I$2='Base de Dados e filtragem'!AM$2,Apresentação!$I$2='Base de Dados e filtragem'!I481),1,0)</f>
        <v>1</v>
      </c>
      <c r="AN481" s="25">
        <f>IF(OR(Apresentação!$I$3='Base de Dados e filtragem'!AN$2,Apresentação!$I$3='Base de Dados e filtragem'!J481),1,0)</f>
        <v>1</v>
      </c>
      <c r="AO481" s="25">
        <f>IF(OR(Apresentação!$I$4='Base de Dados e filtragem'!AO$2,Apresentação!$I$4='Base de Dados e filtragem'!K481),1,0)</f>
        <v>1</v>
      </c>
      <c r="AP481" s="25">
        <f>IF(OR(Apresentação!$I$5='Base de Dados e filtragem'!AP$2,Apresentação!$I$5='Base de Dados e filtragem'!L481),1,0)</f>
        <v>1</v>
      </c>
      <c r="AQ481" s="25">
        <f>IF(OR(Apresentação!$I$6='Base de Dados e filtragem'!AQ$2,Apresentação!$I$6='Base de Dados e filtragem'!M481),1,0)</f>
        <v>1</v>
      </c>
      <c r="AR481" s="25">
        <v>1</v>
      </c>
      <c r="AS481" s="25">
        <v>1</v>
      </c>
      <c r="AT481" s="25">
        <v>1</v>
      </c>
      <c r="AU481" s="25">
        <v>1</v>
      </c>
      <c r="AV481" s="25">
        <v>1</v>
      </c>
      <c r="AW481" s="25">
        <v>1</v>
      </c>
      <c r="AX481" s="25">
        <v>1</v>
      </c>
      <c r="AY481" s="25">
        <v>1</v>
      </c>
      <c r="AZ481" s="25">
        <v>1</v>
      </c>
      <c r="BA481" s="25">
        <v>1</v>
      </c>
      <c r="BB481" s="25">
        <v>1</v>
      </c>
      <c r="BC481" s="25">
        <v>1</v>
      </c>
      <c r="BD481" s="25">
        <v>1</v>
      </c>
    </row>
    <row r="482" spans="27:56" x14ac:dyDescent="0.25">
      <c r="AA482" s="68" t="str">
        <f t="shared" si="29"/>
        <v>Fotos\\.jpg</v>
      </c>
      <c r="AB482" s="53">
        <f t="shared" si="30"/>
        <v>2.0746887966804979E-3</v>
      </c>
      <c r="AC482" s="25">
        <f t="shared" si="31"/>
        <v>482</v>
      </c>
      <c r="AD482" s="51">
        <f t="shared" si="32"/>
        <v>1</v>
      </c>
      <c r="AE482" s="25">
        <v>1</v>
      </c>
      <c r="AF482" s="25">
        <v>1</v>
      </c>
      <c r="AG482" s="25">
        <v>1</v>
      </c>
      <c r="AH482" s="25">
        <v>1</v>
      </c>
      <c r="AI482" s="25">
        <f>IF(OR(Apresentação!$E$3='Base de Dados e filtragem'!AI$2,Apresentação!$E$3='Base de Dados e filtragem'!E482),1,0)</f>
        <v>1</v>
      </c>
      <c r="AJ482" s="25">
        <f>IF(OR(Apresentação!$E$4='Base de Dados e filtragem'!AJ$2,Apresentação!$E$4='Base de Dados e filtragem'!F482),1,0)</f>
        <v>1</v>
      </c>
      <c r="AK482" s="25">
        <f>IF(OR(Apresentação!$E$5='Base de Dados e filtragem'!AK$2,Apresentação!$E$5='Base de Dados e filtragem'!G482),1,0)</f>
        <v>1</v>
      </c>
      <c r="AL482" s="25">
        <f>IF(OR(Apresentação!$E$6='Base de Dados e filtragem'!AL$2,Apresentação!$E$6='Base de Dados e filtragem'!H482),1,0)</f>
        <v>1</v>
      </c>
      <c r="AM482" s="25">
        <f>IF(OR(Apresentação!$I$2='Base de Dados e filtragem'!AM$2,Apresentação!$I$2='Base de Dados e filtragem'!I482),1,0)</f>
        <v>1</v>
      </c>
      <c r="AN482" s="25">
        <f>IF(OR(Apresentação!$I$3='Base de Dados e filtragem'!AN$2,Apresentação!$I$3='Base de Dados e filtragem'!J482),1,0)</f>
        <v>1</v>
      </c>
      <c r="AO482" s="25">
        <f>IF(OR(Apresentação!$I$4='Base de Dados e filtragem'!AO$2,Apresentação!$I$4='Base de Dados e filtragem'!K482),1,0)</f>
        <v>1</v>
      </c>
      <c r="AP482" s="25">
        <f>IF(OR(Apresentação!$I$5='Base de Dados e filtragem'!AP$2,Apresentação!$I$5='Base de Dados e filtragem'!L482),1,0)</f>
        <v>1</v>
      </c>
      <c r="AQ482" s="25">
        <f>IF(OR(Apresentação!$I$6='Base de Dados e filtragem'!AQ$2,Apresentação!$I$6='Base de Dados e filtragem'!M482),1,0)</f>
        <v>1</v>
      </c>
      <c r="AR482" s="25">
        <v>1</v>
      </c>
      <c r="AS482" s="25">
        <v>1</v>
      </c>
      <c r="AT482" s="25">
        <v>1</v>
      </c>
      <c r="AU482" s="25">
        <v>1</v>
      </c>
      <c r="AV482" s="25">
        <v>1</v>
      </c>
      <c r="AW482" s="25">
        <v>1</v>
      </c>
      <c r="AX482" s="25">
        <v>1</v>
      </c>
      <c r="AY482" s="25">
        <v>1</v>
      </c>
      <c r="AZ482" s="25">
        <v>1</v>
      </c>
      <c r="BA482" s="25">
        <v>1</v>
      </c>
      <c r="BB482" s="25">
        <v>1</v>
      </c>
      <c r="BC482" s="25">
        <v>1</v>
      </c>
      <c r="BD482" s="25">
        <v>1</v>
      </c>
    </row>
    <row r="483" spans="27:56" x14ac:dyDescent="0.25">
      <c r="AA483" s="68" t="str">
        <f t="shared" si="29"/>
        <v>Fotos\\.jpg</v>
      </c>
      <c r="AB483" s="53">
        <f t="shared" si="30"/>
        <v>2.070393374741201E-3</v>
      </c>
      <c r="AC483" s="25">
        <f t="shared" si="31"/>
        <v>483</v>
      </c>
      <c r="AD483" s="51">
        <f t="shared" si="32"/>
        <v>1</v>
      </c>
      <c r="AE483" s="25">
        <v>1</v>
      </c>
      <c r="AF483" s="25">
        <v>1</v>
      </c>
      <c r="AG483" s="25">
        <v>1</v>
      </c>
      <c r="AH483" s="25">
        <v>1</v>
      </c>
      <c r="AI483" s="25">
        <f>IF(OR(Apresentação!$E$3='Base de Dados e filtragem'!AI$2,Apresentação!$E$3='Base de Dados e filtragem'!E483),1,0)</f>
        <v>1</v>
      </c>
      <c r="AJ483" s="25">
        <f>IF(OR(Apresentação!$E$4='Base de Dados e filtragem'!AJ$2,Apresentação!$E$4='Base de Dados e filtragem'!F483),1,0)</f>
        <v>1</v>
      </c>
      <c r="AK483" s="25">
        <f>IF(OR(Apresentação!$E$5='Base de Dados e filtragem'!AK$2,Apresentação!$E$5='Base de Dados e filtragem'!G483),1,0)</f>
        <v>1</v>
      </c>
      <c r="AL483" s="25">
        <f>IF(OR(Apresentação!$E$6='Base de Dados e filtragem'!AL$2,Apresentação!$E$6='Base de Dados e filtragem'!H483),1,0)</f>
        <v>1</v>
      </c>
      <c r="AM483" s="25">
        <f>IF(OR(Apresentação!$I$2='Base de Dados e filtragem'!AM$2,Apresentação!$I$2='Base de Dados e filtragem'!I483),1,0)</f>
        <v>1</v>
      </c>
      <c r="AN483" s="25">
        <f>IF(OR(Apresentação!$I$3='Base de Dados e filtragem'!AN$2,Apresentação!$I$3='Base de Dados e filtragem'!J483),1,0)</f>
        <v>1</v>
      </c>
      <c r="AO483" s="25">
        <f>IF(OR(Apresentação!$I$4='Base de Dados e filtragem'!AO$2,Apresentação!$I$4='Base de Dados e filtragem'!K483),1,0)</f>
        <v>1</v>
      </c>
      <c r="AP483" s="25">
        <f>IF(OR(Apresentação!$I$5='Base de Dados e filtragem'!AP$2,Apresentação!$I$5='Base de Dados e filtragem'!L483),1,0)</f>
        <v>1</v>
      </c>
      <c r="AQ483" s="25">
        <f>IF(OR(Apresentação!$I$6='Base de Dados e filtragem'!AQ$2,Apresentação!$I$6='Base de Dados e filtragem'!M483),1,0)</f>
        <v>1</v>
      </c>
      <c r="AR483" s="25">
        <v>1</v>
      </c>
      <c r="AS483" s="25">
        <v>1</v>
      </c>
      <c r="AT483" s="25">
        <v>1</v>
      </c>
      <c r="AU483" s="25">
        <v>1</v>
      </c>
      <c r="AV483" s="25">
        <v>1</v>
      </c>
      <c r="AW483" s="25">
        <v>1</v>
      </c>
      <c r="AX483" s="25">
        <v>1</v>
      </c>
      <c r="AY483" s="25">
        <v>1</v>
      </c>
      <c r="AZ483" s="25">
        <v>1</v>
      </c>
      <c r="BA483" s="25">
        <v>1</v>
      </c>
      <c r="BB483" s="25">
        <v>1</v>
      </c>
      <c r="BC483" s="25">
        <v>1</v>
      </c>
      <c r="BD483" s="25">
        <v>1</v>
      </c>
    </row>
    <row r="484" spans="27:56" x14ac:dyDescent="0.25">
      <c r="AA484" s="68" t="str">
        <f t="shared" si="29"/>
        <v>Fotos\\.jpg</v>
      </c>
      <c r="AB484" s="53">
        <f t="shared" si="30"/>
        <v>2.0661157024793389E-3</v>
      </c>
      <c r="AC484" s="25">
        <f t="shared" si="31"/>
        <v>484</v>
      </c>
      <c r="AD484" s="51">
        <f t="shared" si="32"/>
        <v>1</v>
      </c>
      <c r="AE484" s="25">
        <v>1</v>
      </c>
      <c r="AF484" s="25">
        <v>1</v>
      </c>
      <c r="AG484" s="25">
        <v>1</v>
      </c>
      <c r="AH484" s="25">
        <v>1</v>
      </c>
      <c r="AI484" s="25">
        <f>IF(OR(Apresentação!$E$3='Base de Dados e filtragem'!AI$2,Apresentação!$E$3='Base de Dados e filtragem'!E484),1,0)</f>
        <v>1</v>
      </c>
      <c r="AJ484" s="25">
        <f>IF(OR(Apresentação!$E$4='Base de Dados e filtragem'!AJ$2,Apresentação!$E$4='Base de Dados e filtragem'!F484),1,0)</f>
        <v>1</v>
      </c>
      <c r="AK484" s="25">
        <f>IF(OR(Apresentação!$E$5='Base de Dados e filtragem'!AK$2,Apresentação!$E$5='Base de Dados e filtragem'!G484),1,0)</f>
        <v>1</v>
      </c>
      <c r="AL484" s="25">
        <f>IF(OR(Apresentação!$E$6='Base de Dados e filtragem'!AL$2,Apresentação!$E$6='Base de Dados e filtragem'!H484),1,0)</f>
        <v>1</v>
      </c>
      <c r="AM484" s="25">
        <f>IF(OR(Apresentação!$I$2='Base de Dados e filtragem'!AM$2,Apresentação!$I$2='Base de Dados e filtragem'!I484),1,0)</f>
        <v>1</v>
      </c>
      <c r="AN484" s="25">
        <f>IF(OR(Apresentação!$I$3='Base de Dados e filtragem'!AN$2,Apresentação!$I$3='Base de Dados e filtragem'!J484),1,0)</f>
        <v>1</v>
      </c>
      <c r="AO484" s="25">
        <f>IF(OR(Apresentação!$I$4='Base de Dados e filtragem'!AO$2,Apresentação!$I$4='Base de Dados e filtragem'!K484),1,0)</f>
        <v>1</v>
      </c>
      <c r="AP484" s="25">
        <f>IF(OR(Apresentação!$I$5='Base de Dados e filtragem'!AP$2,Apresentação!$I$5='Base de Dados e filtragem'!L484),1,0)</f>
        <v>1</v>
      </c>
      <c r="AQ484" s="25">
        <f>IF(OR(Apresentação!$I$6='Base de Dados e filtragem'!AQ$2,Apresentação!$I$6='Base de Dados e filtragem'!M484),1,0)</f>
        <v>1</v>
      </c>
      <c r="AR484" s="25">
        <v>1</v>
      </c>
      <c r="AS484" s="25">
        <v>1</v>
      </c>
      <c r="AT484" s="25">
        <v>1</v>
      </c>
      <c r="AU484" s="25">
        <v>1</v>
      </c>
      <c r="AV484" s="25">
        <v>1</v>
      </c>
      <c r="AW484" s="25">
        <v>1</v>
      </c>
      <c r="AX484" s="25">
        <v>1</v>
      </c>
      <c r="AY484" s="25">
        <v>1</v>
      </c>
      <c r="AZ484" s="25">
        <v>1</v>
      </c>
      <c r="BA484" s="25">
        <v>1</v>
      </c>
      <c r="BB484" s="25">
        <v>1</v>
      </c>
      <c r="BC484" s="25">
        <v>1</v>
      </c>
      <c r="BD484" s="25">
        <v>1</v>
      </c>
    </row>
    <row r="485" spans="27:56" x14ac:dyDescent="0.25">
      <c r="AA485" s="68" t="str">
        <f t="shared" si="29"/>
        <v>Fotos\\.jpg</v>
      </c>
      <c r="AB485" s="53">
        <f t="shared" si="30"/>
        <v>2.0618556701030928E-3</v>
      </c>
      <c r="AC485" s="25">
        <f t="shared" si="31"/>
        <v>485</v>
      </c>
      <c r="AD485" s="51">
        <f t="shared" si="32"/>
        <v>1</v>
      </c>
      <c r="AE485" s="25">
        <v>1</v>
      </c>
      <c r="AF485" s="25">
        <v>1</v>
      </c>
      <c r="AG485" s="25">
        <v>1</v>
      </c>
      <c r="AH485" s="25">
        <v>1</v>
      </c>
      <c r="AI485" s="25">
        <f>IF(OR(Apresentação!$E$3='Base de Dados e filtragem'!AI$2,Apresentação!$E$3='Base de Dados e filtragem'!E485),1,0)</f>
        <v>1</v>
      </c>
      <c r="AJ485" s="25">
        <f>IF(OR(Apresentação!$E$4='Base de Dados e filtragem'!AJ$2,Apresentação!$E$4='Base de Dados e filtragem'!F485),1,0)</f>
        <v>1</v>
      </c>
      <c r="AK485" s="25">
        <f>IF(OR(Apresentação!$E$5='Base de Dados e filtragem'!AK$2,Apresentação!$E$5='Base de Dados e filtragem'!G485),1,0)</f>
        <v>1</v>
      </c>
      <c r="AL485" s="25">
        <f>IF(OR(Apresentação!$E$6='Base de Dados e filtragem'!AL$2,Apresentação!$E$6='Base de Dados e filtragem'!H485),1,0)</f>
        <v>1</v>
      </c>
      <c r="AM485" s="25">
        <f>IF(OR(Apresentação!$I$2='Base de Dados e filtragem'!AM$2,Apresentação!$I$2='Base de Dados e filtragem'!I485),1,0)</f>
        <v>1</v>
      </c>
      <c r="AN485" s="25">
        <f>IF(OR(Apresentação!$I$3='Base de Dados e filtragem'!AN$2,Apresentação!$I$3='Base de Dados e filtragem'!J485),1,0)</f>
        <v>1</v>
      </c>
      <c r="AO485" s="25">
        <f>IF(OR(Apresentação!$I$4='Base de Dados e filtragem'!AO$2,Apresentação!$I$4='Base de Dados e filtragem'!K485),1,0)</f>
        <v>1</v>
      </c>
      <c r="AP485" s="25">
        <f>IF(OR(Apresentação!$I$5='Base de Dados e filtragem'!AP$2,Apresentação!$I$5='Base de Dados e filtragem'!L485),1,0)</f>
        <v>1</v>
      </c>
      <c r="AQ485" s="25">
        <f>IF(OR(Apresentação!$I$6='Base de Dados e filtragem'!AQ$2,Apresentação!$I$6='Base de Dados e filtragem'!M485),1,0)</f>
        <v>1</v>
      </c>
      <c r="AR485" s="25">
        <v>1</v>
      </c>
      <c r="AS485" s="25">
        <v>1</v>
      </c>
      <c r="AT485" s="25">
        <v>1</v>
      </c>
      <c r="AU485" s="25">
        <v>1</v>
      </c>
      <c r="AV485" s="25">
        <v>1</v>
      </c>
      <c r="AW485" s="25">
        <v>1</v>
      </c>
      <c r="AX485" s="25">
        <v>1</v>
      </c>
      <c r="AY485" s="25">
        <v>1</v>
      </c>
      <c r="AZ485" s="25">
        <v>1</v>
      </c>
      <c r="BA485" s="25">
        <v>1</v>
      </c>
      <c r="BB485" s="25">
        <v>1</v>
      </c>
      <c r="BC485" s="25">
        <v>1</v>
      </c>
      <c r="BD485" s="25">
        <v>1</v>
      </c>
    </row>
    <row r="486" spans="27:56" x14ac:dyDescent="0.25">
      <c r="AA486" s="68" t="str">
        <f t="shared" si="29"/>
        <v>Fotos\\.jpg</v>
      </c>
      <c r="AB486" s="53">
        <f t="shared" si="30"/>
        <v>2.05761316872428E-3</v>
      </c>
      <c r="AC486" s="25">
        <f t="shared" si="31"/>
        <v>486</v>
      </c>
      <c r="AD486" s="51">
        <f t="shared" si="32"/>
        <v>1</v>
      </c>
      <c r="AE486" s="25">
        <v>1</v>
      </c>
      <c r="AF486" s="25">
        <v>1</v>
      </c>
      <c r="AG486" s="25">
        <v>1</v>
      </c>
      <c r="AH486" s="25">
        <v>1</v>
      </c>
      <c r="AI486" s="25">
        <f>IF(OR(Apresentação!$E$3='Base de Dados e filtragem'!AI$2,Apresentação!$E$3='Base de Dados e filtragem'!E486),1,0)</f>
        <v>1</v>
      </c>
      <c r="AJ486" s="25">
        <f>IF(OR(Apresentação!$E$4='Base de Dados e filtragem'!AJ$2,Apresentação!$E$4='Base de Dados e filtragem'!F486),1,0)</f>
        <v>1</v>
      </c>
      <c r="AK486" s="25">
        <f>IF(OR(Apresentação!$E$5='Base de Dados e filtragem'!AK$2,Apresentação!$E$5='Base de Dados e filtragem'!G486),1,0)</f>
        <v>1</v>
      </c>
      <c r="AL486" s="25">
        <f>IF(OR(Apresentação!$E$6='Base de Dados e filtragem'!AL$2,Apresentação!$E$6='Base de Dados e filtragem'!H486),1,0)</f>
        <v>1</v>
      </c>
      <c r="AM486" s="25">
        <f>IF(OR(Apresentação!$I$2='Base de Dados e filtragem'!AM$2,Apresentação!$I$2='Base de Dados e filtragem'!I486),1,0)</f>
        <v>1</v>
      </c>
      <c r="AN486" s="25">
        <f>IF(OR(Apresentação!$I$3='Base de Dados e filtragem'!AN$2,Apresentação!$I$3='Base de Dados e filtragem'!J486),1,0)</f>
        <v>1</v>
      </c>
      <c r="AO486" s="25">
        <f>IF(OR(Apresentação!$I$4='Base de Dados e filtragem'!AO$2,Apresentação!$I$4='Base de Dados e filtragem'!K486),1,0)</f>
        <v>1</v>
      </c>
      <c r="AP486" s="25">
        <f>IF(OR(Apresentação!$I$5='Base de Dados e filtragem'!AP$2,Apresentação!$I$5='Base de Dados e filtragem'!L486),1,0)</f>
        <v>1</v>
      </c>
      <c r="AQ486" s="25">
        <f>IF(OR(Apresentação!$I$6='Base de Dados e filtragem'!AQ$2,Apresentação!$I$6='Base de Dados e filtragem'!M486),1,0)</f>
        <v>1</v>
      </c>
      <c r="AR486" s="25">
        <v>1</v>
      </c>
      <c r="AS486" s="25">
        <v>1</v>
      </c>
      <c r="AT486" s="25">
        <v>1</v>
      </c>
      <c r="AU486" s="25">
        <v>1</v>
      </c>
      <c r="AV486" s="25">
        <v>1</v>
      </c>
      <c r="AW486" s="25">
        <v>1</v>
      </c>
      <c r="AX486" s="25">
        <v>1</v>
      </c>
      <c r="AY486" s="25">
        <v>1</v>
      </c>
      <c r="AZ486" s="25">
        <v>1</v>
      </c>
      <c r="BA486" s="25">
        <v>1</v>
      </c>
      <c r="BB486" s="25">
        <v>1</v>
      </c>
      <c r="BC486" s="25">
        <v>1</v>
      </c>
      <c r="BD486" s="25">
        <v>1</v>
      </c>
    </row>
    <row r="487" spans="27:56" x14ac:dyDescent="0.25">
      <c r="AA487" s="68" t="str">
        <f t="shared" si="29"/>
        <v>Fotos\\.jpg</v>
      </c>
      <c r="AB487" s="53">
        <f t="shared" si="30"/>
        <v>2.0533880903490761E-3</v>
      </c>
      <c r="AC487" s="25">
        <f t="shared" si="31"/>
        <v>487</v>
      </c>
      <c r="AD487" s="51">
        <f t="shared" si="32"/>
        <v>1</v>
      </c>
      <c r="AE487" s="25">
        <v>1</v>
      </c>
      <c r="AF487" s="25">
        <v>1</v>
      </c>
      <c r="AG487" s="25">
        <v>1</v>
      </c>
      <c r="AH487" s="25">
        <v>1</v>
      </c>
      <c r="AI487" s="25">
        <f>IF(OR(Apresentação!$E$3='Base de Dados e filtragem'!AI$2,Apresentação!$E$3='Base de Dados e filtragem'!E487),1,0)</f>
        <v>1</v>
      </c>
      <c r="AJ487" s="25">
        <f>IF(OR(Apresentação!$E$4='Base de Dados e filtragem'!AJ$2,Apresentação!$E$4='Base de Dados e filtragem'!F487),1,0)</f>
        <v>1</v>
      </c>
      <c r="AK487" s="25">
        <f>IF(OR(Apresentação!$E$5='Base de Dados e filtragem'!AK$2,Apresentação!$E$5='Base de Dados e filtragem'!G487),1,0)</f>
        <v>1</v>
      </c>
      <c r="AL487" s="25">
        <f>IF(OR(Apresentação!$E$6='Base de Dados e filtragem'!AL$2,Apresentação!$E$6='Base de Dados e filtragem'!H487),1,0)</f>
        <v>1</v>
      </c>
      <c r="AM487" s="25">
        <f>IF(OR(Apresentação!$I$2='Base de Dados e filtragem'!AM$2,Apresentação!$I$2='Base de Dados e filtragem'!I487),1,0)</f>
        <v>1</v>
      </c>
      <c r="AN487" s="25">
        <f>IF(OR(Apresentação!$I$3='Base de Dados e filtragem'!AN$2,Apresentação!$I$3='Base de Dados e filtragem'!J487),1,0)</f>
        <v>1</v>
      </c>
      <c r="AO487" s="25">
        <f>IF(OR(Apresentação!$I$4='Base de Dados e filtragem'!AO$2,Apresentação!$I$4='Base de Dados e filtragem'!K487),1,0)</f>
        <v>1</v>
      </c>
      <c r="AP487" s="25">
        <f>IF(OR(Apresentação!$I$5='Base de Dados e filtragem'!AP$2,Apresentação!$I$5='Base de Dados e filtragem'!L487),1,0)</f>
        <v>1</v>
      </c>
      <c r="AQ487" s="25">
        <f>IF(OR(Apresentação!$I$6='Base de Dados e filtragem'!AQ$2,Apresentação!$I$6='Base de Dados e filtragem'!M487),1,0)</f>
        <v>1</v>
      </c>
      <c r="AR487" s="25">
        <v>1</v>
      </c>
      <c r="AS487" s="25">
        <v>1</v>
      </c>
      <c r="AT487" s="25">
        <v>1</v>
      </c>
      <c r="AU487" s="25">
        <v>1</v>
      </c>
      <c r="AV487" s="25">
        <v>1</v>
      </c>
      <c r="AW487" s="25">
        <v>1</v>
      </c>
      <c r="AX487" s="25">
        <v>1</v>
      </c>
      <c r="AY487" s="25">
        <v>1</v>
      </c>
      <c r="AZ487" s="25">
        <v>1</v>
      </c>
      <c r="BA487" s="25">
        <v>1</v>
      </c>
      <c r="BB487" s="25">
        <v>1</v>
      </c>
      <c r="BC487" s="25">
        <v>1</v>
      </c>
      <c r="BD487" s="25">
        <v>1</v>
      </c>
    </row>
    <row r="488" spans="27:56" x14ac:dyDescent="0.25">
      <c r="AA488" s="68" t="str">
        <f t="shared" si="29"/>
        <v>Fotos\\.jpg</v>
      </c>
      <c r="AB488" s="53">
        <f t="shared" si="30"/>
        <v>2.0491803278688526E-3</v>
      </c>
      <c r="AC488" s="25">
        <f t="shared" si="31"/>
        <v>488</v>
      </c>
      <c r="AD488" s="51">
        <f t="shared" si="32"/>
        <v>1</v>
      </c>
      <c r="AE488" s="25">
        <v>1</v>
      </c>
      <c r="AF488" s="25">
        <v>1</v>
      </c>
      <c r="AG488" s="25">
        <v>1</v>
      </c>
      <c r="AH488" s="25">
        <v>1</v>
      </c>
      <c r="AI488" s="25">
        <f>IF(OR(Apresentação!$E$3='Base de Dados e filtragem'!AI$2,Apresentação!$E$3='Base de Dados e filtragem'!E488),1,0)</f>
        <v>1</v>
      </c>
      <c r="AJ488" s="25">
        <f>IF(OR(Apresentação!$E$4='Base de Dados e filtragem'!AJ$2,Apresentação!$E$4='Base de Dados e filtragem'!F488),1,0)</f>
        <v>1</v>
      </c>
      <c r="AK488" s="25">
        <f>IF(OR(Apresentação!$E$5='Base de Dados e filtragem'!AK$2,Apresentação!$E$5='Base de Dados e filtragem'!G488),1,0)</f>
        <v>1</v>
      </c>
      <c r="AL488" s="25">
        <f>IF(OR(Apresentação!$E$6='Base de Dados e filtragem'!AL$2,Apresentação!$E$6='Base de Dados e filtragem'!H488),1,0)</f>
        <v>1</v>
      </c>
      <c r="AM488" s="25">
        <f>IF(OR(Apresentação!$I$2='Base de Dados e filtragem'!AM$2,Apresentação!$I$2='Base de Dados e filtragem'!I488),1,0)</f>
        <v>1</v>
      </c>
      <c r="AN488" s="25">
        <f>IF(OR(Apresentação!$I$3='Base de Dados e filtragem'!AN$2,Apresentação!$I$3='Base de Dados e filtragem'!J488),1,0)</f>
        <v>1</v>
      </c>
      <c r="AO488" s="25">
        <f>IF(OR(Apresentação!$I$4='Base de Dados e filtragem'!AO$2,Apresentação!$I$4='Base de Dados e filtragem'!K488),1,0)</f>
        <v>1</v>
      </c>
      <c r="AP488" s="25">
        <f>IF(OR(Apresentação!$I$5='Base de Dados e filtragem'!AP$2,Apresentação!$I$5='Base de Dados e filtragem'!L488),1,0)</f>
        <v>1</v>
      </c>
      <c r="AQ488" s="25">
        <f>IF(OR(Apresentação!$I$6='Base de Dados e filtragem'!AQ$2,Apresentação!$I$6='Base de Dados e filtragem'!M488),1,0)</f>
        <v>1</v>
      </c>
      <c r="AR488" s="25">
        <v>1</v>
      </c>
      <c r="AS488" s="25">
        <v>1</v>
      </c>
      <c r="AT488" s="25">
        <v>1</v>
      </c>
      <c r="AU488" s="25">
        <v>1</v>
      </c>
      <c r="AV488" s="25">
        <v>1</v>
      </c>
      <c r="AW488" s="25">
        <v>1</v>
      </c>
      <c r="AX488" s="25">
        <v>1</v>
      </c>
      <c r="AY488" s="25">
        <v>1</v>
      </c>
      <c r="AZ488" s="25">
        <v>1</v>
      </c>
      <c r="BA488" s="25">
        <v>1</v>
      </c>
      <c r="BB488" s="25">
        <v>1</v>
      </c>
      <c r="BC488" s="25">
        <v>1</v>
      </c>
      <c r="BD488" s="25">
        <v>1</v>
      </c>
    </row>
    <row r="489" spans="27:56" x14ac:dyDescent="0.25">
      <c r="AA489" s="68" t="str">
        <f t="shared" si="29"/>
        <v>Fotos\\.jpg</v>
      </c>
      <c r="AB489" s="53">
        <f t="shared" si="30"/>
        <v>2.0449897750511249E-3</v>
      </c>
      <c r="AC489" s="25">
        <f t="shared" si="31"/>
        <v>489</v>
      </c>
      <c r="AD489" s="51">
        <f t="shared" si="32"/>
        <v>1</v>
      </c>
      <c r="AE489" s="25">
        <v>1</v>
      </c>
      <c r="AF489" s="25">
        <v>1</v>
      </c>
      <c r="AG489" s="25">
        <v>1</v>
      </c>
      <c r="AH489" s="25">
        <v>1</v>
      </c>
      <c r="AI489" s="25">
        <f>IF(OR(Apresentação!$E$3='Base de Dados e filtragem'!AI$2,Apresentação!$E$3='Base de Dados e filtragem'!E489),1,0)</f>
        <v>1</v>
      </c>
      <c r="AJ489" s="25">
        <f>IF(OR(Apresentação!$E$4='Base de Dados e filtragem'!AJ$2,Apresentação!$E$4='Base de Dados e filtragem'!F489),1,0)</f>
        <v>1</v>
      </c>
      <c r="AK489" s="25">
        <f>IF(OR(Apresentação!$E$5='Base de Dados e filtragem'!AK$2,Apresentação!$E$5='Base de Dados e filtragem'!G489),1,0)</f>
        <v>1</v>
      </c>
      <c r="AL489" s="25">
        <f>IF(OR(Apresentação!$E$6='Base de Dados e filtragem'!AL$2,Apresentação!$E$6='Base de Dados e filtragem'!H489),1,0)</f>
        <v>1</v>
      </c>
      <c r="AM489" s="25">
        <f>IF(OR(Apresentação!$I$2='Base de Dados e filtragem'!AM$2,Apresentação!$I$2='Base de Dados e filtragem'!I489),1,0)</f>
        <v>1</v>
      </c>
      <c r="AN489" s="25">
        <f>IF(OR(Apresentação!$I$3='Base de Dados e filtragem'!AN$2,Apresentação!$I$3='Base de Dados e filtragem'!J489),1,0)</f>
        <v>1</v>
      </c>
      <c r="AO489" s="25">
        <f>IF(OR(Apresentação!$I$4='Base de Dados e filtragem'!AO$2,Apresentação!$I$4='Base de Dados e filtragem'!K489),1,0)</f>
        <v>1</v>
      </c>
      <c r="AP489" s="25">
        <f>IF(OR(Apresentação!$I$5='Base de Dados e filtragem'!AP$2,Apresentação!$I$5='Base de Dados e filtragem'!L489),1,0)</f>
        <v>1</v>
      </c>
      <c r="AQ489" s="25">
        <f>IF(OR(Apresentação!$I$6='Base de Dados e filtragem'!AQ$2,Apresentação!$I$6='Base de Dados e filtragem'!M489),1,0)</f>
        <v>1</v>
      </c>
      <c r="AR489" s="25">
        <v>1</v>
      </c>
      <c r="AS489" s="25">
        <v>1</v>
      </c>
      <c r="AT489" s="25">
        <v>1</v>
      </c>
      <c r="AU489" s="25">
        <v>1</v>
      </c>
      <c r="AV489" s="25">
        <v>1</v>
      </c>
      <c r="AW489" s="25">
        <v>1</v>
      </c>
      <c r="AX489" s="25">
        <v>1</v>
      </c>
      <c r="AY489" s="25">
        <v>1</v>
      </c>
      <c r="AZ489" s="25">
        <v>1</v>
      </c>
      <c r="BA489" s="25">
        <v>1</v>
      </c>
      <c r="BB489" s="25">
        <v>1</v>
      </c>
      <c r="BC489" s="25">
        <v>1</v>
      </c>
      <c r="BD489" s="25">
        <v>1</v>
      </c>
    </row>
    <row r="490" spans="27:56" x14ac:dyDescent="0.25">
      <c r="AA490" s="68" t="str">
        <f t="shared" si="29"/>
        <v>Fotos\\.jpg</v>
      </c>
      <c r="AB490" s="53">
        <f t="shared" si="30"/>
        <v>2.0408163265306124E-3</v>
      </c>
      <c r="AC490" s="25">
        <f t="shared" si="31"/>
        <v>490</v>
      </c>
      <c r="AD490" s="51">
        <f t="shared" si="32"/>
        <v>1</v>
      </c>
      <c r="AE490" s="25">
        <v>1</v>
      </c>
      <c r="AF490" s="25">
        <v>1</v>
      </c>
      <c r="AG490" s="25">
        <v>1</v>
      </c>
      <c r="AH490" s="25">
        <v>1</v>
      </c>
      <c r="AI490" s="25">
        <f>IF(OR(Apresentação!$E$3='Base de Dados e filtragem'!AI$2,Apresentação!$E$3='Base de Dados e filtragem'!E490),1,0)</f>
        <v>1</v>
      </c>
      <c r="AJ490" s="25">
        <f>IF(OR(Apresentação!$E$4='Base de Dados e filtragem'!AJ$2,Apresentação!$E$4='Base de Dados e filtragem'!F490),1,0)</f>
        <v>1</v>
      </c>
      <c r="AK490" s="25">
        <f>IF(OR(Apresentação!$E$5='Base de Dados e filtragem'!AK$2,Apresentação!$E$5='Base de Dados e filtragem'!G490),1,0)</f>
        <v>1</v>
      </c>
      <c r="AL490" s="25">
        <f>IF(OR(Apresentação!$E$6='Base de Dados e filtragem'!AL$2,Apresentação!$E$6='Base de Dados e filtragem'!H490),1,0)</f>
        <v>1</v>
      </c>
      <c r="AM490" s="25">
        <f>IF(OR(Apresentação!$I$2='Base de Dados e filtragem'!AM$2,Apresentação!$I$2='Base de Dados e filtragem'!I490),1,0)</f>
        <v>1</v>
      </c>
      <c r="AN490" s="25">
        <f>IF(OR(Apresentação!$I$3='Base de Dados e filtragem'!AN$2,Apresentação!$I$3='Base de Dados e filtragem'!J490),1,0)</f>
        <v>1</v>
      </c>
      <c r="AO490" s="25">
        <f>IF(OR(Apresentação!$I$4='Base de Dados e filtragem'!AO$2,Apresentação!$I$4='Base de Dados e filtragem'!K490),1,0)</f>
        <v>1</v>
      </c>
      <c r="AP490" s="25">
        <f>IF(OR(Apresentação!$I$5='Base de Dados e filtragem'!AP$2,Apresentação!$I$5='Base de Dados e filtragem'!L490),1,0)</f>
        <v>1</v>
      </c>
      <c r="AQ490" s="25">
        <f>IF(OR(Apresentação!$I$6='Base de Dados e filtragem'!AQ$2,Apresentação!$I$6='Base de Dados e filtragem'!M490),1,0)</f>
        <v>1</v>
      </c>
      <c r="AR490" s="25">
        <v>1</v>
      </c>
      <c r="AS490" s="25">
        <v>1</v>
      </c>
      <c r="AT490" s="25">
        <v>1</v>
      </c>
      <c r="AU490" s="25">
        <v>1</v>
      </c>
      <c r="AV490" s="25">
        <v>1</v>
      </c>
      <c r="AW490" s="25">
        <v>1</v>
      </c>
      <c r="AX490" s="25">
        <v>1</v>
      </c>
      <c r="AY490" s="25">
        <v>1</v>
      </c>
      <c r="AZ490" s="25">
        <v>1</v>
      </c>
      <c r="BA490" s="25">
        <v>1</v>
      </c>
      <c r="BB490" s="25">
        <v>1</v>
      </c>
      <c r="BC490" s="25">
        <v>1</v>
      </c>
      <c r="BD490" s="25">
        <v>1</v>
      </c>
    </row>
    <row r="491" spans="27:56" x14ac:dyDescent="0.25">
      <c r="AA491" s="68" t="str">
        <f t="shared" si="29"/>
        <v>Fotos\\.jpg</v>
      </c>
      <c r="AB491" s="53">
        <f t="shared" si="30"/>
        <v>2.0366598778004071E-3</v>
      </c>
      <c r="AC491" s="25">
        <f t="shared" si="31"/>
        <v>491</v>
      </c>
      <c r="AD491" s="51">
        <f t="shared" si="32"/>
        <v>1</v>
      </c>
      <c r="AE491" s="25">
        <v>1</v>
      </c>
      <c r="AF491" s="25">
        <v>1</v>
      </c>
      <c r="AG491" s="25">
        <v>1</v>
      </c>
      <c r="AH491" s="25">
        <v>1</v>
      </c>
      <c r="AI491" s="25">
        <f>IF(OR(Apresentação!$E$3='Base de Dados e filtragem'!AI$2,Apresentação!$E$3='Base de Dados e filtragem'!E491),1,0)</f>
        <v>1</v>
      </c>
      <c r="AJ491" s="25">
        <f>IF(OR(Apresentação!$E$4='Base de Dados e filtragem'!AJ$2,Apresentação!$E$4='Base de Dados e filtragem'!F491),1,0)</f>
        <v>1</v>
      </c>
      <c r="AK491" s="25">
        <f>IF(OR(Apresentação!$E$5='Base de Dados e filtragem'!AK$2,Apresentação!$E$5='Base de Dados e filtragem'!G491),1,0)</f>
        <v>1</v>
      </c>
      <c r="AL491" s="25">
        <f>IF(OR(Apresentação!$E$6='Base de Dados e filtragem'!AL$2,Apresentação!$E$6='Base de Dados e filtragem'!H491),1,0)</f>
        <v>1</v>
      </c>
      <c r="AM491" s="25">
        <f>IF(OR(Apresentação!$I$2='Base de Dados e filtragem'!AM$2,Apresentação!$I$2='Base de Dados e filtragem'!I491),1,0)</f>
        <v>1</v>
      </c>
      <c r="AN491" s="25">
        <f>IF(OR(Apresentação!$I$3='Base de Dados e filtragem'!AN$2,Apresentação!$I$3='Base de Dados e filtragem'!J491),1,0)</f>
        <v>1</v>
      </c>
      <c r="AO491" s="25">
        <f>IF(OR(Apresentação!$I$4='Base de Dados e filtragem'!AO$2,Apresentação!$I$4='Base de Dados e filtragem'!K491),1,0)</f>
        <v>1</v>
      </c>
      <c r="AP491" s="25">
        <f>IF(OR(Apresentação!$I$5='Base de Dados e filtragem'!AP$2,Apresentação!$I$5='Base de Dados e filtragem'!L491),1,0)</f>
        <v>1</v>
      </c>
      <c r="AQ491" s="25">
        <f>IF(OR(Apresentação!$I$6='Base de Dados e filtragem'!AQ$2,Apresentação!$I$6='Base de Dados e filtragem'!M491),1,0)</f>
        <v>1</v>
      </c>
      <c r="AR491" s="25">
        <v>1</v>
      </c>
      <c r="AS491" s="25">
        <v>1</v>
      </c>
      <c r="AT491" s="25">
        <v>1</v>
      </c>
      <c r="AU491" s="25">
        <v>1</v>
      </c>
      <c r="AV491" s="25">
        <v>1</v>
      </c>
      <c r="AW491" s="25">
        <v>1</v>
      </c>
      <c r="AX491" s="25">
        <v>1</v>
      </c>
      <c r="AY491" s="25">
        <v>1</v>
      </c>
      <c r="AZ491" s="25">
        <v>1</v>
      </c>
      <c r="BA491" s="25">
        <v>1</v>
      </c>
      <c r="BB491" s="25">
        <v>1</v>
      </c>
      <c r="BC491" s="25">
        <v>1</v>
      </c>
      <c r="BD491" s="25">
        <v>1</v>
      </c>
    </row>
    <row r="492" spans="27:56" x14ac:dyDescent="0.25">
      <c r="AA492" s="68" t="str">
        <f t="shared" si="29"/>
        <v>Fotos\\.jpg</v>
      </c>
      <c r="AB492" s="53">
        <f t="shared" si="30"/>
        <v>2.0325203252032522E-3</v>
      </c>
      <c r="AC492" s="25">
        <f t="shared" si="31"/>
        <v>492</v>
      </c>
      <c r="AD492" s="51">
        <f t="shared" si="32"/>
        <v>1</v>
      </c>
      <c r="AE492" s="25">
        <v>1</v>
      </c>
      <c r="AF492" s="25">
        <v>1</v>
      </c>
      <c r="AG492" s="25">
        <v>1</v>
      </c>
      <c r="AH492" s="25">
        <v>1</v>
      </c>
      <c r="AI492" s="25">
        <f>IF(OR(Apresentação!$E$3='Base de Dados e filtragem'!AI$2,Apresentação!$E$3='Base de Dados e filtragem'!E492),1,0)</f>
        <v>1</v>
      </c>
      <c r="AJ492" s="25">
        <f>IF(OR(Apresentação!$E$4='Base de Dados e filtragem'!AJ$2,Apresentação!$E$4='Base de Dados e filtragem'!F492),1,0)</f>
        <v>1</v>
      </c>
      <c r="AK492" s="25">
        <f>IF(OR(Apresentação!$E$5='Base de Dados e filtragem'!AK$2,Apresentação!$E$5='Base de Dados e filtragem'!G492),1,0)</f>
        <v>1</v>
      </c>
      <c r="AL492" s="25">
        <f>IF(OR(Apresentação!$E$6='Base de Dados e filtragem'!AL$2,Apresentação!$E$6='Base de Dados e filtragem'!H492),1,0)</f>
        <v>1</v>
      </c>
      <c r="AM492" s="25">
        <f>IF(OR(Apresentação!$I$2='Base de Dados e filtragem'!AM$2,Apresentação!$I$2='Base de Dados e filtragem'!I492),1,0)</f>
        <v>1</v>
      </c>
      <c r="AN492" s="25">
        <f>IF(OR(Apresentação!$I$3='Base de Dados e filtragem'!AN$2,Apresentação!$I$3='Base de Dados e filtragem'!J492),1,0)</f>
        <v>1</v>
      </c>
      <c r="AO492" s="25">
        <f>IF(OR(Apresentação!$I$4='Base de Dados e filtragem'!AO$2,Apresentação!$I$4='Base de Dados e filtragem'!K492),1,0)</f>
        <v>1</v>
      </c>
      <c r="AP492" s="25">
        <f>IF(OR(Apresentação!$I$5='Base de Dados e filtragem'!AP$2,Apresentação!$I$5='Base de Dados e filtragem'!L492),1,0)</f>
        <v>1</v>
      </c>
      <c r="AQ492" s="25">
        <f>IF(OR(Apresentação!$I$6='Base de Dados e filtragem'!AQ$2,Apresentação!$I$6='Base de Dados e filtragem'!M492),1,0)</f>
        <v>1</v>
      </c>
      <c r="AR492" s="25">
        <v>1</v>
      </c>
      <c r="AS492" s="25">
        <v>1</v>
      </c>
      <c r="AT492" s="25">
        <v>1</v>
      </c>
      <c r="AU492" s="25">
        <v>1</v>
      </c>
      <c r="AV492" s="25">
        <v>1</v>
      </c>
      <c r="AW492" s="25">
        <v>1</v>
      </c>
      <c r="AX492" s="25">
        <v>1</v>
      </c>
      <c r="AY492" s="25">
        <v>1</v>
      </c>
      <c r="AZ492" s="25">
        <v>1</v>
      </c>
      <c r="BA492" s="25">
        <v>1</v>
      </c>
      <c r="BB492" s="25">
        <v>1</v>
      </c>
      <c r="BC492" s="25">
        <v>1</v>
      </c>
      <c r="BD492" s="25">
        <v>1</v>
      </c>
    </row>
    <row r="493" spans="27:56" x14ac:dyDescent="0.25">
      <c r="AA493" s="68" t="str">
        <f t="shared" si="29"/>
        <v>Fotos\\.jpg</v>
      </c>
      <c r="AB493" s="53">
        <f t="shared" si="30"/>
        <v>2.0283975659229209E-3</v>
      </c>
      <c r="AC493" s="25">
        <f t="shared" si="31"/>
        <v>493</v>
      </c>
      <c r="AD493" s="51">
        <f t="shared" si="32"/>
        <v>1</v>
      </c>
      <c r="AE493" s="25">
        <v>1</v>
      </c>
      <c r="AF493" s="25">
        <v>1</v>
      </c>
      <c r="AG493" s="25">
        <v>1</v>
      </c>
      <c r="AH493" s="25">
        <v>1</v>
      </c>
      <c r="AI493" s="25">
        <f>IF(OR(Apresentação!$E$3='Base de Dados e filtragem'!AI$2,Apresentação!$E$3='Base de Dados e filtragem'!E493),1,0)</f>
        <v>1</v>
      </c>
      <c r="AJ493" s="25">
        <f>IF(OR(Apresentação!$E$4='Base de Dados e filtragem'!AJ$2,Apresentação!$E$4='Base de Dados e filtragem'!F493),1,0)</f>
        <v>1</v>
      </c>
      <c r="AK493" s="25">
        <f>IF(OR(Apresentação!$E$5='Base de Dados e filtragem'!AK$2,Apresentação!$E$5='Base de Dados e filtragem'!G493),1,0)</f>
        <v>1</v>
      </c>
      <c r="AL493" s="25">
        <f>IF(OR(Apresentação!$E$6='Base de Dados e filtragem'!AL$2,Apresentação!$E$6='Base de Dados e filtragem'!H493),1,0)</f>
        <v>1</v>
      </c>
      <c r="AM493" s="25">
        <f>IF(OR(Apresentação!$I$2='Base de Dados e filtragem'!AM$2,Apresentação!$I$2='Base de Dados e filtragem'!I493),1,0)</f>
        <v>1</v>
      </c>
      <c r="AN493" s="25">
        <f>IF(OR(Apresentação!$I$3='Base de Dados e filtragem'!AN$2,Apresentação!$I$3='Base de Dados e filtragem'!J493),1,0)</f>
        <v>1</v>
      </c>
      <c r="AO493" s="25">
        <f>IF(OR(Apresentação!$I$4='Base de Dados e filtragem'!AO$2,Apresentação!$I$4='Base de Dados e filtragem'!K493),1,0)</f>
        <v>1</v>
      </c>
      <c r="AP493" s="25">
        <f>IF(OR(Apresentação!$I$5='Base de Dados e filtragem'!AP$2,Apresentação!$I$5='Base de Dados e filtragem'!L493),1,0)</f>
        <v>1</v>
      </c>
      <c r="AQ493" s="25">
        <f>IF(OR(Apresentação!$I$6='Base de Dados e filtragem'!AQ$2,Apresentação!$I$6='Base de Dados e filtragem'!M493),1,0)</f>
        <v>1</v>
      </c>
      <c r="AR493" s="25">
        <v>1</v>
      </c>
      <c r="AS493" s="25">
        <v>1</v>
      </c>
      <c r="AT493" s="25">
        <v>1</v>
      </c>
      <c r="AU493" s="25">
        <v>1</v>
      </c>
      <c r="AV493" s="25">
        <v>1</v>
      </c>
      <c r="AW493" s="25">
        <v>1</v>
      </c>
      <c r="AX493" s="25">
        <v>1</v>
      </c>
      <c r="AY493" s="25">
        <v>1</v>
      </c>
      <c r="AZ493" s="25">
        <v>1</v>
      </c>
      <c r="BA493" s="25">
        <v>1</v>
      </c>
      <c r="BB493" s="25">
        <v>1</v>
      </c>
      <c r="BC493" s="25">
        <v>1</v>
      </c>
      <c r="BD493" s="25">
        <v>1</v>
      </c>
    </row>
    <row r="494" spans="27:56" x14ac:dyDescent="0.25">
      <c r="AA494" s="68" t="str">
        <f t="shared" si="29"/>
        <v>Fotos\\.jpg</v>
      </c>
      <c r="AB494" s="53">
        <f t="shared" si="30"/>
        <v>2.0242914979757085E-3</v>
      </c>
      <c r="AC494" s="25">
        <f t="shared" si="31"/>
        <v>494</v>
      </c>
      <c r="AD494" s="51">
        <f t="shared" si="32"/>
        <v>1</v>
      </c>
      <c r="AE494" s="25">
        <v>1</v>
      </c>
      <c r="AF494" s="25">
        <v>1</v>
      </c>
      <c r="AG494" s="25">
        <v>1</v>
      </c>
      <c r="AH494" s="25">
        <v>1</v>
      </c>
      <c r="AI494" s="25">
        <f>IF(OR(Apresentação!$E$3='Base de Dados e filtragem'!AI$2,Apresentação!$E$3='Base de Dados e filtragem'!E494),1,0)</f>
        <v>1</v>
      </c>
      <c r="AJ494" s="25">
        <f>IF(OR(Apresentação!$E$4='Base de Dados e filtragem'!AJ$2,Apresentação!$E$4='Base de Dados e filtragem'!F494),1,0)</f>
        <v>1</v>
      </c>
      <c r="AK494" s="25">
        <f>IF(OR(Apresentação!$E$5='Base de Dados e filtragem'!AK$2,Apresentação!$E$5='Base de Dados e filtragem'!G494),1,0)</f>
        <v>1</v>
      </c>
      <c r="AL494" s="25">
        <f>IF(OR(Apresentação!$E$6='Base de Dados e filtragem'!AL$2,Apresentação!$E$6='Base de Dados e filtragem'!H494),1,0)</f>
        <v>1</v>
      </c>
      <c r="AM494" s="25">
        <f>IF(OR(Apresentação!$I$2='Base de Dados e filtragem'!AM$2,Apresentação!$I$2='Base de Dados e filtragem'!I494),1,0)</f>
        <v>1</v>
      </c>
      <c r="AN494" s="25">
        <f>IF(OR(Apresentação!$I$3='Base de Dados e filtragem'!AN$2,Apresentação!$I$3='Base de Dados e filtragem'!J494),1,0)</f>
        <v>1</v>
      </c>
      <c r="AO494" s="25">
        <f>IF(OR(Apresentação!$I$4='Base de Dados e filtragem'!AO$2,Apresentação!$I$4='Base de Dados e filtragem'!K494),1,0)</f>
        <v>1</v>
      </c>
      <c r="AP494" s="25">
        <f>IF(OR(Apresentação!$I$5='Base de Dados e filtragem'!AP$2,Apresentação!$I$5='Base de Dados e filtragem'!L494),1,0)</f>
        <v>1</v>
      </c>
      <c r="AQ494" s="25">
        <f>IF(OR(Apresentação!$I$6='Base de Dados e filtragem'!AQ$2,Apresentação!$I$6='Base de Dados e filtragem'!M494),1,0)</f>
        <v>1</v>
      </c>
      <c r="AR494" s="25">
        <v>1</v>
      </c>
      <c r="AS494" s="25">
        <v>1</v>
      </c>
      <c r="AT494" s="25">
        <v>1</v>
      </c>
      <c r="AU494" s="25">
        <v>1</v>
      </c>
      <c r="AV494" s="25">
        <v>1</v>
      </c>
      <c r="AW494" s="25">
        <v>1</v>
      </c>
      <c r="AX494" s="25">
        <v>1</v>
      </c>
      <c r="AY494" s="25">
        <v>1</v>
      </c>
      <c r="AZ494" s="25">
        <v>1</v>
      </c>
      <c r="BA494" s="25">
        <v>1</v>
      </c>
      <c r="BB494" s="25">
        <v>1</v>
      </c>
      <c r="BC494" s="25">
        <v>1</v>
      </c>
      <c r="BD494" s="25">
        <v>1</v>
      </c>
    </row>
    <row r="495" spans="27:56" x14ac:dyDescent="0.25">
      <c r="AA495" s="68" t="str">
        <f t="shared" si="29"/>
        <v>Fotos\\.jpg</v>
      </c>
      <c r="AB495" s="53">
        <f t="shared" si="30"/>
        <v>2.0202020202020202E-3</v>
      </c>
      <c r="AC495" s="25">
        <f t="shared" si="31"/>
        <v>495</v>
      </c>
      <c r="AD495" s="51">
        <f t="shared" si="32"/>
        <v>1</v>
      </c>
      <c r="AE495" s="25">
        <v>1</v>
      </c>
      <c r="AF495" s="25">
        <v>1</v>
      </c>
      <c r="AG495" s="25">
        <v>1</v>
      </c>
      <c r="AH495" s="25">
        <v>1</v>
      </c>
      <c r="AI495" s="25">
        <f>IF(OR(Apresentação!$E$3='Base de Dados e filtragem'!AI$2,Apresentação!$E$3='Base de Dados e filtragem'!E495),1,0)</f>
        <v>1</v>
      </c>
      <c r="AJ495" s="25">
        <f>IF(OR(Apresentação!$E$4='Base de Dados e filtragem'!AJ$2,Apresentação!$E$4='Base de Dados e filtragem'!F495),1,0)</f>
        <v>1</v>
      </c>
      <c r="AK495" s="25">
        <f>IF(OR(Apresentação!$E$5='Base de Dados e filtragem'!AK$2,Apresentação!$E$5='Base de Dados e filtragem'!G495),1,0)</f>
        <v>1</v>
      </c>
      <c r="AL495" s="25">
        <f>IF(OR(Apresentação!$E$6='Base de Dados e filtragem'!AL$2,Apresentação!$E$6='Base de Dados e filtragem'!H495),1,0)</f>
        <v>1</v>
      </c>
      <c r="AM495" s="25">
        <f>IF(OR(Apresentação!$I$2='Base de Dados e filtragem'!AM$2,Apresentação!$I$2='Base de Dados e filtragem'!I495),1,0)</f>
        <v>1</v>
      </c>
      <c r="AN495" s="25">
        <f>IF(OR(Apresentação!$I$3='Base de Dados e filtragem'!AN$2,Apresentação!$I$3='Base de Dados e filtragem'!J495),1,0)</f>
        <v>1</v>
      </c>
      <c r="AO495" s="25">
        <f>IF(OR(Apresentação!$I$4='Base de Dados e filtragem'!AO$2,Apresentação!$I$4='Base de Dados e filtragem'!K495),1,0)</f>
        <v>1</v>
      </c>
      <c r="AP495" s="25">
        <f>IF(OR(Apresentação!$I$5='Base de Dados e filtragem'!AP$2,Apresentação!$I$5='Base de Dados e filtragem'!L495),1,0)</f>
        <v>1</v>
      </c>
      <c r="AQ495" s="25">
        <f>IF(OR(Apresentação!$I$6='Base de Dados e filtragem'!AQ$2,Apresentação!$I$6='Base de Dados e filtragem'!M495),1,0)</f>
        <v>1</v>
      </c>
      <c r="AR495" s="25">
        <v>1</v>
      </c>
      <c r="AS495" s="25">
        <v>1</v>
      </c>
      <c r="AT495" s="25">
        <v>1</v>
      </c>
      <c r="AU495" s="25">
        <v>1</v>
      </c>
      <c r="AV495" s="25">
        <v>1</v>
      </c>
      <c r="AW495" s="25">
        <v>1</v>
      </c>
      <c r="AX495" s="25">
        <v>1</v>
      </c>
      <c r="AY495" s="25">
        <v>1</v>
      </c>
      <c r="AZ495" s="25">
        <v>1</v>
      </c>
      <c r="BA495" s="25">
        <v>1</v>
      </c>
      <c r="BB495" s="25">
        <v>1</v>
      </c>
      <c r="BC495" s="25">
        <v>1</v>
      </c>
      <c r="BD495" s="25">
        <v>1</v>
      </c>
    </row>
    <row r="496" spans="27:56" x14ac:dyDescent="0.25">
      <c r="AA496" s="68" t="str">
        <f t="shared" si="29"/>
        <v>Fotos\\.jpg</v>
      </c>
      <c r="AB496" s="53">
        <f t="shared" si="30"/>
        <v>2.0161290322580645E-3</v>
      </c>
      <c r="AC496" s="25">
        <f t="shared" si="31"/>
        <v>496</v>
      </c>
      <c r="AD496" s="51">
        <f t="shared" si="32"/>
        <v>1</v>
      </c>
      <c r="AE496" s="25">
        <v>1</v>
      </c>
      <c r="AF496" s="25">
        <v>1</v>
      </c>
      <c r="AG496" s="25">
        <v>1</v>
      </c>
      <c r="AH496" s="25">
        <v>1</v>
      </c>
      <c r="AI496" s="25">
        <f>IF(OR(Apresentação!$E$3='Base de Dados e filtragem'!AI$2,Apresentação!$E$3='Base de Dados e filtragem'!E496),1,0)</f>
        <v>1</v>
      </c>
      <c r="AJ496" s="25">
        <f>IF(OR(Apresentação!$E$4='Base de Dados e filtragem'!AJ$2,Apresentação!$E$4='Base de Dados e filtragem'!F496),1,0)</f>
        <v>1</v>
      </c>
      <c r="AK496" s="25">
        <f>IF(OR(Apresentação!$E$5='Base de Dados e filtragem'!AK$2,Apresentação!$E$5='Base de Dados e filtragem'!G496),1,0)</f>
        <v>1</v>
      </c>
      <c r="AL496" s="25">
        <f>IF(OR(Apresentação!$E$6='Base de Dados e filtragem'!AL$2,Apresentação!$E$6='Base de Dados e filtragem'!H496),1,0)</f>
        <v>1</v>
      </c>
      <c r="AM496" s="25">
        <f>IF(OR(Apresentação!$I$2='Base de Dados e filtragem'!AM$2,Apresentação!$I$2='Base de Dados e filtragem'!I496),1,0)</f>
        <v>1</v>
      </c>
      <c r="AN496" s="25">
        <f>IF(OR(Apresentação!$I$3='Base de Dados e filtragem'!AN$2,Apresentação!$I$3='Base de Dados e filtragem'!J496),1,0)</f>
        <v>1</v>
      </c>
      <c r="AO496" s="25">
        <f>IF(OR(Apresentação!$I$4='Base de Dados e filtragem'!AO$2,Apresentação!$I$4='Base de Dados e filtragem'!K496),1,0)</f>
        <v>1</v>
      </c>
      <c r="AP496" s="25">
        <f>IF(OR(Apresentação!$I$5='Base de Dados e filtragem'!AP$2,Apresentação!$I$5='Base de Dados e filtragem'!L496),1,0)</f>
        <v>1</v>
      </c>
      <c r="AQ496" s="25">
        <f>IF(OR(Apresentação!$I$6='Base de Dados e filtragem'!AQ$2,Apresentação!$I$6='Base de Dados e filtragem'!M496),1,0)</f>
        <v>1</v>
      </c>
      <c r="AR496" s="25">
        <v>1</v>
      </c>
      <c r="AS496" s="25">
        <v>1</v>
      </c>
      <c r="AT496" s="25">
        <v>1</v>
      </c>
      <c r="AU496" s="25">
        <v>1</v>
      </c>
      <c r="AV496" s="25">
        <v>1</v>
      </c>
      <c r="AW496" s="25">
        <v>1</v>
      </c>
      <c r="AX496" s="25">
        <v>1</v>
      </c>
      <c r="AY496" s="25">
        <v>1</v>
      </c>
      <c r="AZ496" s="25">
        <v>1</v>
      </c>
      <c r="BA496" s="25">
        <v>1</v>
      </c>
      <c r="BB496" s="25">
        <v>1</v>
      </c>
      <c r="BC496" s="25">
        <v>1</v>
      </c>
      <c r="BD496" s="25">
        <v>1</v>
      </c>
    </row>
    <row r="497" spans="27:56" x14ac:dyDescent="0.25">
      <c r="AA497" s="68" t="str">
        <f t="shared" si="29"/>
        <v>Fotos\\.jpg</v>
      </c>
      <c r="AB497" s="53">
        <f t="shared" si="30"/>
        <v>2.012072434607646E-3</v>
      </c>
      <c r="AC497" s="25">
        <f t="shared" si="31"/>
        <v>497</v>
      </c>
      <c r="AD497" s="51">
        <f t="shared" si="32"/>
        <v>1</v>
      </c>
      <c r="AE497" s="25">
        <v>1</v>
      </c>
      <c r="AF497" s="25">
        <v>1</v>
      </c>
      <c r="AG497" s="25">
        <v>1</v>
      </c>
      <c r="AH497" s="25">
        <v>1</v>
      </c>
      <c r="AI497" s="25">
        <f>IF(OR(Apresentação!$E$3='Base de Dados e filtragem'!AI$2,Apresentação!$E$3='Base de Dados e filtragem'!E497),1,0)</f>
        <v>1</v>
      </c>
      <c r="AJ497" s="25">
        <f>IF(OR(Apresentação!$E$4='Base de Dados e filtragem'!AJ$2,Apresentação!$E$4='Base de Dados e filtragem'!F497),1,0)</f>
        <v>1</v>
      </c>
      <c r="AK497" s="25">
        <f>IF(OR(Apresentação!$E$5='Base de Dados e filtragem'!AK$2,Apresentação!$E$5='Base de Dados e filtragem'!G497),1,0)</f>
        <v>1</v>
      </c>
      <c r="AL497" s="25">
        <f>IF(OR(Apresentação!$E$6='Base de Dados e filtragem'!AL$2,Apresentação!$E$6='Base de Dados e filtragem'!H497),1,0)</f>
        <v>1</v>
      </c>
      <c r="AM497" s="25">
        <f>IF(OR(Apresentação!$I$2='Base de Dados e filtragem'!AM$2,Apresentação!$I$2='Base de Dados e filtragem'!I497),1,0)</f>
        <v>1</v>
      </c>
      <c r="AN497" s="25">
        <f>IF(OR(Apresentação!$I$3='Base de Dados e filtragem'!AN$2,Apresentação!$I$3='Base de Dados e filtragem'!J497),1,0)</f>
        <v>1</v>
      </c>
      <c r="AO497" s="25">
        <f>IF(OR(Apresentação!$I$4='Base de Dados e filtragem'!AO$2,Apresentação!$I$4='Base de Dados e filtragem'!K497),1,0)</f>
        <v>1</v>
      </c>
      <c r="AP497" s="25">
        <f>IF(OR(Apresentação!$I$5='Base de Dados e filtragem'!AP$2,Apresentação!$I$5='Base de Dados e filtragem'!L497),1,0)</f>
        <v>1</v>
      </c>
      <c r="AQ497" s="25">
        <f>IF(OR(Apresentação!$I$6='Base de Dados e filtragem'!AQ$2,Apresentação!$I$6='Base de Dados e filtragem'!M497),1,0)</f>
        <v>1</v>
      </c>
      <c r="AR497" s="25">
        <v>1</v>
      </c>
      <c r="AS497" s="25">
        <v>1</v>
      </c>
      <c r="AT497" s="25">
        <v>1</v>
      </c>
      <c r="AU497" s="25">
        <v>1</v>
      </c>
      <c r="AV497" s="25">
        <v>1</v>
      </c>
      <c r="AW497" s="25">
        <v>1</v>
      </c>
      <c r="AX497" s="25">
        <v>1</v>
      </c>
      <c r="AY497" s="25">
        <v>1</v>
      </c>
      <c r="AZ497" s="25">
        <v>1</v>
      </c>
      <c r="BA497" s="25">
        <v>1</v>
      </c>
      <c r="BB497" s="25">
        <v>1</v>
      </c>
      <c r="BC497" s="25">
        <v>1</v>
      </c>
      <c r="BD497" s="25">
        <v>1</v>
      </c>
    </row>
    <row r="498" spans="27:56" x14ac:dyDescent="0.25">
      <c r="AA498" s="68" t="str">
        <f t="shared" si="29"/>
        <v>Fotos\\.jpg</v>
      </c>
      <c r="AB498" s="53">
        <f t="shared" si="30"/>
        <v>2.008032128514056E-3</v>
      </c>
      <c r="AC498" s="25">
        <f t="shared" si="31"/>
        <v>498</v>
      </c>
      <c r="AD498" s="51">
        <f t="shared" si="32"/>
        <v>1</v>
      </c>
      <c r="AE498" s="25">
        <v>1</v>
      </c>
      <c r="AF498" s="25">
        <v>1</v>
      </c>
      <c r="AG498" s="25">
        <v>1</v>
      </c>
      <c r="AH498" s="25">
        <v>1</v>
      </c>
      <c r="AI498" s="25">
        <f>IF(OR(Apresentação!$E$3='Base de Dados e filtragem'!AI$2,Apresentação!$E$3='Base de Dados e filtragem'!E498),1,0)</f>
        <v>1</v>
      </c>
      <c r="AJ498" s="25">
        <f>IF(OR(Apresentação!$E$4='Base de Dados e filtragem'!AJ$2,Apresentação!$E$4='Base de Dados e filtragem'!F498),1,0)</f>
        <v>1</v>
      </c>
      <c r="AK498" s="25">
        <f>IF(OR(Apresentação!$E$5='Base de Dados e filtragem'!AK$2,Apresentação!$E$5='Base de Dados e filtragem'!G498),1,0)</f>
        <v>1</v>
      </c>
      <c r="AL498" s="25">
        <f>IF(OR(Apresentação!$E$6='Base de Dados e filtragem'!AL$2,Apresentação!$E$6='Base de Dados e filtragem'!H498),1,0)</f>
        <v>1</v>
      </c>
      <c r="AM498" s="25">
        <f>IF(OR(Apresentação!$I$2='Base de Dados e filtragem'!AM$2,Apresentação!$I$2='Base de Dados e filtragem'!I498),1,0)</f>
        <v>1</v>
      </c>
      <c r="AN498" s="25">
        <f>IF(OR(Apresentação!$I$3='Base de Dados e filtragem'!AN$2,Apresentação!$I$3='Base de Dados e filtragem'!J498),1,0)</f>
        <v>1</v>
      </c>
      <c r="AO498" s="25">
        <f>IF(OR(Apresentação!$I$4='Base de Dados e filtragem'!AO$2,Apresentação!$I$4='Base de Dados e filtragem'!K498),1,0)</f>
        <v>1</v>
      </c>
      <c r="AP498" s="25">
        <f>IF(OR(Apresentação!$I$5='Base de Dados e filtragem'!AP$2,Apresentação!$I$5='Base de Dados e filtragem'!L498),1,0)</f>
        <v>1</v>
      </c>
      <c r="AQ498" s="25">
        <f>IF(OR(Apresentação!$I$6='Base de Dados e filtragem'!AQ$2,Apresentação!$I$6='Base de Dados e filtragem'!M498),1,0)</f>
        <v>1</v>
      </c>
      <c r="AR498" s="25">
        <v>1</v>
      </c>
      <c r="AS498" s="25">
        <v>1</v>
      </c>
      <c r="AT498" s="25">
        <v>1</v>
      </c>
      <c r="AU498" s="25">
        <v>1</v>
      </c>
      <c r="AV498" s="25">
        <v>1</v>
      </c>
      <c r="AW498" s="25">
        <v>1</v>
      </c>
      <c r="AX498" s="25">
        <v>1</v>
      </c>
      <c r="AY498" s="25">
        <v>1</v>
      </c>
      <c r="AZ498" s="25">
        <v>1</v>
      </c>
      <c r="BA498" s="25">
        <v>1</v>
      </c>
      <c r="BB498" s="25">
        <v>1</v>
      </c>
      <c r="BC498" s="25">
        <v>1</v>
      </c>
      <c r="BD498" s="25">
        <v>1</v>
      </c>
    </row>
    <row r="499" spans="27:56" x14ac:dyDescent="0.25">
      <c r="AA499" s="68" t="str">
        <f t="shared" si="29"/>
        <v>Fotos\\.jpg</v>
      </c>
      <c r="AB499" s="53">
        <f t="shared" si="30"/>
        <v>2.004008016032064E-3</v>
      </c>
      <c r="AC499" s="25">
        <f t="shared" si="31"/>
        <v>499</v>
      </c>
      <c r="AD499" s="51">
        <f t="shared" si="32"/>
        <v>1</v>
      </c>
      <c r="AE499" s="25">
        <v>1</v>
      </c>
      <c r="AF499" s="25">
        <v>1</v>
      </c>
      <c r="AG499" s="25">
        <v>1</v>
      </c>
      <c r="AH499" s="25">
        <v>1</v>
      </c>
      <c r="AI499" s="25">
        <f>IF(OR(Apresentação!$E$3='Base de Dados e filtragem'!AI$2,Apresentação!$E$3='Base de Dados e filtragem'!E499),1,0)</f>
        <v>1</v>
      </c>
      <c r="AJ499" s="25">
        <f>IF(OR(Apresentação!$E$4='Base de Dados e filtragem'!AJ$2,Apresentação!$E$4='Base de Dados e filtragem'!F499),1,0)</f>
        <v>1</v>
      </c>
      <c r="AK499" s="25">
        <f>IF(OR(Apresentação!$E$5='Base de Dados e filtragem'!AK$2,Apresentação!$E$5='Base de Dados e filtragem'!G499),1,0)</f>
        <v>1</v>
      </c>
      <c r="AL499" s="25">
        <f>IF(OR(Apresentação!$E$6='Base de Dados e filtragem'!AL$2,Apresentação!$E$6='Base de Dados e filtragem'!H499),1,0)</f>
        <v>1</v>
      </c>
      <c r="AM499" s="25">
        <f>IF(OR(Apresentação!$I$2='Base de Dados e filtragem'!AM$2,Apresentação!$I$2='Base de Dados e filtragem'!I499),1,0)</f>
        <v>1</v>
      </c>
      <c r="AN499" s="25">
        <f>IF(OR(Apresentação!$I$3='Base de Dados e filtragem'!AN$2,Apresentação!$I$3='Base de Dados e filtragem'!J499),1,0)</f>
        <v>1</v>
      </c>
      <c r="AO499" s="25">
        <f>IF(OR(Apresentação!$I$4='Base de Dados e filtragem'!AO$2,Apresentação!$I$4='Base de Dados e filtragem'!K499),1,0)</f>
        <v>1</v>
      </c>
      <c r="AP499" s="25">
        <f>IF(OR(Apresentação!$I$5='Base de Dados e filtragem'!AP$2,Apresentação!$I$5='Base de Dados e filtragem'!L499),1,0)</f>
        <v>1</v>
      </c>
      <c r="AQ499" s="25">
        <f>IF(OR(Apresentação!$I$6='Base de Dados e filtragem'!AQ$2,Apresentação!$I$6='Base de Dados e filtragem'!M499),1,0)</f>
        <v>1</v>
      </c>
      <c r="AR499" s="25">
        <v>1</v>
      </c>
      <c r="AS499" s="25">
        <v>1</v>
      </c>
      <c r="AT499" s="25">
        <v>1</v>
      </c>
      <c r="AU499" s="25">
        <v>1</v>
      </c>
      <c r="AV499" s="25">
        <v>1</v>
      </c>
      <c r="AW499" s="25">
        <v>1</v>
      </c>
      <c r="AX499" s="25">
        <v>1</v>
      </c>
      <c r="AY499" s="25">
        <v>1</v>
      </c>
      <c r="AZ499" s="25">
        <v>1</v>
      </c>
      <c r="BA499" s="25">
        <v>1</v>
      </c>
      <c r="BB499" s="25">
        <v>1</v>
      </c>
      <c r="BC499" s="25">
        <v>1</v>
      </c>
      <c r="BD499" s="25">
        <v>1</v>
      </c>
    </row>
    <row r="500" spans="27:56" x14ac:dyDescent="0.25">
      <c r="AA500" s="68" t="str">
        <f t="shared" si="29"/>
        <v>Fotos\\.jpg</v>
      </c>
      <c r="AB500" s="53">
        <f t="shared" si="30"/>
        <v>2E-3</v>
      </c>
      <c r="AC500" s="25">
        <f t="shared" si="31"/>
        <v>500</v>
      </c>
      <c r="AD500" s="51">
        <f t="shared" si="32"/>
        <v>1</v>
      </c>
      <c r="AE500" s="25">
        <v>1</v>
      </c>
      <c r="AF500" s="25">
        <v>1</v>
      </c>
      <c r="AG500" s="25">
        <v>1</v>
      </c>
      <c r="AH500" s="25">
        <v>1</v>
      </c>
      <c r="AI500" s="25">
        <f>IF(OR(Apresentação!$E$3='Base de Dados e filtragem'!AI$2,Apresentação!$E$3='Base de Dados e filtragem'!E500),1,0)</f>
        <v>1</v>
      </c>
      <c r="AJ500" s="25">
        <f>IF(OR(Apresentação!$E$4='Base de Dados e filtragem'!AJ$2,Apresentação!$E$4='Base de Dados e filtragem'!F500),1,0)</f>
        <v>1</v>
      </c>
      <c r="AK500" s="25">
        <f>IF(OR(Apresentação!$E$5='Base de Dados e filtragem'!AK$2,Apresentação!$E$5='Base de Dados e filtragem'!G500),1,0)</f>
        <v>1</v>
      </c>
      <c r="AL500" s="25">
        <f>IF(OR(Apresentação!$E$6='Base de Dados e filtragem'!AL$2,Apresentação!$E$6='Base de Dados e filtragem'!H500),1,0)</f>
        <v>1</v>
      </c>
      <c r="AM500" s="25">
        <f>IF(OR(Apresentação!$I$2='Base de Dados e filtragem'!AM$2,Apresentação!$I$2='Base de Dados e filtragem'!I500),1,0)</f>
        <v>1</v>
      </c>
      <c r="AN500" s="25">
        <f>IF(OR(Apresentação!$I$3='Base de Dados e filtragem'!AN$2,Apresentação!$I$3='Base de Dados e filtragem'!J500),1,0)</f>
        <v>1</v>
      </c>
      <c r="AO500" s="25">
        <f>IF(OR(Apresentação!$I$4='Base de Dados e filtragem'!AO$2,Apresentação!$I$4='Base de Dados e filtragem'!K500),1,0)</f>
        <v>1</v>
      </c>
      <c r="AP500" s="25">
        <f>IF(OR(Apresentação!$I$5='Base de Dados e filtragem'!AP$2,Apresentação!$I$5='Base de Dados e filtragem'!L500),1,0)</f>
        <v>1</v>
      </c>
      <c r="AQ500" s="25">
        <f>IF(OR(Apresentação!$I$6='Base de Dados e filtragem'!AQ$2,Apresentação!$I$6='Base de Dados e filtragem'!M500),1,0)</f>
        <v>1</v>
      </c>
      <c r="AR500" s="25">
        <v>1</v>
      </c>
      <c r="AS500" s="25">
        <v>1</v>
      </c>
      <c r="AT500" s="25">
        <v>1</v>
      </c>
      <c r="AU500" s="25">
        <v>1</v>
      </c>
      <c r="AV500" s="25">
        <v>1</v>
      </c>
      <c r="AW500" s="25">
        <v>1</v>
      </c>
      <c r="AX500" s="25">
        <v>1</v>
      </c>
      <c r="AY500" s="25">
        <v>1</v>
      </c>
      <c r="AZ500" s="25">
        <v>1</v>
      </c>
      <c r="BA500" s="25">
        <v>1</v>
      </c>
      <c r="BB500" s="25">
        <v>1</v>
      </c>
      <c r="BC500" s="25">
        <v>1</v>
      </c>
      <c r="BD500" s="25">
        <v>1</v>
      </c>
    </row>
    <row r="501" spans="27:56" x14ac:dyDescent="0.25">
      <c r="AA501" s="68" t="str">
        <f t="shared" si="29"/>
        <v>Fotos\\.jpg</v>
      </c>
      <c r="AB501" s="53">
        <f t="shared" si="30"/>
        <v>1.996007984031936E-3</v>
      </c>
      <c r="AC501" s="25">
        <f t="shared" si="31"/>
        <v>501</v>
      </c>
      <c r="AD501" s="51">
        <f t="shared" si="32"/>
        <v>1</v>
      </c>
      <c r="AE501" s="25">
        <v>1</v>
      </c>
      <c r="AF501" s="25">
        <v>1</v>
      </c>
      <c r="AG501" s="25">
        <v>1</v>
      </c>
      <c r="AH501" s="25">
        <v>1</v>
      </c>
      <c r="AI501" s="25">
        <f>IF(OR(Apresentação!$E$3='Base de Dados e filtragem'!AI$2,Apresentação!$E$3='Base de Dados e filtragem'!E501),1,0)</f>
        <v>1</v>
      </c>
      <c r="AJ501" s="25">
        <f>IF(OR(Apresentação!$E$4='Base de Dados e filtragem'!AJ$2,Apresentação!$E$4='Base de Dados e filtragem'!F501),1,0)</f>
        <v>1</v>
      </c>
      <c r="AK501" s="25">
        <f>IF(OR(Apresentação!$E$5='Base de Dados e filtragem'!AK$2,Apresentação!$E$5='Base de Dados e filtragem'!G501),1,0)</f>
        <v>1</v>
      </c>
      <c r="AL501" s="25">
        <f>IF(OR(Apresentação!$E$6='Base de Dados e filtragem'!AL$2,Apresentação!$E$6='Base de Dados e filtragem'!H501),1,0)</f>
        <v>1</v>
      </c>
      <c r="AM501" s="25">
        <f>IF(OR(Apresentação!$I$2='Base de Dados e filtragem'!AM$2,Apresentação!$I$2='Base de Dados e filtragem'!I501),1,0)</f>
        <v>1</v>
      </c>
      <c r="AN501" s="25">
        <f>IF(OR(Apresentação!$I$3='Base de Dados e filtragem'!AN$2,Apresentação!$I$3='Base de Dados e filtragem'!J501),1,0)</f>
        <v>1</v>
      </c>
      <c r="AO501" s="25">
        <f>IF(OR(Apresentação!$I$4='Base de Dados e filtragem'!AO$2,Apresentação!$I$4='Base de Dados e filtragem'!K501),1,0)</f>
        <v>1</v>
      </c>
      <c r="AP501" s="25">
        <f>IF(OR(Apresentação!$I$5='Base de Dados e filtragem'!AP$2,Apresentação!$I$5='Base de Dados e filtragem'!L501),1,0)</f>
        <v>1</v>
      </c>
      <c r="AQ501" s="25">
        <f>IF(OR(Apresentação!$I$6='Base de Dados e filtragem'!AQ$2,Apresentação!$I$6='Base de Dados e filtragem'!M501),1,0)</f>
        <v>1</v>
      </c>
      <c r="AR501" s="25">
        <v>1</v>
      </c>
      <c r="AS501" s="25">
        <v>1</v>
      </c>
      <c r="AT501" s="25">
        <v>1</v>
      </c>
      <c r="AU501" s="25">
        <v>1</v>
      </c>
      <c r="AV501" s="25">
        <v>1</v>
      </c>
      <c r="AW501" s="25">
        <v>1</v>
      </c>
      <c r="AX501" s="25">
        <v>1</v>
      </c>
      <c r="AY501" s="25">
        <v>1</v>
      </c>
      <c r="AZ501" s="25">
        <v>1</v>
      </c>
      <c r="BA501" s="25">
        <v>1</v>
      </c>
      <c r="BB501" s="25">
        <v>1</v>
      </c>
      <c r="BC501" s="25">
        <v>1</v>
      </c>
      <c r="BD501" s="25">
        <v>1</v>
      </c>
    </row>
    <row r="502" spans="27:56" x14ac:dyDescent="0.25">
      <c r="AA502" s="68" t="str">
        <f t="shared" si="29"/>
        <v>Fotos\\.jpg</v>
      </c>
      <c r="AB502" s="53">
        <f t="shared" si="30"/>
        <v>1.9920318725099601E-3</v>
      </c>
      <c r="AC502" s="25">
        <f t="shared" si="31"/>
        <v>502</v>
      </c>
      <c r="AD502" s="51">
        <f t="shared" si="32"/>
        <v>1</v>
      </c>
      <c r="AE502" s="25">
        <v>1</v>
      </c>
      <c r="AF502" s="25">
        <v>1</v>
      </c>
      <c r="AG502" s="25">
        <v>1</v>
      </c>
      <c r="AH502" s="25">
        <v>1</v>
      </c>
      <c r="AI502" s="25">
        <f>IF(OR(Apresentação!$E$3='Base de Dados e filtragem'!AI$2,Apresentação!$E$3='Base de Dados e filtragem'!E502),1,0)</f>
        <v>1</v>
      </c>
      <c r="AJ502" s="25">
        <f>IF(OR(Apresentação!$E$4='Base de Dados e filtragem'!AJ$2,Apresentação!$E$4='Base de Dados e filtragem'!F502),1,0)</f>
        <v>1</v>
      </c>
      <c r="AK502" s="25">
        <f>IF(OR(Apresentação!$E$5='Base de Dados e filtragem'!AK$2,Apresentação!$E$5='Base de Dados e filtragem'!G502),1,0)</f>
        <v>1</v>
      </c>
      <c r="AL502" s="25">
        <f>IF(OR(Apresentação!$E$6='Base de Dados e filtragem'!AL$2,Apresentação!$E$6='Base de Dados e filtragem'!H502),1,0)</f>
        <v>1</v>
      </c>
      <c r="AM502" s="25">
        <f>IF(OR(Apresentação!$I$2='Base de Dados e filtragem'!AM$2,Apresentação!$I$2='Base de Dados e filtragem'!I502),1,0)</f>
        <v>1</v>
      </c>
      <c r="AN502" s="25">
        <f>IF(OR(Apresentação!$I$3='Base de Dados e filtragem'!AN$2,Apresentação!$I$3='Base de Dados e filtragem'!J502),1,0)</f>
        <v>1</v>
      </c>
      <c r="AO502" s="25">
        <f>IF(OR(Apresentação!$I$4='Base de Dados e filtragem'!AO$2,Apresentação!$I$4='Base de Dados e filtragem'!K502),1,0)</f>
        <v>1</v>
      </c>
      <c r="AP502" s="25">
        <f>IF(OR(Apresentação!$I$5='Base de Dados e filtragem'!AP$2,Apresentação!$I$5='Base de Dados e filtragem'!L502),1,0)</f>
        <v>1</v>
      </c>
      <c r="AQ502" s="25">
        <f>IF(OR(Apresentação!$I$6='Base de Dados e filtragem'!AQ$2,Apresentação!$I$6='Base de Dados e filtragem'!M502),1,0)</f>
        <v>1</v>
      </c>
      <c r="AR502" s="25">
        <v>1</v>
      </c>
      <c r="AS502" s="25">
        <v>1</v>
      </c>
      <c r="AT502" s="25">
        <v>1</v>
      </c>
      <c r="AU502" s="25">
        <v>1</v>
      </c>
      <c r="AV502" s="25">
        <v>1</v>
      </c>
      <c r="AW502" s="25">
        <v>1</v>
      </c>
      <c r="AX502" s="25">
        <v>1</v>
      </c>
      <c r="AY502" s="25">
        <v>1</v>
      </c>
      <c r="AZ502" s="25">
        <v>1</v>
      </c>
      <c r="BA502" s="25">
        <v>1</v>
      </c>
      <c r="BB502" s="25">
        <v>1</v>
      </c>
      <c r="BC502" s="25">
        <v>1</v>
      </c>
      <c r="BD502" s="25">
        <v>1</v>
      </c>
    </row>
    <row r="503" spans="27:56" x14ac:dyDescent="0.25">
      <c r="AA503" s="68" t="str">
        <f t="shared" si="29"/>
        <v>Fotos\\.jpg</v>
      </c>
      <c r="AB503" s="53">
        <f t="shared" si="30"/>
        <v>1.9880715705765406E-3</v>
      </c>
      <c r="AC503" s="25">
        <f t="shared" si="31"/>
        <v>503</v>
      </c>
      <c r="AD503" s="51">
        <f t="shared" si="32"/>
        <v>1</v>
      </c>
      <c r="AE503" s="25">
        <v>1</v>
      </c>
      <c r="AF503" s="25">
        <v>1</v>
      </c>
      <c r="AG503" s="25">
        <v>1</v>
      </c>
      <c r="AH503" s="25">
        <v>1</v>
      </c>
      <c r="AI503" s="25">
        <f>IF(OR(Apresentação!$E$3='Base de Dados e filtragem'!AI$2,Apresentação!$E$3='Base de Dados e filtragem'!E503),1,0)</f>
        <v>1</v>
      </c>
      <c r="AJ503" s="25">
        <f>IF(OR(Apresentação!$E$4='Base de Dados e filtragem'!AJ$2,Apresentação!$E$4='Base de Dados e filtragem'!F503),1,0)</f>
        <v>1</v>
      </c>
      <c r="AK503" s="25">
        <f>IF(OR(Apresentação!$E$5='Base de Dados e filtragem'!AK$2,Apresentação!$E$5='Base de Dados e filtragem'!G503),1,0)</f>
        <v>1</v>
      </c>
      <c r="AL503" s="25">
        <f>IF(OR(Apresentação!$E$6='Base de Dados e filtragem'!AL$2,Apresentação!$E$6='Base de Dados e filtragem'!H503),1,0)</f>
        <v>1</v>
      </c>
      <c r="AM503" s="25">
        <f>IF(OR(Apresentação!$I$2='Base de Dados e filtragem'!AM$2,Apresentação!$I$2='Base de Dados e filtragem'!I503),1,0)</f>
        <v>1</v>
      </c>
      <c r="AN503" s="25">
        <f>IF(OR(Apresentação!$I$3='Base de Dados e filtragem'!AN$2,Apresentação!$I$3='Base de Dados e filtragem'!J503),1,0)</f>
        <v>1</v>
      </c>
      <c r="AO503" s="25">
        <f>IF(OR(Apresentação!$I$4='Base de Dados e filtragem'!AO$2,Apresentação!$I$4='Base de Dados e filtragem'!K503),1,0)</f>
        <v>1</v>
      </c>
      <c r="AP503" s="25">
        <f>IF(OR(Apresentação!$I$5='Base de Dados e filtragem'!AP$2,Apresentação!$I$5='Base de Dados e filtragem'!L503),1,0)</f>
        <v>1</v>
      </c>
      <c r="AQ503" s="25">
        <f>IF(OR(Apresentação!$I$6='Base de Dados e filtragem'!AQ$2,Apresentação!$I$6='Base de Dados e filtragem'!M503),1,0)</f>
        <v>1</v>
      </c>
      <c r="AR503" s="25">
        <v>1</v>
      </c>
      <c r="AS503" s="25">
        <v>1</v>
      </c>
      <c r="AT503" s="25">
        <v>1</v>
      </c>
      <c r="AU503" s="25">
        <v>1</v>
      </c>
      <c r="AV503" s="25">
        <v>1</v>
      </c>
      <c r="AW503" s="25">
        <v>1</v>
      </c>
      <c r="AX503" s="25">
        <v>1</v>
      </c>
      <c r="AY503" s="25">
        <v>1</v>
      </c>
      <c r="AZ503" s="25">
        <v>1</v>
      </c>
      <c r="BA503" s="25">
        <v>1</v>
      </c>
      <c r="BB503" s="25">
        <v>1</v>
      </c>
      <c r="BC503" s="25">
        <v>1</v>
      </c>
      <c r="BD503" s="25">
        <v>1</v>
      </c>
    </row>
    <row r="504" spans="27:56" x14ac:dyDescent="0.25">
      <c r="AA504" s="68" t="str">
        <f t="shared" si="29"/>
        <v>Fotos\\.jpg</v>
      </c>
      <c r="AB504" s="53">
        <f t="shared" si="30"/>
        <v>1.984126984126984E-3</v>
      </c>
      <c r="AC504" s="25">
        <f t="shared" si="31"/>
        <v>504</v>
      </c>
      <c r="AD504" s="51">
        <f t="shared" si="32"/>
        <v>1</v>
      </c>
      <c r="AE504" s="25">
        <v>1</v>
      </c>
      <c r="AF504" s="25">
        <v>1</v>
      </c>
      <c r="AG504" s="25">
        <v>1</v>
      </c>
      <c r="AH504" s="25">
        <v>1</v>
      </c>
      <c r="AI504" s="25">
        <f>IF(OR(Apresentação!$E$3='Base de Dados e filtragem'!AI$2,Apresentação!$E$3='Base de Dados e filtragem'!E504),1,0)</f>
        <v>1</v>
      </c>
      <c r="AJ504" s="25">
        <f>IF(OR(Apresentação!$E$4='Base de Dados e filtragem'!AJ$2,Apresentação!$E$4='Base de Dados e filtragem'!F504),1,0)</f>
        <v>1</v>
      </c>
      <c r="AK504" s="25">
        <f>IF(OR(Apresentação!$E$5='Base de Dados e filtragem'!AK$2,Apresentação!$E$5='Base de Dados e filtragem'!G504),1,0)</f>
        <v>1</v>
      </c>
      <c r="AL504" s="25">
        <f>IF(OR(Apresentação!$E$6='Base de Dados e filtragem'!AL$2,Apresentação!$E$6='Base de Dados e filtragem'!H504),1,0)</f>
        <v>1</v>
      </c>
      <c r="AM504" s="25">
        <f>IF(OR(Apresentação!$I$2='Base de Dados e filtragem'!AM$2,Apresentação!$I$2='Base de Dados e filtragem'!I504),1,0)</f>
        <v>1</v>
      </c>
      <c r="AN504" s="25">
        <f>IF(OR(Apresentação!$I$3='Base de Dados e filtragem'!AN$2,Apresentação!$I$3='Base de Dados e filtragem'!J504),1,0)</f>
        <v>1</v>
      </c>
      <c r="AO504" s="25">
        <f>IF(OR(Apresentação!$I$4='Base de Dados e filtragem'!AO$2,Apresentação!$I$4='Base de Dados e filtragem'!K504),1,0)</f>
        <v>1</v>
      </c>
      <c r="AP504" s="25">
        <f>IF(OR(Apresentação!$I$5='Base de Dados e filtragem'!AP$2,Apresentação!$I$5='Base de Dados e filtragem'!L504),1,0)</f>
        <v>1</v>
      </c>
      <c r="AQ504" s="25">
        <f>IF(OR(Apresentação!$I$6='Base de Dados e filtragem'!AQ$2,Apresentação!$I$6='Base de Dados e filtragem'!M504),1,0)</f>
        <v>1</v>
      </c>
      <c r="AR504" s="25">
        <v>1</v>
      </c>
      <c r="AS504" s="25">
        <v>1</v>
      </c>
      <c r="AT504" s="25">
        <v>1</v>
      </c>
      <c r="AU504" s="25">
        <v>1</v>
      </c>
      <c r="AV504" s="25">
        <v>1</v>
      </c>
      <c r="AW504" s="25">
        <v>1</v>
      </c>
      <c r="AX504" s="25">
        <v>1</v>
      </c>
      <c r="AY504" s="25">
        <v>1</v>
      </c>
      <c r="AZ504" s="25">
        <v>1</v>
      </c>
      <c r="BA504" s="25">
        <v>1</v>
      </c>
      <c r="BB504" s="25">
        <v>1</v>
      </c>
      <c r="BC504" s="25">
        <v>1</v>
      </c>
      <c r="BD504" s="25">
        <v>1</v>
      </c>
    </row>
    <row r="505" spans="27:56" x14ac:dyDescent="0.25">
      <c r="AA505" s="68" t="str">
        <f t="shared" si="29"/>
        <v>Fotos\\.jpg</v>
      </c>
      <c r="AB505" s="53">
        <f t="shared" si="30"/>
        <v>1.9801980198019802E-3</v>
      </c>
      <c r="AC505" s="25">
        <f t="shared" si="31"/>
        <v>505</v>
      </c>
      <c r="AD505" s="51">
        <f t="shared" si="32"/>
        <v>1</v>
      </c>
      <c r="AE505" s="25">
        <v>1</v>
      </c>
      <c r="AF505" s="25">
        <v>1</v>
      </c>
      <c r="AG505" s="25">
        <v>1</v>
      </c>
      <c r="AH505" s="25">
        <v>1</v>
      </c>
      <c r="AI505" s="25">
        <f>IF(OR(Apresentação!$E$3='Base de Dados e filtragem'!AI$2,Apresentação!$E$3='Base de Dados e filtragem'!E505),1,0)</f>
        <v>1</v>
      </c>
      <c r="AJ505" s="25">
        <f>IF(OR(Apresentação!$E$4='Base de Dados e filtragem'!AJ$2,Apresentação!$E$4='Base de Dados e filtragem'!F505),1,0)</f>
        <v>1</v>
      </c>
      <c r="AK505" s="25">
        <f>IF(OR(Apresentação!$E$5='Base de Dados e filtragem'!AK$2,Apresentação!$E$5='Base de Dados e filtragem'!G505),1,0)</f>
        <v>1</v>
      </c>
      <c r="AL505" s="25">
        <f>IF(OR(Apresentação!$E$6='Base de Dados e filtragem'!AL$2,Apresentação!$E$6='Base de Dados e filtragem'!H505),1,0)</f>
        <v>1</v>
      </c>
      <c r="AM505" s="25">
        <f>IF(OR(Apresentação!$I$2='Base de Dados e filtragem'!AM$2,Apresentação!$I$2='Base de Dados e filtragem'!I505),1,0)</f>
        <v>1</v>
      </c>
      <c r="AN505" s="25">
        <f>IF(OR(Apresentação!$I$3='Base de Dados e filtragem'!AN$2,Apresentação!$I$3='Base de Dados e filtragem'!J505),1,0)</f>
        <v>1</v>
      </c>
      <c r="AO505" s="25">
        <f>IF(OR(Apresentação!$I$4='Base de Dados e filtragem'!AO$2,Apresentação!$I$4='Base de Dados e filtragem'!K505),1,0)</f>
        <v>1</v>
      </c>
      <c r="AP505" s="25">
        <f>IF(OR(Apresentação!$I$5='Base de Dados e filtragem'!AP$2,Apresentação!$I$5='Base de Dados e filtragem'!L505),1,0)</f>
        <v>1</v>
      </c>
      <c r="AQ505" s="25">
        <f>IF(OR(Apresentação!$I$6='Base de Dados e filtragem'!AQ$2,Apresentação!$I$6='Base de Dados e filtragem'!M505),1,0)</f>
        <v>1</v>
      </c>
      <c r="AR505" s="25">
        <v>1</v>
      </c>
      <c r="AS505" s="25">
        <v>1</v>
      </c>
      <c r="AT505" s="25">
        <v>1</v>
      </c>
      <c r="AU505" s="25">
        <v>1</v>
      </c>
      <c r="AV505" s="25">
        <v>1</v>
      </c>
      <c r="AW505" s="25">
        <v>1</v>
      </c>
      <c r="AX505" s="25">
        <v>1</v>
      </c>
      <c r="AY505" s="25">
        <v>1</v>
      </c>
      <c r="AZ505" s="25">
        <v>1</v>
      </c>
      <c r="BA505" s="25">
        <v>1</v>
      </c>
      <c r="BB505" s="25">
        <v>1</v>
      </c>
      <c r="BC505" s="25">
        <v>1</v>
      </c>
      <c r="BD505" s="25">
        <v>1</v>
      </c>
    </row>
    <row r="506" spans="27:56" x14ac:dyDescent="0.25">
      <c r="AA506" s="68" t="str">
        <f t="shared" si="29"/>
        <v>Fotos\\.jpg</v>
      </c>
      <c r="AB506" s="53">
        <f t="shared" si="30"/>
        <v>1.976284584980237E-3</v>
      </c>
      <c r="AC506" s="25">
        <f t="shared" si="31"/>
        <v>506</v>
      </c>
      <c r="AD506" s="51">
        <f t="shared" si="32"/>
        <v>1</v>
      </c>
      <c r="AE506" s="25">
        <v>1</v>
      </c>
      <c r="AF506" s="25">
        <v>1</v>
      </c>
      <c r="AG506" s="25">
        <v>1</v>
      </c>
      <c r="AH506" s="25">
        <v>1</v>
      </c>
      <c r="AI506" s="25">
        <f>IF(OR(Apresentação!$E$3='Base de Dados e filtragem'!AI$2,Apresentação!$E$3='Base de Dados e filtragem'!E506),1,0)</f>
        <v>1</v>
      </c>
      <c r="AJ506" s="25">
        <f>IF(OR(Apresentação!$E$4='Base de Dados e filtragem'!AJ$2,Apresentação!$E$4='Base de Dados e filtragem'!F506),1,0)</f>
        <v>1</v>
      </c>
      <c r="AK506" s="25">
        <f>IF(OR(Apresentação!$E$5='Base de Dados e filtragem'!AK$2,Apresentação!$E$5='Base de Dados e filtragem'!G506),1,0)</f>
        <v>1</v>
      </c>
      <c r="AL506" s="25">
        <f>IF(OR(Apresentação!$E$6='Base de Dados e filtragem'!AL$2,Apresentação!$E$6='Base de Dados e filtragem'!H506),1,0)</f>
        <v>1</v>
      </c>
      <c r="AM506" s="25">
        <f>IF(OR(Apresentação!$I$2='Base de Dados e filtragem'!AM$2,Apresentação!$I$2='Base de Dados e filtragem'!I506),1,0)</f>
        <v>1</v>
      </c>
      <c r="AN506" s="25">
        <f>IF(OR(Apresentação!$I$3='Base de Dados e filtragem'!AN$2,Apresentação!$I$3='Base de Dados e filtragem'!J506),1,0)</f>
        <v>1</v>
      </c>
      <c r="AO506" s="25">
        <f>IF(OR(Apresentação!$I$4='Base de Dados e filtragem'!AO$2,Apresentação!$I$4='Base de Dados e filtragem'!K506),1,0)</f>
        <v>1</v>
      </c>
      <c r="AP506" s="25">
        <f>IF(OR(Apresentação!$I$5='Base de Dados e filtragem'!AP$2,Apresentação!$I$5='Base de Dados e filtragem'!L506),1,0)</f>
        <v>1</v>
      </c>
      <c r="AQ506" s="25">
        <f>IF(OR(Apresentação!$I$6='Base de Dados e filtragem'!AQ$2,Apresentação!$I$6='Base de Dados e filtragem'!M506),1,0)</f>
        <v>1</v>
      </c>
      <c r="AR506" s="25">
        <v>1</v>
      </c>
      <c r="AS506" s="25">
        <v>1</v>
      </c>
      <c r="AT506" s="25">
        <v>1</v>
      </c>
      <c r="AU506" s="25">
        <v>1</v>
      </c>
      <c r="AV506" s="25">
        <v>1</v>
      </c>
      <c r="AW506" s="25">
        <v>1</v>
      </c>
      <c r="AX506" s="25">
        <v>1</v>
      </c>
      <c r="AY506" s="25">
        <v>1</v>
      </c>
      <c r="AZ506" s="25">
        <v>1</v>
      </c>
      <c r="BA506" s="25">
        <v>1</v>
      </c>
      <c r="BB506" s="25">
        <v>1</v>
      </c>
      <c r="BC506" s="25">
        <v>1</v>
      </c>
      <c r="BD506" s="25">
        <v>1</v>
      </c>
    </row>
    <row r="507" spans="27:56" x14ac:dyDescent="0.25">
      <c r="AA507" s="68" t="str">
        <f t="shared" si="29"/>
        <v>Fotos\\.jpg</v>
      </c>
      <c r="AB507" s="53">
        <f t="shared" si="30"/>
        <v>1.9723865877712033E-3</v>
      </c>
      <c r="AC507" s="25">
        <f t="shared" si="31"/>
        <v>507</v>
      </c>
      <c r="AD507" s="51">
        <f t="shared" si="32"/>
        <v>1</v>
      </c>
      <c r="AE507" s="25">
        <v>1</v>
      </c>
      <c r="AF507" s="25">
        <v>1</v>
      </c>
      <c r="AG507" s="25">
        <v>1</v>
      </c>
      <c r="AH507" s="25">
        <v>1</v>
      </c>
      <c r="AI507" s="25">
        <f>IF(OR(Apresentação!$E$3='Base de Dados e filtragem'!AI$2,Apresentação!$E$3='Base de Dados e filtragem'!E507),1,0)</f>
        <v>1</v>
      </c>
      <c r="AJ507" s="25">
        <f>IF(OR(Apresentação!$E$4='Base de Dados e filtragem'!AJ$2,Apresentação!$E$4='Base de Dados e filtragem'!F507),1,0)</f>
        <v>1</v>
      </c>
      <c r="AK507" s="25">
        <f>IF(OR(Apresentação!$E$5='Base de Dados e filtragem'!AK$2,Apresentação!$E$5='Base de Dados e filtragem'!G507),1,0)</f>
        <v>1</v>
      </c>
      <c r="AL507" s="25">
        <f>IF(OR(Apresentação!$E$6='Base de Dados e filtragem'!AL$2,Apresentação!$E$6='Base de Dados e filtragem'!H507),1,0)</f>
        <v>1</v>
      </c>
      <c r="AM507" s="25">
        <f>IF(OR(Apresentação!$I$2='Base de Dados e filtragem'!AM$2,Apresentação!$I$2='Base de Dados e filtragem'!I507),1,0)</f>
        <v>1</v>
      </c>
      <c r="AN507" s="25">
        <f>IF(OR(Apresentação!$I$3='Base de Dados e filtragem'!AN$2,Apresentação!$I$3='Base de Dados e filtragem'!J507),1,0)</f>
        <v>1</v>
      </c>
      <c r="AO507" s="25">
        <f>IF(OR(Apresentação!$I$4='Base de Dados e filtragem'!AO$2,Apresentação!$I$4='Base de Dados e filtragem'!K507),1,0)</f>
        <v>1</v>
      </c>
      <c r="AP507" s="25">
        <f>IF(OR(Apresentação!$I$5='Base de Dados e filtragem'!AP$2,Apresentação!$I$5='Base de Dados e filtragem'!L507),1,0)</f>
        <v>1</v>
      </c>
      <c r="AQ507" s="25">
        <f>IF(OR(Apresentação!$I$6='Base de Dados e filtragem'!AQ$2,Apresentação!$I$6='Base de Dados e filtragem'!M507),1,0)</f>
        <v>1</v>
      </c>
      <c r="AR507" s="25">
        <v>1</v>
      </c>
      <c r="AS507" s="25">
        <v>1</v>
      </c>
      <c r="AT507" s="25">
        <v>1</v>
      </c>
      <c r="AU507" s="25">
        <v>1</v>
      </c>
      <c r="AV507" s="25">
        <v>1</v>
      </c>
      <c r="AW507" s="25">
        <v>1</v>
      </c>
      <c r="AX507" s="25">
        <v>1</v>
      </c>
      <c r="AY507" s="25">
        <v>1</v>
      </c>
      <c r="AZ507" s="25">
        <v>1</v>
      </c>
      <c r="BA507" s="25">
        <v>1</v>
      </c>
      <c r="BB507" s="25">
        <v>1</v>
      </c>
      <c r="BC507" s="25">
        <v>1</v>
      </c>
      <c r="BD507" s="25">
        <v>1</v>
      </c>
    </row>
    <row r="508" spans="27:56" x14ac:dyDescent="0.25">
      <c r="AA508" s="68" t="str">
        <f t="shared" si="29"/>
        <v>Fotos\\.jpg</v>
      </c>
      <c r="AB508" s="53">
        <f t="shared" si="30"/>
        <v>1.968503937007874E-3</v>
      </c>
      <c r="AC508" s="25">
        <f t="shared" si="31"/>
        <v>508</v>
      </c>
      <c r="AD508" s="51">
        <f t="shared" si="32"/>
        <v>1</v>
      </c>
      <c r="AE508" s="25">
        <v>1</v>
      </c>
      <c r="AF508" s="25">
        <v>1</v>
      </c>
      <c r="AG508" s="25">
        <v>1</v>
      </c>
      <c r="AH508" s="25">
        <v>1</v>
      </c>
      <c r="AI508" s="25">
        <f>IF(OR(Apresentação!$E$3='Base de Dados e filtragem'!AI$2,Apresentação!$E$3='Base de Dados e filtragem'!E508),1,0)</f>
        <v>1</v>
      </c>
      <c r="AJ508" s="25">
        <f>IF(OR(Apresentação!$E$4='Base de Dados e filtragem'!AJ$2,Apresentação!$E$4='Base de Dados e filtragem'!F508),1,0)</f>
        <v>1</v>
      </c>
      <c r="AK508" s="25">
        <f>IF(OR(Apresentação!$E$5='Base de Dados e filtragem'!AK$2,Apresentação!$E$5='Base de Dados e filtragem'!G508),1,0)</f>
        <v>1</v>
      </c>
      <c r="AL508" s="25">
        <f>IF(OR(Apresentação!$E$6='Base de Dados e filtragem'!AL$2,Apresentação!$E$6='Base de Dados e filtragem'!H508),1,0)</f>
        <v>1</v>
      </c>
      <c r="AM508" s="25">
        <f>IF(OR(Apresentação!$I$2='Base de Dados e filtragem'!AM$2,Apresentação!$I$2='Base de Dados e filtragem'!I508),1,0)</f>
        <v>1</v>
      </c>
      <c r="AN508" s="25">
        <f>IF(OR(Apresentação!$I$3='Base de Dados e filtragem'!AN$2,Apresentação!$I$3='Base de Dados e filtragem'!J508),1,0)</f>
        <v>1</v>
      </c>
      <c r="AO508" s="25">
        <f>IF(OR(Apresentação!$I$4='Base de Dados e filtragem'!AO$2,Apresentação!$I$4='Base de Dados e filtragem'!K508),1,0)</f>
        <v>1</v>
      </c>
      <c r="AP508" s="25">
        <f>IF(OR(Apresentação!$I$5='Base de Dados e filtragem'!AP$2,Apresentação!$I$5='Base de Dados e filtragem'!L508),1,0)</f>
        <v>1</v>
      </c>
      <c r="AQ508" s="25">
        <f>IF(OR(Apresentação!$I$6='Base de Dados e filtragem'!AQ$2,Apresentação!$I$6='Base de Dados e filtragem'!M508),1,0)</f>
        <v>1</v>
      </c>
      <c r="AR508" s="25">
        <v>1</v>
      </c>
      <c r="AS508" s="25">
        <v>1</v>
      </c>
      <c r="AT508" s="25">
        <v>1</v>
      </c>
      <c r="AU508" s="25">
        <v>1</v>
      </c>
      <c r="AV508" s="25">
        <v>1</v>
      </c>
      <c r="AW508" s="25">
        <v>1</v>
      </c>
      <c r="AX508" s="25">
        <v>1</v>
      </c>
      <c r="AY508" s="25">
        <v>1</v>
      </c>
      <c r="AZ508" s="25">
        <v>1</v>
      </c>
      <c r="BA508" s="25">
        <v>1</v>
      </c>
      <c r="BB508" s="25">
        <v>1</v>
      </c>
      <c r="BC508" s="25">
        <v>1</v>
      </c>
      <c r="BD508" s="25">
        <v>1</v>
      </c>
    </row>
    <row r="509" spans="27:56" x14ac:dyDescent="0.25">
      <c r="AA509" s="68" t="str">
        <f t="shared" si="29"/>
        <v>Fotos\\.jpg</v>
      </c>
      <c r="AB509" s="53">
        <f t="shared" si="30"/>
        <v>1.9646365422396855E-3</v>
      </c>
      <c r="AC509" s="25">
        <f t="shared" si="31"/>
        <v>509</v>
      </c>
      <c r="AD509" s="51">
        <f t="shared" si="32"/>
        <v>1</v>
      </c>
      <c r="AE509" s="25">
        <v>1</v>
      </c>
      <c r="AF509" s="25">
        <v>1</v>
      </c>
      <c r="AG509" s="25">
        <v>1</v>
      </c>
      <c r="AH509" s="25">
        <v>1</v>
      </c>
      <c r="AI509" s="25">
        <f>IF(OR(Apresentação!$E$3='Base de Dados e filtragem'!AI$2,Apresentação!$E$3='Base de Dados e filtragem'!E509),1,0)</f>
        <v>1</v>
      </c>
      <c r="AJ509" s="25">
        <f>IF(OR(Apresentação!$E$4='Base de Dados e filtragem'!AJ$2,Apresentação!$E$4='Base de Dados e filtragem'!F509),1,0)</f>
        <v>1</v>
      </c>
      <c r="AK509" s="25">
        <f>IF(OR(Apresentação!$E$5='Base de Dados e filtragem'!AK$2,Apresentação!$E$5='Base de Dados e filtragem'!G509),1,0)</f>
        <v>1</v>
      </c>
      <c r="AL509" s="25">
        <f>IF(OR(Apresentação!$E$6='Base de Dados e filtragem'!AL$2,Apresentação!$E$6='Base de Dados e filtragem'!H509),1,0)</f>
        <v>1</v>
      </c>
      <c r="AM509" s="25">
        <f>IF(OR(Apresentação!$I$2='Base de Dados e filtragem'!AM$2,Apresentação!$I$2='Base de Dados e filtragem'!I509),1,0)</f>
        <v>1</v>
      </c>
      <c r="AN509" s="25">
        <f>IF(OR(Apresentação!$I$3='Base de Dados e filtragem'!AN$2,Apresentação!$I$3='Base de Dados e filtragem'!J509),1,0)</f>
        <v>1</v>
      </c>
      <c r="AO509" s="25">
        <f>IF(OR(Apresentação!$I$4='Base de Dados e filtragem'!AO$2,Apresentação!$I$4='Base de Dados e filtragem'!K509),1,0)</f>
        <v>1</v>
      </c>
      <c r="AP509" s="25">
        <f>IF(OR(Apresentação!$I$5='Base de Dados e filtragem'!AP$2,Apresentação!$I$5='Base de Dados e filtragem'!L509),1,0)</f>
        <v>1</v>
      </c>
      <c r="AQ509" s="25">
        <f>IF(OR(Apresentação!$I$6='Base de Dados e filtragem'!AQ$2,Apresentação!$I$6='Base de Dados e filtragem'!M509),1,0)</f>
        <v>1</v>
      </c>
      <c r="AR509" s="25">
        <v>1</v>
      </c>
      <c r="AS509" s="25">
        <v>1</v>
      </c>
      <c r="AT509" s="25">
        <v>1</v>
      </c>
      <c r="AU509" s="25">
        <v>1</v>
      </c>
      <c r="AV509" s="25">
        <v>1</v>
      </c>
      <c r="AW509" s="25">
        <v>1</v>
      </c>
      <c r="AX509" s="25">
        <v>1</v>
      </c>
      <c r="AY509" s="25">
        <v>1</v>
      </c>
      <c r="AZ509" s="25">
        <v>1</v>
      </c>
      <c r="BA509" s="25">
        <v>1</v>
      </c>
      <c r="BB509" s="25">
        <v>1</v>
      </c>
      <c r="BC509" s="25">
        <v>1</v>
      </c>
      <c r="BD509" s="25">
        <v>1</v>
      </c>
    </row>
    <row r="510" spans="27:56" x14ac:dyDescent="0.25">
      <c r="AA510" s="68" t="str">
        <f t="shared" si="29"/>
        <v>Fotos\\.jpg</v>
      </c>
      <c r="AB510" s="53">
        <f t="shared" si="30"/>
        <v>1.9607843137254902E-3</v>
      </c>
      <c r="AC510" s="25">
        <f t="shared" si="31"/>
        <v>510</v>
      </c>
      <c r="AD510" s="51">
        <f t="shared" si="32"/>
        <v>1</v>
      </c>
      <c r="AE510" s="25">
        <v>1</v>
      </c>
      <c r="AF510" s="25">
        <v>1</v>
      </c>
      <c r="AG510" s="25">
        <v>1</v>
      </c>
      <c r="AH510" s="25">
        <v>1</v>
      </c>
      <c r="AI510" s="25">
        <f>IF(OR(Apresentação!$E$3='Base de Dados e filtragem'!AI$2,Apresentação!$E$3='Base de Dados e filtragem'!E510),1,0)</f>
        <v>1</v>
      </c>
      <c r="AJ510" s="25">
        <f>IF(OR(Apresentação!$E$4='Base de Dados e filtragem'!AJ$2,Apresentação!$E$4='Base de Dados e filtragem'!F510),1,0)</f>
        <v>1</v>
      </c>
      <c r="AK510" s="25">
        <f>IF(OR(Apresentação!$E$5='Base de Dados e filtragem'!AK$2,Apresentação!$E$5='Base de Dados e filtragem'!G510),1,0)</f>
        <v>1</v>
      </c>
      <c r="AL510" s="25">
        <f>IF(OR(Apresentação!$E$6='Base de Dados e filtragem'!AL$2,Apresentação!$E$6='Base de Dados e filtragem'!H510),1,0)</f>
        <v>1</v>
      </c>
      <c r="AM510" s="25">
        <f>IF(OR(Apresentação!$I$2='Base de Dados e filtragem'!AM$2,Apresentação!$I$2='Base de Dados e filtragem'!I510),1,0)</f>
        <v>1</v>
      </c>
      <c r="AN510" s="25">
        <f>IF(OR(Apresentação!$I$3='Base de Dados e filtragem'!AN$2,Apresentação!$I$3='Base de Dados e filtragem'!J510),1,0)</f>
        <v>1</v>
      </c>
      <c r="AO510" s="25">
        <f>IF(OR(Apresentação!$I$4='Base de Dados e filtragem'!AO$2,Apresentação!$I$4='Base de Dados e filtragem'!K510),1,0)</f>
        <v>1</v>
      </c>
      <c r="AP510" s="25">
        <f>IF(OR(Apresentação!$I$5='Base de Dados e filtragem'!AP$2,Apresentação!$I$5='Base de Dados e filtragem'!L510),1,0)</f>
        <v>1</v>
      </c>
      <c r="AQ510" s="25">
        <f>IF(OR(Apresentação!$I$6='Base de Dados e filtragem'!AQ$2,Apresentação!$I$6='Base de Dados e filtragem'!M510),1,0)</f>
        <v>1</v>
      </c>
      <c r="AR510" s="25">
        <v>1</v>
      </c>
      <c r="AS510" s="25">
        <v>1</v>
      </c>
      <c r="AT510" s="25">
        <v>1</v>
      </c>
      <c r="AU510" s="25">
        <v>1</v>
      </c>
      <c r="AV510" s="25">
        <v>1</v>
      </c>
      <c r="AW510" s="25">
        <v>1</v>
      </c>
      <c r="AX510" s="25">
        <v>1</v>
      </c>
      <c r="AY510" s="25">
        <v>1</v>
      </c>
      <c r="AZ510" s="25">
        <v>1</v>
      </c>
      <c r="BA510" s="25">
        <v>1</v>
      </c>
      <c r="BB510" s="25">
        <v>1</v>
      </c>
      <c r="BC510" s="25">
        <v>1</v>
      </c>
      <c r="BD510" s="25">
        <v>1</v>
      </c>
    </row>
    <row r="511" spans="27:56" x14ac:dyDescent="0.25">
      <c r="AA511" s="68" t="str">
        <f t="shared" si="29"/>
        <v>Fotos\\.jpg</v>
      </c>
      <c r="AB511" s="53">
        <f t="shared" si="30"/>
        <v>1.9569471624266144E-3</v>
      </c>
      <c r="AC511" s="25">
        <f t="shared" si="31"/>
        <v>511</v>
      </c>
      <c r="AD511" s="51">
        <f t="shared" si="32"/>
        <v>1</v>
      </c>
      <c r="AE511" s="25">
        <v>1</v>
      </c>
      <c r="AF511" s="25">
        <v>1</v>
      </c>
      <c r="AG511" s="25">
        <v>1</v>
      </c>
      <c r="AH511" s="25">
        <v>1</v>
      </c>
      <c r="AI511" s="25">
        <f>IF(OR(Apresentação!$E$3='Base de Dados e filtragem'!AI$2,Apresentação!$E$3='Base de Dados e filtragem'!E511),1,0)</f>
        <v>1</v>
      </c>
      <c r="AJ511" s="25">
        <f>IF(OR(Apresentação!$E$4='Base de Dados e filtragem'!AJ$2,Apresentação!$E$4='Base de Dados e filtragem'!F511),1,0)</f>
        <v>1</v>
      </c>
      <c r="AK511" s="25">
        <f>IF(OR(Apresentação!$E$5='Base de Dados e filtragem'!AK$2,Apresentação!$E$5='Base de Dados e filtragem'!G511),1,0)</f>
        <v>1</v>
      </c>
      <c r="AL511" s="25">
        <f>IF(OR(Apresentação!$E$6='Base de Dados e filtragem'!AL$2,Apresentação!$E$6='Base de Dados e filtragem'!H511),1,0)</f>
        <v>1</v>
      </c>
      <c r="AM511" s="25">
        <f>IF(OR(Apresentação!$I$2='Base de Dados e filtragem'!AM$2,Apresentação!$I$2='Base de Dados e filtragem'!I511),1,0)</f>
        <v>1</v>
      </c>
      <c r="AN511" s="25">
        <f>IF(OR(Apresentação!$I$3='Base de Dados e filtragem'!AN$2,Apresentação!$I$3='Base de Dados e filtragem'!J511),1,0)</f>
        <v>1</v>
      </c>
      <c r="AO511" s="25">
        <f>IF(OR(Apresentação!$I$4='Base de Dados e filtragem'!AO$2,Apresentação!$I$4='Base de Dados e filtragem'!K511),1,0)</f>
        <v>1</v>
      </c>
      <c r="AP511" s="25">
        <f>IF(OR(Apresentação!$I$5='Base de Dados e filtragem'!AP$2,Apresentação!$I$5='Base de Dados e filtragem'!L511),1,0)</f>
        <v>1</v>
      </c>
      <c r="AQ511" s="25">
        <f>IF(OR(Apresentação!$I$6='Base de Dados e filtragem'!AQ$2,Apresentação!$I$6='Base de Dados e filtragem'!M511),1,0)</f>
        <v>1</v>
      </c>
      <c r="AR511" s="25">
        <v>1</v>
      </c>
      <c r="AS511" s="25">
        <v>1</v>
      </c>
      <c r="AT511" s="25">
        <v>1</v>
      </c>
      <c r="AU511" s="25">
        <v>1</v>
      </c>
      <c r="AV511" s="25">
        <v>1</v>
      </c>
      <c r="AW511" s="25">
        <v>1</v>
      </c>
      <c r="AX511" s="25">
        <v>1</v>
      </c>
      <c r="AY511" s="25">
        <v>1</v>
      </c>
      <c r="AZ511" s="25">
        <v>1</v>
      </c>
      <c r="BA511" s="25">
        <v>1</v>
      </c>
      <c r="BB511" s="25">
        <v>1</v>
      </c>
      <c r="BC511" s="25">
        <v>1</v>
      </c>
      <c r="BD511" s="25">
        <v>1</v>
      </c>
    </row>
    <row r="512" spans="27:56" x14ac:dyDescent="0.25">
      <c r="AA512" s="68" t="str">
        <f t="shared" si="29"/>
        <v>Fotos\\.jpg</v>
      </c>
      <c r="AB512" s="53">
        <f t="shared" si="30"/>
        <v>1.953125E-3</v>
      </c>
      <c r="AC512" s="25">
        <f t="shared" si="31"/>
        <v>512</v>
      </c>
      <c r="AD512" s="51">
        <f t="shared" si="32"/>
        <v>1</v>
      </c>
      <c r="AE512" s="25">
        <v>1</v>
      </c>
      <c r="AF512" s="25">
        <v>1</v>
      </c>
      <c r="AG512" s="25">
        <v>1</v>
      </c>
      <c r="AH512" s="25">
        <v>1</v>
      </c>
      <c r="AI512" s="25">
        <f>IF(OR(Apresentação!$E$3='Base de Dados e filtragem'!AI$2,Apresentação!$E$3='Base de Dados e filtragem'!E512),1,0)</f>
        <v>1</v>
      </c>
      <c r="AJ512" s="25">
        <f>IF(OR(Apresentação!$E$4='Base de Dados e filtragem'!AJ$2,Apresentação!$E$4='Base de Dados e filtragem'!F512),1,0)</f>
        <v>1</v>
      </c>
      <c r="AK512" s="25">
        <f>IF(OR(Apresentação!$E$5='Base de Dados e filtragem'!AK$2,Apresentação!$E$5='Base de Dados e filtragem'!G512),1,0)</f>
        <v>1</v>
      </c>
      <c r="AL512" s="25">
        <f>IF(OR(Apresentação!$E$6='Base de Dados e filtragem'!AL$2,Apresentação!$E$6='Base de Dados e filtragem'!H512),1,0)</f>
        <v>1</v>
      </c>
      <c r="AM512" s="25">
        <f>IF(OR(Apresentação!$I$2='Base de Dados e filtragem'!AM$2,Apresentação!$I$2='Base de Dados e filtragem'!I512),1,0)</f>
        <v>1</v>
      </c>
      <c r="AN512" s="25">
        <f>IF(OR(Apresentação!$I$3='Base de Dados e filtragem'!AN$2,Apresentação!$I$3='Base de Dados e filtragem'!J512),1,0)</f>
        <v>1</v>
      </c>
      <c r="AO512" s="25">
        <f>IF(OR(Apresentação!$I$4='Base de Dados e filtragem'!AO$2,Apresentação!$I$4='Base de Dados e filtragem'!K512),1,0)</f>
        <v>1</v>
      </c>
      <c r="AP512" s="25">
        <f>IF(OR(Apresentação!$I$5='Base de Dados e filtragem'!AP$2,Apresentação!$I$5='Base de Dados e filtragem'!L512),1,0)</f>
        <v>1</v>
      </c>
      <c r="AQ512" s="25">
        <f>IF(OR(Apresentação!$I$6='Base de Dados e filtragem'!AQ$2,Apresentação!$I$6='Base de Dados e filtragem'!M512),1,0)</f>
        <v>1</v>
      </c>
      <c r="AR512" s="25">
        <v>1</v>
      </c>
      <c r="AS512" s="25">
        <v>1</v>
      </c>
      <c r="AT512" s="25">
        <v>1</v>
      </c>
      <c r="AU512" s="25">
        <v>1</v>
      </c>
      <c r="AV512" s="25">
        <v>1</v>
      </c>
      <c r="AW512" s="25">
        <v>1</v>
      </c>
      <c r="AX512" s="25">
        <v>1</v>
      </c>
      <c r="AY512" s="25">
        <v>1</v>
      </c>
      <c r="AZ512" s="25">
        <v>1</v>
      </c>
      <c r="BA512" s="25">
        <v>1</v>
      </c>
      <c r="BB512" s="25">
        <v>1</v>
      </c>
      <c r="BC512" s="25">
        <v>1</v>
      </c>
      <c r="BD512" s="25">
        <v>1</v>
      </c>
    </row>
    <row r="513" spans="27:56" x14ac:dyDescent="0.25">
      <c r="AA513" s="68" t="str">
        <f t="shared" si="29"/>
        <v>Fotos\\.jpg</v>
      </c>
      <c r="AB513" s="53">
        <f t="shared" si="30"/>
        <v>1.9493177387914229E-3</v>
      </c>
      <c r="AC513" s="25">
        <f t="shared" si="31"/>
        <v>513</v>
      </c>
      <c r="AD513" s="51">
        <f t="shared" si="32"/>
        <v>1</v>
      </c>
      <c r="AE513" s="25">
        <v>1</v>
      </c>
      <c r="AF513" s="25">
        <v>1</v>
      </c>
      <c r="AG513" s="25">
        <v>1</v>
      </c>
      <c r="AH513" s="25">
        <v>1</v>
      </c>
      <c r="AI513" s="25">
        <f>IF(OR(Apresentação!$E$3='Base de Dados e filtragem'!AI$2,Apresentação!$E$3='Base de Dados e filtragem'!E513),1,0)</f>
        <v>1</v>
      </c>
      <c r="AJ513" s="25">
        <f>IF(OR(Apresentação!$E$4='Base de Dados e filtragem'!AJ$2,Apresentação!$E$4='Base de Dados e filtragem'!F513),1,0)</f>
        <v>1</v>
      </c>
      <c r="AK513" s="25">
        <f>IF(OR(Apresentação!$E$5='Base de Dados e filtragem'!AK$2,Apresentação!$E$5='Base de Dados e filtragem'!G513),1,0)</f>
        <v>1</v>
      </c>
      <c r="AL513" s="25">
        <f>IF(OR(Apresentação!$E$6='Base de Dados e filtragem'!AL$2,Apresentação!$E$6='Base de Dados e filtragem'!H513),1,0)</f>
        <v>1</v>
      </c>
      <c r="AM513" s="25">
        <f>IF(OR(Apresentação!$I$2='Base de Dados e filtragem'!AM$2,Apresentação!$I$2='Base de Dados e filtragem'!I513),1,0)</f>
        <v>1</v>
      </c>
      <c r="AN513" s="25">
        <f>IF(OR(Apresentação!$I$3='Base de Dados e filtragem'!AN$2,Apresentação!$I$3='Base de Dados e filtragem'!J513),1,0)</f>
        <v>1</v>
      </c>
      <c r="AO513" s="25">
        <f>IF(OR(Apresentação!$I$4='Base de Dados e filtragem'!AO$2,Apresentação!$I$4='Base de Dados e filtragem'!K513),1,0)</f>
        <v>1</v>
      </c>
      <c r="AP513" s="25">
        <f>IF(OR(Apresentação!$I$5='Base de Dados e filtragem'!AP$2,Apresentação!$I$5='Base de Dados e filtragem'!L513),1,0)</f>
        <v>1</v>
      </c>
      <c r="AQ513" s="25">
        <f>IF(OR(Apresentação!$I$6='Base de Dados e filtragem'!AQ$2,Apresentação!$I$6='Base de Dados e filtragem'!M513),1,0)</f>
        <v>1</v>
      </c>
      <c r="AR513" s="25">
        <v>1</v>
      </c>
      <c r="AS513" s="25">
        <v>1</v>
      </c>
      <c r="AT513" s="25">
        <v>1</v>
      </c>
      <c r="AU513" s="25">
        <v>1</v>
      </c>
      <c r="AV513" s="25">
        <v>1</v>
      </c>
      <c r="AW513" s="25">
        <v>1</v>
      </c>
      <c r="AX513" s="25">
        <v>1</v>
      </c>
      <c r="AY513" s="25">
        <v>1</v>
      </c>
      <c r="AZ513" s="25">
        <v>1</v>
      </c>
      <c r="BA513" s="25">
        <v>1</v>
      </c>
      <c r="BB513" s="25">
        <v>1</v>
      </c>
      <c r="BC513" s="25">
        <v>1</v>
      </c>
      <c r="BD513" s="25">
        <v>1</v>
      </c>
    </row>
    <row r="514" spans="27:56" x14ac:dyDescent="0.25">
      <c r="AA514" s="68" t="str">
        <f t="shared" si="29"/>
        <v>Fotos\\.jpg</v>
      </c>
      <c r="AB514" s="53">
        <f t="shared" si="30"/>
        <v>1.9455252918287938E-3</v>
      </c>
      <c r="AC514" s="25">
        <f t="shared" si="31"/>
        <v>514</v>
      </c>
      <c r="AD514" s="51">
        <f t="shared" si="32"/>
        <v>1</v>
      </c>
      <c r="AE514" s="25">
        <v>1</v>
      </c>
      <c r="AF514" s="25">
        <v>1</v>
      </c>
      <c r="AG514" s="25">
        <v>1</v>
      </c>
      <c r="AH514" s="25">
        <v>1</v>
      </c>
      <c r="AI514" s="25">
        <f>IF(OR(Apresentação!$E$3='Base de Dados e filtragem'!AI$2,Apresentação!$E$3='Base de Dados e filtragem'!E514),1,0)</f>
        <v>1</v>
      </c>
      <c r="AJ514" s="25">
        <f>IF(OR(Apresentação!$E$4='Base de Dados e filtragem'!AJ$2,Apresentação!$E$4='Base de Dados e filtragem'!F514),1,0)</f>
        <v>1</v>
      </c>
      <c r="AK514" s="25">
        <f>IF(OR(Apresentação!$E$5='Base de Dados e filtragem'!AK$2,Apresentação!$E$5='Base de Dados e filtragem'!G514),1,0)</f>
        <v>1</v>
      </c>
      <c r="AL514" s="25">
        <f>IF(OR(Apresentação!$E$6='Base de Dados e filtragem'!AL$2,Apresentação!$E$6='Base de Dados e filtragem'!H514),1,0)</f>
        <v>1</v>
      </c>
      <c r="AM514" s="25">
        <f>IF(OR(Apresentação!$I$2='Base de Dados e filtragem'!AM$2,Apresentação!$I$2='Base de Dados e filtragem'!I514),1,0)</f>
        <v>1</v>
      </c>
      <c r="AN514" s="25">
        <f>IF(OR(Apresentação!$I$3='Base de Dados e filtragem'!AN$2,Apresentação!$I$3='Base de Dados e filtragem'!J514),1,0)</f>
        <v>1</v>
      </c>
      <c r="AO514" s="25">
        <f>IF(OR(Apresentação!$I$4='Base de Dados e filtragem'!AO$2,Apresentação!$I$4='Base de Dados e filtragem'!K514),1,0)</f>
        <v>1</v>
      </c>
      <c r="AP514" s="25">
        <f>IF(OR(Apresentação!$I$5='Base de Dados e filtragem'!AP$2,Apresentação!$I$5='Base de Dados e filtragem'!L514),1,0)</f>
        <v>1</v>
      </c>
      <c r="AQ514" s="25">
        <f>IF(OR(Apresentação!$I$6='Base de Dados e filtragem'!AQ$2,Apresentação!$I$6='Base de Dados e filtragem'!M514),1,0)</f>
        <v>1</v>
      </c>
      <c r="AR514" s="25">
        <v>1</v>
      </c>
      <c r="AS514" s="25">
        <v>1</v>
      </c>
      <c r="AT514" s="25">
        <v>1</v>
      </c>
      <c r="AU514" s="25">
        <v>1</v>
      </c>
      <c r="AV514" s="25">
        <v>1</v>
      </c>
      <c r="AW514" s="25">
        <v>1</v>
      </c>
      <c r="AX514" s="25">
        <v>1</v>
      </c>
      <c r="AY514" s="25">
        <v>1</v>
      </c>
      <c r="AZ514" s="25">
        <v>1</v>
      </c>
      <c r="BA514" s="25">
        <v>1</v>
      </c>
      <c r="BB514" s="25">
        <v>1</v>
      </c>
      <c r="BC514" s="25">
        <v>1</v>
      </c>
      <c r="BD514" s="25">
        <v>1</v>
      </c>
    </row>
    <row r="515" spans="27:56" x14ac:dyDescent="0.25">
      <c r="AA515" s="68" t="str">
        <f t="shared" si="29"/>
        <v>Fotos\\.jpg</v>
      </c>
      <c r="AB515" s="53">
        <f t="shared" si="30"/>
        <v>1.9417475728155339E-3</v>
      </c>
      <c r="AC515" s="25">
        <f t="shared" si="31"/>
        <v>515</v>
      </c>
      <c r="AD515" s="51">
        <f t="shared" si="32"/>
        <v>1</v>
      </c>
      <c r="AE515" s="25">
        <v>1</v>
      </c>
      <c r="AF515" s="25">
        <v>1</v>
      </c>
      <c r="AG515" s="25">
        <v>1</v>
      </c>
      <c r="AH515" s="25">
        <v>1</v>
      </c>
      <c r="AI515" s="25">
        <f>IF(OR(Apresentação!$E$3='Base de Dados e filtragem'!AI$2,Apresentação!$E$3='Base de Dados e filtragem'!E515),1,0)</f>
        <v>1</v>
      </c>
      <c r="AJ515" s="25">
        <f>IF(OR(Apresentação!$E$4='Base de Dados e filtragem'!AJ$2,Apresentação!$E$4='Base de Dados e filtragem'!F515),1,0)</f>
        <v>1</v>
      </c>
      <c r="AK515" s="25">
        <f>IF(OR(Apresentação!$E$5='Base de Dados e filtragem'!AK$2,Apresentação!$E$5='Base de Dados e filtragem'!G515),1,0)</f>
        <v>1</v>
      </c>
      <c r="AL515" s="25">
        <f>IF(OR(Apresentação!$E$6='Base de Dados e filtragem'!AL$2,Apresentação!$E$6='Base de Dados e filtragem'!H515),1,0)</f>
        <v>1</v>
      </c>
      <c r="AM515" s="25">
        <f>IF(OR(Apresentação!$I$2='Base de Dados e filtragem'!AM$2,Apresentação!$I$2='Base de Dados e filtragem'!I515),1,0)</f>
        <v>1</v>
      </c>
      <c r="AN515" s="25">
        <f>IF(OR(Apresentação!$I$3='Base de Dados e filtragem'!AN$2,Apresentação!$I$3='Base de Dados e filtragem'!J515),1,0)</f>
        <v>1</v>
      </c>
      <c r="AO515" s="25">
        <f>IF(OR(Apresentação!$I$4='Base de Dados e filtragem'!AO$2,Apresentação!$I$4='Base de Dados e filtragem'!K515),1,0)</f>
        <v>1</v>
      </c>
      <c r="AP515" s="25">
        <f>IF(OR(Apresentação!$I$5='Base de Dados e filtragem'!AP$2,Apresentação!$I$5='Base de Dados e filtragem'!L515),1,0)</f>
        <v>1</v>
      </c>
      <c r="AQ515" s="25">
        <f>IF(OR(Apresentação!$I$6='Base de Dados e filtragem'!AQ$2,Apresentação!$I$6='Base de Dados e filtragem'!M515),1,0)</f>
        <v>1</v>
      </c>
      <c r="AR515" s="25">
        <v>1</v>
      </c>
      <c r="AS515" s="25">
        <v>1</v>
      </c>
      <c r="AT515" s="25">
        <v>1</v>
      </c>
      <c r="AU515" s="25">
        <v>1</v>
      </c>
      <c r="AV515" s="25">
        <v>1</v>
      </c>
      <c r="AW515" s="25">
        <v>1</v>
      </c>
      <c r="AX515" s="25">
        <v>1</v>
      </c>
      <c r="AY515" s="25">
        <v>1</v>
      </c>
      <c r="AZ515" s="25">
        <v>1</v>
      </c>
      <c r="BA515" s="25">
        <v>1</v>
      </c>
      <c r="BB515" s="25">
        <v>1</v>
      </c>
      <c r="BC515" s="25">
        <v>1</v>
      </c>
      <c r="BD515" s="25">
        <v>1</v>
      </c>
    </row>
    <row r="516" spans="27:56" x14ac:dyDescent="0.25">
      <c r="AA516" s="68" t="str">
        <f t="shared" ref="AA516:AA579" si="33">"Fotos\"&amp;I516&amp;"\"&amp;A516&amp;".jpg"</f>
        <v>Fotos\\.jpg</v>
      </c>
      <c r="AB516" s="53">
        <f t="shared" ref="AB516:AB579" si="34">AD516/AC516</f>
        <v>1.937984496124031E-3</v>
      </c>
      <c r="AC516" s="25">
        <f t="shared" ref="AC516:AC579" si="35">AC515+1</f>
        <v>516</v>
      </c>
      <c r="AD516" s="51">
        <f t="shared" ref="AD516:AD579" si="36">PRODUCT(AE516:BD516)</f>
        <v>1</v>
      </c>
      <c r="AE516" s="25">
        <v>1</v>
      </c>
      <c r="AF516" s="25">
        <v>1</v>
      </c>
      <c r="AG516" s="25">
        <v>1</v>
      </c>
      <c r="AH516" s="25">
        <v>1</v>
      </c>
      <c r="AI516" s="25">
        <f>IF(OR(Apresentação!$E$3='Base de Dados e filtragem'!AI$2,Apresentação!$E$3='Base de Dados e filtragem'!E516),1,0)</f>
        <v>1</v>
      </c>
      <c r="AJ516" s="25">
        <f>IF(OR(Apresentação!$E$4='Base de Dados e filtragem'!AJ$2,Apresentação!$E$4='Base de Dados e filtragem'!F516),1,0)</f>
        <v>1</v>
      </c>
      <c r="AK516" s="25">
        <f>IF(OR(Apresentação!$E$5='Base de Dados e filtragem'!AK$2,Apresentação!$E$5='Base de Dados e filtragem'!G516),1,0)</f>
        <v>1</v>
      </c>
      <c r="AL516" s="25">
        <f>IF(OR(Apresentação!$E$6='Base de Dados e filtragem'!AL$2,Apresentação!$E$6='Base de Dados e filtragem'!H516),1,0)</f>
        <v>1</v>
      </c>
      <c r="AM516" s="25">
        <f>IF(OR(Apresentação!$I$2='Base de Dados e filtragem'!AM$2,Apresentação!$I$2='Base de Dados e filtragem'!I516),1,0)</f>
        <v>1</v>
      </c>
      <c r="AN516" s="25">
        <f>IF(OR(Apresentação!$I$3='Base de Dados e filtragem'!AN$2,Apresentação!$I$3='Base de Dados e filtragem'!J516),1,0)</f>
        <v>1</v>
      </c>
      <c r="AO516" s="25">
        <f>IF(OR(Apresentação!$I$4='Base de Dados e filtragem'!AO$2,Apresentação!$I$4='Base de Dados e filtragem'!K516),1,0)</f>
        <v>1</v>
      </c>
      <c r="AP516" s="25">
        <f>IF(OR(Apresentação!$I$5='Base de Dados e filtragem'!AP$2,Apresentação!$I$5='Base de Dados e filtragem'!L516),1,0)</f>
        <v>1</v>
      </c>
      <c r="AQ516" s="25">
        <f>IF(OR(Apresentação!$I$6='Base de Dados e filtragem'!AQ$2,Apresentação!$I$6='Base de Dados e filtragem'!M516),1,0)</f>
        <v>1</v>
      </c>
      <c r="AR516" s="25">
        <v>1</v>
      </c>
      <c r="AS516" s="25">
        <v>1</v>
      </c>
      <c r="AT516" s="25">
        <v>1</v>
      </c>
      <c r="AU516" s="25">
        <v>1</v>
      </c>
      <c r="AV516" s="25">
        <v>1</v>
      </c>
      <c r="AW516" s="25">
        <v>1</v>
      </c>
      <c r="AX516" s="25">
        <v>1</v>
      </c>
      <c r="AY516" s="25">
        <v>1</v>
      </c>
      <c r="AZ516" s="25">
        <v>1</v>
      </c>
      <c r="BA516" s="25">
        <v>1</v>
      </c>
      <c r="BB516" s="25">
        <v>1</v>
      </c>
      <c r="BC516" s="25">
        <v>1</v>
      </c>
      <c r="BD516" s="25">
        <v>1</v>
      </c>
    </row>
    <row r="517" spans="27:56" x14ac:dyDescent="0.25">
      <c r="AA517" s="68" t="str">
        <f t="shared" si="33"/>
        <v>Fotos\\.jpg</v>
      </c>
      <c r="AB517" s="53">
        <f t="shared" si="34"/>
        <v>1.9342359767891683E-3</v>
      </c>
      <c r="AC517" s="25">
        <f t="shared" si="35"/>
        <v>517</v>
      </c>
      <c r="AD517" s="51">
        <f t="shared" si="36"/>
        <v>1</v>
      </c>
      <c r="AE517" s="25">
        <v>1</v>
      </c>
      <c r="AF517" s="25">
        <v>1</v>
      </c>
      <c r="AG517" s="25">
        <v>1</v>
      </c>
      <c r="AH517" s="25">
        <v>1</v>
      </c>
      <c r="AI517" s="25">
        <f>IF(OR(Apresentação!$E$3='Base de Dados e filtragem'!AI$2,Apresentação!$E$3='Base de Dados e filtragem'!E517),1,0)</f>
        <v>1</v>
      </c>
      <c r="AJ517" s="25">
        <f>IF(OR(Apresentação!$E$4='Base de Dados e filtragem'!AJ$2,Apresentação!$E$4='Base de Dados e filtragem'!F517),1,0)</f>
        <v>1</v>
      </c>
      <c r="AK517" s="25">
        <f>IF(OR(Apresentação!$E$5='Base de Dados e filtragem'!AK$2,Apresentação!$E$5='Base de Dados e filtragem'!G517),1,0)</f>
        <v>1</v>
      </c>
      <c r="AL517" s="25">
        <f>IF(OR(Apresentação!$E$6='Base de Dados e filtragem'!AL$2,Apresentação!$E$6='Base de Dados e filtragem'!H517),1,0)</f>
        <v>1</v>
      </c>
      <c r="AM517" s="25">
        <f>IF(OR(Apresentação!$I$2='Base de Dados e filtragem'!AM$2,Apresentação!$I$2='Base de Dados e filtragem'!I517),1,0)</f>
        <v>1</v>
      </c>
      <c r="AN517" s="25">
        <f>IF(OR(Apresentação!$I$3='Base de Dados e filtragem'!AN$2,Apresentação!$I$3='Base de Dados e filtragem'!J517),1,0)</f>
        <v>1</v>
      </c>
      <c r="AO517" s="25">
        <f>IF(OR(Apresentação!$I$4='Base de Dados e filtragem'!AO$2,Apresentação!$I$4='Base de Dados e filtragem'!K517),1,0)</f>
        <v>1</v>
      </c>
      <c r="AP517" s="25">
        <f>IF(OR(Apresentação!$I$5='Base de Dados e filtragem'!AP$2,Apresentação!$I$5='Base de Dados e filtragem'!L517),1,0)</f>
        <v>1</v>
      </c>
      <c r="AQ517" s="25">
        <f>IF(OR(Apresentação!$I$6='Base de Dados e filtragem'!AQ$2,Apresentação!$I$6='Base de Dados e filtragem'!M517),1,0)</f>
        <v>1</v>
      </c>
      <c r="AR517" s="25">
        <v>1</v>
      </c>
      <c r="AS517" s="25">
        <v>1</v>
      </c>
      <c r="AT517" s="25">
        <v>1</v>
      </c>
      <c r="AU517" s="25">
        <v>1</v>
      </c>
      <c r="AV517" s="25">
        <v>1</v>
      </c>
      <c r="AW517" s="25">
        <v>1</v>
      </c>
      <c r="AX517" s="25">
        <v>1</v>
      </c>
      <c r="AY517" s="25">
        <v>1</v>
      </c>
      <c r="AZ517" s="25">
        <v>1</v>
      </c>
      <c r="BA517" s="25">
        <v>1</v>
      </c>
      <c r="BB517" s="25">
        <v>1</v>
      </c>
      <c r="BC517" s="25">
        <v>1</v>
      </c>
      <c r="BD517" s="25">
        <v>1</v>
      </c>
    </row>
    <row r="518" spans="27:56" x14ac:dyDescent="0.25">
      <c r="AA518" s="68" t="str">
        <f t="shared" si="33"/>
        <v>Fotos\\.jpg</v>
      </c>
      <c r="AB518" s="53">
        <f t="shared" si="34"/>
        <v>1.9305019305019305E-3</v>
      </c>
      <c r="AC518" s="25">
        <f t="shared" si="35"/>
        <v>518</v>
      </c>
      <c r="AD518" s="51">
        <f t="shared" si="36"/>
        <v>1</v>
      </c>
      <c r="AE518" s="25">
        <v>1</v>
      </c>
      <c r="AF518" s="25">
        <v>1</v>
      </c>
      <c r="AG518" s="25">
        <v>1</v>
      </c>
      <c r="AH518" s="25">
        <v>1</v>
      </c>
      <c r="AI518" s="25">
        <f>IF(OR(Apresentação!$E$3='Base de Dados e filtragem'!AI$2,Apresentação!$E$3='Base de Dados e filtragem'!E518),1,0)</f>
        <v>1</v>
      </c>
      <c r="AJ518" s="25">
        <f>IF(OR(Apresentação!$E$4='Base de Dados e filtragem'!AJ$2,Apresentação!$E$4='Base de Dados e filtragem'!F518),1,0)</f>
        <v>1</v>
      </c>
      <c r="AK518" s="25">
        <f>IF(OR(Apresentação!$E$5='Base de Dados e filtragem'!AK$2,Apresentação!$E$5='Base de Dados e filtragem'!G518),1,0)</f>
        <v>1</v>
      </c>
      <c r="AL518" s="25">
        <f>IF(OR(Apresentação!$E$6='Base de Dados e filtragem'!AL$2,Apresentação!$E$6='Base de Dados e filtragem'!H518),1,0)</f>
        <v>1</v>
      </c>
      <c r="AM518" s="25">
        <f>IF(OR(Apresentação!$I$2='Base de Dados e filtragem'!AM$2,Apresentação!$I$2='Base de Dados e filtragem'!I518),1,0)</f>
        <v>1</v>
      </c>
      <c r="AN518" s="25">
        <f>IF(OR(Apresentação!$I$3='Base de Dados e filtragem'!AN$2,Apresentação!$I$3='Base de Dados e filtragem'!J518),1,0)</f>
        <v>1</v>
      </c>
      <c r="AO518" s="25">
        <f>IF(OR(Apresentação!$I$4='Base de Dados e filtragem'!AO$2,Apresentação!$I$4='Base de Dados e filtragem'!K518),1,0)</f>
        <v>1</v>
      </c>
      <c r="AP518" s="25">
        <f>IF(OR(Apresentação!$I$5='Base de Dados e filtragem'!AP$2,Apresentação!$I$5='Base de Dados e filtragem'!L518),1,0)</f>
        <v>1</v>
      </c>
      <c r="AQ518" s="25">
        <f>IF(OR(Apresentação!$I$6='Base de Dados e filtragem'!AQ$2,Apresentação!$I$6='Base de Dados e filtragem'!M518),1,0)</f>
        <v>1</v>
      </c>
      <c r="AR518" s="25">
        <v>1</v>
      </c>
      <c r="AS518" s="25">
        <v>1</v>
      </c>
      <c r="AT518" s="25">
        <v>1</v>
      </c>
      <c r="AU518" s="25">
        <v>1</v>
      </c>
      <c r="AV518" s="25">
        <v>1</v>
      </c>
      <c r="AW518" s="25">
        <v>1</v>
      </c>
      <c r="AX518" s="25">
        <v>1</v>
      </c>
      <c r="AY518" s="25">
        <v>1</v>
      </c>
      <c r="AZ518" s="25">
        <v>1</v>
      </c>
      <c r="BA518" s="25">
        <v>1</v>
      </c>
      <c r="BB518" s="25">
        <v>1</v>
      </c>
      <c r="BC518" s="25">
        <v>1</v>
      </c>
      <c r="BD518" s="25">
        <v>1</v>
      </c>
    </row>
    <row r="519" spans="27:56" x14ac:dyDescent="0.25">
      <c r="AA519" s="68" t="str">
        <f t="shared" si="33"/>
        <v>Fotos\\.jpg</v>
      </c>
      <c r="AB519" s="53">
        <f t="shared" si="34"/>
        <v>1.9267822736030828E-3</v>
      </c>
      <c r="AC519" s="25">
        <f t="shared" si="35"/>
        <v>519</v>
      </c>
      <c r="AD519" s="51">
        <f t="shared" si="36"/>
        <v>1</v>
      </c>
      <c r="AE519" s="25">
        <v>1</v>
      </c>
      <c r="AF519" s="25">
        <v>1</v>
      </c>
      <c r="AG519" s="25">
        <v>1</v>
      </c>
      <c r="AH519" s="25">
        <v>1</v>
      </c>
      <c r="AI519" s="25">
        <f>IF(OR(Apresentação!$E$3='Base de Dados e filtragem'!AI$2,Apresentação!$E$3='Base de Dados e filtragem'!E519),1,0)</f>
        <v>1</v>
      </c>
      <c r="AJ519" s="25">
        <f>IF(OR(Apresentação!$E$4='Base de Dados e filtragem'!AJ$2,Apresentação!$E$4='Base de Dados e filtragem'!F519),1,0)</f>
        <v>1</v>
      </c>
      <c r="AK519" s="25">
        <f>IF(OR(Apresentação!$E$5='Base de Dados e filtragem'!AK$2,Apresentação!$E$5='Base de Dados e filtragem'!G519),1,0)</f>
        <v>1</v>
      </c>
      <c r="AL519" s="25">
        <f>IF(OR(Apresentação!$E$6='Base de Dados e filtragem'!AL$2,Apresentação!$E$6='Base de Dados e filtragem'!H519),1,0)</f>
        <v>1</v>
      </c>
      <c r="AM519" s="25">
        <f>IF(OR(Apresentação!$I$2='Base de Dados e filtragem'!AM$2,Apresentação!$I$2='Base de Dados e filtragem'!I519),1,0)</f>
        <v>1</v>
      </c>
      <c r="AN519" s="25">
        <f>IF(OR(Apresentação!$I$3='Base de Dados e filtragem'!AN$2,Apresentação!$I$3='Base de Dados e filtragem'!J519),1,0)</f>
        <v>1</v>
      </c>
      <c r="AO519" s="25">
        <f>IF(OR(Apresentação!$I$4='Base de Dados e filtragem'!AO$2,Apresentação!$I$4='Base de Dados e filtragem'!K519),1,0)</f>
        <v>1</v>
      </c>
      <c r="AP519" s="25">
        <f>IF(OR(Apresentação!$I$5='Base de Dados e filtragem'!AP$2,Apresentação!$I$5='Base de Dados e filtragem'!L519),1,0)</f>
        <v>1</v>
      </c>
      <c r="AQ519" s="25">
        <f>IF(OR(Apresentação!$I$6='Base de Dados e filtragem'!AQ$2,Apresentação!$I$6='Base de Dados e filtragem'!M519),1,0)</f>
        <v>1</v>
      </c>
      <c r="AR519" s="25">
        <v>1</v>
      </c>
      <c r="AS519" s="25">
        <v>1</v>
      </c>
      <c r="AT519" s="25">
        <v>1</v>
      </c>
      <c r="AU519" s="25">
        <v>1</v>
      </c>
      <c r="AV519" s="25">
        <v>1</v>
      </c>
      <c r="AW519" s="25">
        <v>1</v>
      </c>
      <c r="AX519" s="25">
        <v>1</v>
      </c>
      <c r="AY519" s="25">
        <v>1</v>
      </c>
      <c r="AZ519" s="25">
        <v>1</v>
      </c>
      <c r="BA519" s="25">
        <v>1</v>
      </c>
      <c r="BB519" s="25">
        <v>1</v>
      </c>
      <c r="BC519" s="25">
        <v>1</v>
      </c>
      <c r="BD519" s="25">
        <v>1</v>
      </c>
    </row>
    <row r="520" spans="27:56" x14ac:dyDescent="0.25">
      <c r="AA520" s="68" t="str">
        <f t="shared" si="33"/>
        <v>Fotos\\.jpg</v>
      </c>
      <c r="AB520" s="53">
        <f t="shared" si="34"/>
        <v>1.9230769230769232E-3</v>
      </c>
      <c r="AC520" s="25">
        <f t="shared" si="35"/>
        <v>520</v>
      </c>
      <c r="AD520" s="51">
        <f t="shared" si="36"/>
        <v>1</v>
      </c>
      <c r="AE520" s="25">
        <v>1</v>
      </c>
      <c r="AF520" s="25">
        <v>1</v>
      </c>
      <c r="AG520" s="25">
        <v>1</v>
      </c>
      <c r="AH520" s="25">
        <v>1</v>
      </c>
      <c r="AI520" s="25">
        <f>IF(OR(Apresentação!$E$3='Base de Dados e filtragem'!AI$2,Apresentação!$E$3='Base de Dados e filtragem'!E520),1,0)</f>
        <v>1</v>
      </c>
      <c r="AJ520" s="25">
        <f>IF(OR(Apresentação!$E$4='Base de Dados e filtragem'!AJ$2,Apresentação!$E$4='Base de Dados e filtragem'!F520),1,0)</f>
        <v>1</v>
      </c>
      <c r="AK520" s="25">
        <f>IF(OR(Apresentação!$E$5='Base de Dados e filtragem'!AK$2,Apresentação!$E$5='Base de Dados e filtragem'!G520),1,0)</f>
        <v>1</v>
      </c>
      <c r="AL520" s="25">
        <f>IF(OR(Apresentação!$E$6='Base de Dados e filtragem'!AL$2,Apresentação!$E$6='Base de Dados e filtragem'!H520),1,0)</f>
        <v>1</v>
      </c>
      <c r="AM520" s="25">
        <f>IF(OR(Apresentação!$I$2='Base de Dados e filtragem'!AM$2,Apresentação!$I$2='Base de Dados e filtragem'!I520),1,0)</f>
        <v>1</v>
      </c>
      <c r="AN520" s="25">
        <f>IF(OR(Apresentação!$I$3='Base de Dados e filtragem'!AN$2,Apresentação!$I$3='Base de Dados e filtragem'!J520),1,0)</f>
        <v>1</v>
      </c>
      <c r="AO520" s="25">
        <f>IF(OR(Apresentação!$I$4='Base de Dados e filtragem'!AO$2,Apresentação!$I$4='Base de Dados e filtragem'!K520),1,0)</f>
        <v>1</v>
      </c>
      <c r="AP520" s="25">
        <f>IF(OR(Apresentação!$I$5='Base de Dados e filtragem'!AP$2,Apresentação!$I$5='Base de Dados e filtragem'!L520),1,0)</f>
        <v>1</v>
      </c>
      <c r="AQ520" s="25">
        <f>IF(OR(Apresentação!$I$6='Base de Dados e filtragem'!AQ$2,Apresentação!$I$6='Base de Dados e filtragem'!M520),1,0)</f>
        <v>1</v>
      </c>
      <c r="AR520" s="25">
        <v>1</v>
      </c>
      <c r="AS520" s="25">
        <v>1</v>
      </c>
      <c r="AT520" s="25">
        <v>1</v>
      </c>
      <c r="AU520" s="25">
        <v>1</v>
      </c>
      <c r="AV520" s="25">
        <v>1</v>
      </c>
      <c r="AW520" s="25">
        <v>1</v>
      </c>
      <c r="AX520" s="25">
        <v>1</v>
      </c>
      <c r="AY520" s="25">
        <v>1</v>
      </c>
      <c r="AZ520" s="25">
        <v>1</v>
      </c>
      <c r="BA520" s="25">
        <v>1</v>
      </c>
      <c r="BB520" s="25">
        <v>1</v>
      </c>
      <c r="BC520" s="25">
        <v>1</v>
      </c>
      <c r="BD520" s="25">
        <v>1</v>
      </c>
    </row>
    <row r="521" spans="27:56" x14ac:dyDescent="0.25">
      <c r="AA521" s="68" t="str">
        <f t="shared" si="33"/>
        <v>Fotos\\.jpg</v>
      </c>
      <c r="AB521" s="53">
        <f t="shared" si="34"/>
        <v>1.9193857965451055E-3</v>
      </c>
      <c r="AC521" s="25">
        <f t="shared" si="35"/>
        <v>521</v>
      </c>
      <c r="AD521" s="51">
        <f t="shared" si="36"/>
        <v>1</v>
      </c>
      <c r="AE521" s="25">
        <v>1</v>
      </c>
      <c r="AF521" s="25">
        <v>1</v>
      </c>
      <c r="AG521" s="25">
        <v>1</v>
      </c>
      <c r="AH521" s="25">
        <v>1</v>
      </c>
      <c r="AI521" s="25">
        <f>IF(OR(Apresentação!$E$3='Base de Dados e filtragem'!AI$2,Apresentação!$E$3='Base de Dados e filtragem'!E521),1,0)</f>
        <v>1</v>
      </c>
      <c r="AJ521" s="25">
        <f>IF(OR(Apresentação!$E$4='Base de Dados e filtragem'!AJ$2,Apresentação!$E$4='Base de Dados e filtragem'!F521),1,0)</f>
        <v>1</v>
      </c>
      <c r="AK521" s="25">
        <f>IF(OR(Apresentação!$E$5='Base de Dados e filtragem'!AK$2,Apresentação!$E$5='Base de Dados e filtragem'!G521),1,0)</f>
        <v>1</v>
      </c>
      <c r="AL521" s="25">
        <f>IF(OR(Apresentação!$E$6='Base de Dados e filtragem'!AL$2,Apresentação!$E$6='Base de Dados e filtragem'!H521),1,0)</f>
        <v>1</v>
      </c>
      <c r="AM521" s="25">
        <f>IF(OR(Apresentação!$I$2='Base de Dados e filtragem'!AM$2,Apresentação!$I$2='Base de Dados e filtragem'!I521),1,0)</f>
        <v>1</v>
      </c>
      <c r="AN521" s="25">
        <f>IF(OR(Apresentação!$I$3='Base de Dados e filtragem'!AN$2,Apresentação!$I$3='Base de Dados e filtragem'!J521),1,0)</f>
        <v>1</v>
      </c>
      <c r="AO521" s="25">
        <f>IF(OR(Apresentação!$I$4='Base de Dados e filtragem'!AO$2,Apresentação!$I$4='Base de Dados e filtragem'!K521),1,0)</f>
        <v>1</v>
      </c>
      <c r="AP521" s="25">
        <f>IF(OR(Apresentação!$I$5='Base de Dados e filtragem'!AP$2,Apresentação!$I$5='Base de Dados e filtragem'!L521),1,0)</f>
        <v>1</v>
      </c>
      <c r="AQ521" s="25">
        <f>IF(OR(Apresentação!$I$6='Base de Dados e filtragem'!AQ$2,Apresentação!$I$6='Base de Dados e filtragem'!M521),1,0)</f>
        <v>1</v>
      </c>
      <c r="AR521" s="25">
        <v>1</v>
      </c>
      <c r="AS521" s="25">
        <v>1</v>
      </c>
      <c r="AT521" s="25">
        <v>1</v>
      </c>
      <c r="AU521" s="25">
        <v>1</v>
      </c>
      <c r="AV521" s="25">
        <v>1</v>
      </c>
      <c r="AW521" s="25">
        <v>1</v>
      </c>
      <c r="AX521" s="25">
        <v>1</v>
      </c>
      <c r="AY521" s="25">
        <v>1</v>
      </c>
      <c r="AZ521" s="25">
        <v>1</v>
      </c>
      <c r="BA521" s="25">
        <v>1</v>
      </c>
      <c r="BB521" s="25">
        <v>1</v>
      </c>
      <c r="BC521" s="25">
        <v>1</v>
      </c>
      <c r="BD521" s="25">
        <v>1</v>
      </c>
    </row>
    <row r="522" spans="27:56" x14ac:dyDescent="0.25">
      <c r="AA522" s="68" t="str">
        <f t="shared" si="33"/>
        <v>Fotos\\.jpg</v>
      </c>
      <c r="AB522" s="53">
        <f t="shared" si="34"/>
        <v>1.9157088122605363E-3</v>
      </c>
      <c r="AC522" s="25">
        <f t="shared" si="35"/>
        <v>522</v>
      </c>
      <c r="AD522" s="51">
        <f t="shared" si="36"/>
        <v>1</v>
      </c>
      <c r="AE522" s="25">
        <v>1</v>
      </c>
      <c r="AF522" s="25">
        <v>1</v>
      </c>
      <c r="AG522" s="25">
        <v>1</v>
      </c>
      <c r="AH522" s="25">
        <v>1</v>
      </c>
      <c r="AI522" s="25">
        <f>IF(OR(Apresentação!$E$3='Base de Dados e filtragem'!AI$2,Apresentação!$E$3='Base de Dados e filtragem'!E522),1,0)</f>
        <v>1</v>
      </c>
      <c r="AJ522" s="25">
        <f>IF(OR(Apresentação!$E$4='Base de Dados e filtragem'!AJ$2,Apresentação!$E$4='Base de Dados e filtragem'!F522),1,0)</f>
        <v>1</v>
      </c>
      <c r="AK522" s="25">
        <f>IF(OR(Apresentação!$E$5='Base de Dados e filtragem'!AK$2,Apresentação!$E$5='Base de Dados e filtragem'!G522),1,0)</f>
        <v>1</v>
      </c>
      <c r="AL522" s="25">
        <f>IF(OR(Apresentação!$E$6='Base de Dados e filtragem'!AL$2,Apresentação!$E$6='Base de Dados e filtragem'!H522),1,0)</f>
        <v>1</v>
      </c>
      <c r="AM522" s="25">
        <f>IF(OR(Apresentação!$I$2='Base de Dados e filtragem'!AM$2,Apresentação!$I$2='Base de Dados e filtragem'!I522),1,0)</f>
        <v>1</v>
      </c>
      <c r="AN522" s="25">
        <f>IF(OR(Apresentação!$I$3='Base de Dados e filtragem'!AN$2,Apresentação!$I$3='Base de Dados e filtragem'!J522),1,0)</f>
        <v>1</v>
      </c>
      <c r="AO522" s="25">
        <f>IF(OR(Apresentação!$I$4='Base de Dados e filtragem'!AO$2,Apresentação!$I$4='Base de Dados e filtragem'!K522),1,0)</f>
        <v>1</v>
      </c>
      <c r="AP522" s="25">
        <f>IF(OR(Apresentação!$I$5='Base de Dados e filtragem'!AP$2,Apresentação!$I$5='Base de Dados e filtragem'!L522),1,0)</f>
        <v>1</v>
      </c>
      <c r="AQ522" s="25">
        <f>IF(OR(Apresentação!$I$6='Base de Dados e filtragem'!AQ$2,Apresentação!$I$6='Base de Dados e filtragem'!M522),1,0)</f>
        <v>1</v>
      </c>
      <c r="AR522" s="25">
        <v>1</v>
      </c>
      <c r="AS522" s="25">
        <v>1</v>
      </c>
      <c r="AT522" s="25">
        <v>1</v>
      </c>
      <c r="AU522" s="25">
        <v>1</v>
      </c>
      <c r="AV522" s="25">
        <v>1</v>
      </c>
      <c r="AW522" s="25">
        <v>1</v>
      </c>
      <c r="AX522" s="25">
        <v>1</v>
      </c>
      <c r="AY522" s="25">
        <v>1</v>
      </c>
      <c r="AZ522" s="25">
        <v>1</v>
      </c>
      <c r="BA522" s="25">
        <v>1</v>
      </c>
      <c r="BB522" s="25">
        <v>1</v>
      </c>
      <c r="BC522" s="25">
        <v>1</v>
      </c>
      <c r="BD522" s="25">
        <v>1</v>
      </c>
    </row>
    <row r="523" spans="27:56" x14ac:dyDescent="0.25">
      <c r="AA523" s="68" t="str">
        <f t="shared" si="33"/>
        <v>Fotos\\.jpg</v>
      </c>
      <c r="AB523" s="53">
        <f t="shared" si="34"/>
        <v>1.9120458891013384E-3</v>
      </c>
      <c r="AC523" s="25">
        <f t="shared" si="35"/>
        <v>523</v>
      </c>
      <c r="AD523" s="51">
        <f t="shared" si="36"/>
        <v>1</v>
      </c>
      <c r="AE523" s="25">
        <v>1</v>
      </c>
      <c r="AF523" s="25">
        <v>1</v>
      </c>
      <c r="AG523" s="25">
        <v>1</v>
      </c>
      <c r="AH523" s="25">
        <v>1</v>
      </c>
      <c r="AI523" s="25">
        <f>IF(OR(Apresentação!$E$3='Base de Dados e filtragem'!AI$2,Apresentação!$E$3='Base de Dados e filtragem'!E523),1,0)</f>
        <v>1</v>
      </c>
      <c r="AJ523" s="25">
        <f>IF(OR(Apresentação!$E$4='Base de Dados e filtragem'!AJ$2,Apresentação!$E$4='Base de Dados e filtragem'!F523),1,0)</f>
        <v>1</v>
      </c>
      <c r="AK523" s="25">
        <f>IF(OR(Apresentação!$E$5='Base de Dados e filtragem'!AK$2,Apresentação!$E$5='Base de Dados e filtragem'!G523),1,0)</f>
        <v>1</v>
      </c>
      <c r="AL523" s="25">
        <f>IF(OR(Apresentação!$E$6='Base de Dados e filtragem'!AL$2,Apresentação!$E$6='Base de Dados e filtragem'!H523),1,0)</f>
        <v>1</v>
      </c>
      <c r="AM523" s="25">
        <f>IF(OR(Apresentação!$I$2='Base de Dados e filtragem'!AM$2,Apresentação!$I$2='Base de Dados e filtragem'!I523),1,0)</f>
        <v>1</v>
      </c>
      <c r="AN523" s="25">
        <f>IF(OR(Apresentação!$I$3='Base de Dados e filtragem'!AN$2,Apresentação!$I$3='Base de Dados e filtragem'!J523),1,0)</f>
        <v>1</v>
      </c>
      <c r="AO523" s="25">
        <f>IF(OR(Apresentação!$I$4='Base de Dados e filtragem'!AO$2,Apresentação!$I$4='Base de Dados e filtragem'!K523),1,0)</f>
        <v>1</v>
      </c>
      <c r="AP523" s="25">
        <f>IF(OR(Apresentação!$I$5='Base de Dados e filtragem'!AP$2,Apresentação!$I$5='Base de Dados e filtragem'!L523),1,0)</f>
        <v>1</v>
      </c>
      <c r="AQ523" s="25">
        <f>IF(OR(Apresentação!$I$6='Base de Dados e filtragem'!AQ$2,Apresentação!$I$6='Base de Dados e filtragem'!M523),1,0)</f>
        <v>1</v>
      </c>
      <c r="AR523" s="25">
        <v>1</v>
      </c>
      <c r="AS523" s="25">
        <v>1</v>
      </c>
      <c r="AT523" s="25">
        <v>1</v>
      </c>
      <c r="AU523" s="25">
        <v>1</v>
      </c>
      <c r="AV523" s="25">
        <v>1</v>
      </c>
      <c r="AW523" s="25">
        <v>1</v>
      </c>
      <c r="AX523" s="25">
        <v>1</v>
      </c>
      <c r="AY523" s="25">
        <v>1</v>
      </c>
      <c r="AZ523" s="25">
        <v>1</v>
      </c>
      <c r="BA523" s="25">
        <v>1</v>
      </c>
      <c r="BB523" s="25">
        <v>1</v>
      </c>
      <c r="BC523" s="25">
        <v>1</v>
      </c>
      <c r="BD523" s="25">
        <v>1</v>
      </c>
    </row>
    <row r="524" spans="27:56" x14ac:dyDescent="0.25">
      <c r="AA524" s="68" t="str">
        <f t="shared" si="33"/>
        <v>Fotos\\.jpg</v>
      </c>
      <c r="AB524" s="53">
        <f t="shared" si="34"/>
        <v>1.9083969465648854E-3</v>
      </c>
      <c r="AC524" s="25">
        <f t="shared" si="35"/>
        <v>524</v>
      </c>
      <c r="AD524" s="51">
        <f t="shared" si="36"/>
        <v>1</v>
      </c>
      <c r="AE524" s="25">
        <v>1</v>
      </c>
      <c r="AF524" s="25">
        <v>1</v>
      </c>
      <c r="AG524" s="25">
        <v>1</v>
      </c>
      <c r="AH524" s="25">
        <v>1</v>
      </c>
      <c r="AI524" s="25">
        <f>IF(OR(Apresentação!$E$3='Base de Dados e filtragem'!AI$2,Apresentação!$E$3='Base de Dados e filtragem'!E524),1,0)</f>
        <v>1</v>
      </c>
      <c r="AJ524" s="25">
        <f>IF(OR(Apresentação!$E$4='Base de Dados e filtragem'!AJ$2,Apresentação!$E$4='Base de Dados e filtragem'!F524),1,0)</f>
        <v>1</v>
      </c>
      <c r="AK524" s="25">
        <f>IF(OR(Apresentação!$E$5='Base de Dados e filtragem'!AK$2,Apresentação!$E$5='Base de Dados e filtragem'!G524),1,0)</f>
        <v>1</v>
      </c>
      <c r="AL524" s="25">
        <f>IF(OR(Apresentação!$E$6='Base de Dados e filtragem'!AL$2,Apresentação!$E$6='Base de Dados e filtragem'!H524),1,0)</f>
        <v>1</v>
      </c>
      <c r="AM524" s="25">
        <f>IF(OR(Apresentação!$I$2='Base de Dados e filtragem'!AM$2,Apresentação!$I$2='Base de Dados e filtragem'!I524),1,0)</f>
        <v>1</v>
      </c>
      <c r="AN524" s="25">
        <f>IF(OR(Apresentação!$I$3='Base de Dados e filtragem'!AN$2,Apresentação!$I$3='Base de Dados e filtragem'!J524),1,0)</f>
        <v>1</v>
      </c>
      <c r="AO524" s="25">
        <f>IF(OR(Apresentação!$I$4='Base de Dados e filtragem'!AO$2,Apresentação!$I$4='Base de Dados e filtragem'!K524),1,0)</f>
        <v>1</v>
      </c>
      <c r="AP524" s="25">
        <f>IF(OR(Apresentação!$I$5='Base de Dados e filtragem'!AP$2,Apresentação!$I$5='Base de Dados e filtragem'!L524),1,0)</f>
        <v>1</v>
      </c>
      <c r="AQ524" s="25">
        <f>IF(OR(Apresentação!$I$6='Base de Dados e filtragem'!AQ$2,Apresentação!$I$6='Base de Dados e filtragem'!M524),1,0)</f>
        <v>1</v>
      </c>
      <c r="AR524" s="25">
        <v>1</v>
      </c>
      <c r="AS524" s="25">
        <v>1</v>
      </c>
      <c r="AT524" s="25">
        <v>1</v>
      </c>
      <c r="AU524" s="25">
        <v>1</v>
      </c>
      <c r="AV524" s="25">
        <v>1</v>
      </c>
      <c r="AW524" s="25">
        <v>1</v>
      </c>
      <c r="AX524" s="25">
        <v>1</v>
      </c>
      <c r="AY524" s="25">
        <v>1</v>
      </c>
      <c r="AZ524" s="25">
        <v>1</v>
      </c>
      <c r="BA524" s="25">
        <v>1</v>
      </c>
      <c r="BB524" s="25">
        <v>1</v>
      </c>
      <c r="BC524" s="25">
        <v>1</v>
      </c>
      <c r="BD524" s="25">
        <v>1</v>
      </c>
    </row>
    <row r="525" spans="27:56" x14ac:dyDescent="0.25">
      <c r="AA525" s="68" t="str">
        <f t="shared" si="33"/>
        <v>Fotos\\.jpg</v>
      </c>
      <c r="AB525" s="53">
        <f t="shared" si="34"/>
        <v>1.9047619047619048E-3</v>
      </c>
      <c r="AC525" s="25">
        <f t="shared" si="35"/>
        <v>525</v>
      </c>
      <c r="AD525" s="51">
        <f t="shared" si="36"/>
        <v>1</v>
      </c>
      <c r="AE525" s="25">
        <v>1</v>
      </c>
      <c r="AF525" s="25">
        <v>1</v>
      </c>
      <c r="AG525" s="25">
        <v>1</v>
      </c>
      <c r="AH525" s="25">
        <v>1</v>
      </c>
      <c r="AI525" s="25">
        <f>IF(OR(Apresentação!$E$3='Base de Dados e filtragem'!AI$2,Apresentação!$E$3='Base de Dados e filtragem'!E525),1,0)</f>
        <v>1</v>
      </c>
      <c r="AJ525" s="25">
        <f>IF(OR(Apresentação!$E$4='Base de Dados e filtragem'!AJ$2,Apresentação!$E$4='Base de Dados e filtragem'!F525),1,0)</f>
        <v>1</v>
      </c>
      <c r="AK525" s="25">
        <f>IF(OR(Apresentação!$E$5='Base de Dados e filtragem'!AK$2,Apresentação!$E$5='Base de Dados e filtragem'!G525),1,0)</f>
        <v>1</v>
      </c>
      <c r="AL525" s="25">
        <f>IF(OR(Apresentação!$E$6='Base de Dados e filtragem'!AL$2,Apresentação!$E$6='Base de Dados e filtragem'!H525),1,0)</f>
        <v>1</v>
      </c>
      <c r="AM525" s="25">
        <f>IF(OR(Apresentação!$I$2='Base de Dados e filtragem'!AM$2,Apresentação!$I$2='Base de Dados e filtragem'!I525),1,0)</f>
        <v>1</v>
      </c>
      <c r="AN525" s="25">
        <f>IF(OR(Apresentação!$I$3='Base de Dados e filtragem'!AN$2,Apresentação!$I$3='Base de Dados e filtragem'!J525),1,0)</f>
        <v>1</v>
      </c>
      <c r="AO525" s="25">
        <f>IF(OR(Apresentação!$I$4='Base de Dados e filtragem'!AO$2,Apresentação!$I$4='Base de Dados e filtragem'!K525),1,0)</f>
        <v>1</v>
      </c>
      <c r="AP525" s="25">
        <f>IF(OR(Apresentação!$I$5='Base de Dados e filtragem'!AP$2,Apresentação!$I$5='Base de Dados e filtragem'!L525),1,0)</f>
        <v>1</v>
      </c>
      <c r="AQ525" s="25">
        <f>IF(OR(Apresentação!$I$6='Base de Dados e filtragem'!AQ$2,Apresentação!$I$6='Base de Dados e filtragem'!M525),1,0)</f>
        <v>1</v>
      </c>
      <c r="AR525" s="25">
        <v>1</v>
      </c>
      <c r="AS525" s="25">
        <v>1</v>
      </c>
      <c r="AT525" s="25">
        <v>1</v>
      </c>
      <c r="AU525" s="25">
        <v>1</v>
      </c>
      <c r="AV525" s="25">
        <v>1</v>
      </c>
      <c r="AW525" s="25">
        <v>1</v>
      </c>
      <c r="AX525" s="25">
        <v>1</v>
      </c>
      <c r="AY525" s="25">
        <v>1</v>
      </c>
      <c r="AZ525" s="25">
        <v>1</v>
      </c>
      <c r="BA525" s="25">
        <v>1</v>
      </c>
      <c r="BB525" s="25">
        <v>1</v>
      </c>
      <c r="BC525" s="25">
        <v>1</v>
      </c>
      <c r="BD525" s="25">
        <v>1</v>
      </c>
    </row>
    <row r="526" spans="27:56" x14ac:dyDescent="0.25">
      <c r="AA526" s="68" t="str">
        <f t="shared" si="33"/>
        <v>Fotos\\.jpg</v>
      </c>
      <c r="AB526" s="53">
        <f t="shared" si="34"/>
        <v>1.9011406844106464E-3</v>
      </c>
      <c r="AC526" s="25">
        <f t="shared" si="35"/>
        <v>526</v>
      </c>
      <c r="AD526" s="51">
        <f t="shared" si="36"/>
        <v>1</v>
      </c>
      <c r="AE526" s="25">
        <v>1</v>
      </c>
      <c r="AF526" s="25">
        <v>1</v>
      </c>
      <c r="AG526" s="25">
        <v>1</v>
      </c>
      <c r="AH526" s="25">
        <v>1</v>
      </c>
      <c r="AI526" s="25">
        <f>IF(OR(Apresentação!$E$3='Base de Dados e filtragem'!AI$2,Apresentação!$E$3='Base de Dados e filtragem'!E526),1,0)</f>
        <v>1</v>
      </c>
      <c r="AJ526" s="25">
        <f>IF(OR(Apresentação!$E$4='Base de Dados e filtragem'!AJ$2,Apresentação!$E$4='Base de Dados e filtragem'!F526),1,0)</f>
        <v>1</v>
      </c>
      <c r="AK526" s="25">
        <f>IF(OR(Apresentação!$E$5='Base de Dados e filtragem'!AK$2,Apresentação!$E$5='Base de Dados e filtragem'!G526),1,0)</f>
        <v>1</v>
      </c>
      <c r="AL526" s="25">
        <f>IF(OR(Apresentação!$E$6='Base de Dados e filtragem'!AL$2,Apresentação!$E$6='Base de Dados e filtragem'!H526),1,0)</f>
        <v>1</v>
      </c>
      <c r="AM526" s="25">
        <f>IF(OR(Apresentação!$I$2='Base de Dados e filtragem'!AM$2,Apresentação!$I$2='Base de Dados e filtragem'!I526),1,0)</f>
        <v>1</v>
      </c>
      <c r="AN526" s="25">
        <f>IF(OR(Apresentação!$I$3='Base de Dados e filtragem'!AN$2,Apresentação!$I$3='Base de Dados e filtragem'!J526),1,0)</f>
        <v>1</v>
      </c>
      <c r="AO526" s="25">
        <f>IF(OR(Apresentação!$I$4='Base de Dados e filtragem'!AO$2,Apresentação!$I$4='Base de Dados e filtragem'!K526),1,0)</f>
        <v>1</v>
      </c>
      <c r="AP526" s="25">
        <f>IF(OR(Apresentação!$I$5='Base de Dados e filtragem'!AP$2,Apresentação!$I$5='Base de Dados e filtragem'!L526),1,0)</f>
        <v>1</v>
      </c>
      <c r="AQ526" s="25">
        <f>IF(OR(Apresentação!$I$6='Base de Dados e filtragem'!AQ$2,Apresentação!$I$6='Base de Dados e filtragem'!M526),1,0)</f>
        <v>1</v>
      </c>
      <c r="AR526" s="25">
        <v>1</v>
      </c>
      <c r="AS526" s="25">
        <v>1</v>
      </c>
      <c r="AT526" s="25">
        <v>1</v>
      </c>
      <c r="AU526" s="25">
        <v>1</v>
      </c>
      <c r="AV526" s="25">
        <v>1</v>
      </c>
      <c r="AW526" s="25">
        <v>1</v>
      </c>
      <c r="AX526" s="25">
        <v>1</v>
      </c>
      <c r="AY526" s="25">
        <v>1</v>
      </c>
      <c r="AZ526" s="25">
        <v>1</v>
      </c>
      <c r="BA526" s="25">
        <v>1</v>
      </c>
      <c r="BB526" s="25">
        <v>1</v>
      </c>
      <c r="BC526" s="25">
        <v>1</v>
      </c>
      <c r="BD526" s="25">
        <v>1</v>
      </c>
    </row>
    <row r="527" spans="27:56" x14ac:dyDescent="0.25">
      <c r="AA527" s="68" t="str">
        <f t="shared" si="33"/>
        <v>Fotos\\.jpg</v>
      </c>
      <c r="AB527" s="53">
        <f t="shared" si="34"/>
        <v>1.8975332068311196E-3</v>
      </c>
      <c r="AC527" s="25">
        <f t="shared" si="35"/>
        <v>527</v>
      </c>
      <c r="AD527" s="51">
        <f t="shared" si="36"/>
        <v>1</v>
      </c>
      <c r="AE527" s="25">
        <v>1</v>
      </c>
      <c r="AF527" s="25">
        <v>1</v>
      </c>
      <c r="AG527" s="25">
        <v>1</v>
      </c>
      <c r="AH527" s="25">
        <v>1</v>
      </c>
      <c r="AI527" s="25">
        <f>IF(OR(Apresentação!$E$3='Base de Dados e filtragem'!AI$2,Apresentação!$E$3='Base de Dados e filtragem'!E527),1,0)</f>
        <v>1</v>
      </c>
      <c r="AJ527" s="25">
        <f>IF(OR(Apresentação!$E$4='Base de Dados e filtragem'!AJ$2,Apresentação!$E$4='Base de Dados e filtragem'!F527),1,0)</f>
        <v>1</v>
      </c>
      <c r="AK527" s="25">
        <f>IF(OR(Apresentação!$E$5='Base de Dados e filtragem'!AK$2,Apresentação!$E$5='Base de Dados e filtragem'!G527),1,0)</f>
        <v>1</v>
      </c>
      <c r="AL527" s="25">
        <f>IF(OR(Apresentação!$E$6='Base de Dados e filtragem'!AL$2,Apresentação!$E$6='Base de Dados e filtragem'!H527),1,0)</f>
        <v>1</v>
      </c>
      <c r="AM527" s="25">
        <f>IF(OR(Apresentação!$I$2='Base de Dados e filtragem'!AM$2,Apresentação!$I$2='Base de Dados e filtragem'!I527),1,0)</f>
        <v>1</v>
      </c>
      <c r="AN527" s="25">
        <f>IF(OR(Apresentação!$I$3='Base de Dados e filtragem'!AN$2,Apresentação!$I$3='Base de Dados e filtragem'!J527),1,0)</f>
        <v>1</v>
      </c>
      <c r="AO527" s="25">
        <f>IF(OR(Apresentação!$I$4='Base de Dados e filtragem'!AO$2,Apresentação!$I$4='Base de Dados e filtragem'!K527),1,0)</f>
        <v>1</v>
      </c>
      <c r="AP527" s="25">
        <f>IF(OR(Apresentação!$I$5='Base de Dados e filtragem'!AP$2,Apresentação!$I$5='Base de Dados e filtragem'!L527),1,0)</f>
        <v>1</v>
      </c>
      <c r="AQ527" s="25">
        <f>IF(OR(Apresentação!$I$6='Base de Dados e filtragem'!AQ$2,Apresentação!$I$6='Base de Dados e filtragem'!M527),1,0)</f>
        <v>1</v>
      </c>
      <c r="AR527" s="25">
        <v>1</v>
      </c>
      <c r="AS527" s="25">
        <v>1</v>
      </c>
      <c r="AT527" s="25">
        <v>1</v>
      </c>
      <c r="AU527" s="25">
        <v>1</v>
      </c>
      <c r="AV527" s="25">
        <v>1</v>
      </c>
      <c r="AW527" s="25">
        <v>1</v>
      </c>
      <c r="AX527" s="25">
        <v>1</v>
      </c>
      <c r="AY527" s="25">
        <v>1</v>
      </c>
      <c r="AZ527" s="25">
        <v>1</v>
      </c>
      <c r="BA527" s="25">
        <v>1</v>
      </c>
      <c r="BB527" s="25">
        <v>1</v>
      </c>
      <c r="BC527" s="25">
        <v>1</v>
      </c>
      <c r="BD527" s="25">
        <v>1</v>
      </c>
    </row>
    <row r="528" spans="27:56" x14ac:dyDescent="0.25">
      <c r="AA528" s="68" t="str">
        <f t="shared" si="33"/>
        <v>Fotos\\.jpg</v>
      </c>
      <c r="AB528" s="53">
        <f t="shared" si="34"/>
        <v>1.893939393939394E-3</v>
      </c>
      <c r="AC528" s="25">
        <f t="shared" si="35"/>
        <v>528</v>
      </c>
      <c r="AD528" s="51">
        <f t="shared" si="36"/>
        <v>1</v>
      </c>
      <c r="AE528" s="25">
        <v>1</v>
      </c>
      <c r="AF528" s="25">
        <v>1</v>
      </c>
      <c r="AG528" s="25">
        <v>1</v>
      </c>
      <c r="AH528" s="25">
        <v>1</v>
      </c>
      <c r="AI528" s="25">
        <f>IF(OR(Apresentação!$E$3='Base de Dados e filtragem'!AI$2,Apresentação!$E$3='Base de Dados e filtragem'!E528),1,0)</f>
        <v>1</v>
      </c>
      <c r="AJ528" s="25">
        <f>IF(OR(Apresentação!$E$4='Base de Dados e filtragem'!AJ$2,Apresentação!$E$4='Base de Dados e filtragem'!F528),1,0)</f>
        <v>1</v>
      </c>
      <c r="AK528" s="25">
        <f>IF(OR(Apresentação!$E$5='Base de Dados e filtragem'!AK$2,Apresentação!$E$5='Base de Dados e filtragem'!G528),1,0)</f>
        <v>1</v>
      </c>
      <c r="AL528" s="25">
        <f>IF(OR(Apresentação!$E$6='Base de Dados e filtragem'!AL$2,Apresentação!$E$6='Base de Dados e filtragem'!H528),1,0)</f>
        <v>1</v>
      </c>
      <c r="AM528" s="25">
        <f>IF(OR(Apresentação!$I$2='Base de Dados e filtragem'!AM$2,Apresentação!$I$2='Base de Dados e filtragem'!I528),1,0)</f>
        <v>1</v>
      </c>
      <c r="AN528" s="25">
        <f>IF(OR(Apresentação!$I$3='Base de Dados e filtragem'!AN$2,Apresentação!$I$3='Base de Dados e filtragem'!J528),1,0)</f>
        <v>1</v>
      </c>
      <c r="AO528" s="25">
        <f>IF(OR(Apresentação!$I$4='Base de Dados e filtragem'!AO$2,Apresentação!$I$4='Base de Dados e filtragem'!K528),1,0)</f>
        <v>1</v>
      </c>
      <c r="AP528" s="25">
        <f>IF(OR(Apresentação!$I$5='Base de Dados e filtragem'!AP$2,Apresentação!$I$5='Base de Dados e filtragem'!L528),1,0)</f>
        <v>1</v>
      </c>
      <c r="AQ528" s="25">
        <f>IF(OR(Apresentação!$I$6='Base de Dados e filtragem'!AQ$2,Apresentação!$I$6='Base de Dados e filtragem'!M528),1,0)</f>
        <v>1</v>
      </c>
      <c r="AR528" s="25">
        <v>1</v>
      </c>
      <c r="AS528" s="25">
        <v>1</v>
      </c>
      <c r="AT528" s="25">
        <v>1</v>
      </c>
      <c r="AU528" s="25">
        <v>1</v>
      </c>
      <c r="AV528" s="25">
        <v>1</v>
      </c>
      <c r="AW528" s="25">
        <v>1</v>
      </c>
      <c r="AX528" s="25">
        <v>1</v>
      </c>
      <c r="AY528" s="25">
        <v>1</v>
      </c>
      <c r="AZ528" s="25">
        <v>1</v>
      </c>
      <c r="BA528" s="25">
        <v>1</v>
      </c>
      <c r="BB528" s="25">
        <v>1</v>
      </c>
      <c r="BC528" s="25">
        <v>1</v>
      </c>
      <c r="BD528" s="25">
        <v>1</v>
      </c>
    </row>
    <row r="529" spans="27:56" x14ac:dyDescent="0.25">
      <c r="AA529" s="68" t="str">
        <f t="shared" si="33"/>
        <v>Fotos\\.jpg</v>
      </c>
      <c r="AB529" s="53">
        <f t="shared" si="34"/>
        <v>1.890359168241966E-3</v>
      </c>
      <c r="AC529" s="25">
        <f t="shared" si="35"/>
        <v>529</v>
      </c>
      <c r="AD529" s="51">
        <f t="shared" si="36"/>
        <v>1</v>
      </c>
      <c r="AE529" s="25">
        <v>1</v>
      </c>
      <c r="AF529" s="25">
        <v>1</v>
      </c>
      <c r="AG529" s="25">
        <v>1</v>
      </c>
      <c r="AH529" s="25">
        <v>1</v>
      </c>
      <c r="AI529" s="25">
        <f>IF(OR(Apresentação!$E$3='Base de Dados e filtragem'!AI$2,Apresentação!$E$3='Base de Dados e filtragem'!E529),1,0)</f>
        <v>1</v>
      </c>
      <c r="AJ529" s="25">
        <f>IF(OR(Apresentação!$E$4='Base de Dados e filtragem'!AJ$2,Apresentação!$E$4='Base de Dados e filtragem'!F529),1,0)</f>
        <v>1</v>
      </c>
      <c r="AK529" s="25">
        <f>IF(OR(Apresentação!$E$5='Base de Dados e filtragem'!AK$2,Apresentação!$E$5='Base de Dados e filtragem'!G529),1,0)</f>
        <v>1</v>
      </c>
      <c r="AL529" s="25">
        <f>IF(OR(Apresentação!$E$6='Base de Dados e filtragem'!AL$2,Apresentação!$E$6='Base de Dados e filtragem'!H529),1,0)</f>
        <v>1</v>
      </c>
      <c r="AM529" s="25">
        <f>IF(OR(Apresentação!$I$2='Base de Dados e filtragem'!AM$2,Apresentação!$I$2='Base de Dados e filtragem'!I529),1,0)</f>
        <v>1</v>
      </c>
      <c r="AN529" s="25">
        <f>IF(OR(Apresentação!$I$3='Base de Dados e filtragem'!AN$2,Apresentação!$I$3='Base de Dados e filtragem'!J529),1,0)</f>
        <v>1</v>
      </c>
      <c r="AO529" s="25">
        <f>IF(OR(Apresentação!$I$4='Base de Dados e filtragem'!AO$2,Apresentação!$I$4='Base de Dados e filtragem'!K529),1,0)</f>
        <v>1</v>
      </c>
      <c r="AP529" s="25">
        <f>IF(OR(Apresentação!$I$5='Base de Dados e filtragem'!AP$2,Apresentação!$I$5='Base de Dados e filtragem'!L529),1,0)</f>
        <v>1</v>
      </c>
      <c r="AQ529" s="25">
        <f>IF(OR(Apresentação!$I$6='Base de Dados e filtragem'!AQ$2,Apresentação!$I$6='Base de Dados e filtragem'!M529),1,0)</f>
        <v>1</v>
      </c>
      <c r="AR529" s="25">
        <v>1</v>
      </c>
      <c r="AS529" s="25">
        <v>1</v>
      </c>
      <c r="AT529" s="25">
        <v>1</v>
      </c>
      <c r="AU529" s="25">
        <v>1</v>
      </c>
      <c r="AV529" s="25">
        <v>1</v>
      </c>
      <c r="AW529" s="25">
        <v>1</v>
      </c>
      <c r="AX529" s="25">
        <v>1</v>
      </c>
      <c r="AY529" s="25">
        <v>1</v>
      </c>
      <c r="AZ529" s="25">
        <v>1</v>
      </c>
      <c r="BA529" s="25">
        <v>1</v>
      </c>
      <c r="BB529" s="25">
        <v>1</v>
      </c>
      <c r="BC529" s="25">
        <v>1</v>
      </c>
      <c r="BD529" s="25">
        <v>1</v>
      </c>
    </row>
    <row r="530" spans="27:56" x14ac:dyDescent="0.25">
      <c r="AA530" s="68" t="str">
        <f t="shared" si="33"/>
        <v>Fotos\\.jpg</v>
      </c>
      <c r="AB530" s="53">
        <f t="shared" si="34"/>
        <v>1.8867924528301887E-3</v>
      </c>
      <c r="AC530" s="25">
        <f t="shared" si="35"/>
        <v>530</v>
      </c>
      <c r="AD530" s="51">
        <f t="shared" si="36"/>
        <v>1</v>
      </c>
      <c r="AE530" s="25">
        <v>1</v>
      </c>
      <c r="AF530" s="25">
        <v>1</v>
      </c>
      <c r="AG530" s="25">
        <v>1</v>
      </c>
      <c r="AH530" s="25">
        <v>1</v>
      </c>
      <c r="AI530" s="25">
        <f>IF(OR(Apresentação!$E$3='Base de Dados e filtragem'!AI$2,Apresentação!$E$3='Base de Dados e filtragem'!E530),1,0)</f>
        <v>1</v>
      </c>
      <c r="AJ530" s="25">
        <f>IF(OR(Apresentação!$E$4='Base de Dados e filtragem'!AJ$2,Apresentação!$E$4='Base de Dados e filtragem'!F530),1,0)</f>
        <v>1</v>
      </c>
      <c r="AK530" s="25">
        <f>IF(OR(Apresentação!$E$5='Base de Dados e filtragem'!AK$2,Apresentação!$E$5='Base de Dados e filtragem'!G530),1,0)</f>
        <v>1</v>
      </c>
      <c r="AL530" s="25">
        <f>IF(OR(Apresentação!$E$6='Base de Dados e filtragem'!AL$2,Apresentação!$E$6='Base de Dados e filtragem'!H530),1,0)</f>
        <v>1</v>
      </c>
      <c r="AM530" s="25">
        <f>IF(OR(Apresentação!$I$2='Base de Dados e filtragem'!AM$2,Apresentação!$I$2='Base de Dados e filtragem'!I530),1,0)</f>
        <v>1</v>
      </c>
      <c r="AN530" s="25">
        <f>IF(OR(Apresentação!$I$3='Base de Dados e filtragem'!AN$2,Apresentação!$I$3='Base de Dados e filtragem'!J530),1,0)</f>
        <v>1</v>
      </c>
      <c r="AO530" s="25">
        <f>IF(OR(Apresentação!$I$4='Base de Dados e filtragem'!AO$2,Apresentação!$I$4='Base de Dados e filtragem'!K530),1,0)</f>
        <v>1</v>
      </c>
      <c r="AP530" s="25">
        <f>IF(OR(Apresentação!$I$5='Base de Dados e filtragem'!AP$2,Apresentação!$I$5='Base de Dados e filtragem'!L530),1,0)</f>
        <v>1</v>
      </c>
      <c r="AQ530" s="25">
        <f>IF(OR(Apresentação!$I$6='Base de Dados e filtragem'!AQ$2,Apresentação!$I$6='Base de Dados e filtragem'!M530),1,0)</f>
        <v>1</v>
      </c>
      <c r="AR530" s="25">
        <v>1</v>
      </c>
      <c r="AS530" s="25">
        <v>1</v>
      </c>
      <c r="AT530" s="25">
        <v>1</v>
      </c>
      <c r="AU530" s="25">
        <v>1</v>
      </c>
      <c r="AV530" s="25">
        <v>1</v>
      </c>
      <c r="AW530" s="25">
        <v>1</v>
      </c>
      <c r="AX530" s="25">
        <v>1</v>
      </c>
      <c r="AY530" s="25">
        <v>1</v>
      </c>
      <c r="AZ530" s="25">
        <v>1</v>
      </c>
      <c r="BA530" s="25">
        <v>1</v>
      </c>
      <c r="BB530" s="25">
        <v>1</v>
      </c>
      <c r="BC530" s="25">
        <v>1</v>
      </c>
      <c r="BD530" s="25">
        <v>1</v>
      </c>
    </row>
    <row r="531" spans="27:56" x14ac:dyDescent="0.25">
      <c r="AA531" s="68" t="str">
        <f t="shared" si="33"/>
        <v>Fotos\\.jpg</v>
      </c>
      <c r="AB531" s="53">
        <f t="shared" si="34"/>
        <v>1.8832391713747645E-3</v>
      </c>
      <c r="AC531" s="25">
        <f t="shared" si="35"/>
        <v>531</v>
      </c>
      <c r="AD531" s="51">
        <f t="shared" si="36"/>
        <v>1</v>
      </c>
      <c r="AE531" s="25">
        <v>1</v>
      </c>
      <c r="AF531" s="25">
        <v>1</v>
      </c>
      <c r="AG531" s="25">
        <v>1</v>
      </c>
      <c r="AH531" s="25">
        <v>1</v>
      </c>
      <c r="AI531" s="25">
        <f>IF(OR(Apresentação!$E$3='Base de Dados e filtragem'!AI$2,Apresentação!$E$3='Base de Dados e filtragem'!E531),1,0)</f>
        <v>1</v>
      </c>
      <c r="AJ531" s="25">
        <f>IF(OR(Apresentação!$E$4='Base de Dados e filtragem'!AJ$2,Apresentação!$E$4='Base de Dados e filtragem'!F531),1,0)</f>
        <v>1</v>
      </c>
      <c r="AK531" s="25">
        <f>IF(OR(Apresentação!$E$5='Base de Dados e filtragem'!AK$2,Apresentação!$E$5='Base de Dados e filtragem'!G531),1,0)</f>
        <v>1</v>
      </c>
      <c r="AL531" s="25">
        <f>IF(OR(Apresentação!$E$6='Base de Dados e filtragem'!AL$2,Apresentação!$E$6='Base de Dados e filtragem'!H531),1,0)</f>
        <v>1</v>
      </c>
      <c r="AM531" s="25">
        <f>IF(OR(Apresentação!$I$2='Base de Dados e filtragem'!AM$2,Apresentação!$I$2='Base de Dados e filtragem'!I531),1,0)</f>
        <v>1</v>
      </c>
      <c r="AN531" s="25">
        <f>IF(OR(Apresentação!$I$3='Base de Dados e filtragem'!AN$2,Apresentação!$I$3='Base de Dados e filtragem'!J531),1,0)</f>
        <v>1</v>
      </c>
      <c r="AO531" s="25">
        <f>IF(OR(Apresentação!$I$4='Base de Dados e filtragem'!AO$2,Apresentação!$I$4='Base de Dados e filtragem'!K531),1,0)</f>
        <v>1</v>
      </c>
      <c r="AP531" s="25">
        <f>IF(OR(Apresentação!$I$5='Base de Dados e filtragem'!AP$2,Apresentação!$I$5='Base de Dados e filtragem'!L531),1,0)</f>
        <v>1</v>
      </c>
      <c r="AQ531" s="25">
        <f>IF(OR(Apresentação!$I$6='Base de Dados e filtragem'!AQ$2,Apresentação!$I$6='Base de Dados e filtragem'!M531),1,0)</f>
        <v>1</v>
      </c>
      <c r="AR531" s="25">
        <v>1</v>
      </c>
      <c r="AS531" s="25">
        <v>1</v>
      </c>
      <c r="AT531" s="25">
        <v>1</v>
      </c>
      <c r="AU531" s="25">
        <v>1</v>
      </c>
      <c r="AV531" s="25">
        <v>1</v>
      </c>
      <c r="AW531" s="25">
        <v>1</v>
      </c>
      <c r="AX531" s="25">
        <v>1</v>
      </c>
      <c r="AY531" s="25">
        <v>1</v>
      </c>
      <c r="AZ531" s="25">
        <v>1</v>
      </c>
      <c r="BA531" s="25">
        <v>1</v>
      </c>
      <c r="BB531" s="25">
        <v>1</v>
      </c>
      <c r="BC531" s="25">
        <v>1</v>
      </c>
      <c r="BD531" s="25">
        <v>1</v>
      </c>
    </row>
    <row r="532" spans="27:56" x14ac:dyDescent="0.25">
      <c r="AA532" s="68" t="str">
        <f t="shared" si="33"/>
        <v>Fotos\\.jpg</v>
      </c>
      <c r="AB532" s="53">
        <f t="shared" si="34"/>
        <v>1.8796992481203006E-3</v>
      </c>
      <c r="AC532" s="25">
        <f t="shared" si="35"/>
        <v>532</v>
      </c>
      <c r="AD532" s="51">
        <f t="shared" si="36"/>
        <v>1</v>
      </c>
      <c r="AE532" s="25">
        <v>1</v>
      </c>
      <c r="AF532" s="25">
        <v>1</v>
      </c>
      <c r="AG532" s="25">
        <v>1</v>
      </c>
      <c r="AH532" s="25">
        <v>1</v>
      </c>
      <c r="AI532" s="25">
        <f>IF(OR(Apresentação!$E$3='Base de Dados e filtragem'!AI$2,Apresentação!$E$3='Base de Dados e filtragem'!E532),1,0)</f>
        <v>1</v>
      </c>
      <c r="AJ532" s="25">
        <f>IF(OR(Apresentação!$E$4='Base de Dados e filtragem'!AJ$2,Apresentação!$E$4='Base de Dados e filtragem'!F532),1,0)</f>
        <v>1</v>
      </c>
      <c r="AK532" s="25">
        <f>IF(OR(Apresentação!$E$5='Base de Dados e filtragem'!AK$2,Apresentação!$E$5='Base de Dados e filtragem'!G532),1,0)</f>
        <v>1</v>
      </c>
      <c r="AL532" s="25">
        <f>IF(OR(Apresentação!$E$6='Base de Dados e filtragem'!AL$2,Apresentação!$E$6='Base de Dados e filtragem'!H532),1,0)</f>
        <v>1</v>
      </c>
      <c r="AM532" s="25">
        <f>IF(OR(Apresentação!$I$2='Base de Dados e filtragem'!AM$2,Apresentação!$I$2='Base de Dados e filtragem'!I532),1,0)</f>
        <v>1</v>
      </c>
      <c r="AN532" s="25">
        <f>IF(OR(Apresentação!$I$3='Base de Dados e filtragem'!AN$2,Apresentação!$I$3='Base de Dados e filtragem'!J532),1,0)</f>
        <v>1</v>
      </c>
      <c r="AO532" s="25">
        <f>IF(OR(Apresentação!$I$4='Base de Dados e filtragem'!AO$2,Apresentação!$I$4='Base de Dados e filtragem'!K532),1,0)</f>
        <v>1</v>
      </c>
      <c r="AP532" s="25">
        <f>IF(OR(Apresentação!$I$5='Base de Dados e filtragem'!AP$2,Apresentação!$I$5='Base de Dados e filtragem'!L532),1,0)</f>
        <v>1</v>
      </c>
      <c r="AQ532" s="25">
        <f>IF(OR(Apresentação!$I$6='Base de Dados e filtragem'!AQ$2,Apresentação!$I$6='Base de Dados e filtragem'!M532),1,0)</f>
        <v>1</v>
      </c>
      <c r="AR532" s="25">
        <v>1</v>
      </c>
      <c r="AS532" s="25">
        <v>1</v>
      </c>
      <c r="AT532" s="25">
        <v>1</v>
      </c>
      <c r="AU532" s="25">
        <v>1</v>
      </c>
      <c r="AV532" s="25">
        <v>1</v>
      </c>
      <c r="AW532" s="25">
        <v>1</v>
      </c>
      <c r="AX532" s="25">
        <v>1</v>
      </c>
      <c r="AY532" s="25">
        <v>1</v>
      </c>
      <c r="AZ532" s="25">
        <v>1</v>
      </c>
      <c r="BA532" s="25">
        <v>1</v>
      </c>
      <c r="BB532" s="25">
        <v>1</v>
      </c>
      <c r="BC532" s="25">
        <v>1</v>
      </c>
      <c r="BD532" s="25">
        <v>1</v>
      </c>
    </row>
    <row r="533" spans="27:56" x14ac:dyDescent="0.25">
      <c r="AA533" s="68" t="str">
        <f t="shared" si="33"/>
        <v>Fotos\\.jpg</v>
      </c>
      <c r="AB533" s="53">
        <f t="shared" si="34"/>
        <v>1.876172607879925E-3</v>
      </c>
      <c r="AC533" s="25">
        <f t="shared" si="35"/>
        <v>533</v>
      </c>
      <c r="AD533" s="51">
        <f t="shared" si="36"/>
        <v>1</v>
      </c>
      <c r="AE533" s="25">
        <v>1</v>
      </c>
      <c r="AF533" s="25">
        <v>1</v>
      </c>
      <c r="AG533" s="25">
        <v>1</v>
      </c>
      <c r="AH533" s="25">
        <v>1</v>
      </c>
      <c r="AI533" s="25">
        <f>IF(OR(Apresentação!$E$3='Base de Dados e filtragem'!AI$2,Apresentação!$E$3='Base de Dados e filtragem'!E533),1,0)</f>
        <v>1</v>
      </c>
      <c r="AJ533" s="25">
        <f>IF(OR(Apresentação!$E$4='Base de Dados e filtragem'!AJ$2,Apresentação!$E$4='Base de Dados e filtragem'!F533),1,0)</f>
        <v>1</v>
      </c>
      <c r="AK533" s="25">
        <f>IF(OR(Apresentação!$E$5='Base de Dados e filtragem'!AK$2,Apresentação!$E$5='Base de Dados e filtragem'!G533),1,0)</f>
        <v>1</v>
      </c>
      <c r="AL533" s="25">
        <f>IF(OR(Apresentação!$E$6='Base de Dados e filtragem'!AL$2,Apresentação!$E$6='Base de Dados e filtragem'!H533),1,0)</f>
        <v>1</v>
      </c>
      <c r="AM533" s="25">
        <f>IF(OR(Apresentação!$I$2='Base de Dados e filtragem'!AM$2,Apresentação!$I$2='Base de Dados e filtragem'!I533),1,0)</f>
        <v>1</v>
      </c>
      <c r="AN533" s="25">
        <f>IF(OR(Apresentação!$I$3='Base de Dados e filtragem'!AN$2,Apresentação!$I$3='Base de Dados e filtragem'!J533),1,0)</f>
        <v>1</v>
      </c>
      <c r="AO533" s="25">
        <f>IF(OR(Apresentação!$I$4='Base de Dados e filtragem'!AO$2,Apresentação!$I$4='Base de Dados e filtragem'!K533),1,0)</f>
        <v>1</v>
      </c>
      <c r="AP533" s="25">
        <f>IF(OR(Apresentação!$I$5='Base de Dados e filtragem'!AP$2,Apresentação!$I$5='Base de Dados e filtragem'!L533),1,0)</f>
        <v>1</v>
      </c>
      <c r="AQ533" s="25">
        <f>IF(OR(Apresentação!$I$6='Base de Dados e filtragem'!AQ$2,Apresentação!$I$6='Base de Dados e filtragem'!M533),1,0)</f>
        <v>1</v>
      </c>
      <c r="AR533" s="25">
        <v>1</v>
      </c>
      <c r="AS533" s="25">
        <v>1</v>
      </c>
      <c r="AT533" s="25">
        <v>1</v>
      </c>
      <c r="AU533" s="25">
        <v>1</v>
      </c>
      <c r="AV533" s="25">
        <v>1</v>
      </c>
      <c r="AW533" s="25">
        <v>1</v>
      </c>
      <c r="AX533" s="25">
        <v>1</v>
      </c>
      <c r="AY533" s="25">
        <v>1</v>
      </c>
      <c r="AZ533" s="25">
        <v>1</v>
      </c>
      <c r="BA533" s="25">
        <v>1</v>
      </c>
      <c r="BB533" s="25">
        <v>1</v>
      </c>
      <c r="BC533" s="25">
        <v>1</v>
      </c>
      <c r="BD533" s="25">
        <v>1</v>
      </c>
    </row>
    <row r="534" spans="27:56" x14ac:dyDescent="0.25">
      <c r="AA534" s="68" t="str">
        <f t="shared" si="33"/>
        <v>Fotos\\.jpg</v>
      </c>
      <c r="AB534" s="53">
        <f t="shared" si="34"/>
        <v>1.8726591760299626E-3</v>
      </c>
      <c r="AC534" s="25">
        <f t="shared" si="35"/>
        <v>534</v>
      </c>
      <c r="AD534" s="51">
        <f t="shared" si="36"/>
        <v>1</v>
      </c>
      <c r="AE534" s="25">
        <v>1</v>
      </c>
      <c r="AF534" s="25">
        <v>1</v>
      </c>
      <c r="AG534" s="25">
        <v>1</v>
      </c>
      <c r="AH534" s="25">
        <v>1</v>
      </c>
      <c r="AI534" s="25">
        <f>IF(OR(Apresentação!$E$3='Base de Dados e filtragem'!AI$2,Apresentação!$E$3='Base de Dados e filtragem'!E534),1,0)</f>
        <v>1</v>
      </c>
      <c r="AJ534" s="25">
        <f>IF(OR(Apresentação!$E$4='Base de Dados e filtragem'!AJ$2,Apresentação!$E$4='Base de Dados e filtragem'!F534),1,0)</f>
        <v>1</v>
      </c>
      <c r="AK534" s="25">
        <f>IF(OR(Apresentação!$E$5='Base de Dados e filtragem'!AK$2,Apresentação!$E$5='Base de Dados e filtragem'!G534),1,0)</f>
        <v>1</v>
      </c>
      <c r="AL534" s="25">
        <f>IF(OR(Apresentação!$E$6='Base de Dados e filtragem'!AL$2,Apresentação!$E$6='Base de Dados e filtragem'!H534),1,0)</f>
        <v>1</v>
      </c>
      <c r="AM534" s="25">
        <f>IF(OR(Apresentação!$I$2='Base de Dados e filtragem'!AM$2,Apresentação!$I$2='Base de Dados e filtragem'!I534),1,0)</f>
        <v>1</v>
      </c>
      <c r="AN534" s="25">
        <f>IF(OR(Apresentação!$I$3='Base de Dados e filtragem'!AN$2,Apresentação!$I$3='Base de Dados e filtragem'!J534),1,0)</f>
        <v>1</v>
      </c>
      <c r="AO534" s="25">
        <f>IF(OR(Apresentação!$I$4='Base de Dados e filtragem'!AO$2,Apresentação!$I$4='Base de Dados e filtragem'!K534),1,0)</f>
        <v>1</v>
      </c>
      <c r="AP534" s="25">
        <f>IF(OR(Apresentação!$I$5='Base de Dados e filtragem'!AP$2,Apresentação!$I$5='Base de Dados e filtragem'!L534),1,0)</f>
        <v>1</v>
      </c>
      <c r="AQ534" s="25">
        <f>IF(OR(Apresentação!$I$6='Base de Dados e filtragem'!AQ$2,Apresentação!$I$6='Base de Dados e filtragem'!M534),1,0)</f>
        <v>1</v>
      </c>
      <c r="AR534" s="25">
        <v>1</v>
      </c>
      <c r="AS534" s="25">
        <v>1</v>
      </c>
      <c r="AT534" s="25">
        <v>1</v>
      </c>
      <c r="AU534" s="25">
        <v>1</v>
      </c>
      <c r="AV534" s="25">
        <v>1</v>
      </c>
      <c r="AW534" s="25">
        <v>1</v>
      </c>
      <c r="AX534" s="25">
        <v>1</v>
      </c>
      <c r="AY534" s="25">
        <v>1</v>
      </c>
      <c r="AZ534" s="25">
        <v>1</v>
      </c>
      <c r="BA534" s="25">
        <v>1</v>
      </c>
      <c r="BB534" s="25">
        <v>1</v>
      </c>
      <c r="BC534" s="25">
        <v>1</v>
      </c>
      <c r="BD534" s="25">
        <v>1</v>
      </c>
    </row>
    <row r="535" spans="27:56" x14ac:dyDescent="0.25">
      <c r="AA535" s="68" t="str">
        <f t="shared" si="33"/>
        <v>Fotos\\.jpg</v>
      </c>
      <c r="AB535" s="53">
        <f t="shared" si="34"/>
        <v>1.869158878504673E-3</v>
      </c>
      <c r="AC535" s="25">
        <f t="shared" si="35"/>
        <v>535</v>
      </c>
      <c r="AD535" s="51">
        <f t="shared" si="36"/>
        <v>1</v>
      </c>
      <c r="AE535" s="25">
        <v>1</v>
      </c>
      <c r="AF535" s="25">
        <v>1</v>
      </c>
      <c r="AG535" s="25">
        <v>1</v>
      </c>
      <c r="AH535" s="25">
        <v>1</v>
      </c>
      <c r="AI535" s="25">
        <f>IF(OR(Apresentação!$E$3='Base de Dados e filtragem'!AI$2,Apresentação!$E$3='Base de Dados e filtragem'!E535),1,0)</f>
        <v>1</v>
      </c>
      <c r="AJ535" s="25">
        <f>IF(OR(Apresentação!$E$4='Base de Dados e filtragem'!AJ$2,Apresentação!$E$4='Base de Dados e filtragem'!F535),1,0)</f>
        <v>1</v>
      </c>
      <c r="AK535" s="25">
        <f>IF(OR(Apresentação!$E$5='Base de Dados e filtragem'!AK$2,Apresentação!$E$5='Base de Dados e filtragem'!G535),1,0)</f>
        <v>1</v>
      </c>
      <c r="AL535" s="25">
        <f>IF(OR(Apresentação!$E$6='Base de Dados e filtragem'!AL$2,Apresentação!$E$6='Base de Dados e filtragem'!H535),1,0)</f>
        <v>1</v>
      </c>
      <c r="AM535" s="25">
        <f>IF(OR(Apresentação!$I$2='Base de Dados e filtragem'!AM$2,Apresentação!$I$2='Base de Dados e filtragem'!I535),1,0)</f>
        <v>1</v>
      </c>
      <c r="AN535" s="25">
        <f>IF(OR(Apresentação!$I$3='Base de Dados e filtragem'!AN$2,Apresentação!$I$3='Base de Dados e filtragem'!J535),1,0)</f>
        <v>1</v>
      </c>
      <c r="AO535" s="25">
        <f>IF(OR(Apresentação!$I$4='Base de Dados e filtragem'!AO$2,Apresentação!$I$4='Base de Dados e filtragem'!K535),1,0)</f>
        <v>1</v>
      </c>
      <c r="AP535" s="25">
        <f>IF(OR(Apresentação!$I$5='Base de Dados e filtragem'!AP$2,Apresentação!$I$5='Base de Dados e filtragem'!L535),1,0)</f>
        <v>1</v>
      </c>
      <c r="AQ535" s="25">
        <f>IF(OR(Apresentação!$I$6='Base de Dados e filtragem'!AQ$2,Apresentação!$I$6='Base de Dados e filtragem'!M535),1,0)</f>
        <v>1</v>
      </c>
      <c r="AR535" s="25">
        <v>1</v>
      </c>
      <c r="AS535" s="25">
        <v>1</v>
      </c>
      <c r="AT535" s="25">
        <v>1</v>
      </c>
      <c r="AU535" s="25">
        <v>1</v>
      </c>
      <c r="AV535" s="25">
        <v>1</v>
      </c>
      <c r="AW535" s="25">
        <v>1</v>
      </c>
      <c r="AX535" s="25">
        <v>1</v>
      </c>
      <c r="AY535" s="25">
        <v>1</v>
      </c>
      <c r="AZ535" s="25">
        <v>1</v>
      </c>
      <c r="BA535" s="25">
        <v>1</v>
      </c>
      <c r="BB535" s="25">
        <v>1</v>
      </c>
      <c r="BC535" s="25">
        <v>1</v>
      </c>
      <c r="BD535" s="25">
        <v>1</v>
      </c>
    </row>
    <row r="536" spans="27:56" x14ac:dyDescent="0.25">
      <c r="AA536" s="68" t="str">
        <f t="shared" si="33"/>
        <v>Fotos\\.jpg</v>
      </c>
      <c r="AB536" s="53">
        <f t="shared" si="34"/>
        <v>1.8656716417910447E-3</v>
      </c>
      <c r="AC536" s="25">
        <f t="shared" si="35"/>
        <v>536</v>
      </c>
      <c r="AD536" s="51">
        <f t="shared" si="36"/>
        <v>1</v>
      </c>
      <c r="AE536" s="25">
        <v>1</v>
      </c>
      <c r="AF536" s="25">
        <v>1</v>
      </c>
      <c r="AG536" s="25">
        <v>1</v>
      </c>
      <c r="AH536" s="25">
        <v>1</v>
      </c>
      <c r="AI536" s="25">
        <f>IF(OR(Apresentação!$E$3='Base de Dados e filtragem'!AI$2,Apresentação!$E$3='Base de Dados e filtragem'!E536),1,0)</f>
        <v>1</v>
      </c>
      <c r="AJ536" s="25">
        <f>IF(OR(Apresentação!$E$4='Base de Dados e filtragem'!AJ$2,Apresentação!$E$4='Base de Dados e filtragem'!F536),1,0)</f>
        <v>1</v>
      </c>
      <c r="AK536" s="25">
        <f>IF(OR(Apresentação!$E$5='Base de Dados e filtragem'!AK$2,Apresentação!$E$5='Base de Dados e filtragem'!G536),1,0)</f>
        <v>1</v>
      </c>
      <c r="AL536" s="25">
        <f>IF(OR(Apresentação!$E$6='Base de Dados e filtragem'!AL$2,Apresentação!$E$6='Base de Dados e filtragem'!H536),1,0)</f>
        <v>1</v>
      </c>
      <c r="AM536" s="25">
        <f>IF(OR(Apresentação!$I$2='Base de Dados e filtragem'!AM$2,Apresentação!$I$2='Base de Dados e filtragem'!I536),1,0)</f>
        <v>1</v>
      </c>
      <c r="AN536" s="25">
        <f>IF(OR(Apresentação!$I$3='Base de Dados e filtragem'!AN$2,Apresentação!$I$3='Base de Dados e filtragem'!J536),1,0)</f>
        <v>1</v>
      </c>
      <c r="AO536" s="25">
        <f>IF(OR(Apresentação!$I$4='Base de Dados e filtragem'!AO$2,Apresentação!$I$4='Base de Dados e filtragem'!K536),1,0)</f>
        <v>1</v>
      </c>
      <c r="AP536" s="25">
        <f>IF(OR(Apresentação!$I$5='Base de Dados e filtragem'!AP$2,Apresentação!$I$5='Base de Dados e filtragem'!L536),1,0)</f>
        <v>1</v>
      </c>
      <c r="AQ536" s="25">
        <f>IF(OR(Apresentação!$I$6='Base de Dados e filtragem'!AQ$2,Apresentação!$I$6='Base de Dados e filtragem'!M536),1,0)</f>
        <v>1</v>
      </c>
      <c r="AR536" s="25">
        <v>1</v>
      </c>
      <c r="AS536" s="25">
        <v>1</v>
      </c>
      <c r="AT536" s="25">
        <v>1</v>
      </c>
      <c r="AU536" s="25">
        <v>1</v>
      </c>
      <c r="AV536" s="25">
        <v>1</v>
      </c>
      <c r="AW536" s="25">
        <v>1</v>
      </c>
      <c r="AX536" s="25">
        <v>1</v>
      </c>
      <c r="AY536" s="25">
        <v>1</v>
      </c>
      <c r="AZ536" s="25">
        <v>1</v>
      </c>
      <c r="BA536" s="25">
        <v>1</v>
      </c>
      <c r="BB536" s="25">
        <v>1</v>
      </c>
      <c r="BC536" s="25">
        <v>1</v>
      </c>
      <c r="BD536" s="25">
        <v>1</v>
      </c>
    </row>
    <row r="537" spans="27:56" x14ac:dyDescent="0.25">
      <c r="AA537" s="68" t="str">
        <f t="shared" si="33"/>
        <v>Fotos\\.jpg</v>
      </c>
      <c r="AB537" s="53">
        <f t="shared" si="34"/>
        <v>1.8621973929236499E-3</v>
      </c>
      <c r="AC537" s="25">
        <f t="shared" si="35"/>
        <v>537</v>
      </c>
      <c r="AD537" s="51">
        <f t="shared" si="36"/>
        <v>1</v>
      </c>
      <c r="AE537" s="25">
        <v>1</v>
      </c>
      <c r="AF537" s="25">
        <v>1</v>
      </c>
      <c r="AG537" s="25">
        <v>1</v>
      </c>
      <c r="AH537" s="25">
        <v>1</v>
      </c>
      <c r="AI537" s="25">
        <f>IF(OR(Apresentação!$E$3='Base de Dados e filtragem'!AI$2,Apresentação!$E$3='Base de Dados e filtragem'!E537),1,0)</f>
        <v>1</v>
      </c>
      <c r="AJ537" s="25">
        <f>IF(OR(Apresentação!$E$4='Base de Dados e filtragem'!AJ$2,Apresentação!$E$4='Base de Dados e filtragem'!F537),1,0)</f>
        <v>1</v>
      </c>
      <c r="AK537" s="25">
        <f>IF(OR(Apresentação!$E$5='Base de Dados e filtragem'!AK$2,Apresentação!$E$5='Base de Dados e filtragem'!G537),1,0)</f>
        <v>1</v>
      </c>
      <c r="AL537" s="25">
        <f>IF(OR(Apresentação!$E$6='Base de Dados e filtragem'!AL$2,Apresentação!$E$6='Base de Dados e filtragem'!H537),1,0)</f>
        <v>1</v>
      </c>
      <c r="AM537" s="25">
        <f>IF(OR(Apresentação!$I$2='Base de Dados e filtragem'!AM$2,Apresentação!$I$2='Base de Dados e filtragem'!I537),1,0)</f>
        <v>1</v>
      </c>
      <c r="AN537" s="25">
        <f>IF(OR(Apresentação!$I$3='Base de Dados e filtragem'!AN$2,Apresentação!$I$3='Base de Dados e filtragem'!J537),1,0)</f>
        <v>1</v>
      </c>
      <c r="AO537" s="25">
        <f>IF(OR(Apresentação!$I$4='Base de Dados e filtragem'!AO$2,Apresentação!$I$4='Base de Dados e filtragem'!K537),1,0)</f>
        <v>1</v>
      </c>
      <c r="AP537" s="25">
        <f>IF(OR(Apresentação!$I$5='Base de Dados e filtragem'!AP$2,Apresentação!$I$5='Base de Dados e filtragem'!L537),1,0)</f>
        <v>1</v>
      </c>
      <c r="AQ537" s="25">
        <f>IF(OR(Apresentação!$I$6='Base de Dados e filtragem'!AQ$2,Apresentação!$I$6='Base de Dados e filtragem'!M537),1,0)</f>
        <v>1</v>
      </c>
      <c r="AR537" s="25">
        <v>1</v>
      </c>
      <c r="AS537" s="25">
        <v>1</v>
      </c>
      <c r="AT537" s="25">
        <v>1</v>
      </c>
      <c r="AU537" s="25">
        <v>1</v>
      </c>
      <c r="AV537" s="25">
        <v>1</v>
      </c>
      <c r="AW537" s="25">
        <v>1</v>
      </c>
      <c r="AX537" s="25">
        <v>1</v>
      </c>
      <c r="AY537" s="25">
        <v>1</v>
      </c>
      <c r="AZ537" s="25">
        <v>1</v>
      </c>
      <c r="BA537" s="25">
        <v>1</v>
      </c>
      <c r="BB537" s="25">
        <v>1</v>
      </c>
      <c r="BC537" s="25">
        <v>1</v>
      </c>
      <c r="BD537" s="25">
        <v>1</v>
      </c>
    </row>
    <row r="538" spans="27:56" x14ac:dyDescent="0.25">
      <c r="AA538" s="68" t="str">
        <f t="shared" si="33"/>
        <v>Fotos\\.jpg</v>
      </c>
      <c r="AB538" s="53">
        <f t="shared" si="34"/>
        <v>1.8587360594795538E-3</v>
      </c>
      <c r="AC538" s="25">
        <f t="shared" si="35"/>
        <v>538</v>
      </c>
      <c r="AD538" s="51">
        <f t="shared" si="36"/>
        <v>1</v>
      </c>
      <c r="AE538" s="25">
        <v>1</v>
      </c>
      <c r="AF538" s="25">
        <v>1</v>
      </c>
      <c r="AG538" s="25">
        <v>1</v>
      </c>
      <c r="AH538" s="25">
        <v>1</v>
      </c>
      <c r="AI538" s="25">
        <f>IF(OR(Apresentação!$E$3='Base de Dados e filtragem'!AI$2,Apresentação!$E$3='Base de Dados e filtragem'!E538),1,0)</f>
        <v>1</v>
      </c>
      <c r="AJ538" s="25">
        <f>IF(OR(Apresentação!$E$4='Base de Dados e filtragem'!AJ$2,Apresentação!$E$4='Base de Dados e filtragem'!F538),1,0)</f>
        <v>1</v>
      </c>
      <c r="AK538" s="25">
        <f>IF(OR(Apresentação!$E$5='Base de Dados e filtragem'!AK$2,Apresentação!$E$5='Base de Dados e filtragem'!G538),1,0)</f>
        <v>1</v>
      </c>
      <c r="AL538" s="25">
        <f>IF(OR(Apresentação!$E$6='Base de Dados e filtragem'!AL$2,Apresentação!$E$6='Base de Dados e filtragem'!H538),1,0)</f>
        <v>1</v>
      </c>
      <c r="AM538" s="25">
        <f>IF(OR(Apresentação!$I$2='Base de Dados e filtragem'!AM$2,Apresentação!$I$2='Base de Dados e filtragem'!I538),1,0)</f>
        <v>1</v>
      </c>
      <c r="AN538" s="25">
        <f>IF(OR(Apresentação!$I$3='Base de Dados e filtragem'!AN$2,Apresentação!$I$3='Base de Dados e filtragem'!J538),1,0)</f>
        <v>1</v>
      </c>
      <c r="AO538" s="25">
        <f>IF(OR(Apresentação!$I$4='Base de Dados e filtragem'!AO$2,Apresentação!$I$4='Base de Dados e filtragem'!K538),1,0)</f>
        <v>1</v>
      </c>
      <c r="AP538" s="25">
        <f>IF(OR(Apresentação!$I$5='Base de Dados e filtragem'!AP$2,Apresentação!$I$5='Base de Dados e filtragem'!L538),1,0)</f>
        <v>1</v>
      </c>
      <c r="AQ538" s="25">
        <f>IF(OR(Apresentação!$I$6='Base de Dados e filtragem'!AQ$2,Apresentação!$I$6='Base de Dados e filtragem'!M538),1,0)</f>
        <v>1</v>
      </c>
      <c r="AR538" s="25">
        <v>1</v>
      </c>
      <c r="AS538" s="25">
        <v>1</v>
      </c>
      <c r="AT538" s="25">
        <v>1</v>
      </c>
      <c r="AU538" s="25">
        <v>1</v>
      </c>
      <c r="AV538" s="25">
        <v>1</v>
      </c>
      <c r="AW538" s="25">
        <v>1</v>
      </c>
      <c r="AX538" s="25">
        <v>1</v>
      </c>
      <c r="AY538" s="25">
        <v>1</v>
      </c>
      <c r="AZ538" s="25">
        <v>1</v>
      </c>
      <c r="BA538" s="25">
        <v>1</v>
      </c>
      <c r="BB538" s="25">
        <v>1</v>
      </c>
      <c r="BC538" s="25">
        <v>1</v>
      </c>
      <c r="BD538" s="25">
        <v>1</v>
      </c>
    </row>
    <row r="539" spans="27:56" x14ac:dyDescent="0.25">
      <c r="AA539" s="68" t="str">
        <f t="shared" si="33"/>
        <v>Fotos\\.jpg</v>
      </c>
      <c r="AB539" s="53">
        <f t="shared" si="34"/>
        <v>1.8552875695732839E-3</v>
      </c>
      <c r="AC539" s="25">
        <f t="shared" si="35"/>
        <v>539</v>
      </c>
      <c r="AD539" s="51">
        <f t="shared" si="36"/>
        <v>1</v>
      </c>
      <c r="AE539" s="25">
        <v>1</v>
      </c>
      <c r="AF539" s="25">
        <v>1</v>
      </c>
      <c r="AG539" s="25">
        <v>1</v>
      </c>
      <c r="AH539" s="25">
        <v>1</v>
      </c>
      <c r="AI539" s="25">
        <f>IF(OR(Apresentação!$E$3='Base de Dados e filtragem'!AI$2,Apresentação!$E$3='Base de Dados e filtragem'!E539),1,0)</f>
        <v>1</v>
      </c>
      <c r="AJ539" s="25">
        <f>IF(OR(Apresentação!$E$4='Base de Dados e filtragem'!AJ$2,Apresentação!$E$4='Base de Dados e filtragem'!F539),1,0)</f>
        <v>1</v>
      </c>
      <c r="AK539" s="25">
        <f>IF(OR(Apresentação!$E$5='Base de Dados e filtragem'!AK$2,Apresentação!$E$5='Base de Dados e filtragem'!G539),1,0)</f>
        <v>1</v>
      </c>
      <c r="AL539" s="25">
        <f>IF(OR(Apresentação!$E$6='Base de Dados e filtragem'!AL$2,Apresentação!$E$6='Base de Dados e filtragem'!H539),1,0)</f>
        <v>1</v>
      </c>
      <c r="AM539" s="25">
        <f>IF(OR(Apresentação!$I$2='Base de Dados e filtragem'!AM$2,Apresentação!$I$2='Base de Dados e filtragem'!I539),1,0)</f>
        <v>1</v>
      </c>
      <c r="AN539" s="25">
        <f>IF(OR(Apresentação!$I$3='Base de Dados e filtragem'!AN$2,Apresentação!$I$3='Base de Dados e filtragem'!J539),1,0)</f>
        <v>1</v>
      </c>
      <c r="AO539" s="25">
        <f>IF(OR(Apresentação!$I$4='Base de Dados e filtragem'!AO$2,Apresentação!$I$4='Base de Dados e filtragem'!K539),1,0)</f>
        <v>1</v>
      </c>
      <c r="AP539" s="25">
        <f>IF(OR(Apresentação!$I$5='Base de Dados e filtragem'!AP$2,Apresentação!$I$5='Base de Dados e filtragem'!L539),1,0)</f>
        <v>1</v>
      </c>
      <c r="AQ539" s="25">
        <f>IF(OR(Apresentação!$I$6='Base de Dados e filtragem'!AQ$2,Apresentação!$I$6='Base de Dados e filtragem'!M539),1,0)</f>
        <v>1</v>
      </c>
      <c r="AR539" s="25">
        <v>1</v>
      </c>
      <c r="AS539" s="25">
        <v>1</v>
      </c>
      <c r="AT539" s="25">
        <v>1</v>
      </c>
      <c r="AU539" s="25">
        <v>1</v>
      </c>
      <c r="AV539" s="25">
        <v>1</v>
      </c>
      <c r="AW539" s="25">
        <v>1</v>
      </c>
      <c r="AX539" s="25">
        <v>1</v>
      </c>
      <c r="AY539" s="25">
        <v>1</v>
      </c>
      <c r="AZ539" s="25">
        <v>1</v>
      </c>
      <c r="BA539" s="25">
        <v>1</v>
      </c>
      <c r="BB539" s="25">
        <v>1</v>
      </c>
      <c r="BC539" s="25">
        <v>1</v>
      </c>
      <c r="BD539" s="25">
        <v>1</v>
      </c>
    </row>
    <row r="540" spans="27:56" x14ac:dyDescent="0.25">
      <c r="AA540" s="68" t="str">
        <f t="shared" si="33"/>
        <v>Fotos\\.jpg</v>
      </c>
      <c r="AB540" s="53">
        <f t="shared" si="34"/>
        <v>1.8518518518518519E-3</v>
      </c>
      <c r="AC540" s="25">
        <f t="shared" si="35"/>
        <v>540</v>
      </c>
      <c r="AD540" s="51">
        <f t="shared" si="36"/>
        <v>1</v>
      </c>
      <c r="AE540" s="25">
        <v>1</v>
      </c>
      <c r="AF540" s="25">
        <v>1</v>
      </c>
      <c r="AG540" s="25">
        <v>1</v>
      </c>
      <c r="AH540" s="25">
        <v>1</v>
      </c>
      <c r="AI540" s="25">
        <f>IF(OR(Apresentação!$E$3='Base de Dados e filtragem'!AI$2,Apresentação!$E$3='Base de Dados e filtragem'!E540),1,0)</f>
        <v>1</v>
      </c>
      <c r="AJ540" s="25">
        <f>IF(OR(Apresentação!$E$4='Base de Dados e filtragem'!AJ$2,Apresentação!$E$4='Base de Dados e filtragem'!F540),1,0)</f>
        <v>1</v>
      </c>
      <c r="AK540" s="25">
        <f>IF(OR(Apresentação!$E$5='Base de Dados e filtragem'!AK$2,Apresentação!$E$5='Base de Dados e filtragem'!G540),1,0)</f>
        <v>1</v>
      </c>
      <c r="AL540" s="25">
        <f>IF(OR(Apresentação!$E$6='Base de Dados e filtragem'!AL$2,Apresentação!$E$6='Base de Dados e filtragem'!H540),1,0)</f>
        <v>1</v>
      </c>
      <c r="AM540" s="25">
        <f>IF(OR(Apresentação!$I$2='Base de Dados e filtragem'!AM$2,Apresentação!$I$2='Base de Dados e filtragem'!I540),1,0)</f>
        <v>1</v>
      </c>
      <c r="AN540" s="25">
        <f>IF(OR(Apresentação!$I$3='Base de Dados e filtragem'!AN$2,Apresentação!$I$3='Base de Dados e filtragem'!J540),1,0)</f>
        <v>1</v>
      </c>
      <c r="AO540" s="25">
        <f>IF(OR(Apresentação!$I$4='Base de Dados e filtragem'!AO$2,Apresentação!$I$4='Base de Dados e filtragem'!K540),1,0)</f>
        <v>1</v>
      </c>
      <c r="AP540" s="25">
        <f>IF(OR(Apresentação!$I$5='Base de Dados e filtragem'!AP$2,Apresentação!$I$5='Base de Dados e filtragem'!L540),1,0)</f>
        <v>1</v>
      </c>
      <c r="AQ540" s="25">
        <f>IF(OR(Apresentação!$I$6='Base de Dados e filtragem'!AQ$2,Apresentação!$I$6='Base de Dados e filtragem'!M540),1,0)</f>
        <v>1</v>
      </c>
      <c r="AR540" s="25">
        <v>1</v>
      </c>
      <c r="AS540" s="25">
        <v>1</v>
      </c>
      <c r="AT540" s="25">
        <v>1</v>
      </c>
      <c r="AU540" s="25">
        <v>1</v>
      </c>
      <c r="AV540" s="25">
        <v>1</v>
      </c>
      <c r="AW540" s="25">
        <v>1</v>
      </c>
      <c r="AX540" s="25">
        <v>1</v>
      </c>
      <c r="AY540" s="25">
        <v>1</v>
      </c>
      <c r="AZ540" s="25">
        <v>1</v>
      </c>
      <c r="BA540" s="25">
        <v>1</v>
      </c>
      <c r="BB540" s="25">
        <v>1</v>
      </c>
      <c r="BC540" s="25">
        <v>1</v>
      </c>
      <c r="BD540" s="25">
        <v>1</v>
      </c>
    </row>
    <row r="541" spans="27:56" x14ac:dyDescent="0.25">
      <c r="AA541" s="68" t="str">
        <f t="shared" si="33"/>
        <v>Fotos\\.jpg</v>
      </c>
      <c r="AB541" s="53">
        <f t="shared" si="34"/>
        <v>1.8484288354898336E-3</v>
      </c>
      <c r="AC541" s="25">
        <f t="shared" si="35"/>
        <v>541</v>
      </c>
      <c r="AD541" s="51">
        <f t="shared" si="36"/>
        <v>1</v>
      </c>
      <c r="AE541" s="25">
        <v>1</v>
      </c>
      <c r="AF541" s="25">
        <v>1</v>
      </c>
      <c r="AG541" s="25">
        <v>1</v>
      </c>
      <c r="AH541" s="25">
        <v>1</v>
      </c>
      <c r="AI541" s="25">
        <f>IF(OR(Apresentação!$E$3='Base de Dados e filtragem'!AI$2,Apresentação!$E$3='Base de Dados e filtragem'!E541),1,0)</f>
        <v>1</v>
      </c>
      <c r="AJ541" s="25">
        <f>IF(OR(Apresentação!$E$4='Base de Dados e filtragem'!AJ$2,Apresentação!$E$4='Base de Dados e filtragem'!F541),1,0)</f>
        <v>1</v>
      </c>
      <c r="AK541" s="25">
        <f>IF(OR(Apresentação!$E$5='Base de Dados e filtragem'!AK$2,Apresentação!$E$5='Base de Dados e filtragem'!G541),1,0)</f>
        <v>1</v>
      </c>
      <c r="AL541" s="25">
        <f>IF(OR(Apresentação!$E$6='Base de Dados e filtragem'!AL$2,Apresentação!$E$6='Base de Dados e filtragem'!H541),1,0)</f>
        <v>1</v>
      </c>
      <c r="AM541" s="25">
        <f>IF(OR(Apresentação!$I$2='Base de Dados e filtragem'!AM$2,Apresentação!$I$2='Base de Dados e filtragem'!I541),1,0)</f>
        <v>1</v>
      </c>
      <c r="AN541" s="25">
        <f>IF(OR(Apresentação!$I$3='Base de Dados e filtragem'!AN$2,Apresentação!$I$3='Base de Dados e filtragem'!J541),1,0)</f>
        <v>1</v>
      </c>
      <c r="AO541" s="25">
        <f>IF(OR(Apresentação!$I$4='Base de Dados e filtragem'!AO$2,Apresentação!$I$4='Base de Dados e filtragem'!K541),1,0)</f>
        <v>1</v>
      </c>
      <c r="AP541" s="25">
        <f>IF(OR(Apresentação!$I$5='Base de Dados e filtragem'!AP$2,Apresentação!$I$5='Base de Dados e filtragem'!L541),1,0)</f>
        <v>1</v>
      </c>
      <c r="AQ541" s="25">
        <f>IF(OR(Apresentação!$I$6='Base de Dados e filtragem'!AQ$2,Apresentação!$I$6='Base de Dados e filtragem'!M541),1,0)</f>
        <v>1</v>
      </c>
      <c r="AR541" s="25">
        <v>1</v>
      </c>
      <c r="AS541" s="25">
        <v>1</v>
      </c>
      <c r="AT541" s="25">
        <v>1</v>
      </c>
      <c r="AU541" s="25">
        <v>1</v>
      </c>
      <c r="AV541" s="25">
        <v>1</v>
      </c>
      <c r="AW541" s="25">
        <v>1</v>
      </c>
      <c r="AX541" s="25">
        <v>1</v>
      </c>
      <c r="AY541" s="25">
        <v>1</v>
      </c>
      <c r="AZ541" s="25">
        <v>1</v>
      </c>
      <c r="BA541" s="25">
        <v>1</v>
      </c>
      <c r="BB541" s="25">
        <v>1</v>
      </c>
      <c r="BC541" s="25">
        <v>1</v>
      </c>
      <c r="BD541" s="25">
        <v>1</v>
      </c>
    </row>
    <row r="542" spans="27:56" x14ac:dyDescent="0.25">
      <c r="AA542" s="68" t="str">
        <f t="shared" si="33"/>
        <v>Fotos\\.jpg</v>
      </c>
      <c r="AB542" s="53">
        <f t="shared" si="34"/>
        <v>1.8450184501845018E-3</v>
      </c>
      <c r="AC542" s="25">
        <f t="shared" si="35"/>
        <v>542</v>
      </c>
      <c r="AD542" s="51">
        <f t="shared" si="36"/>
        <v>1</v>
      </c>
      <c r="AE542" s="25">
        <v>1</v>
      </c>
      <c r="AF542" s="25">
        <v>1</v>
      </c>
      <c r="AG542" s="25">
        <v>1</v>
      </c>
      <c r="AH542" s="25">
        <v>1</v>
      </c>
      <c r="AI542" s="25">
        <f>IF(OR(Apresentação!$E$3='Base de Dados e filtragem'!AI$2,Apresentação!$E$3='Base de Dados e filtragem'!E542),1,0)</f>
        <v>1</v>
      </c>
      <c r="AJ542" s="25">
        <f>IF(OR(Apresentação!$E$4='Base de Dados e filtragem'!AJ$2,Apresentação!$E$4='Base de Dados e filtragem'!F542),1,0)</f>
        <v>1</v>
      </c>
      <c r="AK542" s="25">
        <f>IF(OR(Apresentação!$E$5='Base de Dados e filtragem'!AK$2,Apresentação!$E$5='Base de Dados e filtragem'!G542),1,0)</f>
        <v>1</v>
      </c>
      <c r="AL542" s="25">
        <f>IF(OR(Apresentação!$E$6='Base de Dados e filtragem'!AL$2,Apresentação!$E$6='Base de Dados e filtragem'!H542),1,0)</f>
        <v>1</v>
      </c>
      <c r="AM542" s="25">
        <f>IF(OR(Apresentação!$I$2='Base de Dados e filtragem'!AM$2,Apresentação!$I$2='Base de Dados e filtragem'!I542),1,0)</f>
        <v>1</v>
      </c>
      <c r="AN542" s="25">
        <f>IF(OR(Apresentação!$I$3='Base de Dados e filtragem'!AN$2,Apresentação!$I$3='Base de Dados e filtragem'!J542),1,0)</f>
        <v>1</v>
      </c>
      <c r="AO542" s="25">
        <f>IF(OR(Apresentação!$I$4='Base de Dados e filtragem'!AO$2,Apresentação!$I$4='Base de Dados e filtragem'!K542),1,0)</f>
        <v>1</v>
      </c>
      <c r="AP542" s="25">
        <f>IF(OR(Apresentação!$I$5='Base de Dados e filtragem'!AP$2,Apresentação!$I$5='Base de Dados e filtragem'!L542),1,0)</f>
        <v>1</v>
      </c>
      <c r="AQ542" s="25">
        <f>IF(OR(Apresentação!$I$6='Base de Dados e filtragem'!AQ$2,Apresentação!$I$6='Base de Dados e filtragem'!M542),1,0)</f>
        <v>1</v>
      </c>
      <c r="AR542" s="25">
        <v>1</v>
      </c>
      <c r="AS542" s="25">
        <v>1</v>
      </c>
      <c r="AT542" s="25">
        <v>1</v>
      </c>
      <c r="AU542" s="25">
        <v>1</v>
      </c>
      <c r="AV542" s="25">
        <v>1</v>
      </c>
      <c r="AW542" s="25">
        <v>1</v>
      </c>
      <c r="AX542" s="25">
        <v>1</v>
      </c>
      <c r="AY542" s="25">
        <v>1</v>
      </c>
      <c r="AZ542" s="25">
        <v>1</v>
      </c>
      <c r="BA542" s="25">
        <v>1</v>
      </c>
      <c r="BB542" s="25">
        <v>1</v>
      </c>
      <c r="BC542" s="25">
        <v>1</v>
      </c>
      <c r="BD542" s="25">
        <v>1</v>
      </c>
    </row>
    <row r="543" spans="27:56" x14ac:dyDescent="0.25">
      <c r="AA543" s="68" t="str">
        <f t="shared" si="33"/>
        <v>Fotos\\.jpg</v>
      </c>
      <c r="AB543" s="53">
        <f t="shared" si="34"/>
        <v>1.841620626151013E-3</v>
      </c>
      <c r="AC543" s="25">
        <f t="shared" si="35"/>
        <v>543</v>
      </c>
      <c r="AD543" s="51">
        <f t="shared" si="36"/>
        <v>1</v>
      </c>
      <c r="AE543" s="25">
        <v>1</v>
      </c>
      <c r="AF543" s="25">
        <v>1</v>
      </c>
      <c r="AG543" s="25">
        <v>1</v>
      </c>
      <c r="AH543" s="25">
        <v>1</v>
      </c>
      <c r="AI543" s="25">
        <f>IF(OR(Apresentação!$E$3='Base de Dados e filtragem'!AI$2,Apresentação!$E$3='Base de Dados e filtragem'!E543),1,0)</f>
        <v>1</v>
      </c>
      <c r="AJ543" s="25">
        <f>IF(OR(Apresentação!$E$4='Base de Dados e filtragem'!AJ$2,Apresentação!$E$4='Base de Dados e filtragem'!F543),1,0)</f>
        <v>1</v>
      </c>
      <c r="AK543" s="25">
        <f>IF(OR(Apresentação!$E$5='Base de Dados e filtragem'!AK$2,Apresentação!$E$5='Base de Dados e filtragem'!G543),1,0)</f>
        <v>1</v>
      </c>
      <c r="AL543" s="25">
        <f>IF(OR(Apresentação!$E$6='Base de Dados e filtragem'!AL$2,Apresentação!$E$6='Base de Dados e filtragem'!H543),1,0)</f>
        <v>1</v>
      </c>
      <c r="AM543" s="25">
        <f>IF(OR(Apresentação!$I$2='Base de Dados e filtragem'!AM$2,Apresentação!$I$2='Base de Dados e filtragem'!I543),1,0)</f>
        <v>1</v>
      </c>
      <c r="AN543" s="25">
        <f>IF(OR(Apresentação!$I$3='Base de Dados e filtragem'!AN$2,Apresentação!$I$3='Base de Dados e filtragem'!J543),1,0)</f>
        <v>1</v>
      </c>
      <c r="AO543" s="25">
        <f>IF(OR(Apresentação!$I$4='Base de Dados e filtragem'!AO$2,Apresentação!$I$4='Base de Dados e filtragem'!K543),1,0)</f>
        <v>1</v>
      </c>
      <c r="AP543" s="25">
        <f>IF(OR(Apresentação!$I$5='Base de Dados e filtragem'!AP$2,Apresentação!$I$5='Base de Dados e filtragem'!L543),1,0)</f>
        <v>1</v>
      </c>
      <c r="AQ543" s="25">
        <f>IF(OR(Apresentação!$I$6='Base de Dados e filtragem'!AQ$2,Apresentação!$I$6='Base de Dados e filtragem'!M543),1,0)</f>
        <v>1</v>
      </c>
      <c r="AR543" s="25">
        <v>1</v>
      </c>
      <c r="AS543" s="25">
        <v>1</v>
      </c>
      <c r="AT543" s="25">
        <v>1</v>
      </c>
      <c r="AU543" s="25">
        <v>1</v>
      </c>
      <c r="AV543" s="25">
        <v>1</v>
      </c>
      <c r="AW543" s="25">
        <v>1</v>
      </c>
      <c r="AX543" s="25">
        <v>1</v>
      </c>
      <c r="AY543" s="25">
        <v>1</v>
      </c>
      <c r="AZ543" s="25">
        <v>1</v>
      </c>
      <c r="BA543" s="25">
        <v>1</v>
      </c>
      <c r="BB543" s="25">
        <v>1</v>
      </c>
      <c r="BC543" s="25">
        <v>1</v>
      </c>
      <c r="BD543" s="25">
        <v>1</v>
      </c>
    </row>
    <row r="544" spans="27:56" x14ac:dyDescent="0.25">
      <c r="AA544" s="68" t="str">
        <f t="shared" si="33"/>
        <v>Fotos\\.jpg</v>
      </c>
      <c r="AB544" s="53">
        <f t="shared" si="34"/>
        <v>1.838235294117647E-3</v>
      </c>
      <c r="AC544" s="25">
        <f t="shared" si="35"/>
        <v>544</v>
      </c>
      <c r="AD544" s="51">
        <f t="shared" si="36"/>
        <v>1</v>
      </c>
      <c r="AE544" s="25">
        <v>1</v>
      </c>
      <c r="AF544" s="25">
        <v>1</v>
      </c>
      <c r="AG544" s="25">
        <v>1</v>
      </c>
      <c r="AH544" s="25">
        <v>1</v>
      </c>
      <c r="AI544" s="25">
        <f>IF(OR(Apresentação!$E$3='Base de Dados e filtragem'!AI$2,Apresentação!$E$3='Base de Dados e filtragem'!E544),1,0)</f>
        <v>1</v>
      </c>
      <c r="AJ544" s="25">
        <f>IF(OR(Apresentação!$E$4='Base de Dados e filtragem'!AJ$2,Apresentação!$E$4='Base de Dados e filtragem'!F544),1,0)</f>
        <v>1</v>
      </c>
      <c r="AK544" s="25">
        <f>IF(OR(Apresentação!$E$5='Base de Dados e filtragem'!AK$2,Apresentação!$E$5='Base de Dados e filtragem'!G544),1,0)</f>
        <v>1</v>
      </c>
      <c r="AL544" s="25">
        <f>IF(OR(Apresentação!$E$6='Base de Dados e filtragem'!AL$2,Apresentação!$E$6='Base de Dados e filtragem'!H544),1,0)</f>
        <v>1</v>
      </c>
      <c r="AM544" s="25">
        <f>IF(OR(Apresentação!$I$2='Base de Dados e filtragem'!AM$2,Apresentação!$I$2='Base de Dados e filtragem'!I544),1,0)</f>
        <v>1</v>
      </c>
      <c r="AN544" s="25">
        <f>IF(OR(Apresentação!$I$3='Base de Dados e filtragem'!AN$2,Apresentação!$I$3='Base de Dados e filtragem'!J544),1,0)</f>
        <v>1</v>
      </c>
      <c r="AO544" s="25">
        <f>IF(OR(Apresentação!$I$4='Base de Dados e filtragem'!AO$2,Apresentação!$I$4='Base de Dados e filtragem'!K544),1,0)</f>
        <v>1</v>
      </c>
      <c r="AP544" s="25">
        <f>IF(OR(Apresentação!$I$5='Base de Dados e filtragem'!AP$2,Apresentação!$I$5='Base de Dados e filtragem'!L544),1,0)</f>
        <v>1</v>
      </c>
      <c r="AQ544" s="25">
        <f>IF(OR(Apresentação!$I$6='Base de Dados e filtragem'!AQ$2,Apresentação!$I$6='Base de Dados e filtragem'!M544),1,0)</f>
        <v>1</v>
      </c>
      <c r="AR544" s="25">
        <v>1</v>
      </c>
      <c r="AS544" s="25">
        <v>1</v>
      </c>
      <c r="AT544" s="25">
        <v>1</v>
      </c>
      <c r="AU544" s="25">
        <v>1</v>
      </c>
      <c r="AV544" s="25">
        <v>1</v>
      </c>
      <c r="AW544" s="25">
        <v>1</v>
      </c>
      <c r="AX544" s="25">
        <v>1</v>
      </c>
      <c r="AY544" s="25">
        <v>1</v>
      </c>
      <c r="AZ544" s="25">
        <v>1</v>
      </c>
      <c r="BA544" s="25">
        <v>1</v>
      </c>
      <c r="BB544" s="25">
        <v>1</v>
      </c>
      <c r="BC544" s="25">
        <v>1</v>
      </c>
      <c r="BD544" s="25">
        <v>1</v>
      </c>
    </row>
    <row r="545" spans="27:56" x14ac:dyDescent="0.25">
      <c r="AA545" s="68" t="str">
        <f t="shared" si="33"/>
        <v>Fotos\\.jpg</v>
      </c>
      <c r="AB545" s="53">
        <f t="shared" si="34"/>
        <v>1.834862385321101E-3</v>
      </c>
      <c r="AC545" s="25">
        <f t="shared" si="35"/>
        <v>545</v>
      </c>
      <c r="AD545" s="51">
        <f t="shared" si="36"/>
        <v>1</v>
      </c>
      <c r="AE545" s="25">
        <v>1</v>
      </c>
      <c r="AF545" s="25">
        <v>1</v>
      </c>
      <c r="AG545" s="25">
        <v>1</v>
      </c>
      <c r="AH545" s="25">
        <v>1</v>
      </c>
      <c r="AI545" s="25">
        <f>IF(OR(Apresentação!$E$3='Base de Dados e filtragem'!AI$2,Apresentação!$E$3='Base de Dados e filtragem'!E545),1,0)</f>
        <v>1</v>
      </c>
      <c r="AJ545" s="25">
        <f>IF(OR(Apresentação!$E$4='Base de Dados e filtragem'!AJ$2,Apresentação!$E$4='Base de Dados e filtragem'!F545),1,0)</f>
        <v>1</v>
      </c>
      <c r="AK545" s="25">
        <f>IF(OR(Apresentação!$E$5='Base de Dados e filtragem'!AK$2,Apresentação!$E$5='Base de Dados e filtragem'!G545),1,0)</f>
        <v>1</v>
      </c>
      <c r="AL545" s="25">
        <f>IF(OR(Apresentação!$E$6='Base de Dados e filtragem'!AL$2,Apresentação!$E$6='Base de Dados e filtragem'!H545),1,0)</f>
        <v>1</v>
      </c>
      <c r="AM545" s="25">
        <f>IF(OR(Apresentação!$I$2='Base de Dados e filtragem'!AM$2,Apresentação!$I$2='Base de Dados e filtragem'!I545),1,0)</f>
        <v>1</v>
      </c>
      <c r="AN545" s="25">
        <f>IF(OR(Apresentação!$I$3='Base de Dados e filtragem'!AN$2,Apresentação!$I$3='Base de Dados e filtragem'!J545),1,0)</f>
        <v>1</v>
      </c>
      <c r="AO545" s="25">
        <f>IF(OR(Apresentação!$I$4='Base de Dados e filtragem'!AO$2,Apresentação!$I$4='Base de Dados e filtragem'!K545),1,0)</f>
        <v>1</v>
      </c>
      <c r="AP545" s="25">
        <f>IF(OR(Apresentação!$I$5='Base de Dados e filtragem'!AP$2,Apresentação!$I$5='Base de Dados e filtragem'!L545),1,0)</f>
        <v>1</v>
      </c>
      <c r="AQ545" s="25">
        <f>IF(OR(Apresentação!$I$6='Base de Dados e filtragem'!AQ$2,Apresentação!$I$6='Base de Dados e filtragem'!M545),1,0)</f>
        <v>1</v>
      </c>
      <c r="AR545" s="25">
        <v>1</v>
      </c>
      <c r="AS545" s="25">
        <v>1</v>
      </c>
      <c r="AT545" s="25">
        <v>1</v>
      </c>
      <c r="AU545" s="25">
        <v>1</v>
      </c>
      <c r="AV545" s="25">
        <v>1</v>
      </c>
      <c r="AW545" s="25">
        <v>1</v>
      </c>
      <c r="AX545" s="25">
        <v>1</v>
      </c>
      <c r="AY545" s="25">
        <v>1</v>
      </c>
      <c r="AZ545" s="25">
        <v>1</v>
      </c>
      <c r="BA545" s="25">
        <v>1</v>
      </c>
      <c r="BB545" s="25">
        <v>1</v>
      </c>
      <c r="BC545" s="25">
        <v>1</v>
      </c>
      <c r="BD545" s="25">
        <v>1</v>
      </c>
    </row>
    <row r="546" spans="27:56" x14ac:dyDescent="0.25">
      <c r="AA546" s="68" t="str">
        <f t="shared" si="33"/>
        <v>Fotos\\.jpg</v>
      </c>
      <c r="AB546" s="53">
        <f t="shared" si="34"/>
        <v>1.8315018315018315E-3</v>
      </c>
      <c r="AC546" s="25">
        <f t="shared" si="35"/>
        <v>546</v>
      </c>
      <c r="AD546" s="51">
        <f t="shared" si="36"/>
        <v>1</v>
      </c>
      <c r="AE546" s="25">
        <v>1</v>
      </c>
      <c r="AF546" s="25">
        <v>1</v>
      </c>
      <c r="AG546" s="25">
        <v>1</v>
      </c>
      <c r="AH546" s="25">
        <v>1</v>
      </c>
      <c r="AI546" s="25">
        <f>IF(OR(Apresentação!$E$3='Base de Dados e filtragem'!AI$2,Apresentação!$E$3='Base de Dados e filtragem'!E546),1,0)</f>
        <v>1</v>
      </c>
      <c r="AJ546" s="25">
        <f>IF(OR(Apresentação!$E$4='Base de Dados e filtragem'!AJ$2,Apresentação!$E$4='Base de Dados e filtragem'!F546),1,0)</f>
        <v>1</v>
      </c>
      <c r="AK546" s="25">
        <f>IF(OR(Apresentação!$E$5='Base de Dados e filtragem'!AK$2,Apresentação!$E$5='Base de Dados e filtragem'!G546),1,0)</f>
        <v>1</v>
      </c>
      <c r="AL546" s="25">
        <f>IF(OR(Apresentação!$E$6='Base de Dados e filtragem'!AL$2,Apresentação!$E$6='Base de Dados e filtragem'!H546),1,0)</f>
        <v>1</v>
      </c>
      <c r="AM546" s="25">
        <f>IF(OR(Apresentação!$I$2='Base de Dados e filtragem'!AM$2,Apresentação!$I$2='Base de Dados e filtragem'!I546),1,0)</f>
        <v>1</v>
      </c>
      <c r="AN546" s="25">
        <f>IF(OR(Apresentação!$I$3='Base de Dados e filtragem'!AN$2,Apresentação!$I$3='Base de Dados e filtragem'!J546),1,0)</f>
        <v>1</v>
      </c>
      <c r="AO546" s="25">
        <f>IF(OR(Apresentação!$I$4='Base de Dados e filtragem'!AO$2,Apresentação!$I$4='Base de Dados e filtragem'!K546),1,0)</f>
        <v>1</v>
      </c>
      <c r="AP546" s="25">
        <f>IF(OR(Apresentação!$I$5='Base de Dados e filtragem'!AP$2,Apresentação!$I$5='Base de Dados e filtragem'!L546),1,0)</f>
        <v>1</v>
      </c>
      <c r="AQ546" s="25">
        <f>IF(OR(Apresentação!$I$6='Base de Dados e filtragem'!AQ$2,Apresentação!$I$6='Base de Dados e filtragem'!M546),1,0)</f>
        <v>1</v>
      </c>
      <c r="AR546" s="25">
        <v>1</v>
      </c>
      <c r="AS546" s="25">
        <v>1</v>
      </c>
      <c r="AT546" s="25">
        <v>1</v>
      </c>
      <c r="AU546" s="25">
        <v>1</v>
      </c>
      <c r="AV546" s="25">
        <v>1</v>
      </c>
      <c r="AW546" s="25">
        <v>1</v>
      </c>
      <c r="AX546" s="25">
        <v>1</v>
      </c>
      <c r="AY546" s="25">
        <v>1</v>
      </c>
      <c r="AZ546" s="25">
        <v>1</v>
      </c>
      <c r="BA546" s="25">
        <v>1</v>
      </c>
      <c r="BB546" s="25">
        <v>1</v>
      </c>
      <c r="BC546" s="25">
        <v>1</v>
      </c>
      <c r="BD546" s="25">
        <v>1</v>
      </c>
    </row>
    <row r="547" spans="27:56" x14ac:dyDescent="0.25">
      <c r="AA547" s="68" t="str">
        <f t="shared" si="33"/>
        <v>Fotos\\.jpg</v>
      </c>
      <c r="AB547" s="53">
        <f t="shared" si="34"/>
        <v>1.8281535648994515E-3</v>
      </c>
      <c r="AC547" s="25">
        <f t="shared" si="35"/>
        <v>547</v>
      </c>
      <c r="AD547" s="51">
        <f t="shared" si="36"/>
        <v>1</v>
      </c>
      <c r="AE547" s="25">
        <v>1</v>
      </c>
      <c r="AF547" s="25">
        <v>1</v>
      </c>
      <c r="AG547" s="25">
        <v>1</v>
      </c>
      <c r="AH547" s="25">
        <v>1</v>
      </c>
      <c r="AI547" s="25">
        <f>IF(OR(Apresentação!$E$3='Base de Dados e filtragem'!AI$2,Apresentação!$E$3='Base de Dados e filtragem'!E547),1,0)</f>
        <v>1</v>
      </c>
      <c r="AJ547" s="25">
        <f>IF(OR(Apresentação!$E$4='Base de Dados e filtragem'!AJ$2,Apresentação!$E$4='Base de Dados e filtragem'!F547),1,0)</f>
        <v>1</v>
      </c>
      <c r="AK547" s="25">
        <f>IF(OR(Apresentação!$E$5='Base de Dados e filtragem'!AK$2,Apresentação!$E$5='Base de Dados e filtragem'!G547),1,0)</f>
        <v>1</v>
      </c>
      <c r="AL547" s="25">
        <f>IF(OR(Apresentação!$E$6='Base de Dados e filtragem'!AL$2,Apresentação!$E$6='Base de Dados e filtragem'!H547),1,0)</f>
        <v>1</v>
      </c>
      <c r="AM547" s="25">
        <f>IF(OR(Apresentação!$I$2='Base de Dados e filtragem'!AM$2,Apresentação!$I$2='Base de Dados e filtragem'!I547),1,0)</f>
        <v>1</v>
      </c>
      <c r="AN547" s="25">
        <f>IF(OR(Apresentação!$I$3='Base de Dados e filtragem'!AN$2,Apresentação!$I$3='Base de Dados e filtragem'!J547),1,0)</f>
        <v>1</v>
      </c>
      <c r="AO547" s="25">
        <f>IF(OR(Apresentação!$I$4='Base de Dados e filtragem'!AO$2,Apresentação!$I$4='Base de Dados e filtragem'!K547),1,0)</f>
        <v>1</v>
      </c>
      <c r="AP547" s="25">
        <f>IF(OR(Apresentação!$I$5='Base de Dados e filtragem'!AP$2,Apresentação!$I$5='Base de Dados e filtragem'!L547),1,0)</f>
        <v>1</v>
      </c>
      <c r="AQ547" s="25">
        <f>IF(OR(Apresentação!$I$6='Base de Dados e filtragem'!AQ$2,Apresentação!$I$6='Base de Dados e filtragem'!M547),1,0)</f>
        <v>1</v>
      </c>
      <c r="AR547" s="25">
        <v>1</v>
      </c>
      <c r="AS547" s="25">
        <v>1</v>
      </c>
      <c r="AT547" s="25">
        <v>1</v>
      </c>
      <c r="AU547" s="25">
        <v>1</v>
      </c>
      <c r="AV547" s="25">
        <v>1</v>
      </c>
      <c r="AW547" s="25">
        <v>1</v>
      </c>
      <c r="AX547" s="25">
        <v>1</v>
      </c>
      <c r="AY547" s="25">
        <v>1</v>
      </c>
      <c r="AZ547" s="25">
        <v>1</v>
      </c>
      <c r="BA547" s="25">
        <v>1</v>
      </c>
      <c r="BB547" s="25">
        <v>1</v>
      </c>
      <c r="BC547" s="25">
        <v>1</v>
      </c>
      <c r="BD547" s="25">
        <v>1</v>
      </c>
    </row>
    <row r="548" spans="27:56" x14ac:dyDescent="0.25">
      <c r="AA548" s="68" t="str">
        <f t="shared" si="33"/>
        <v>Fotos\\.jpg</v>
      </c>
      <c r="AB548" s="53">
        <f t="shared" si="34"/>
        <v>1.8248175182481751E-3</v>
      </c>
      <c r="AC548" s="25">
        <f t="shared" si="35"/>
        <v>548</v>
      </c>
      <c r="AD548" s="51">
        <f t="shared" si="36"/>
        <v>1</v>
      </c>
      <c r="AE548" s="25">
        <v>1</v>
      </c>
      <c r="AF548" s="25">
        <v>1</v>
      </c>
      <c r="AG548" s="25">
        <v>1</v>
      </c>
      <c r="AH548" s="25">
        <v>1</v>
      </c>
      <c r="AI548" s="25">
        <f>IF(OR(Apresentação!$E$3='Base de Dados e filtragem'!AI$2,Apresentação!$E$3='Base de Dados e filtragem'!E548),1,0)</f>
        <v>1</v>
      </c>
      <c r="AJ548" s="25">
        <f>IF(OR(Apresentação!$E$4='Base de Dados e filtragem'!AJ$2,Apresentação!$E$4='Base de Dados e filtragem'!F548),1,0)</f>
        <v>1</v>
      </c>
      <c r="AK548" s="25">
        <f>IF(OR(Apresentação!$E$5='Base de Dados e filtragem'!AK$2,Apresentação!$E$5='Base de Dados e filtragem'!G548),1,0)</f>
        <v>1</v>
      </c>
      <c r="AL548" s="25">
        <f>IF(OR(Apresentação!$E$6='Base de Dados e filtragem'!AL$2,Apresentação!$E$6='Base de Dados e filtragem'!H548),1,0)</f>
        <v>1</v>
      </c>
      <c r="AM548" s="25">
        <f>IF(OR(Apresentação!$I$2='Base de Dados e filtragem'!AM$2,Apresentação!$I$2='Base de Dados e filtragem'!I548),1,0)</f>
        <v>1</v>
      </c>
      <c r="AN548" s="25">
        <f>IF(OR(Apresentação!$I$3='Base de Dados e filtragem'!AN$2,Apresentação!$I$3='Base de Dados e filtragem'!J548),1,0)</f>
        <v>1</v>
      </c>
      <c r="AO548" s="25">
        <f>IF(OR(Apresentação!$I$4='Base de Dados e filtragem'!AO$2,Apresentação!$I$4='Base de Dados e filtragem'!K548),1,0)</f>
        <v>1</v>
      </c>
      <c r="AP548" s="25">
        <f>IF(OR(Apresentação!$I$5='Base de Dados e filtragem'!AP$2,Apresentação!$I$5='Base de Dados e filtragem'!L548),1,0)</f>
        <v>1</v>
      </c>
      <c r="AQ548" s="25">
        <f>IF(OR(Apresentação!$I$6='Base de Dados e filtragem'!AQ$2,Apresentação!$I$6='Base de Dados e filtragem'!M548),1,0)</f>
        <v>1</v>
      </c>
      <c r="AR548" s="25">
        <v>1</v>
      </c>
      <c r="AS548" s="25">
        <v>1</v>
      </c>
      <c r="AT548" s="25">
        <v>1</v>
      </c>
      <c r="AU548" s="25">
        <v>1</v>
      </c>
      <c r="AV548" s="25">
        <v>1</v>
      </c>
      <c r="AW548" s="25">
        <v>1</v>
      </c>
      <c r="AX548" s="25">
        <v>1</v>
      </c>
      <c r="AY548" s="25">
        <v>1</v>
      </c>
      <c r="AZ548" s="25">
        <v>1</v>
      </c>
      <c r="BA548" s="25">
        <v>1</v>
      </c>
      <c r="BB548" s="25">
        <v>1</v>
      </c>
      <c r="BC548" s="25">
        <v>1</v>
      </c>
      <c r="BD548" s="25">
        <v>1</v>
      </c>
    </row>
    <row r="549" spans="27:56" x14ac:dyDescent="0.25">
      <c r="AA549" s="68" t="str">
        <f t="shared" si="33"/>
        <v>Fotos\\.jpg</v>
      </c>
      <c r="AB549" s="53">
        <f t="shared" si="34"/>
        <v>1.8214936247723133E-3</v>
      </c>
      <c r="AC549" s="25">
        <f t="shared" si="35"/>
        <v>549</v>
      </c>
      <c r="AD549" s="51">
        <f t="shared" si="36"/>
        <v>1</v>
      </c>
      <c r="AE549" s="25">
        <v>1</v>
      </c>
      <c r="AF549" s="25">
        <v>1</v>
      </c>
      <c r="AG549" s="25">
        <v>1</v>
      </c>
      <c r="AH549" s="25">
        <v>1</v>
      </c>
      <c r="AI549" s="25">
        <f>IF(OR(Apresentação!$E$3='Base de Dados e filtragem'!AI$2,Apresentação!$E$3='Base de Dados e filtragem'!E549),1,0)</f>
        <v>1</v>
      </c>
      <c r="AJ549" s="25">
        <f>IF(OR(Apresentação!$E$4='Base de Dados e filtragem'!AJ$2,Apresentação!$E$4='Base de Dados e filtragem'!F549),1,0)</f>
        <v>1</v>
      </c>
      <c r="AK549" s="25">
        <f>IF(OR(Apresentação!$E$5='Base de Dados e filtragem'!AK$2,Apresentação!$E$5='Base de Dados e filtragem'!G549),1,0)</f>
        <v>1</v>
      </c>
      <c r="AL549" s="25">
        <f>IF(OR(Apresentação!$E$6='Base de Dados e filtragem'!AL$2,Apresentação!$E$6='Base de Dados e filtragem'!H549),1,0)</f>
        <v>1</v>
      </c>
      <c r="AM549" s="25">
        <f>IF(OR(Apresentação!$I$2='Base de Dados e filtragem'!AM$2,Apresentação!$I$2='Base de Dados e filtragem'!I549),1,0)</f>
        <v>1</v>
      </c>
      <c r="AN549" s="25">
        <f>IF(OR(Apresentação!$I$3='Base de Dados e filtragem'!AN$2,Apresentação!$I$3='Base de Dados e filtragem'!J549),1,0)</f>
        <v>1</v>
      </c>
      <c r="AO549" s="25">
        <f>IF(OR(Apresentação!$I$4='Base de Dados e filtragem'!AO$2,Apresentação!$I$4='Base de Dados e filtragem'!K549),1,0)</f>
        <v>1</v>
      </c>
      <c r="AP549" s="25">
        <f>IF(OR(Apresentação!$I$5='Base de Dados e filtragem'!AP$2,Apresentação!$I$5='Base de Dados e filtragem'!L549),1,0)</f>
        <v>1</v>
      </c>
      <c r="AQ549" s="25">
        <f>IF(OR(Apresentação!$I$6='Base de Dados e filtragem'!AQ$2,Apresentação!$I$6='Base de Dados e filtragem'!M549),1,0)</f>
        <v>1</v>
      </c>
      <c r="AR549" s="25">
        <v>1</v>
      </c>
      <c r="AS549" s="25">
        <v>1</v>
      </c>
      <c r="AT549" s="25">
        <v>1</v>
      </c>
      <c r="AU549" s="25">
        <v>1</v>
      </c>
      <c r="AV549" s="25">
        <v>1</v>
      </c>
      <c r="AW549" s="25">
        <v>1</v>
      </c>
      <c r="AX549" s="25">
        <v>1</v>
      </c>
      <c r="AY549" s="25">
        <v>1</v>
      </c>
      <c r="AZ549" s="25">
        <v>1</v>
      </c>
      <c r="BA549" s="25">
        <v>1</v>
      </c>
      <c r="BB549" s="25">
        <v>1</v>
      </c>
      <c r="BC549" s="25">
        <v>1</v>
      </c>
      <c r="BD549" s="25">
        <v>1</v>
      </c>
    </row>
    <row r="550" spans="27:56" x14ac:dyDescent="0.25">
      <c r="AA550" s="68" t="str">
        <f t="shared" si="33"/>
        <v>Fotos\\.jpg</v>
      </c>
      <c r="AB550" s="53">
        <f t="shared" si="34"/>
        <v>1.8181818181818182E-3</v>
      </c>
      <c r="AC550" s="25">
        <f t="shared" si="35"/>
        <v>550</v>
      </c>
      <c r="AD550" s="51">
        <f t="shared" si="36"/>
        <v>1</v>
      </c>
      <c r="AE550" s="25">
        <v>1</v>
      </c>
      <c r="AF550" s="25">
        <v>1</v>
      </c>
      <c r="AG550" s="25">
        <v>1</v>
      </c>
      <c r="AH550" s="25">
        <v>1</v>
      </c>
      <c r="AI550" s="25">
        <f>IF(OR(Apresentação!$E$3='Base de Dados e filtragem'!AI$2,Apresentação!$E$3='Base de Dados e filtragem'!E550),1,0)</f>
        <v>1</v>
      </c>
      <c r="AJ550" s="25">
        <f>IF(OR(Apresentação!$E$4='Base de Dados e filtragem'!AJ$2,Apresentação!$E$4='Base de Dados e filtragem'!F550),1,0)</f>
        <v>1</v>
      </c>
      <c r="AK550" s="25">
        <f>IF(OR(Apresentação!$E$5='Base de Dados e filtragem'!AK$2,Apresentação!$E$5='Base de Dados e filtragem'!G550),1,0)</f>
        <v>1</v>
      </c>
      <c r="AL550" s="25">
        <f>IF(OR(Apresentação!$E$6='Base de Dados e filtragem'!AL$2,Apresentação!$E$6='Base de Dados e filtragem'!H550),1,0)</f>
        <v>1</v>
      </c>
      <c r="AM550" s="25">
        <f>IF(OR(Apresentação!$I$2='Base de Dados e filtragem'!AM$2,Apresentação!$I$2='Base de Dados e filtragem'!I550),1,0)</f>
        <v>1</v>
      </c>
      <c r="AN550" s="25">
        <f>IF(OR(Apresentação!$I$3='Base de Dados e filtragem'!AN$2,Apresentação!$I$3='Base de Dados e filtragem'!J550),1,0)</f>
        <v>1</v>
      </c>
      <c r="AO550" s="25">
        <f>IF(OR(Apresentação!$I$4='Base de Dados e filtragem'!AO$2,Apresentação!$I$4='Base de Dados e filtragem'!K550),1,0)</f>
        <v>1</v>
      </c>
      <c r="AP550" s="25">
        <f>IF(OR(Apresentação!$I$5='Base de Dados e filtragem'!AP$2,Apresentação!$I$5='Base de Dados e filtragem'!L550),1,0)</f>
        <v>1</v>
      </c>
      <c r="AQ550" s="25">
        <f>IF(OR(Apresentação!$I$6='Base de Dados e filtragem'!AQ$2,Apresentação!$I$6='Base de Dados e filtragem'!M550),1,0)</f>
        <v>1</v>
      </c>
      <c r="AR550" s="25">
        <v>1</v>
      </c>
      <c r="AS550" s="25">
        <v>1</v>
      </c>
      <c r="AT550" s="25">
        <v>1</v>
      </c>
      <c r="AU550" s="25">
        <v>1</v>
      </c>
      <c r="AV550" s="25">
        <v>1</v>
      </c>
      <c r="AW550" s="25">
        <v>1</v>
      </c>
      <c r="AX550" s="25">
        <v>1</v>
      </c>
      <c r="AY550" s="25">
        <v>1</v>
      </c>
      <c r="AZ550" s="25">
        <v>1</v>
      </c>
      <c r="BA550" s="25">
        <v>1</v>
      </c>
      <c r="BB550" s="25">
        <v>1</v>
      </c>
      <c r="BC550" s="25">
        <v>1</v>
      </c>
      <c r="BD550" s="25">
        <v>1</v>
      </c>
    </row>
    <row r="551" spans="27:56" x14ac:dyDescent="0.25">
      <c r="AA551" s="68" t="str">
        <f t="shared" si="33"/>
        <v>Fotos\\.jpg</v>
      </c>
      <c r="AB551" s="53">
        <f t="shared" si="34"/>
        <v>1.8148820326678765E-3</v>
      </c>
      <c r="AC551" s="25">
        <f t="shared" si="35"/>
        <v>551</v>
      </c>
      <c r="AD551" s="51">
        <f t="shared" si="36"/>
        <v>1</v>
      </c>
      <c r="AE551" s="25">
        <v>1</v>
      </c>
      <c r="AF551" s="25">
        <v>1</v>
      </c>
      <c r="AG551" s="25">
        <v>1</v>
      </c>
      <c r="AH551" s="25">
        <v>1</v>
      </c>
      <c r="AI551" s="25">
        <f>IF(OR(Apresentação!$E$3='Base de Dados e filtragem'!AI$2,Apresentação!$E$3='Base de Dados e filtragem'!E551),1,0)</f>
        <v>1</v>
      </c>
      <c r="AJ551" s="25">
        <f>IF(OR(Apresentação!$E$4='Base de Dados e filtragem'!AJ$2,Apresentação!$E$4='Base de Dados e filtragem'!F551),1,0)</f>
        <v>1</v>
      </c>
      <c r="AK551" s="25">
        <f>IF(OR(Apresentação!$E$5='Base de Dados e filtragem'!AK$2,Apresentação!$E$5='Base de Dados e filtragem'!G551),1,0)</f>
        <v>1</v>
      </c>
      <c r="AL551" s="25">
        <f>IF(OR(Apresentação!$E$6='Base de Dados e filtragem'!AL$2,Apresentação!$E$6='Base de Dados e filtragem'!H551),1,0)</f>
        <v>1</v>
      </c>
      <c r="AM551" s="25">
        <f>IF(OR(Apresentação!$I$2='Base de Dados e filtragem'!AM$2,Apresentação!$I$2='Base de Dados e filtragem'!I551),1,0)</f>
        <v>1</v>
      </c>
      <c r="AN551" s="25">
        <f>IF(OR(Apresentação!$I$3='Base de Dados e filtragem'!AN$2,Apresentação!$I$3='Base de Dados e filtragem'!J551),1,0)</f>
        <v>1</v>
      </c>
      <c r="AO551" s="25">
        <f>IF(OR(Apresentação!$I$4='Base de Dados e filtragem'!AO$2,Apresentação!$I$4='Base de Dados e filtragem'!K551),1,0)</f>
        <v>1</v>
      </c>
      <c r="AP551" s="25">
        <f>IF(OR(Apresentação!$I$5='Base de Dados e filtragem'!AP$2,Apresentação!$I$5='Base de Dados e filtragem'!L551),1,0)</f>
        <v>1</v>
      </c>
      <c r="AQ551" s="25">
        <f>IF(OR(Apresentação!$I$6='Base de Dados e filtragem'!AQ$2,Apresentação!$I$6='Base de Dados e filtragem'!M551),1,0)</f>
        <v>1</v>
      </c>
      <c r="AR551" s="25">
        <v>1</v>
      </c>
      <c r="AS551" s="25">
        <v>1</v>
      </c>
      <c r="AT551" s="25">
        <v>1</v>
      </c>
      <c r="AU551" s="25">
        <v>1</v>
      </c>
      <c r="AV551" s="25">
        <v>1</v>
      </c>
      <c r="AW551" s="25">
        <v>1</v>
      </c>
      <c r="AX551" s="25">
        <v>1</v>
      </c>
      <c r="AY551" s="25">
        <v>1</v>
      </c>
      <c r="AZ551" s="25">
        <v>1</v>
      </c>
      <c r="BA551" s="25">
        <v>1</v>
      </c>
      <c r="BB551" s="25">
        <v>1</v>
      </c>
      <c r="BC551" s="25">
        <v>1</v>
      </c>
      <c r="BD551" s="25">
        <v>1</v>
      </c>
    </row>
    <row r="552" spans="27:56" x14ac:dyDescent="0.25">
      <c r="AA552" s="68" t="str">
        <f t="shared" si="33"/>
        <v>Fotos\\.jpg</v>
      </c>
      <c r="AB552" s="53">
        <f t="shared" si="34"/>
        <v>1.8115942028985507E-3</v>
      </c>
      <c r="AC552" s="25">
        <f t="shared" si="35"/>
        <v>552</v>
      </c>
      <c r="AD552" s="51">
        <f t="shared" si="36"/>
        <v>1</v>
      </c>
      <c r="AE552" s="25">
        <v>1</v>
      </c>
      <c r="AF552" s="25">
        <v>1</v>
      </c>
      <c r="AG552" s="25">
        <v>1</v>
      </c>
      <c r="AH552" s="25">
        <v>1</v>
      </c>
      <c r="AI552" s="25">
        <f>IF(OR(Apresentação!$E$3='Base de Dados e filtragem'!AI$2,Apresentação!$E$3='Base de Dados e filtragem'!E552),1,0)</f>
        <v>1</v>
      </c>
      <c r="AJ552" s="25">
        <f>IF(OR(Apresentação!$E$4='Base de Dados e filtragem'!AJ$2,Apresentação!$E$4='Base de Dados e filtragem'!F552),1,0)</f>
        <v>1</v>
      </c>
      <c r="AK552" s="25">
        <f>IF(OR(Apresentação!$E$5='Base de Dados e filtragem'!AK$2,Apresentação!$E$5='Base de Dados e filtragem'!G552),1,0)</f>
        <v>1</v>
      </c>
      <c r="AL552" s="25">
        <f>IF(OR(Apresentação!$E$6='Base de Dados e filtragem'!AL$2,Apresentação!$E$6='Base de Dados e filtragem'!H552),1,0)</f>
        <v>1</v>
      </c>
      <c r="AM552" s="25">
        <f>IF(OR(Apresentação!$I$2='Base de Dados e filtragem'!AM$2,Apresentação!$I$2='Base de Dados e filtragem'!I552),1,0)</f>
        <v>1</v>
      </c>
      <c r="AN552" s="25">
        <f>IF(OR(Apresentação!$I$3='Base de Dados e filtragem'!AN$2,Apresentação!$I$3='Base de Dados e filtragem'!J552),1,0)</f>
        <v>1</v>
      </c>
      <c r="AO552" s="25">
        <f>IF(OR(Apresentação!$I$4='Base de Dados e filtragem'!AO$2,Apresentação!$I$4='Base de Dados e filtragem'!K552),1,0)</f>
        <v>1</v>
      </c>
      <c r="AP552" s="25">
        <f>IF(OR(Apresentação!$I$5='Base de Dados e filtragem'!AP$2,Apresentação!$I$5='Base de Dados e filtragem'!L552),1,0)</f>
        <v>1</v>
      </c>
      <c r="AQ552" s="25">
        <f>IF(OR(Apresentação!$I$6='Base de Dados e filtragem'!AQ$2,Apresentação!$I$6='Base de Dados e filtragem'!M552),1,0)</f>
        <v>1</v>
      </c>
      <c r="AR552" s="25">
        <v>1</v>
      </c>
      <c r="AS552" s="25">
        <v>1</v>
      </c>
      <c r="AT552" s="25">
        <v>1</v>
      </c>
      <c r="AU552" s="25">
        <v>1</v>
      </c>
      <c r="AV552" s="25">
        <v>1</v>
      </c>
      <c r="AW552" s="25">
        <v>1</v>
      </c>
      <c r="AX552" s="25">
        <v>1</v>
      </c>
      <c r="AY552" s="25">
        <v>1</v>
      </c>
      <c r="AZ552" s="25">
        <v>1</v>
      </c>
      <c r="BA552" s="25">
        <v>1</v>
      </c>
      <c r="BB552" s="25">
        <v>1</v>
      </c>
      <c r="BC552" s="25">
        <v>1</v>
      </c>
      <c r="BD552" s="25">
        <v>1</v>
      </c>
    </row>
    <row r="553" spans="27:56" x14ac:dyDescent="0.25">
      <c r="AA553" s="68" t="str">
        <f t="shared" si="33"/>
        <v>Fotos\\.jpg</v>
      </c>
      <c r="AB553" s="53">
        <f t="shared" si="34"/>
        <v>1.8083182640144665E-3</v>
      </c>
      <c r="AC553" s="25">
        <f t="shared" si="35"/>
        <v>553</v>
      </c>
      <c r="AD553" s="51">
        <f t="shared" si="36"/>
        <v>1</v>
      </c>
      <c r="AE553" s="25">
        <v>1</v>
      </c>
      <c r="AF553" s="25">
        <v>1</v>
      </c>
      <c r="AG553" s="25">
        <v>1</v>
      </c>
      <c r="AH553" s="25">
        <v>1</v>
      </c>
      <c r="AI553" s="25">
        <f>IF(OR(Apresentação!$E$3='Base de Dados e filtragem'!AI$2,Apresentação!$E$3='Base de Dados e filtragem'!E553),1,0)</f>
        <v>1</v>
      </c>
      <c r="AJ553" s="25">
        <f>IF(OR(Apresentação!$E$4='Base de Dados e filtragem'!AJ$2,Apresentação!$E$4='Base de Dados e filtragem'!F553),1,0)</f>
        <v>1</v>
      </c>
      <c r="AK553" s="25">
        <f>IF(OR(Apresentação!$E$5='Base de Dados e filtragem'!AK$2,Apresentação!$E$5='Base de Dados e filtragem'!G553),1,0)</f>
        <v>1</v>
      </c>
      <c r="AL553" s="25">
        <f>IF(OR(Apresentação!$E$6='Base de Dados e filtragem'!AL$2,Apresentação!$E$6='Base de Dados e filtragem'!H553),1,0)</f>
        <v>1</v>
      </c>
      <c r="AM553" s="25">
        <f>IF(OR(Apresentação!$I$2='Base de Dados e filtragem'!AM$2,Apresentação!$I$2='Base de Dados e filtragem'!I553),1,0)</f>
        <v>1</v>
      </c>
      <c r="AN553" s="25">
        <f>IF(OR(Apresentação!$I$3='Base de Dados e filtragem'!AN$2,Apresentação!$I$3='Base de Dados e filtragem'!J553),1,0)</f>
        <v>1</v>
      </c>
      <c r="AO553" s="25">
        <f>IF(OR(Apresentação!$I$4='Base de Dados e filtragem'!AO$2,Apresentação!$I$4='Base de Dados e filtragem'!K553),1,0)</f>
        <v>1</v>
      </c>
      <c r="AP553" s="25">
        <f>IF(OR(Apresentação!$I$5='Base de Dados e filtragem'!AP$2,Apresentação!$I$5='Base de Dados e filtragem'!L553),1,0)</f>
        <v>1</v>
      </c>
      <c r="AQ553" s="25">
        <f>IF(OR(Apresentação!$I$6='Base de Dados e filtragem'!AQ$2,Apresentação!$I$6='Base de Dados e filtragem'!M553),1,0)</f>
        <v>1</v>
      </c>
      <c r="AR553" s="25">
        <v>1</v>
      </c>
      <c r="AS553" s="25">
        <v>1</v>
      </c>
      <c r="AT553" s="25">
        <v>1</v>
      </c>
      <c r="AU553" s="25">
        <v>1</v>
      </c>
      <c r="AV553" s="25">
        <v>1</v>
      </c>
      <c r="AW553" s="25">
        <v>1</v>
      </c>
      <c r="AX553" s="25">
        <v>1</v>
      </c>
      <c r="AY553" s="25">
        <v>1</v>
      </c>
      <c r="AZ553" s="25">
        <v>1</v>
      </c>
      <c r="BA553" s="25">
        <v>1</v>
      </c>
      <c r="BB553" s="25">
        <v>1</v>
      </c>
      <c r="BC553" s="25">
        <v>1</v>
      </c>
      <c r="BD553" s="25">
        <v>1</v>
      </c>
    </row>
    <row r="554" spans="27:56" x14ac:dyDescent="0.25">
      <c r="AA554" s="68" t="str">
        <f t="shared" si="33"/>
        <v>Fotos\\.jpg</v>
      </c>
      <c r="AB554" s="53">
        <f t="shared" si="34"/>
        <v>1.8050541516245488E-3</v>
      </c>
      <c r="AC554" s="25">
        <f t="shared" si="35"/>
        <v>554</v>
      </c>
      <c r="AD554" s="51">
        <f t="shared" si="36"/>
        <v>1</v>
      </c>
      <c r="AE554" s="25">
        <v>1</v>
      </c>
      <c r="AF554" s="25">
        <v>1</v>
      </c>
      <c r="AG554" s="25">
        <v>1</v>
      </c>
      <c r="AH554" s="25">
        <v>1</v>
      </c>
      <c r="AI554" s="25">
        <f>IF(OR(Apresentação!$E$3='Base de Dados e filtragem'!AI$2,Apresentação!$E$3='Base de Dados e filtragem'!E554),1,0)</f>
        <v>1</v>
      </c>
      <c r="AJ554" s="25">
        <f>IF(OR(Apresentação!$E$4='Base de Dados e filtragem'!AJ$2,Apresentação!$E$4='Base de Dados e filtragem'!F554),1,0)</f>
        <v>1</v>
      </c>
      <c r="AK554" s="25">
        <f>IF(OR(Apresentação!$E$5='Base de Dados e filtragem'!AK$2,Apresentação!$E$5='Base de Dados e filtragem'!G554),1,0)</f>
        <v>1</v>
      </c>
      <c r="AL554" s="25">
        <f>IF(OR(Apresentação!$E$6='Base de Dados e filtragem'!AL$2,Apresentação!$E$6='Base de Dados e filtragem'!H554),1,0)</f>
        <v>1</v>
      </c>
      <c r="AM554" s="25">
        <f>IF(OR(Apresentação!$I$2='Base de Dados e filtragem'!AM$2,Apresentação!$I$2='Base de Dados e filtragem'!I554),1,0)</f>
        <v>1</v>
      </c>
      <c r="AN554" s="25">
        <f>IF(OR(Apresentação!$I$3='Base de Dados e filtragem'!AN$2,Apresentação!$I$3='Base de Dados e filtragem'!J554),1,0)</f>
        <v>1</v>
      </c>
      <c r="AO554" s="25">
        <f>IF(OR(Apresentação!$I$4='Base de Dados e filtragem'!AO$2,Apresentação!$I$4='Base de Dados e filtragem'!K554),1,0)</f>
        <v>1</v>
      </c>
      <c r="AP554" s="25">
        <f>IF(OR(Apresentação!$I$5='Base de Dados e filtragem'!AP$2,Apresentação!$I$5='Base de Dados e filtragem'!L554),1,0)</f>
        <v>1</v>
      </c>
      <c r="AQ554" s="25">
        <f>IF(OR(Apresentação!$I$6='Base de Dados e filtragem'!AQ$2,Apresentação!$I$6='Base de Dados e filtragem'!M554),1,0)</f>
        <v>1</v>
      </c>
      <c r="AR554" s="25">
        <v>1</v>
      </c>
      <c r="AS554" s="25">
        <v>1</v>
      </c>
      <c r="AT554" s="25">
        <v>1</v>
      </c>
      <c r="AU554" s="25">
        <v>1</v>
      </c>
      <c r="AV554" s="25">
        <v>1</v>
      </c>
      <c r="AW554" s="25">
        <v>1</v>
      </c>
      <c r="AX554" s="25">
        <v>1</v>
      </c>
      <c r="AY554" s="25">
        <v>1</v>
      </c>
      <c r="AZ554" s="25">
        <v>1</v>
      </c>
      <c r="BA554" s="25">
        <v>1</v>
      </c>
      <c r="BB554" s="25">
        <v>1</v>
      </c>
      <c r="BC554" s="25">
        <v>1</v>
      </c>
      <c r="BD554" s="25">
        <v>1</v>
      </c>
    </row>
    <row r="555" spans="27:56" x14ac:dyDescent="0.25">
      <c r="AA555" s="68" t="str">
        <f t="shared" si="33"/>
        <v>Fotos\\.jpg</v>
      </c>
      <c r="AB555" s="53">
        <f t="shared" si="34"/>
        <v>1.8018018018018018E-3</v>
      </c>
      <c r="AC555" s="25">
        <f t="shared" si="35"/>
        <v>555</v>
      </c>
      <c r="AD555" s="51">
        <f t="shared" si="36"/>
        <v>1</v>
      </c>
      <c r="AE555" s="25">
        <v>1</v>
      </c>
      <c r="AF555" s="25">
        <v>1</v>
      </c>
      <c r="AG555" s="25">
        <v>1</v>
      </c>
      <c r="AH555" s="25">
        <v>1</v>
      </c>
      <c r="AI555" s="25">
        <f>IF(OR(Apresentação!$E$3='Base de Dados e filtragem'!AI$2,Apresentação!$E$3='Base de Dados e filtragem'!E555),1,0)</f>
        <v>1</v>
      </c>
      <c r="AJ555" s="25">
        <f>IF(OR(Apresentação!$E$4='Base de Dados e filtragem'!AJ$2,Apresentação!$E$4='Base de Dados e filtragem'!F555),1,0)</f>
        <v>1</v>
      </c>
      <c r="AK555" s="25">
        <f>IF(OR(Apresentação!$E$5='Base de Dados e filtragem'!AK$2,Apresentação!$E$5='Base de Dados e filtragem'!G555),1,0)</f>
        <v>1</v>
      </c>
      <c r="AL555" s="25">
        <f>IF(OR(Apresentação!$E$6='Base de Dados e filtragem'!AL$2,Apresentação!$E$6='Base de Dados e filtragem'!H555),1,0)</f>
        <v>1</v>
      </c>
      <c r="AM555" s="25">
        <f>IF(OR(Apresentação!$I$2='Base de Dados e filtragem'!AM$2,Apresentação!$I$2='Base de Dados e filtragem'!I555),1,0)</f>
        <v>1</v>
      </c>
      <c r="AN555" s="25">
        <f>IF(OR(Apresentação!$I$3='Base de Dados e filtragem'!AN$2,Apresentação!$I$3='Base de Dados e filtragem'!J555),1,0)</f>
        <v>1</v>
      </c>
      <c r="AO555" s="25">
        <f>IF(OR(Apresentação!$I$4='Base de Dados e filtragem'!AO$2,Apresentação!$I$4='Base de Dados e filtragem'!K555),1,0)</f>
        <v>1</v>
      </c>
      <c r="AP555" s="25">
        <f>IF(OR(Apresentação!$I$5='Base de Dados e filtragem'!AP$2,Apresentação!$I$5='Base de Dados e filtragem'!L555),1,0)</f>
        <v>1</v>
      </c>
      <c r="AQ555" s="25">
        <f>IF(OR(Apresentação!$I$6='Base de Dados e filtragem'!AQ$2,Apresentação!$I$6='Base de Dados e filtragem'!M555),1,0)</f>
        <v>1</v>
      </c>
      <c r="AR555" s="25">
        <v>1</v>
      </c>
      <c r="AS555" s="25">
        <v>1</v>
      </c>
      <c r="AT555" s="25">
        <v>1</v>
      </c>
      <c r="AU555" s="25">
        <v>1</v>
      </c>
      <c r="AV555" s="25">
        <v>1</v>
      </c>
      <c r="AW555" s="25">
        <v>1</v>
      </c>
      <c r="AX555" s="25">
        <v>1</v>
      </c>
      <c r="AY555" s="25">
        <v>1</v>
      </c>
      <c r="AZ555" s="25">
        <v>1</v>
      </c>
      <c r="BA555" s="25">
        <v>1</v>
      </c>
      <c r="BB555" s="25">
        <v>1</v>
      </c>
      <c r="BC555" s="25">
        <v>1</v>
      </c>
      <c r="BD555" s="25">
        <v>1</v>
      </c>
    </row>
    <row r="556" spans="27:56" x14ac:dyDescent="0.25">
      <c r="AA556" s="68" t="str">
        <f t="shared" si="33"/>
        <v>Fotos\\.jpg</v>
      </c>
      <c r="AB556" s="53">
        <f t="shared" si="34"/>
        <v>1.7985611510791368E-3</v>
      </c>
      <c r="AC556" s="25">
        <f t="shared" si="35"/>
        <v>556</v>
      </c>
      <c r="AD556" s="51">
        <f t="shared" si="36"/>
        <v>1</v>
      </c>
      <c r="AE556" s="25">
        <v>1</v>
      </c>
      <c r="AF556" s="25">
        <v>1</v>
      </c>
      <c r="AG556" s="25">
        <v>1</v>
      </c>
      <c r="AH556" s="25">
        <v>1</v>
      </c>
      <c r="AI556" s="25">
        <f>IF(OR(Apresentação!$E$3='Base de Dados e filtragem'!AI$2,Apresentação!$E$3='Base de Dados e filtragem'!E556),1,0)</f>
        <v>1</v>
      </c>
      <c r="AJ556" s="25">
        <f>IF(OR(Apresentação!$E$4='Base de Dados e filtragem'!AJ$2,Apresentação!$E$4='Base de Dados e filtragem'!F556),1,0)</f>
        <v>1</v>
      </c>
      <c r="AK556" s="25">
        <f>IF(OR(Apresentação!$E$5='Base de Dados e filtragem'!AK$2,Apresentação!$E$5='Base de Dados e filtragem'!G556),1,0)</f>
        <v>1</v>
      </c>
      <c r="AL556" s="25">
        <f>IF(OR(Apresentação!$E$6='Base de Dados e filtragem'!AL$2,Apresentação!$E$6='Base de Dados e filtragem'!H556),1,0)</f>
        <v>1</v>
      </c>
      <c r="AM556" s="25">
        <f>IF(OR(Apresentação!$I$2='Base de Dados e filtragem'!AM$2,Apresentação!$I$2='Base de Dados e filtragem'!I556),1,0)</f>
        <v>1</v>
      </c>
      <c r="AN556" s="25">
        <f>IF(OR(Apresentação!$I$3='Base de Dados e filtragem'!AN$2,Apresentação!$I$3='Base de Dados e filtragem'!J556),1,0)</f>
        <v>1</v>
      </c>
      <c r="AO556" s="25">
        <f>IF(OR(Apresentação!$I$4='Base de Dados e filtragem'!AO$2,Apresentação!$I$4='Base de Dados e filtragem'!K556),1,0)</f>
        <v>1</v>
      </c>
      <c r="AP556" s="25">
        <f>IF(OR(Apresentação!$I$5='Base de Dados e filtragem'!AP$2,Apresentação!$I$5='Base de Dados e filtragem'!L556),1,0)</f>
        <v>1</v>
      </c>
      <c r="AQ556" s="25">
        <f>IF(OR(Apresentação!$I$6='Base de Dados e filtragem'!AQ$2,Apresentação!$I$6='Base de Dados e filtragem'!M556),1,0)</f>
        <v>1</v>
      </c>
      <c r="AR556" s="25">
        <v>1</v>
      </c>
      <c r="AS556" s="25">
        <v>1</v>
      </c>
      <c r="AT556" s="25">
        <v>1</v>
      </c>
      <c r="AU556" s="25">
        <v>1</v>
      </c>
      <c r="AV556" s="25">
        <v>1</v>
      </c>
      <c r="AW556" s="25">
        <v>1</v>
      </c>
      <c r="AX556" s="25">
        <v>1</v>
      </c>
      <c r="AY556" s="25">
        <v>1</v>
      </c>
      <c r="AZ556" s="25">
        <v>1</v>
      </c>
      <c r="BA556" s="25">
        <v>1</v>
      </c>
      <c r="BB556" s="25">
        <v>1</v>
      </c>
      <c r="BC556" s="25">
        <v>1</v>
      </c>
      <c r="BD556" s="25">
        <v>1</v>
      </c>
    </row>
    <row r="557" spans="27:56" x14ac:dyDescent="0.25">
      <c r="AA557" s="68" t="str">
        <f t="shared" si="33"/>
        <v>Fotos\\.jpg</v>
      </c>
      <c r="AB557" s="53">
        <f t="shared" si="34"/>
        <v>1.7953321364452424E-3</v>
      </c>
      <c r="AC557" s="25">
        <f t="shared" si="35"/>
        <v>557</v>
      </c>
      <c r="AD557" s="51">
        <f t="shared" si="36"/>
        <v>1</v>
      </c>
      <c r="AE557" s="25">
        <v>1</v>
      </c>
      <c r="AF557" s="25">
        <v>1</v>
      </c>
      <c r="AG557" s="25">
        <v>1</v>
      </c>
      <c r="AH557" s="25">
        <v>1</v>
      </c>
      <c r="AI557" s="25">
        <f>IF(OR(Apresentação!$E$3='Base de Dados e filtragem'!AI$2,Apresentação!$E$3='Base de Dados e filtragem'!E557),1,0)</f>
        <v>1</v>
      </c>
      <c r="AJ557" s="25">
        <f>IF(OR(Apresentação!$E$4='Base de Dados e filtragem'!AJ$2,Apresentação!$E$4='Base de Dados e filtragem'!F557),1,0)</f>
        <v>1</v>
      </c>
      <c r="AK557" s="25">
        <f>IF(OR(Apresentação!$E$5='Base de Dados e filtragem'!AK$2,Apresentação!$E$5='Base de Dados e filtragem'!G557),1,0)</f>
        <v>1</v>
      </c>
      <c r="AL557" s="25">
        <f>IF(OR(Apresentação!$E$6='Base de Dados e filtragem'!AL$2,Apresentação!$E$6='Base de Dados e filtragem'!H557),1,0)</f>
        <v>1</v>
      </c>
      <c r="AM557" s="25">
        <f>IF(OR(Apresentação!$I$2='Base de Dados e filtragem'!AM$2,Apresentação!$I$2='Base de Dados e filtragem'!I557),1,0)</f>
        <v>1</v>
      </c>
      <c r="AN557" s="25">
        <f>IF(OR(Apresentação!$I$3='Base de Dados e filtragem'!AN$2,Apresentação!$I$3='Base de Dados e filtragem'!J557),1,0)</f>
        <v>1</v>
      </c>
      <c r="AO557" s="25">
        <f>IF(OR(Apresentação!$I$4='Base de Dados e filtragem'!AO$2,Apresentação!$I$4='Base de Dados e filtragem'!K557),1,0)</f>
        <v>1</v>
      </c>
      <c r="AP557" s="25">
        <f>IF(OR(Apresentação!$I$5='Base de Dados e filtragem'!AP$2,Apresentação!$I$5='Base de Dados e filtragem'!L557),1,0)</f>
        <v>1</v>
      </c>
      <c r="AQ557" s="25">
        <f>IF(OR(Apresentação!$I$6='Base de Dados e filtragem'!AQ$2,Apresentação!$I$6='Base de Dados e filtragem'!M557),1,0)</f>
        <v>1</v>
      </c>
      <c r="AR557" s="25">
        <v>1</v>
      </c>
      <c r="AS557" s="25">
        <v>1</v>
      </c>
      <c r="AT557" s="25">
        <v>1</v>
      </c>
      <c r="AU557" s="25">
        <v>1</v>
      </c>
      <c r="AV557" s="25">
        <v>1</v>
      </c>
      <c r="AW557" s="25">
        <v>1</v>
      </c>
      <c r="AX557" s="25">
        <v>1</v>
      </c>
      <c r="AY557" s="25">
        <v>1</v>
      </c>
      <c r="AZ557" s="25">
        <v>1</v>
      </c>
      <c r="BA557" s="25">
        <v>1</v>
      </c>
      <c r="BB557" s="25">
        <v>1</v>
      </c>
      <c r="BC557" s="25">
        <v>1</v>
      </c>
      <c r="BD557" s="25">
        <v>1</v>
      </c>
    </row>
    <row r="558" spans="27:56" x14ac:dyDescent="0.25">
      <c r="AA558" s="68" t="str">
        <f t="shared" si="33"/>
        <v>Fotos\\.jpg</v>
      </c>
      <c r="AB558" s="53">
        <f t="shared" si="34"/>
        <v>1.7921146953405018E-3</v>
      </c>
      <c r="AC558" s="25">
        <f t="shared" si="35"/>
        <v>558</v>
      </c>
      <c r="AD558" s="51">
        <f t="shared" si="36"/>
        <v>1</v>
      </c>
      <c r="AE558" s="25">
        <v>1</v>
      </c>
      <c r="AF558" s="25">
        <v>1</v>
      </c>
      <c r="AG558" s="25">
        <v>1</v>
      </c>
      <c r="AH558" s="25">
        <v>1</v>
      </c>
      <c r="AI558" s="25">
        <f>IF(OR(Apresentação!$E$3='Base de Dados e filtragem'!AI$2,Apresentação!$E$3='Base de Dados e filtragem'!E558),1,0)</f>
        <v>1</v>
      </c>
      <c r="AJ558" s="25">
        <f>IF(OR(Apresentação!$E$4='Base de Dados e filtragem'!AJ$2,Apresentação!$E$4='Base de Dados e filtragem'!F558),1,0)</f>
        <v>1</v>
      </c>
      <c r="AK558" s="25">
        <f>IF(OR(Apresentação!$E$5='Base de Dados e filtragem'!AK$2,Apresentação!$E$5='Base de Dados e filtragem'!G558),1,0)</f>
        <v>1</v>
      </c>
      <c r="AL558" s="25">
        <f>IF(OR(Apresentação!$E$6='Base de Dados e filtragem'!AL$2,Apresentação!$E$6='Base de Dados e filtragem'!H558),1,0)</f>
        <v>1</v>
      </c>
      <c r="AM558" s="25">
        <f>IF(OR(Apresentação!$I$2='Base de Dados e filtragem'!AM$2,Apresentação!$I$2='Base de Dados e filtragem'!I558),1,0)</f>
        <v>1</v>
      </c>
      <c r="AN558" s="25">
        <f>IF(OR(Apresentação!$I$3='Base de Dados e filtragem'!AN$2,Apresentação!$I$3='Base de Dados e filtragem'!J558),1,0)</f>
        <v>1</v>
      </c>
      <c r="AO558" s="25">
        <f>IF(OR(Apresentação!$I$4='Base de Dados e filtragem'!AO$2,Apresentação!$I$4='Base de Dados e filtragem'!K558),1,0)</f>
        <v>1</v>
      </c>
      <c r="AP558" s="25">
        <f>IF(OR(Apresentação!$I$5='Base de Dados e filtragem'!AP$2,Apresentação!$I$5='Base de Dados e filtragem'!L558),1,0)</f>
        <v>1</v>
      </c>
      <c r="AQ558" s="25">
        <f>IF(OR(Apresentação!$I$6='Base de Dados e filtragem'!AQ$2,Apresentação!$I$6='Base de Dados e filtragem'!M558),1,0)</f>
        <v>1</v>
      </c>
      <c r="AR558" s="25">
        <v>1</v>
      </c>
      <c r="AS558" s="25">
        <v>1</v>
      </c>
      <c r="AT558" s="25">
        <v>1</v>
      </c>
      <c r="AU558" s="25">
        <v>1</v>
      </c>
      <c r="AV558" s="25">
        <v>1</v>
      </c>
      <c r="AW558" s="25">
        <v>1</v>
      </c>
      <c r="AX558" s="25">
        <v>1</v>
      </c>
      <c r="AY558" s="25">
        <v>1</v>
      </c>
      <c r="AZ558" s="25">
        <v>1</v>
      </c>
      <c r="BA558" s="25">
        <v>1</v>
      </c>
      <c r="BB558" s="25">
        <v>1</v>
      </c>
      <c r="BC558" s="25">
        <v>1</v>
      </c>
      <c r="BD558" s="25">
        <v>1</v>
      </c>
    </row>
    <row r="559" spans="27:56" x14ac:dyDescent="0.25">
      <c r="AA559" s="68" t="str">
        <f t="shared" si="33"/>
        <v>Fotos\\.jpg</v>
      </c>
      <c r="AB559" s="53">
        <f t="shared" si="34"/>
        <v>1.7889087656529517E-3</v>
      </c>
      <c r="AC559" s="25">
        <f t="shared" si="35"/>
        <v>559</v>
      </c>
      <c r="AD559" s="51">
        <f t="shared" si="36"/>
        <v>1</v>
      </c>
      <c r="AE559" s="25">
        <v>1</v>
      </c>
      <c r="AF559" s="25">
        <v>1</v>
      </c>
      <c r="AG559" s="25">
        <v>1</v>
      </c>
      <c r="AH559" s="25">
        <v>1</v>
      </c>
      <c r="AI559" s="25">
        <f>IF(OR(Apresentação!$E$3='Base de Dados e filtragem'!AI$2,Apresentação!$E$3='Base de Dados e filtragem'!E559),1,0)</f>
        <v>1</v>
      </c>
      <c r="AJ559" s="25">
        <f>IF(OR(Apresentação!$E$4='Base de Dados e filtragem'!AJ$2,Apresentação!$E$4='Base de Dados e filtragem'!F559),1,0)</f>
        <v>1</v>
      </c>
      <c r="AK559" s="25">
        <f>IF(OR(Apresentação!$E$5='Base de Dados e filtragem'!AK$2,Apresentação!$E$5='Base de Dados e filtragem'!G559),1,0)</f>
        <v>1</v>
      </c>
      <c r="AL559" s="25">
        <f>IF(OR(Apresentação!$E$6='Base de Dados e filtragem'!AL$2,Apresentação!$E$6='Base de Dados e filtragem'!H559),1,0)</f>
        <v>1</v>
      </c>
      <c r="AM559" s="25">
        <f>IF(OR(Apresentação!$I$2='Base de Dados e filtragem'!AM$2,Apresentação!$I$2='Base de Dados e filtragem'!I559),1,0)</f>
        <v>1</v>
      </c>
      <c r="AN559" s="25">
        <f>IF(OR(Apresentação!$I$3='Base de Dados e filtragem'!AN$2,Apresentação!$I$3='Base de Dados e filtragem'!J559),1,0)</f>
        <v>1</v>
      </c>
      <c r="AO559" s="25">
        <f>IF(OR(Apresentação!$I$4='Base de Dados e filtragem'!AO$2,Apresentação!$I$4='Base de Dados e filtragem'!K559),1,0)</f>
        <v>1</v>
      </c>
      <c r="AP559" s="25">
        <f>IF(OR(Apresentação!$I$5='Base de Dados e filtragem'!AP$2,Apresentação!$I$5='Base de Dados e filtragem'!L559),1,0)</f>
        <v>1</v>
      </c>
      <c r="AQ559" s="25">
        <f>IF(OR(Apresentação!$I$6='Base de Dados e filtragem'!AQ$2,Apresentação!$I$6='Base de Dados e filtragem'!M559),1,0)</f>
        <v>1</v>
      </c>
      <c r="AR559" s="25">
        <v>1</v>
      </c>
      <c r="AS559" s="25">
        <v>1</v>
      </c>
      <c r="AT559" s="25">
        <v>1</v>
      </c>
      <c r="AU559" s="25">
        <v>1</v>
      </c>
      <c r="AV559" s="25">
        <v>1</v>
      </c>
      <c r="AW559" s="25">
        <v>1</v>
      </c>
      <c r="AX559" s="25">
        <v>1</v>
      </c>
      <c r="AY559" s="25">
        <v>1</v>
      </c>
      <c r="AZ559" s="25">
        <v>1</v>
      </c>
      <c r="BA559" s="25">
        <v>1</v>
      </c>
      <c r="BB559" s="25">
        <v>1</v>
      </c>
      <c r="BC559" s="25">
        <v>1</v>
      </c>
      <c r="BD559" s="25">
        <v>1</v>
      </c>
    </row>
    <row r="560" spans="27:56" x14ac:dyDescent="0.25">
      <c r="AA560" s="68" t="str">
        <f t="shared" si="33"/>
        <v>Fotos\\.jpg</v>
      </c>
      <c r="AB560" s="53">
        <f t="shared" si="34"/>
        <v>1.7857142857142857E-3</v>
      </c>
      <c r="AC560" s="25">
        <f t="shared" si="35"/>
        <v>560</v>
      </c>
      <c r="AD560" s="51">
        <f t="shared" si="36"/>
        <v>1</v>
      </c>
      <c r="AE560" s="25">
        <v>1</v>
      </c>
      <c r="AF560" s="25">
        <v>1</v>
      </c>
      <c r="AG560" s="25">
        <v>1</v>
      </c>
      <c r="AH560" s="25">
        <v>1</v>
      </c>
      <c r="AI560" s="25">
        <f>IF(OR(Apresentação!$E$3='Base de Dados e filtragem'!AI$2,Apresentação!$E$3='Base de Dados e filtragem'!E560),1,0)</f>
        <v>1</v>
      </c>
      <c r="AJ560" s="25">
        <f>IF(OR(Apresentação!$E$4='Base de Dados e filtragem'!AJ$2,Apresentação!$E$4='Base de Dados e filtragem'!F560),1,0)</f>
        <v>1</v>
      </c>
      <c r="AK560" s="25">
        <f>IF(OR(Apresentação!$E$5='Base de Dados e filtragem'!AK$2,Apresentação!$E$5='Base de Dados e filtragem'!G560),1,0)</f>
        <v>1</v>
      </c>
      <c r="AL560" s="25">
        <f>IF(OR(Apresentação!$E$6='Base de Dados e filtragem'!AL$2,Apresentação!$E$6='Base de Dados e filtragem'!H560),1,0)</f>
        <v>1</v>
      </c>
      <c r="AM560" s="25">
        <f>IF(OR(Apresentação!$I$2='Base de Dados e filtragem'!AM$2,Apresentação!$I$2='Base de Dados e filtragem'!I560),1,0)</f>
        <v>1</v>
      </c>
      <c r="AN560" s="25">
        <f>IF(OR(Apresentação!$I$3='Base de Dados e filtragem'!AN$2,Apresentação!$I$3='Base de Dados e filtragem'!J560),1,0)</f>
        <v>1</v>
      </c>
      <c r="AO560" s="25">
        <f>IF(OR(Apresentação!$I$4='Base de Dados e filtragem'!AO$2,Apresentação!$I$4='Base de Dados e filtragem'!K560),1,0)</f>
        <v>1</v>
      </c>
      <c r="AP560" s="25">
        <f>IF(OR(Apresentação!$I$5='Base de Dados e filtragem'!AP$2,Apresentação!$I$5='Base de Dados e filtragem'!L560),1,0)</f>
        <v>1</v>
      </c>
      <c r="AQ560" s="25">
        <f>IF(OR(Apresentação!$I$6='Base de Dados e filtragem'!AQ$2,Apresentação!$I$6='Base de Dados e filtragem'!M560),1,0)</f>
        <v>1</v>
      </c>
      <c r="AR560" s="25">
        <v>1</v>
      </c>
      <c r="AS560" s="25">
        <v>1</v>
      </c>
      <c r="AT560" s="25">
        <v>1</v>
      </c>
      <c r="AU560" s="25">
        <v>1</v>
      </c>
      <c r="AV560" s="25">
        <v>1</v>
      </c>
      <c r="AW560" s="25">
        <v>1</v>
      </c>
      <c r="AX560" s="25">
        <v>1</v>
      </c>
      <c r="AY560" s="25">
        <v>1</v>
      </c>
      <c r="AZ560" s="25">
        <v>1</v>
      </c>
      <c r="BA560" s="25">
        <v>1</v>
      </c>
      <c r="BB560" s="25">
        <v>1</v>
      </c>
      <c r="BC560" s="25">
        <v>1</v>
      </c>
      <c r="BD560" s="25">
        <v>1</v>
      </c>
    </row>
    <row r="561" spans="27:56" x14ac:dyDescent="0.25">
      <c r="AA561" s="68" t="str">
        <f t="shared" si="33"/>
        <v>Fotos\\.jpg</v>
      </c>
      <c r="AB561" s="53">
        <f t="shared" si="34"/>
        <v>1.7825311942959001E-3</v>
      </c>
      <c r="AC561" s="25">
        <f t="shared" si="35"/>
        <v>561</v>
      </c>
      <c r="AD561" s="51">
        <f t="shared" si="36"/>
        <v>1</v>
      </c>
      <c r="AE561" s="25">
        <v>1</v>
      </c>
      <c r="AF561" s="25">
        <v>1</v>
      </c>
      <c r="AG561" s="25">
        <v>1</v>
      </c>
      <c r="AH561" s="25">
        <v>1</v>
      </c>
      <c r="AI561" s="25">
        <f>IF(OR(Apresentação!$E$3='Base de Dados e filtragem'!AI$2,Apresentação!$E$3='Base de Dados e filtragem'!E561),1,0)</f>
        <v>1</v>
      </c>
      <c r="AJ561" s="25">
        <f>IF(OR(Apresentação!$E$4='Base de Dados e filtragem'!AJ$2,Apresentação!$E$4='Base de Dados e filtragem'!F561),1,0)</f>
        <v>1</v>
      </c>
      <c r="AK561" s="25">
        <f>IF(OR(Apresentação!$E$5='Base de Dados e filtragem'!AK$2,Apresentação!$E$5='Base de Dados e filtragem'!G561),1,0)</f>
        <v>1</v>
      </c>
      <c r="AL561" s="25">
        <f>IF(OR(Apresentação!$E$6='Base de Dados e filtragem'!AL$2,Apresentação!$E$6='Base de Dados e filtragem'!H561),1,0)</f>
        <v>1</v>
      </c>
      <c r="AM561" s="25">
        <f>IF(OR(Apresentação!$I$2='Base de Dados e filtragem'!AM$2,Apresentação!$I$2='Base de Dados e filtragem'!I561),1,0)</f>
        <v>1</v>
      </c>
      <c r="AN561" s="25">
        <f>IF(OR(Apresentação!$I$3='Base de Dados e filtragem'!AN$2,Apresentação!$I$3='Base de Dados e filtragem'!J561),1,0)</f>
        <v>1</v>
      </c>
      <c r="AO561" s="25">
        <f>IF(OR(Apresentação!$I$4='Base de Dados e filtragem'!AO$2,Apresentação!$I$4='Base de Dados e filtragem'!K561),1,0)</f>
        <v>1</v>
      </c>
      <c r="AP561" s="25">
        <f>IF(OR(Apresentação!$I$5='Base de Dados e filtragem'!AP$2,Apresentação!$I$5='Base de Dados e filtragem'!L561),1,0)</f>
        <v>1</v>
      </c>
      <c r="AQ561" s="25">
        <f>IF(OR(Apresentação!$I$6='Base de Dados e filtragem'!AQ$2,Apresentação!$I$6='Base de Dados e filtragem'!M561),1,0)</f>
        <v>1</v>
      </c>
      <c r="AR561" s="25">
        <v>1</v>
      </c>
      <c r="AS561" s="25">
        <v>1</v>
      </c>
      <c r="AT561" s="25">
        <v>1</v>
      </c>
      <c r="AU561" s="25">
        <v>1</v>
      </c>
      <c r="AV561" s="25">
        <v>1</v>
      </c>
      <c r="AW561" s="25">
        <v>1</v>
      </c>
      <c r="AX561" s="25">
        <v>1</v>
      </c>
      <c r="AY561" s="25">
        <v>1</v>
      </c>
      <c r="AZ561" s="25">
        <v>1</v>
      </c>
      <c r="BA561" s="25">
        <v>1</v>
      </c>
      <c r="BB561" s="25">
        <v>1</v>
      </c>
      <c r="BC561" s="25">
        <v>1</v>
      </c>
      <c r="BD561" s="25">
        <v>1</v>
      </c>
    </row>
    <row r="562" spans="27:56" x14ac:dyDescent="0.25">
      <c r="AA562" s="68" t="str">
        <f t="shared" si="33"/>
        <v>Fotos\\.jpg</v>
      </c>
      <c r="AB562" s="53">
        <f t="shared" si="34"/>
        <v>1.7793594306049821E-3</v>
      </c>
      <c r="AC562" s="25">
        <f t="shared" si="35"/>
        <v>562</v>
      </c>
      <c r="AD562" s="51">
        <f t="shared" si="36"/>
        <v>1</v>
      </c>
      <c r="AE562" s="25">
        <v>1</v>
      </c>
      <c r="AF562" s="25">
        <v>1</v>
      </c>
      <c r="AG562" s="25">
        <v>1</v>
      </c>
      <c r="AH562" s="25">
        <v>1</v>
      </c>
      <c r="AI562" s="25">
        <f>IF(OR(Apresentação!$E$3='Base de Dados e filtragem'!AI$2,Apresentação!$E$3='Base de Dados e filtragem'!E562),1,0)</f>
        <v>1</v>
      </c>
      <c r="AJ562" s="25">
        <f>IF(OR(Apresentação!$E$4='Base de Dados e filtragem'!AJ$2,Apresentação!$E$4='Base de Dados e filtragem'!F562),1,0)</f>
        <v>1</v>
      </c>
      <c r="AK562" s="25">
        <f>IF(OR(Apresentação!$E$5='Base de Dados e filtragem'!AK$2,Apresentação!$E$5='Base de Dados e filtragem'!G562),1,0)</f>
        <v>1</v>
      </c>
      <c r="AL562" s="25">
        <f>IF(OR(Apresentação!$E$6='Base de Dados e filtragem'!AL$2,Apresentação!$E$6='Base de Dados e filtragem'!H562),1,0)</f>
        <v>1</v>
      </c>
      <c r="AM562" s="25">
        <f>IF(OR(Apresentação!$I$2='Base de Dados e filtragem'!AM$2,Apresentação!$I$2='Base de Dados e filtragem'!I562),1,0)</f>
        <v>1</v>
      </c>
      <c r="AN562" s="25">
        <f>IF(OR(Apresentação!$I$3='Base de Dados e filtragem'!AN$2,Apresentação!$I$3='Base de Dados e filtragem'!J562),1,0)</f>
        <v>1</v>
      </c>
      <c r="AO562" s="25">
        <f>IF(OR(Apresentação!$I$4='Base de Dados e filtragem'!AO$2,Apresentação!$I$4='Base de Dados e filtragem'!K562),1,0)</f>
        <v>1</v>
      </c>
      <c r="AP562" s="25">
        <f>IF(OR(Apresentação!$I$5='Base de Dados e filtragem'!AP$2,Apresentação!$I$5='Base de Dados e filtragem'!L562),1,0)</f>
        <v>1</v>
      </c>
      <c r="AQ562" s="25">
        <f>IF(OR(Apresentação!$I$6='Base de Dados e filtragem'!AQ$2,Apresentação!$I$6='Base de Dados e filtragem'!M562),1,0)</f>
        <v>1</v>
      </c>
      <c r="AR562" s="25">
        <v>1</v>
      </c>
      <c r="AS562" s="25">
        <v>1</v>
      </c>
      <c r="AT562" s="25">
        <v>1</v>
      </c>
      <c r="AU562" s="25">
        <v>1</v>
      </c>
      <c r="AV562" s="25">
        <v>1</v>
      </c>
      <c r="AW562" s="25">
        <v>1</v>
      </c>
      <c r="AX562" s="25">
        <v>1</v>
      </c>
      <c r="AY562" s="25">
        <v>1</v>
      </c>
      <c r="AZ562" s="25">
        <v>1</v>
      </c>
      <c r="BA562" s="25">
        <v>1</v>
      </c>
      <c r="BB562" s="25">
        <v>1</v>
      </c>
      <c r="BC562" s="25">
        <v>1</v>
      </c>
      <c r="BD562" s="25">
        <v>1</v>
      </c>
    </row>
    <row r="563" spans="27:56" x14ac:dyDescent="0.25">
      <c r="AA563" s="68" t="str">
        <f t="shared" si="33"/>
        <v>Fotos\\.jpg</v>
      </c>
      <c r="AB563" s="53">
        <f t="shared" si="34"/>
        <v>1.7761989342806395E-3</v>
      </c>
      <c r="AC563" s="25">
        <f t="shared" si="35"/>
        <v>563</v>
      </c>
      <c r="AD563" s="51">
        <f t="shared" si="36"/>
        <v>1</v>
      </c>
      <c r="AE563" s="25">
        <v>1</v>
      </c>
      <c r="AF563" s="25">
        <v>1</v>
      </c>
      <c r="AG563" s="25">
        <v>1</v>
      </c>
      <c r="AH563" s="25">
        <v>1</v>
      </c>
      <c r="AI563" s="25">
        <f>IF(OR(Apresentação!$E$3='Base de Dados e filtragem'!AI$2,Apresentação!$E$3='Base de Dados e filtragem'!E563),1,0)</f>
        <v>1</v>
      </c>
      <c r="AJ563" s="25">
        <f>IF(OR(Apresentação!$E$4='Base de Dados e filtragem'!AJ$2,Apresentação!$E$4='Base de Dados e filtragem'!F563),1,0)</f>
        <v>1</v>
      </c>
      <c r="AK563" s="25">
        <f>IF(OR(Apresentação!$E$5='Base de Dados e filtragem'!AK$2,Apresentação!$E$5='Base de Dados e filtragem'!G563),1,0)</f>
        <v>1</v>
      </c>
      <c r="AL563" s="25">
        <f>IF(OR(Apresentação!$E$6='Base de Dados e filtragem'!AL$2,Apresentação!$E$6='Base de Dados e filtragem'!H563),1,0)</f>
        <v>1</v>
      </c>
      <c r="AM563" s="25">
        <f>IF(OR(Apresentação!$I$2='Base de Dados e filtragem'!AM$2,Apresentação!$I$2='Base de Dados e filtragem'!I563),1,0)</f>
        <v>1</v>
      </c>
      <c r="AN563" s="25">
        <f>IF(OR(Apresentação!$I$3='Base de Dados e filtragem'!AN$2,Apresentação!$I$3='Base de Dados e filtragem'!J563),1,0)</f>
        <v>1</v>
      </c>
      <c r="AO563" s="25">
        <f>IF(OR(Apresentação!$I$4='Base de Dados e filtragem'!AO$2,Apresentação!$I$4='Base de Dados e filtragem'!K563),1,0)</f>
        <v>1</v>
      </c>
      <c r="AP563" s="25">
        <f>IF(OR(Apresentação!$I$5='Base de Dados e filtragem'!AP$2,Apresentação!$I$5='Base de Dados e filtragem'!L563),1,0)</f>
        <v>1</v>
      </c>
      <c r="AQ563" s="25">
        <f>IF(OR(Apresentação!$I$6='Base de Dados e filtragem'!AQ$2,Apresentação!$I$6='Base de Dados e filtragem'!M563),1,0)</f>
        <v>1</v>
      </c>
      <c r="AR563" s="25">
        <v>1</v>
      </c>
      <c r="AS563" s="25">
        <v>1</v>
      </c>
      <c r="AT563" s="25">
        <v>1</v>
      </c>
      <c r="AU563" s="25">
        <v>1</v>
      </c>
      <c r="AV563" s="25">
        <v>1</v>
      </c>
      <c r="AW563" s="25">
        <v>1</v>
      </c>
      <c r="AX563" s="25">
        <v>1</v>
      </c>
      <c r="AY563" s="25">
        <v>1</v>
      </c>
      <c r="AZ563" s="25">
        <v>1</v>
      </c>
      <c r="BA563" s="25">
        <v>1</v>
      </c>
      <c r="BB563" s="25">
        <v>1</v>
      </c>
      <c r="BC563" s="25">
        <v>1</v>
      </c>
      <c r="BD563" s="25">
        <v>1</v>
      </c>
    </row>
    <row r="564" spans="27:56" x14ac:dyDescent="0.25">
      <c r="AA564" s="68" t="str">
        <f t="shared" si="33"/>
        <v>Fotos\\.jpg</v>
      </c>
      <c r="AB564" s="53">
        <f t="shared" si="34"/>
        <v>1.7730496453900709E-3</v>
      </c>
      <c r="AC564" s="25">
        <f t="shared" si="35"/>
        <v>564</v>
      </c>
      <c r="AD564" s="51">
        <f t="shared" si="36"/>
        <v>1</v>
      </c>
      <c r="AE564" s="25">
        <v>1</v>
      </c>
      <c r="AF564" s="25">
        <v>1</v>
      </c>
      <c r="AG564" s="25">
        <v>1</v>
      </c>
      <c r="AH564" s="25">
        <v>1</v>
      </c>
      <c r="AI564" s="25">
        <f>IF(OR(Apresentação!$E$3='Base de Dados e filtragem'!AI$2,Apresentação!$E$3='Base de Dados e filtragem'!E564),1,0)</f>
        <v>1</v>
      </c>
      <c r="AJ564" s="25">
        <f>IF(OR(Apresentação!$E$4='Base de Dados e filtragem'!AJ$2,Apresentação!$E$4='Base de Dados e filtragem'!F564),1,0)</f>
        <v>1</v>
      </c>
      <c r="AK564" s="25">
        <f>IF(OR(Apresentação!$E$5='Base de Dados e filtragem'!AK$2,Apresentação!$E$5='Base de Dados e filtragem'!G564),1,0)</f>
        <v>1</v>
      </c>
      <c r="AL564" s="25">
        <f>IF(OR(Apresentação!$E$6='Base de Dados e filtragem'!AL$2,Apresentação!$E$6='Base de Dados e filtragem'!H564),1,0)</f>
        <v>1</v>
      </c>
      <c r="AM564" s="25">
        <f>IF(OR(Apresentação!$I$2='Base de Dados e filtragem'!AM$2,Apresentação!$I$2='Base de Dados e filtragem'!I564),1,0)</f>
        <v>1</v>
      </c>
      <c r="AN564" s="25">
        <f>IF(OR(Apresentação!$I$3='Base de Dados e filtragem'!AN$2,Apresentação!$I$3='Base de Dados e filtragem'!J564),1,0)</f>
        <v>1</v>
      </c>
      <c r="AO564" s="25">
        <f>IF(OR(Apresentação!$I$4='Base de Dados e filtragem'!AO$2,Apresentação!$I$4='Base de Dados e filtragem'!K564),1,0)</f>
        <v>1</v>
      </c>
      <c r="AP564" s="25">
        <f>IF(OR(Apresentação!$I$5='Base de Dados e filtragem'!AP$2,Apresentação!$I$5='Base de Dados e filtragem'!L564),1,0)</f>
        <v>1</v>
      </c>
      <c r="AQ564" s="25">
        <f>IF(OR(Apresentação!$I$6='Base de Dados e filtragem'!AQ$2,Apresentação!$I$6='Base de Dados e filtragem'!M564),1,0)</f>
        <v>1</v>
      </c>
      <c r="AR564" s="25">
        <v>1</v>
      </c>
      <c r="AS564" s="25">
        <v>1</v>
      </c>
      <c r="AT564" s="25">
        <v>1</v>
      </c>
      <c r="AU564" s="25">
        <v>1</v>
      </c>
      <c r="AV564" s="25">
        <v>1</v>
      </c>
      <c r="AW564" s="25">
        <v>1</v>
      </c>
      <c r="AX564" s="25">
        <v>1</v>
      </c>
      <c r="AY564" s="25">
        <v>1</v>
      </c>
      <c r="AZ564" s="25">
        <v>1</v>
      </c>
      <c r="BA564" s="25">
        <v>1</v>
      </c>
      <c r="BB564" s="25">
        <v>1</v>
      </c>
      <c r="BC564" s="25">
        <v>1</v>
      </c>
      <c r="BD564" s="25">
        <v>1</v>
      </c>
    </row>
    <row r="565" spans="27:56" x14ac:dyDescent="0.25">
      <c r="AA565" s="68" t="str">
        <f t="shared" si="33"/>
        <v>Fotos\\.jpg</v>
      </c>
      <c r="AB565" s="53">
        <f t="shared" si="34"/>
        <v>1.7699115044247787E-3</v>
      </c>
      <c r="AC565" s="25">
        <f t="shared" si="35"/>
        <v>565</v>
      </c>
      <c r="AD565" s="51">
        <f t="shared" si="36"/>
        <v>1</v>
      </c>
      <c r="AE565" s="25">
        <v>1</v>
      </c>
      <c r="AF565" s="25">
        <v>1</v>
      </c>
      <c r="AG565" s="25">
        <v>1</v>
      </c>
      <c r="AH565" s="25">
        <v>1</v>
      </c>
      <c r="AI565" s="25">
        <f>IF(OR(Apresentação!$E$3='Base de Dados e filtragem'!AI$2,Apresentação!$E$3='Base de Dados e filtragem'!E565),1,0)</f>
        <v>1</v>
      </c>
      <c r="AJ565" s="25">
        <f>IF(OR(Apresentação!$E$4='Base de Dados e filtragem'!AJ$2,Apresentação!$E$4='Base de Dados e filtragem'!F565),1,0)</f>
        <v>1</v>
      </c>
      <c r="AK565" s="25">
        <f>IF(OR(Apresentação!$E$5='Base de Dados e filtragem'!AK$2,Apresentação!$E$5='Base de Dados e filtragem'!G565),1,0)</f>
        <v>1</v>
      </c>
      <c r="AL565" s="25">
        <f>IF(OR(Apresentação!$E$6='Base de Dados e filtragem'!AL$2,Apresentação!$E$6='Base de Dados e filtragem'!H565),1,0)</f>
        <v>1</v>
      </c>
      <c r="AM565" s="25">
        <f>IF(OR(Apresentação!$I$2='Base de Dados e filtragem'!AM$2,Apresentação!$I$2='Base de Dados e filtragem'!I565),1,0)</f>
        <v>1</v>
      </c>
      <c r="AN565" s="25">
        <f>IF(OR(Apresentação!$I$3='Base de Dados e filtragem'!AN$2,Apresentação!$I$3='Base de Dados e filtragem'!J565),1,0)</f>
        <v>1</v>
      </c>
      <c r="AO565" s="25">
        <f>IF(OR(Apresentação!$I$4='Base de Dados e filtragem'!AO$2,Apresentação!$I$4='Base de Dados e filtragem'!K565),1,0)</f>
        <v>1</v>
      </c>
      <c r="AP565" s="25">
        <f>IF(OR(Apresentação!$I$5='Base de Dados e filtragem'!AP$2,Apresentação!$I$5='Base de Dados e filtragem'!L565),1,0)</f>
        <v>1</v>
      </c>
      <c r="AQ565" s="25">
        <f>IF(OR(Apresentação!$I$6='Base de Dados e filtragem'!AQ$2,Apresentação!$I$6='Base de Dados e filtragem'!M565),1,0)</f>
        <v>1</v>
      </c>
      <c r="AR565" s="25">
        <v>1</v>
      </c>
      <c r="AS565" s="25">
        <v>1</v>
      </c>
      <c r="AT565" s="25">
        <v>1</v>
      </c>
      <c r="AU565" s="25">
        <v>1</v>
      </c>
      <c r="AV565" s="25">
        <v>1</v>
      </c>
      <c r="AW565" s="25">
        <v>1</v>
      </c>
      <c r="AX565" s="25">
        <v>1</v>
      </c>
      <c r="AY565" s="25">
        <v>1</v>
      </c>
      <c r="AZ565" s="25">
        <v>1</v>
      </c>
      <c r="BA565" s="25">
        <v>1</v>
      </c>
      <c r="BB565" s="25">
        <v>1</v>
      </c>
      <c r="BC565" s="25">
        <v>1</v>
      </c>
      <c r="BD565" s="25">
        <v>1</v>
      </c>
    </row>
    <row r="566" spans="27:56" x14ac:dyDescent="0.25">
      <c r="AA566" s="68" t="str">
        <f t="shared" si="33"/>
        <v>Fotos\\.jpg</v>
      </c>
      <c r="AB566" s="53">
        <f t="shared" si="34"/>
        <v>1.7667844522968198E-3</v>
      </c>
      <c r="AC566" s="25">
        <f t="shared" si="35"/>
        <v>566</v>
      </c>
      <c r="AD566" s="51">
        <f t="shared" si="36"/>
        <v>1</v>
      </c>
      <c r="AE566" s="25">
        <v>1</v>
      </c>
      <c r="AF566" s="25">
        <v>1</v>
      </c>
      <c r="AG566" s="25">
        <v>1</v>
      </c>
      <c r="AH566" s="25">
        <v>1</v>
      </c>
      <c r="AI566" s="25">
        <f>IF(OR(Apresentação!$E$3='Base de Dados e filtragem'!AI$2,Apresentação!$E$3='Base de Dados e filtragem'!E566),1,0)</f>
        <v>1</v>
      </c>
      <c r="AJ566" s="25">
        <f>IF(OR(Apresentação!$E$4='Base de Dados e filtragem'!AJ$2,Apresentação!$E$4='Base de Dados e filtragem'!F566),1,0)</f>
        <v>1</v>
      </c>
      <c r="AK566" s="25">
        <f>IF(OR(Apresentação!$E$5='Base de Dados e filtragem'!AK$2,Apresentação!$E$5='Base de Dados e filtragem'!G566),1,0)</f>
        <v>1</v>
      </c>
      <c r="AL566" s="25">
        <f>IF(OR(Apresentação!$E$6='Base de Dados e filtragem'!AL$2,Apresentação!$E$6='Base de Dados e filtragem'!H566),1,0)</f>
        <v>1</v>
      </c>
      <c r="AM566" s="25">
        <f>IF(OR(Apresentação!$I$2='Base de Dados e filtragem'!AM$2,Apresentação!$I$2='Base de Dados e filtragem'!I566),1,0)</f>
        <v>1</v>
      </c>
      <c r="AN566" s="25">
        <f>IF(OR(Apresentação!$I$3='Base de Dados e filtragem'!AN$2,Apresentação!$I$3='Base de Dados e filtragem'!J566),1,0)</f>
        <v>1</v>
      </c>
      <c r="AO566" s="25">
        <f>IF(OR(Apresentação!$I$4='Base de Dados e filtragem'!AO$2,Apresentação!$I$4='Base de Dados e filtragem'!K566),1,0)</f>
        <v>1</v>
      </c>
      <c r="AP566" s="25">
        <f>IF(OR(Apresentação!$I$5='Base de Dados e filtragem'!AP$2,Apresentação!$I$5='Base de Dados e filtragem'!L566),1,0)</f>
        <v>1</v>
      </c>
      <c r="AQ566" s="25">
        <f>IF(OR(Apresentação!$I$6='Base de Dados e filtragem'!AQ$2,Apresentação!$I$6='Base de Dados e filtragem'!M566),1,0)</f>
        <v>1</v>
      </c>
      <c r="AR566" s="25">
        <v>1</v>
      </c>
      <c r="AS566" s="25">
        <v>1</v>
      </c>
      <c r="AT566" s="25">
        <v>1</v>
      </c>
      <c r="AU566" s="25">
        <v>1</v>
      </c>
      <c r="AV566" s="25">
        <v>1</v>
      </c>
      <c r="AW566" s="25">
        <v>1</v>
      </c>
      <c r="AX566" s="25">
        <v>1</v>
      </c>
      <c r="AY566" s="25">
        <v>1</v>
      </c>
      <c r="AZ566" s="25">
        <v>1</v>
      </c>
      <c r="BA566" s="25">
        <v>1</v>
      </c>
      <c r="BB566" s="25">
        <v>1</v>
      </c>
      <c r="BC566" s="25">
        <v>1</v>
      </c>
      <c r="BD566" s="25">
        <v>1</v>
      </c>
    </row>
    <row r="567" spans="27:56" x14ac:dyDescent="0.25">
      <c r="AA567" s="68" t="str">
        <f t="shared" si="33"/>
        <v>Fotos\\.jpg</v>
      </c>
      <c r="AB567" s="53">
        <f t="shared" si="34"/>
        <v>1.7636684303350969E-3</v>
      </c>
      <c r="AC567" s="25">
        <f t="shared" si="35"/>
        <v>567</v>
      </c>
      <c r="AD567" s="51">
        <f t="shared" si="36"/>
        <v>1</v>
      </c>
      <c r="AE567" s="25">
        <v>1</v>
      </c>
      <c r="AF567" s="25">
        <v>1</v>
      </c>
      <c r="AG567" s="25">
        <v>1</v>
      </c>
      <c r="AH567" s="25">
        <v>1</v>
      </c>
      <c r="AI567" s="25">
        <f>IF(OR(Apresentação!$E$3='Base de Dados e filtragem'!AI$2,Apresentação!$E$3='Base de Dados e filtragem'!E567),1,0)</f>
        <v>1</v>
      </c>
      <c r="AJ567" s="25">
        <f>IF(OR(Apresentação!$E$4='Base de Dados e filtragem'!AJ$2,Apresentação!$E$4='Base de Dados e filtragem'!F567),1,0)</f>
        <v>1</v>
      </c>
      <c r="AK567" s="25">
        <f>IF(OR(Apresentação!$E$5='Base de Dados e filtragem'!AK$2,Apresentação!$E$5='Base de Dados e filtragem'!G567),1,0)</f>
        <v>1</v>
      </c>
      <c r="AL567" s="25">
        <f>IF(OR(Apresentação!$E$6='Base de Dados e filtragem'!AL$2,Apresentação!$E$6='Base de Dados e filtragem'!H567),1,0)</f>
        <v>1</v>
      </c>
      <c r="AM567" s="25">
        <f>IF(OR(Apresentação!$I$2='Base de Dados e filtragem'!AM$2,Apresentação!$I$2='Base de Dados e filtragem'!I567),1,0)</f>
        <v>1</v>
      </c>
      <c r="AN567" s="25">
        <f>IF(OR(Apresentação!$I$3='Base de Dados e filtragem'!AN$2,Apresentação!$I$3='Base de Dados e filtragem'!J567),1,0)</f>
        <v>1</v>
      </c>
      <c r="AO567" s="25">
        <f>IF(OR(Apresentação!$I$4='Base de Dados e filtragem'!AO$2,Apresentação!$I$4='Base de Dados e filtragem'!K567),1,0)</f>
        <v>1</v>
      </c>
      <c r="AP567" s="25">
        <f>IF(OR(Apresentação!$I$5='Base de Dados e filtragem'!AP$2,Apresentação!$I$5='Base de Dados e filtragem'!L567),1,0)</f>
        <v>1</v>
      </c>
      <c r="AQ567" s="25">
        <f>IF(OR(Apresentação!$I$6='Base de Dados e filtragem'!AQ$2,Apresentação!$I$6='Base de Dados e filtragem'!M567),1,0)</f>
        <v>1</v>
      </c>
      <c r="AR567" s="25">
        <v>1</v>
      </c>
      <c r="AS567" s="25">
        <v>1</v>
      </c>
      <c r="AT567" s="25">
        <v>1</v>
      </c>
      <c r="AU567" s="25">
        <v>1</v>
      </c>
      <c r="AV567" s="25">
        <v>1</v>
      </c>
      <c r="AW567" s="25">
        <v>1</v>
      </c>
      <c r="AX567" s="25">
        <v>1</v>
      </c>
      <c r="AY567" s="25">
        <v>1</v>
      </c>
      <c r="AZ567" s="25">
        <v>1</v>
      </c>
      <c r="BA567" s="25">
        <v>1</v>
      </c>
      <c r="BB567" s="25">
        <v>1</v>
      </c>
      <c r="BC567" s="25">
        <v>1</v>
      </c>
      <c r="BD567" s="25">
        <v>1</v>
      </c>
    </row>
    <row r="568" spans="27:56" x14ac:dyDescent="0.25">
      <c r="AA568" s="68" t="str">
        <f t="shared" si="33"/>
        <v>Fotos\\.jpg</v>
      </c>
      <c r="AB568" s="53">
        <f t="shared" si="34"/>
        <v>1.7605633802816902E-3</v>
      </c>
      <c r="AC568" s="25">
        <f t="shared" si="35"/>
        <v>568</v>
      </c>
      <c r="AD568" s="51">
        <f t="shared" si="36"/>
        <v>1</v>
      </c>
      <c r="AE568" s="25">
        <v>1</v>
      </c>
      <c r="AF568" s="25">
        <v>1</v>
      </c>
      <c r="AG568" s="25">
        <v>1</v>
      </c>
      <c r="AH568" s="25">
        <v>1</v>
      </c>
      <c r="AI568" s="25">
        <f>IF(OR(Apresentação!$E$3='Base de Dados e filtragem'!AI$2,Apresentação!$E$3='Base de Dados e filtragem'!E568),1,0)</f>
        <v>1</v>
      </c>
      <c r="AJ568" s="25">
        <f>IF(OR(Apresentação!$E$4='Base de Dados e filtragem'!AJ$2,Apresentação!$E$4='Base de Dados e filtragem'!F568),1,0)</f>
        <v>1</v>
      </c>
      <c r="AK568" s="25">
        <f>IF(OR(Apresentação!$E$5='Base de Dados e filtragem'!AK$2,Apresentação!$E$5='Base de Dados e filtragem'!G568),1,0)</f>
        <v>1</v>
      </c>
      <c r="AL568" s="25">
        <f>IF(OR(Apresentação!$E$6='Base de Dados e filtragem'!AL$2,Apresentação!$E$6='Base de Dados e filtragem'!H568),1,0)</f>
        <v>1</v>
      </c>
      <c r="AM568" s="25">
        <f>IF(OR(Apresentação!$I$2='Base de Dados e filtragem'!AM$2,Apresentação!$I$2='Base de Dados e filtragem'!I568),1,0)</f>
        <v>1</v>
      </c>
      <c r="AN568" s="25">
        <f>IF(OR(Apresentação!$I$3='Base de Dados e filtragem'!AN$2,Apresentação!$I$3='Base de Dados e filtragem'!J568),1,0)</f>
        <v>1</v>
      </c>
      <c r="AO568" s="25">
        <f>IF(OR(Apresentação!$I$4='Base de Dados e filtragem'!AO$2,Apresentação!$I$4='Base de Dados e filtragem'!K568),1,0)</f>
        <v>1</v>
      </c>
      <c r="AP568" s="25">
        <f>IF(OR(Apresentação!$I$5='Base de Dados e filtragem'!AP$2,Apresentação!$I$5='Base de Dados e filtragem'!L568),1,0)</f>
        <v>1</v>
      </c>
      <c r="AQ568" s="25">
        <f>IF(OR(Apresentação!$I$6='Base de Dados e filtragem'!AQ$2,Apresentação!$I$6='Base de Dados e filtragem'!M568),1,0)</f>
        <v>1</v>
      </c>
      <c r="AR568" s="25">
        <v>1</v>
      </c>
      <c r="AS568" s="25">
        <v>1</v>
      </c>
      <c r="AT568" s="25">
        <v>1</v>
      </c>
      <c r="AU568" s="25">
        <v>1</v>
      </c>
      <c r="AV568" s="25">
        <v>1</v>
      </c>
      <c r="AW568" s="25">
        <v>1</v>
      </c>
      <c r="AX568" s="25">
        <v>1</v>
      </c>
      <c r="AY568" s="25">
        <v>1</v>
      </c>
      <c r="AZ568" s="25">
        <v>1</v>
      </c>
      <c r="BA568" s="25">
        <v>1</v>
      </c>
      <c r="BB568" s="25">
        <v>1</v>
      </c>
      <c r="BC568" s="25">
        <v>1</v>
      </c>
      <c r="BD568" s="25">
        <v>1</v>
      </c>
    </row>
    <row r="569" spans="27:56" x14ac:dyDescent="0.25">
      <c r="AA569" s="68" t="str">
        <f t="shared" si="33"/>
        <v>Fotos\\.jpg</v>
      </c>
      <c r="AB569" s="53">
        <f t="shared" si="34"/>
        <v>1.7574692442882249E-3</v>
      </c>
      <c r="AC569" s="25">
        <f t="shared" si="35"/>
        <v>569</v>
      </c>
      <c r="AD569" s="51">
        <f t="shared" si="36"/>
        <v>1</v>
      </c>
      <c r="AE569" s="25">
        <v>1</v>
      </c>
      <c r="AF569" s="25">
        <v>1</v>
      </c>
      <c r="AG569" s="25">
        <v>1</v>
      </c>
      <c r="AH569" s="25">
        <v>1</v>
      </c>
      <c r="AI569" s="25">
        <f>IF(OR(Apresentação!$E$3='Base de Dados e filtragem'!AI$2,Apresentação!$E$3='Base de Dados e filtragem'!E569),1,0)</f>
        <v>1</v>
      </c>
      <c r="AJ569" s="25">
        <f>IF(OR(Apresentação!$E$4='Base de Dados e filtragem'!AJ$2,Apresentação!$E$4='Base de Dados e filtragem'!F569),1,0)</f>
        <v>1</v>
      </c>
      <c r="AK569" s="25">
        <f>IF(OR(Apresentação!$E$5='Base de Dados e filtragem'!AK$2,Apresentação!$E$5='Base de Dados e filtragem'!G569),1,0)</f>
        <v>1</v>
      </c>
      <c r="AL569" s="25">
        <f>IF(OR(Apresentação!$E$6='Base de Dados e filtragem'!AL$2,Apresentação!$E$6='Base de Dados e filtragem'!H569),1,0)</f>
        <v>1</v>
      </c>
      <c r="AM569" s="25">
        <f>IF(OR(Apresentação!$I$2='Base de Dados e filtragem'!AM$2,Apresentação!$I$2='Base de Dados e filtragem'!I569),1,0)</f>
        <v>1</v>
      </c>
      <c r="AN569" s="25">
        <f>IF(OR(Apresentação!$I$3='Base de Dados e filtragem'!AN$2,Apresentação!$I$3='Base de Dados e filtragem'!J569),1,0)</f>
        <v>1</v>
      </c>
      <c r="AO569" s="25">
        <f>IF(OR(Apresentação!$I$4='Base de Dados e filtragem'!AO$2,Apresentação!$I$4='Base de Dados e filtragem'!K569),1,0)</f>
        <v>1</v>
      </c>
      <c r="AP569" s="25">
        <f>IF(OR(Apresentação!$I$5='Base de Dados e filtragem'!AP$2,Apresentação!$I$5='Base de Dados e filtragem'!L569),1,0)</f>
        <v>1</v>
      </c>
      <c r="AQ569" s="25">
        <f>IF(OR(Apresentação!$I$6='Base de Dados e filtragem'!AQ$2,Apresentação!$I$6='Base de Dados e filtragem'!M569),1,0)</f>
        <v>1</v>
      </c>
      <c r="AR569" s="25">
        <v>1</v>
      </c>
      <c r="AS569" s="25">
        <v>1</v>
      </c>
      <c r="AT569" s="25">
        <v>1</v>
      </c>
      <c r="AU569" s="25">
        <v>1</v>
      </c>
      <c r="AV569" s="25">
        <v>1</v>
      </c>
      <c r="AW569" s="25">
        <v>1</v>
      </c>
      <c r="AX569" s="25">
        <v>1</v>
      </c>
      <c r="AY569" s="25">
        <v>1</v>
      </c>
      <c r="AZ569" s="25">
        <v>1</v>
      </c>
      <c r="BA569" s="25">
        <v>1</v>
      </c>
      <c r="BB569" s="25">
        <v>1</v>
      </c>
      <c r="BC569" s="25">
        <v>1</v>
      </c>
      <c r="BD569" s="25">
        <v>1</v>
      </c>
    </row>
    <row r="570" spans="27:56" x14ac:dyDescent="0.25">
      <c r="AA570" s="68" t="str">
        <f t="shared" si="33"/>
        <v>Fotos\\.jpg</v>
      </c>
      <c r="AB570" s="53">
        <f t="shared" si="34"/>
        <v>1.7543859649122807E-3</v>
      </c>
      <c r="AC570" s="25">
        <f t="shared" si="35"/>
        <v>570</v>
      </c>
      <c r="AD570" s="51">
        <f t="shared" si="36"/>
        <v>1</v>
      </c>
      <c r="AE570" s="25">
        <v>1</v>
      </c>
      <c r="AF570" s="25">
        <v>1</v>
      </c>
      <c r="AG570" s="25">
        <v>1</v>
      </c>
      <c r="AH570" s="25">
        <v>1</v>
      </c>
      <c r="AI570" s="25">
        <f>IF(OR(Apresentação!$E$3='Base de Dados e filtragem'!AI$2,Apresentação!$E$3='Base de Dados e filtragem'!E570),1,0)</f>
        <v>1</v>
      </c>
      <c r="AJ570" s="25">
        <f>IF(OR(Apresentação!$E$4='Base de Dados e filtragem'!AJ$2,Apresentação!$E$4='Base de Dados e filtragem'!F570),1,0)</f>
        <v>1</v>
      </c>
      <c r="AK570" s="25">
        <f>IF(OR(Apresentação!$E$5='Base de Dados e filtragem'!AK$2,Apresentação!$E$5='Base de Dados e filtragem'!G570),1,0)</f>
        <v>1</v>
      </c>
      <c r="AL570" s="25">
        <f>IF(OR(Apresentação!$E$6='Base de Dados e filtragem'!AL$2,Apresentação!$E$6='Base de Dados e filtragem'!H570),1,0)</f>
        <v>1</v>
      </c>
      <c r="AM570" s="25">
        <f>IF(OR(Apresentação!$I$2='Base de Dados e filtragem'!AM$2,Apresentação!$I$2='Base de Dados e filtragem'!I570),1,0)</f>
        <v>1</v>
      </c>
      <c r="AN570" s="25">
        <f>IF(OR(Apresentação!$I$3='Base de Dados e filtragem'!AN$2,Apresentação!$I$3='Base de Dados e filtragem'!J570),1,0)</f>
        <v>1</v>
      </c>
      <c r="AO570" s="25">
        <f>IF(OR(Apresentação!$I$4='Base de Dados e filtragem'!AO$2,Apresentação!$I$4='Base de Dados e filtragem'!K570),1,0)</f>
        <v>1</v>
      </c>
      <c r="AP570" s="25">
        <f>IF(OR(Apresentação!$I$5='Base de Dados e filtragem'!AP$2,Apresentação!$I$5='Base de Dados e filtragem'!L570),1,0)</f>
        <v>1</v>
      </c>
      <c r="AQ570" s="25">
        <f>IF(OR(Apresentação!$I$6='Base de Dados e filtragem'!AQ$2,Apresentação!$I$6='Base de Dados e filtragem'!M570),1,0)</f>
        <v>1</v>
      </c>
      <c r="AR570" s="25">
        <v>1</v>
      </c>
      <c r="AS570" s="25">
        <v>1</v>
      </c>
      <c r="AT570" s="25">
        <v>1</v>
      </c>
      <c r="AU570" s="25">
        <v>1</v>
      </c>
      <c r="AV570" s="25">
        <v>1</v>
      </c>
      <c r="AW570" s="25">
        <v>1</v>
      </c>
      <c r="AX570" s="25">
        <v>1</v>
      </c>
      <c r="AY570" s="25">
        <v>1</v>
      </c>
      <c r="AZ570" s="25">
        <v>1</v>
      </c>
      <c r="BA570" s="25">
        <v>1</v>
      </c>
      <c r="BB570" s="25">
        <v>1</v>
      </c>
      <c r="BC570" s="25">
        <v>1</v>
      </c>
      <c r="BD570" s="25">
        <v>1</v>
      </c>
    </row>
    <row r="571" spans="27:56" x14ac:dyDescent="0.25">
      <c r="AA571" s="68" t="str">
        <f t="shared" si="33"/>
        <v>Fotos\\.jpg</v>
      </c>
      <c r="AB571" s="53">
        <f t="shared" si="34"/>
        <v>1.7513134851138354E-3</v>
      </c>
      <c r="AC571" s="25">
        <f t="shared" si="35"/>
        <v>571</v>
      </c>
      <c r="AD571" s="51">
        <f t="shared" si="36"/>
        <v>1</v>
      </c>
      <c r="AE571" s="25">
        <v>1</v>
      </c>
      <c r="AF571" s="25">
        <v>1</v>
      </c>
      <c r="AG571" s="25">
        <v>1</v>
      </c>
      <c r="AH571" s="25">
        <v>1</v>
      </c>
      <c r="AI571" s="25">
        <f>IF(OR(Apresentação!$E$3='Base de Dados e filtragem'!AI$2,Apresentação!$E$3='Base de Dados e filtragem'!E571),1,0)</f>
        <v>1</v>
      </c>
      <c r="AJ571" s="25">
        <f>IF(OR(Apresentação!$E$4='Base de Dados e filtragem'!AJ$2,Apresentação!$E$4='Base de Dados e filtragem'!F571),1,0)</f>
        <v>1</v>
      </c>
      <c r="AK571" s="25">
        <f>IF(OR(Apresentação!$E$5='Base de Dados e filtragem'!AK$2,Apresentação!$E$5='Base de Dados e filtragem'!G571),1,0)</f>
        <v>1</v>
      </c>
      <c r="AL571" s="25">
        <f>IF(OR(Apresentação!$E$6='Base de Dados e filtragem'!AL$2,Apresentação!$E$6='Base de Dados e filtragem'!H571),1,0)</f>
        <v>1</v>
      </c>
      <c r="AM571" s="25">
        <f>IF(OR(Apresentação!$I$2='Base de Dados e filtragem'!AM$2,Apresentação!$I$2='Base de Dados e filtragem'!I571),1,0)</f>
        <v>1</v>
      </c>
      <c r="AN571" s="25">
        <f>IF(OR(Apresentação!$I$3='Base de Dados e filtragem'!AN$2,Apresentação!$I$3='Base de Dados e filtragem'!J571),1,0)</f>
        <v>1</v>
      </c>
      <c r="AO571" s="25">
        <f>IF(OR(Apresentação!$I$4='Base de Dados e filtragem'!AO$2,Apresentação!$I$4='Base de Dados e filtragem'!K571),1,0)</f>
        <v>1</v>
      </c>
      <c r="AP571" s="25">
        <f>IF(OR(Apresentação!$I$5='Base de Dados e filtragem'!AP$2,Apresentação!$I$5='Base de Dados e filtragem'!L571),1,0)</f>
        <v>1</v>
      </c>
      <c r="AQ571" s="25">
        <f>IF(OR(Apresentação!$I$6='Base de Dados e filtragem'!AQ$2,Apresentação!$I$6='Base de Dados e filtragem'!M571),1,0)</f>
        <v>1</v>
      </c>
      <c r="AR571" s="25">
        <v>1</v>
      </c>
      <c r="AS571" s="25">
        <v>1</v>
      </c>
      <c r="AT571" s="25">
        <v>1</v>
      </c>
      <c r="AU571" s="25">
        <v>1</v>
      </c>
      <c r="AV571" s="25">
        <v>1</v>
      </c>
      <c r="AW571" s="25">
        <v>1</v>
      </c>
      <c r="AX571" s="25">
        <v>1</v>
      </c>
      <c r="AY571" s="25">
        <v>1</v>
      </c>
      <c r="AZ571" s="25">
        <v>1</v>
      </c>
      <c r="BA571" s="25">
        <v>1</v>
      </c>
      <c r="BB571" s="25">
        <v>1</v>
      </c>
      <c r="BC571" s="25">
        <v>1</v>
      </c>
      <c r="BD571" s="25">
        <v>1</v>
      </c>
    </row>
    <row r="572" spans="27:56" x14ac:dyDescent="0.25">
      <c r="AA572" s="68" t="str">
        <f t="shared" si="33"/>
        <v>Fotos\\.jpg</v>
      </c>
      <c r="AB572" s="53">
        <f t="shared" si="34"/>
        <v>1.7482517482517483E-3</v>
      </c>
      <c r="AC572" s="25">
        <f t="shared" si="35"/>
        <v>572</v>
      </c>
      <c r="AD572" s="51">
        <f t="shared" si="36"/>
        <v>1</v>
      </c>
      <c r="AE572" s="25">
        <v>1</v>
      </c>
      <c r="AF572" s="25">
        <v>1</v>
      </c>
      <c r="AG572" s="25">
        <v>1</v>
      </c>
      <c r="AH572" s="25">
        <v>1</v>
      </c>
      <c r="AI572" s="25">
        <f>IF(OR(Apresentação!$E$3='Base de Dados e filtragem'!AI$2,Apresentação!$E$3='Base de Dados e filtragem'!E572),1,0)</f>
        <v>1</v>
      </c>
      <c r="AJ572" s="25">
        <f>IF(OR(Apresentação!$E$4='Base de Dados e filtragem'!AJ$2,Apresentação!$E$4='Base de Dados e filtragem'!F572),1,0)</f>
        <v>1</v>
      </c>
      <c r="AK572" s="25">
        <f>IF(OR(Apresentação!$E$5='Base de Dados e filtragem'!AK$2,Apresentação!$E$5='Base de Dados e filtragem'!G572),1,0)</f>
        <v>1</v>
      </c>
      <c r="AL572" s="25">
        <f>IF(OR(Apresentação!$E$6='Base de Dados e filtragem'!AL$2,Apresentação!$E$6='Base de Dados e filtragem'!H572),1,0)</f>
        <v>1</v>
      </c>
      <c r="AM572" s="25">
        <f>IF(OR(Apresentação!$I$2='Base de Dados e filtragem'!AM$2,Apresentação!$I$2='Base de Dados e filtragem'!I572),1,0)</f>
        <v>1</v>
      </c>
      <c r="AN572" s="25">
        <f>IF(OR(Apresentação!$I$3='Base de Dados e filtragem'!AN$2,Apresentação!$I$3='Base de Dados e filtragem'!J572),1,0)</f>
        <v>1</v>
      </c>
      <c r="AO572" s="25">
        <f>IF(OR(Apresentação!$I$4='Base de Dados e filtragem'!AO$2,Apresentação!$I$4='Base de Dados e filtragem'!K572),1,0)</f>
        <v>1</v>
      </c>
      <c r="AP572" s="25">
        <f>IF(OR(Apresentação!$I$5='Base de Dados e filtragem'!AP$2,Apresentação!$I$5='Base de Dados e filtragem'!L572),1,0)</f>
        <v>1</v>
      </c>
      <c r="AQ572" s="25">
        <f>IF(OR(Apresentação!$I$6='Base de Dados e filtragem'!AQ$2,Apresentação!$I$6='Base de Dados e filtragem'!M572),1,0)</f>
        <v>1</v>
      </c>
      <c r="AR572" s="25">
        <v>1</v>
      </c>
      <c r="AS572" s="25">
        <v>1</v>
      </c>
      <c r="AT572" s="25">
        <v>1</v>
      </c>
      <c r="AU572" s="25">
        <v>1</v>
      </c>
      <c r="AV572" s="25">
        <v>1</v>
      </c>
      <c r="AW572" s="25">
        <v>1</v>
      </c>
      <c r="AX572" s="25">
        <v>1</v>
      </c>
      <c r="AY572" s="25">
        <v>1</v>
      </c>
      <c r="AZ572" s="25">
        <v>1</v>
      </c>
      <c r="BA572" s="25">
        <v>1</v>
      </c>
      <c r="BB572" s="25">
        <v>1</v>
      </c>
      <c r="BC572" s="25">
        <v>1</v>
      </c>
      <c r="BD572" s="25">
        <v>1</v>
      </c>
    </row>
    <row r="573" spans="27:56" x14ac:dyDescent="0.25">
      <c r="AA573" s="68" t="str">
        <f t="shared" si="33"/>
        <v>Fotos\\.jpg</v>
      </c>
      <c r="AB573" s="53">
        <f t="shared" si="34"/>
        <v>1.7452006980802793E-3</v>
      </c>
      <c r="AC573" s="25">
        <f t="shared" si="35"/>
        <v>573</v>
      </c>
      <c r="AD573" s="51">
        <f t="shared" si="36"/>
        <v>1</v>
      </c>
      <c r="AE573" s="25">
        <v>1</v>
      </c>
      <c r="AF573" s="25">
        <v>1</v>
      </c>
      <c r="AG573" s="25">
        <v>1</v>
      </c>
      <c r="AH573" s="25">
        <v>1</v>
      </c>
      <c r="AI573" s="25">
        <f>IF(OR(Apresentação!$E$3='Base de Dados e filtragem'!AI$2,Apresentação!$E$3='Base de Dados e filtragem'!E573),1,0)</f>
        <v>1</v>
      </c>
      <c r="AJ573" s="25">
        <f>IF(OR(Apresentação!$E$4='Base de Dados e filtragem'!AJ$2,Apresentação!$E$4='Base de Dados e filtragem'!F573),1,0)</f>
        <v>1</v>
      </c>
      <c r="AK573" s="25">
        <f>IF(OR(Apresentação!$E$5='Base de Dados e filtragem'!AK$2,Apresentação!$E$5='Base de Dados e filtragem'!G573),1,0)</f>
        <v>1</v>
      </c>
      <c r="AL573" s="25">
        <f>IF(OR(Apresentação!$E$6='Base de Dados e filtragem'!AL$2,Apresentação!$E$6='Base de Dados e filtragem'!H573),1,0)</f>
        <v>1</v>
      </c>
      <c r="AM573" s="25">
        <f>IF(OR(Apresentação!$I$2='Base de Dados e filtragem'!AM$2,Apresentação!$I$2='Base de Dados e filtragem'!I573),1,0)</f>
        <v>1</v>
      </c>
      <c r="AN573" s="25">
        <f>IF(OR(Apresentação!$I$3='Base de Dados e filtragem'!AN$2,Apresentação!$I$3='Base de Dados e filtragem'!J573),1,0)</f>
        <v>1</v>
      </c>
      <c r="AO573" s="25">
        <f>IF(OR(Apresentação!$I$4='Base de Dados e filtragem'!AO$2,Apresentação!$I$4='Base de Dados e filtragem'!K573),1,0)</f>
        <v>1</v>
      </c>
      <c r="AP573" s="25">
        <f>IF(OR(Apresentação!$I$5='Base de Dados e filtragem'!AP$2,Apresentação!$I$5='Base de Dados e filtragem'!L573),1,0)</f>
        <v>1</v>
      </c>
      <c r="AQ573" s="25">
        <f>IF(OR(Apresentação!$I$6='Base de Dados e filtragem'!AQ$2,Apresentação!$I$6='Base de Dados e filtragem'!M573),1,0)</f>
        <v>1</v>
      </c>
      <c r="AR573" s="25">
        <v>1</v>
      </c>
      <c r="AS573" s="25">
        <v>1</v>
      </c>
      <c r="AT573" s="25">
        <v>1</v>
      </c>
      <c r="AU573" s="25">
        <v>1</v>
      </c>
      <c r="AV573" s="25">
        <v>1</v>
      </c>
      <c r="AW573" s="25">
        <v>1</v>
      </c>
      <c r="AX573" s="25">
        <v>1</v>
      </c>
      <c r="AY573" s="25">
        <v>1</v>
      </c>
      <c r="AZ573" s="25">
        <v>1</v>
      </c>
      <c r="BA573" s="25">
        <v>1</v>
      </c>
      <c r="BB573" s="25">
        <v>1</v>
      </c>
      <c r="BC573" s="25">
        <v>1</v>
      </c>
      <c r="BD573" s="25">
        <v>1</v>
      </c>
    </row>
    <row r="574" spans="27:56" x14ac:dyDescent="0.25">
      <c r="AA574" s="68" t="str">
        <f t="shared" si="33"/>
        <v>Fotos\\.jpg</v>
      </c>
      <c r="AB574" s="53">
        <f t="shared" si="34"/>
        <v>1.7421602787456446E-3</v>
      </c>
      <c r="AC574" s="25">
        <f t="shared" si="35"/>
        <v>574</v>
      </c>
      <c r="AD574" s="51">
        <f t="shared" si="36"/>
        <v>1</v>
      </c>
      <c r="AE574" s="25">
        <v>1</v>
      </c>
      <c r="AF574" s="25">
        <v>1</v>
      </c>
      <c r="AG574" s="25">
        <v>1</v>
      </c>
      <c r="AH574" s="25">
        <v>1</v>
      </c>
      <c r="AI574" s="25">
        <f>IF(OR(Apresentação!$E$3='Base de Dados e filtragem'!AI$2,Apresentação!$E$3='Base de Dados e filtragem'!E574),1,0)</f>
        <v>1</v>
      </c>
      <c r="AJ574" s="25">
        <f>IF(OR(Apresentação!$E$4='Base de Dados e filtragem'!AJ$2,Apresentação!$E$4='Base de Dados e filtragem'!F574),1,0)</f>
        <v>1</v>
      </c>
      <c r="AK574" s="25">
        <f>IF(OR(Apresentação!$E$5='Base de Dados e filtragem'!AK$2,Apresentação!$E$5='Base de Dados e filtragem'!G574),1,0)</f>
        <v>1</v>
      </c>
      <c r="AL574" s="25">
        <f>IF(OR(Apresentação!$E$6='Base de Dados e filtragem'!AL$2,Apresentação!$E$6='Base de Dados e filtragem'!H574),1,0)</f>
        <v>1</v>
      </c>
      <c r="AM574" s="25">
        <f>IF(OR(Apresentação!$I$2='Base de Dados e filtragem'!AM$2,Apresentação!$I$2='Base de Dados e filtragem'!I574),1,0)</f>
        <v>1</v>
      </c>
      <c r="AN574" s="25">
        <f>IF(OR(Apresentação!$I$3='Base de Dados e filtragem'!AN$2,Apresentação!$I$3='Base de Dados e filtragem'!J574),1,0)</f>
        <v>1</v>
      </c>
      <c r="AO574" s="25">
        <f>IF(OR(Apresentação!$I$4='Base de Dados e filtragem'!AO$2,Apresentação!$I$4='Base de Dados e filtragem'!K574),1,0)</f>
        <v>1</v>
      </c>
      <c r="AP574" s="25">
        <f>IF(OR(Apresentação!$I$5='Base de Dados e filtragem'!AP$2,Apresentação!$I$5='Base de Dados e filtragem'!L574),1,0)</f>
        <v>1</v>
      </c>
      <c r="AQ574" s="25">
        <f>IF(OR(Apresentação!$I$6='Base de Dados e filtragem'!AQ$2,Apresentação!$I$6='Base de Dados e filtragem'!M574),1,0)</f>
        <v>1</v>
      </c>
      <c r="AR574" s="25">
        <v>1</v>
      </c>
      <c r="AS574" s="25">
        <v>1</v>
      </c>
      <c r="AT574" s="25">
        <v>1</v>
      </c>
      <c r="AU574" s="25">
        <v>1</v>
      </c>
      <c r="AV574" s="25">
        <v>1</v>
      </c>
      <c r="AW574" s="25">
        <v>1</v>
      </c>
      <c r="AX574" s="25">
        <v>1</v>
      </c>
      <c r="AY574" s="25">
        <v>1</v>
      </c>
      <c r="AZ574" s="25">
        <v>1</v>
      </c>
      <c r="BA574" s="25">
        <v>1</v>
      </c>
      <c r="BB574" s="25">
        <v>1</v>
      </c>
      <c r="BC574" s="25">
        <v>1</v>
      </c>
      <c r="BD574" s="25">
        <v>1</v>
      </c>
    </row>
    <row r="575" spans="27:56" x14ac:dyDescent="0.25">
      <c r="AA575" s="68" t="str">
        <f t="shared" si="33"/>
        <v>Fotos\\.jpg</v>
      </c>
      <c r="AB575" s="53">
        <f t="shared" si="34"/>
        <v>1.7391304347826088E-3</v>
      </c>
      <c r="AC575" s="25">
        <f t="shared" si="35"/>
        <v>575</v>
      </c>
      <c r="AD575" s="51">
        <f t="shared" si="36"/>
        <v>1</v>
      </c>
      <c r="AE575" s="25">
        <v>1</v>
      </c>
      <c r="AF575" s="25">
        <v>1</v>
      </c>
      <c r="AG575" s="25">
        <v>1</v>
      </c>
      <c r="AH575" s="25">
        <v>1</v>
      </c>
      <c r="AI575" s="25">
        <f>IF(OR(Apresentação!$E$3='Base de Dados e filtragem'!AI$2,Apresentação!$E$3='Base de Dados e filtragem'!E575),1,0)</f>
        <v>1</v>
      </c>
      <c r="AJ575" s="25">
        <f>IF(OR(Apresentação!$E$4='Base de Dados e filtragem'!AJ$2,Apresentação!$E$4='Base de Dados e filtragem'!F575),1,0)</f>
        <v>1</v>
      </c>
      <c r="AK575" s="25">
        <f>IF(OR(Apresentação!$E$5='Base de Dados e filtragem'!AK$2,Apresentação!$E$5='Base de Dados e filtragem'!G575),1,0)</f>
        <v>1</v>
      </c>
      <c r="AL575" s="25">
        <f>IF(OR(Apresentação!$E$6='Base de Dados e filtragem'!AL$2,Apresentação!$E$6='Base de Dados e filtragem'!H575),1,0)</f>
        <v>1</v>
      </c>
      <c r="AM575" s="25">
        <f>IF(OR(Apresentação!$I$2='Base de Dados e filtragem'!AM$2,Apresentação!$I$2='Base de Dados e filtragem'!I575),1,0)</f>
        <v>1</v>
      </c>
      <c r="AN575" s="25">
        <f>IF(OR(Apresentação!$I$3='Base de Dados e filtragem'!AN$2,Apresentação!$I$3='Base de Dados e filtragem'!J575),1,0)</f>
        <v>1</v>
      </c>
      <c r="AO575" s="25">
        <f>IF(OR(Apresentação!$I$4='Base de Dados e filtragem'!AO$2,Apresentação!$I$4='Base de Dados e filtragem'!K575),1,0)</f>
        <v>1</v>
      </c>
      <c r="AP575" s="25">
        <f>IF(OR(Apresentação!$I$5='Base de Dados e filtragem'!AP$2,Apresentação!$I$5='Base de Dados e filtragem'!L575),1,0)</f>
        <v>1</v>
      </c>
      <c r="AQ575" s="25">
        <f>IF(OR(Apresentação!$I$6='Base de Dados e filtragem'!AQ$2,Apresentação!$I$6='Base de Dados e filtragem'!M575),1,0)</f>
        <v>1</v>
      </c>
      <c r="AR575" s="25">
        <v>1</v>
      </c>
      <c r="AS575" s="25">
        <v>1</v>
      </c>
      <c r="AT575" s="25">
        <v>1</v>
      </c>
      <c r="AU575" s="25">
        <v>1</v>
      </c>
      <c r="AV575" s="25">
        <v>1</v>
      </c>
      <c r="AW575" s="25">
        <v>1</v>
      </c>
      <c r="AX575" s="25">
        <v>1</v>
      </c>
      <c r="AY575" s="25">
        <v>1</v>
      </c>
      <c r="AZ575" s="25">
        <v>1</v>
      </c>
      <c r="BA575" s="25">
        <v>1</v>
      </c>
      <c r="BB575" s="25">
        <v>1</v>
      </c>
      <c r="BC575" s="25">
        <v>1</v>
      </c>
      <c r="BD575" s="25">
        <v>1</v>
      </c>
    </row>
    <row r="576" spans="27:56" x14ac:dyDescent="0.25">
      <c r="AA576" s="68" t="str">
        <f t="shared" si="33"/>
        <v>Fotos\\.jpg</v>
      </c>
      <c r="AB576" s="53">
        <f t="shared" si="34"/>
        <v>1.736111111111111E-3</v>
      </c>
      <c r="AC576" s="25">
        <f t="shared" si="35"/>
        <v>576</v>
      </c>
      <c r="AD576" s="51">
        <f t="shared" si="36"/>
        <v>1</v>
      </c>
      <c r="AE576" s="25">
        <v>1</v>
      </c>
      <c r="AF576" s="25">
        <v>1</v>
      </c>
      <c r="AG576" s="25">
        <v>1</v>
      </c>
      <c r="AH576" s="25">
        <v>1</v>
      </c>
      <c r="AI576" s="25">
        <f>IF(OR(Apresentação!$E$3='Base de Dados e filtragem'!AI$2,Apresentação!$E$3='Base de Dados e filtragem'!E576),1,0)</f>
        <v>1</v>
      </c>
      <c r="AJ576" s="25">
        <f>IF(OR(Apresentação!$E$4='Base de Dados e filtragem'!AJ$2,Apresentação!$E$4='Base de Dados e filtragem'!F576),1,0)</f>
        <v>1</v>
      </c>
      <c r="AK576" s="25">
        <f>IF(OR(Apresentação!$E$5='Base de Dados e filtragem'!AK$2,Apresentação!$E$5='Base de Dados e filtragem'!G576),1,0)</f>
        <v>1</v>
      </c>
      <c r="AL576" s="25">
        <f>IF(OR(Apresentação!$E$6='Base de Dados e filtragem'!AL$2,Apresentação!$E$6='Base de Dados e filtragem'!H576),1,0)</f>
        <v>1</v>
      </c>
      <c r="AM576" s="25">
        <f>IF(OR(Apresentação!$I$2='Base de Dados e filtragem'!AM$2,Apresentação!$I$2='Base de Dados e filtragem'!I576),1,0)</f>
        <v>1</v>
      </c>
      <c r="AN576" s="25">
        <f>IF(OR(Apresentação!$I$3='Base de Dados e filtragem'!AN$2,Apresentação!$I$3='Base de Dados e filtragem'!J576),1,0)</f>
        <v>1</v>
      </c>
      <c r="AO576" s="25">
        <f>IF(OR(Apresentação!$I$4='Base de Dados e filtragem'!AO$2,Apresentação!$I$4='Base de Dados e filtragem'!K576),1,0)</f>
        <v>1</v>
      </c>
      <c r="AP576" s="25">
        <f>IF(OR(Apresentação!$I$5='Base de Dados e filtragem'!AP$2,Apresentação!$I$5='Base de Dados e filtragem'!L576),1,0)</f>
        <v>1</v>
      </c>
      <c r="AQ576" s="25">
        <f>IF(OR(Apresentação!$I$6='Base de Dados e filtragem'!AQ$2,Apresentação!$I$6='Base de Dados e filtragem'!M576),1,0)</f>
        <v>1</v>
      </c>
      <c r="AR576" s="25">
        <v>1</v>
      </c>
      <c r="AS576" s="25">
        <v>1</v>
      </c>
      <c r="AT576" s="25">
        <v>1</v>
      </c>
      <c r="AU576" s="25">
        <v>1</v>
      </c>
      <c r="AV576" s="25">
        <v>1</v>
      </c>
      <c r="AW576" s="25">
        <v>1</v>
      </c>
      <c r="AX576" s="25">
        <v>1</v>
      </c>
      <c r="AY576" s="25">
        <v>1</v>
      </c>
      <c r="AZ576" s="25">
        <v>1</v>
      </c>
      <c r="BA576" s="25">
        <v>1</v>
      </c>
      <c r="BB576" s="25">
        <v>1</v>
      </c>
      <c r="BC576" s="25">
        <v>1</v>
      </c>
      <c r="BD576" s="25">
        <v>1</v>
      </c>
    </row>
    <row r="577" spans="27:56" x14ac:dyDescent="0.25">
      <c r="AA577" s="68" t="str">
        <f t="shared" si="33"/>
        <v>Fotos\\.jpg</v>
      </c>
      <c r="AB577" s="53">
        <f t="shared" si="34"/>
        <v>1.7331022530329288E-3</v>
      </c>
      <c r="AC577" s="25">
        <f t="shared" si="35"/>
        <v>577</v>
      </c>
      <c r="AD577" s="51">
        <f t="shared" si="36"/>
        <v>1</v>
      </c>
      <c r="AE577" s="25">
        <v>1</v>
      </c>
      <c r="AF577" s="25">
        <v>1</v>
      </c>
      <c r="AG577" s="25">
        <v>1</v>
      </c>
      <c r="AH577" s="25">
        <v>1</v>
      </c>
      <c r="AI577" s="25">
        <f>IF(OR(Apresentação!$E$3='Base de Dados e filtragem'!AI$2,Apresentação!$E$3='Base de Dados e filtragem'!E577),1,0)</f>
        <v>1</v>
      </c>
      <c r="AJ577" s="25">
        <f>IF(OR(Apresentação!$E$4='Base de Dados e filtragem'!AJ$2,Apresentação!$E$4='Base de Dados e filtragem'!F577),1,0)</f>
        <v>1</v>
      </c>
      <c r="AK577" s="25">
        <f>IF(OR(Apresentação!$E$5='Base de Dados e filtragem'!AK$2,Apresentação!$E$5='Base de Dados e filtragem'!G577),1,0)</f>
        <v>1</v>
      </c>
      <c r="AL577" s="25">
        <f>IF(OR(Apresentação!$E$6='Base de Dados e filtragem'!AL$2,Apresentação!$E$6='Base de Dados e filtragem'!H577),1,0)</f>
        <v>1</v>
      </c>
      <c r="AM577" s="25">
        <f>IF(OR(Apresentação!$I$2='Base de Dados e filtragem'!AM$2,Apresentação!$I$2='Base de Dados e filtragem'!I577),1,0)</f>
        <v>1</v>
      </c>
      <c r="AN577" s="25">
        <f>IF(OR(Apresentação!$I$3='Base de Dados e filtragem'!AN$2,Apresentação!$I$3='Base de Dados e filtragem'!J577),1,0)</f>
        <v>1</v>
      </c>
      <c r="AO577" s="25">
        <f>IF(OR(Apresentação!$I$4='Base de Dados e filtragem'!AO$2,Apresentação!$I$4='Base de Dados e filtragem'!K577),1,0)</f>
        <v>1</v>
      </c>
      <c r="AP577" s="25">
        <f>IF(OR(Apresentação!$I$5='Base de Dados e filtragem'!AP$2,Apresentação!$I$5='Base de Dados e filtragem'!L577),1,0)</f>
        <v>1</v>
      </c>
      <c r="AQ577" s="25">
        <f>IF(OR(Apresentação!$I$6='Base de Dados e filtragem'!AQ$2,Apresentação!$I$6='Base de Dados e filtragem'!M577),1,0)</f>
        <v>1</v>
      </c>
      <c r="AR577" s="25">
        <v>1</v>
      </c>
      <c r="AS577" s="25">
        <v>1</v>
      </c>
      <c r="AT577" s="25">
        <v>1</v>
      </c>
      <c r="AU577" s="25">
        <v>1</v>
      </c>
      <c r="AV577" s="25">
        <v>1</v>
      </c>
      <c r="AW577" s="25">
        <v>1</v>
      </c>
      <c r="AX577" s="25">
        <v>1</v>
      </c>
      <c r="AY577" s="25">
        <v>1</v>
      </c>
      <c r="AZ577" s="25">
        <v>1</v>
      </c>
      <c r="BA577" s="25">
        <v>1</v>
      </c>
      <c r="BB577" s="25">
        <v>1</v>
      </c>
      <c r="BC577" s="25">
        <v>1</v>
      </c>
      <c r="BD577" s="25">
        <v>1</v>
      </c>
    </row>
    <row r="578" spans="27:56" x14ac:dyDescent="0.25">
      <c r="AA578" s="68" t="str">
        <f t="shared" si="33"/>
        <v>Fotos\\.jpg</v>
      </c>
      <c r="AB578" s="53">
        <f t="shared" si="34"/>
        <v>1.7301038062283738E-3</v>
      </c>
      <c r="AC578" s="25">
        <f t="shared" si="35"/>
        <v>578</v>
      </c>
      <c r="AD578" s="51">
        <f t="shared" si="36"/>
        <v>1</v>
      </c>
      <c r="AE578" s="25">
        <v>1</v>
      </c>
      <c r="AF578" s="25">
        <v>1</v>
      </c>
      <c r="AG578" s="25">
        <v>1</v>
      </c>
      <c r="AH578" s="25">
        <v>1</v>
      </c>
      <c r="AI578" s="25">
        <f>IF(OR(Apresentação!$E$3='Base de Dados e filtragem'!AI$2,Apresentação!$E$3='Base de Dados e filtragem'!E578),1,0)</f>
        <v>1</v>
      </c>
      <c r="AJ578" s="25">
        <f>IF(OR(Apresentação!$E$4='Base de Dados e filtragem'!AJ$2,Apresentação!$E$4='Base de Dados e filtragem'!F578),1,0)</f>
        <v>1</v>
      </c>
      <c r="AK578" s="25">
        <f>IF(OR(Apresentação!$E$5='Base de Dados e filtragem'!AK$2,Apresentação!$E$5='Base de Dados e filtragem'!G578),1,0)</f>
        <v>1</v>
      </c>
      <c r="AL578" s="25">
        <f>IF(OR(Apresentação!$E$6='Base de Dados e filtragem'!AL$2,Apresentação!$E$6='Base de Dados e filtragem'!H578),1,0)</f>
        <v>1</v>
      </c>
      <c r="AM578" s="25">
        <f>IF(OR(Apresentação!$I$2='Base de Dados e filtragem'!AM$2,Apresentação!$I$2='Base de Dados e filtragem'!I578),1,0)</f>
        <v>1</v>
      </c>
      <c r="AN578" s="25">
        <f>IF(OR(Apresentação!$I$3='Base de Dados e filtragem'!AN$2,Apresentação!$I$3='Base de Dados e filtragem'!J578),1,0)</f>
        <v>1</v>
      </c>
      <c r="AO578" s="25">
        <f>IF(OR(Apresentação!$I$4='Base de Dados e filtragem'!AO$2,Apresentação!$I$4='Base de Dados e filtragem'!K578),1,0)</f>
        <v>1</v>
      </c>
      <c r="AP578" s="25">
        <f>IF(OR(Apresentação!$I$5='Base de Dados e filtragem'!AP$2,Apresentação!$I$5='Base de Dados e filtragem'!L578),1,0)</f>
        <v>1</v>
      </c>
      <c r="AQ578" s="25">
        <f>IF(OR(Apresentação!$I$6='Base de Dados e filtragem'!AQ$2,Apresentação!$I$6='Base de Dados e filtragem'!M578),1,0)</f>
        <v>1</v>
      </c>
      <c r="AR578" s="25">
        <v>1</v>
      </c>
      <c r="AS578" s="25">
        <v>1</v>
      </c>
      <c r="AT578" s="25">
        <v>1</v>
      </c>
      <c r="AU578" s="25">
        <v>1</v>
      </c>
      <c r="AV578" s="25">
        <v>1</v>
      </c>
      <c r="AW578" s="25">
        <v>1</v>
      </c>
      <c r="AX578" s="25">
        <v>1</v>
      </c>
      <c r="AY578" s="25">
        <v>1</v>
      </c>
      <c r="AZ578" s="25">
        <v>1</v>
      </c>
      <c r="BA578" s="25">
        <v>1</v>
      </c>
      <c r="BB578" s="25">
        <v>1</v>
      </c>
      <c r="BC578" s="25">
        <v>1</v>
      </c>
      <c r="BD578" s="25">
        <v>1</v>
      </c>
    </row>
    <row r="579" spans="27:56" x14ac:dyDescent="0.25">
      <c r="AA579" s="68" t="str">
        <f t="shared" si="33"/>
        <v>Fotos\\.jpg</v>
      </c>
      <c r="AB579" s="53">
        <f t="shared" si="34"/>
        <v>1.7271157167530224E-3</v>
      </c>
      <c r="AC579" s="25">
        <f t="shared" si="35"/>
        <v>579</v>
      </c>
      <c r="AD579" s="51">
        <f t="shared" si="36"/>
        <v>1</v>
      </c>
      <c r="AE579" s="25">
        <v>1</v>
      </c>
      <c r="AF579" s="25">
        <v>1</v>
      </c>
      <c r="AG579" s="25">
        <v>1</v>
      </c>
      <c r="AH579" s="25">
        <v>1</v>
      </c>
      <c r="AI579" s="25">
        <f>IF(OR(Apresentação!$E$3='Base de Dados e filtragem'!AI$2,Apresentação!$E$3='Base de Dados e filtragem'!E579),1,0)</f>
        <v>1</v>
      </c>
      <c r="AJ579" s="25">
        <f>IF(OR(Apresentação!$E$4='Base de Dados e filtragem'!AJ$2,Apresentação!$E$4='Base de Dados e filtragem'!F579),1,0)</f>
        <v>1</v>
      </c>
      <c r="AK579" s="25">
        <f>IF(OR(Apresentação!$E$5='Base de Dados e filtragem'!AK$2,Apresentação!$E$5='Base de Dados e filtragem'!G579),1,0)</f>
        <v>1</v>
      </c>
      <c r="AL579" s="25">
        <f>IF(OR(Apresentação!$E$6='Base de Dados e filtragem'!AL$2,Apresentação!$E$6='Base de Dados e filtragem'!H579),1,0)</f>
        <v>1</v>
      </c>
      <c r="AM579" s="25">
        <f>IF(OR(Apresentação!$I$2='Base de Dados e filtragem'!AM$2,Apresentação!$I$2='Base de Dados e filtragem'!I579),1,0)</f>
        <v>1</v>
      </c>
      <c r="AN579" s="25">
        <f>IF(OR(Apresentação!$I$3='Base de Dados e filtragem'!AN$2,Apresentação!$I$3='Base de Dados e filtragem'!J579),1,0)</f>
        <v>1</v>
      </c>
      <c r="AO579" s="25">
        <f>IF(OR(Apresentação!$I$4='Base de Dados e filtragem'!AO$2,Apresentação!$I$4='Base de Dados e filtragem'!K579),1,0)</f>
        <v>1</v>
      </c>
      <c r="AP579" s="25">
        <f>IF(OR(Apresentação!$I$5='Base de Dados e filtragem'!AP$2,Apresentação!$I$5='Base de Dados e filtragem'!L579),1,0)</f>
        <v>1</v>
      </c>
      <c r="AQ579" s="25">
        <f>IF(OR(Apresentação!$I$6='Base de Dados e filtragem'!AQ$2,Apresentação!$I$6='Base de Dados e filtragem'!M579),1,0)</f>
        <v>1</v>
      </c>
      <c r="AR579" s="25">
        <v>1</v>
      </c>
      <c r="AS579" s="25">
        <v>1</v>
      </c>
      <c r="AT579" s="25">
        <v>1</v>
      </c>
      <c r="AU579" s="25">
        <v>1</v>
      </c>
      <c r="AV579" s="25">
        <v>1</v>
      </c>
      <c r="AW579" s="25">
        <v>1</v>
      </c>
      <c r="AX579" s="25">
        <v>1</v>
      </c>
      <c r="AY579" s="25">
        <v>1</v>
      </c>
      <c r="AZ579" s="25">
        <v>1</v>
      </c>
      <c r="BA579" s="25">
        <v>1</v>
      </c>
      <c r="BB579" s="25">
        <v>1</v>
      </c>
      <c r="BC579" s="25">
        <v>1</v>
      </c>
      <c r="BD579" s="25">
        <v>1</v>
      </c>
    </row>
    <row r="580" spans="27:56" x14ac:dyDescent="0.25">
      <c r="AA580" s="68" t="str">
        <f t="shared" ref="AA580:AA643" si="37">"Fotos\"&amp;I580&amp;"\"&amp;A580&amp;".jpg"</f>
        <v>Fotos\\.jpg</v>
      </c>
      <c r="AB580" s="53">
        <f t="shared" ref="AB580:AB643" si="38">AD580/AC580</f>
        <v>1.7241379310344827E-3</v>
      </c>
      <c r="AC580" s="25">
        <f t="shared" ref="AC580:AC643" si="39">AC579+1</f>
        <v>580</v>
      </c>
      <c r="AD580" s="51">
        <f t="shared" ref="AD580:AD643" si="40">PRODUCT(AE580:BD580)</f>
        <v>1</v>
      </c>
      <c r="AE580" s="25">
        <v>1</v>
      </c>
      <c r="AF580" s="25">
        <v>1</v>
      </c>
      <c r="AG580" s="25">
        <v>1</v>
      </c>
      <c r="AH580" s="25">
        <v>1</v>
      </c>
      <c r="AI580" s="25">
        <f>IF(OR(Apresentação!$E$3='Base de Dados e filtragem'!AI$2,Apresentação!$E$3='Base de Dados e filtragem'!E580),1,0)</f>
        <v>1</v>
      </c>
      <c r="AJ580" s="25">
        <f>IF(OR(Apresentação!$E$4='Base de Dados e filtragem'!AJ$2,Apresentação!$E$4='Base de Dados e filtragem'!F580),1,0)</f>
        <v>1</v>
      </c>
      <c r="AK580" s="25">
        <f>IF(OR(Apresentação!$E$5='Base de Dados e filtragem'!AK$2,Apresentação!$E$5='Base de Dados e filtragem'!G580),1,0)</f>
        <v>1</v>
      </c>
      <c r="AL580" s="25">
        <f>IF(OR(Apresentação!$E$6='Base de Dados e filtragem'!AL$2,Apresentação!$E$6='Base de Dados e filtragem'!H580),1,0)</f>
        <v>1</v>
      </c>
      <c r="AM580" s="25">
        <f>IF(OR(Apresentação!$I$2='Base de Dados e filtragem'!AM$2,Apresentação!$I$2='Base de Dados e filtragem'!I580),1,0)</f>
        <v>1</v>
      </c>
      <c r="AN580" s="25">
        <f>IF(OR(Apresentação!$I$3='Base de Dados e filtragem'!AN$2,Apresentação!$I$3='Base de Dados e filtragem'!J580),1,0)</f>
        <v>1</v>
      </c>
      <c r="AO580" s="25">
        <f>IF(OR(Apresentação!$I$4='Base de Dados e filtragem'!AO$2,Apresentação!$I$4='Base de Dados e filtragem'!K580),1,0)</f>
        <v>1</v>
      </c>
      <c r="AP580" s="25">
        <f>IF(OR(Apresentação!$I$5='Base de Dados e filtragem'!AP$2,Apresentação!$I$5='Base de Dados e filtragem'!L580),1,0)</f>
        <v>1</v>
      </c>
      <c r="AQ580" s="25">
        <f>IF(OR(Apresentação!$I$6='Base de Dados e filtragem'!AQ$2,Apresentação!$I$6='Base de Dados e filtragem'!M580),1,0)</f>
        <v>1</v>
      </c>
      <c r="AR580" s="25">
        <v>1</v>
      </c>
      <c r="AS580" s="25">
        <v>1</v>
      </c>
      <c r="AT580" s="25">
        <v>1</v>
      </c>
      <c r="AU580" s="25">
        <v>1</v>
      </c>
      <c r="AV580" s="25">
        <v>1</v>
      </c>
      <c r="AW580" s="25">
        <v>1</v>
      </c>
      <c r="AX580" s="25">
        <v>1</v>
      </c>
      <c r="AY580" s="25">
        <v>1</v>
      </c>
      <c r="AZ580" s="25">
        <v>1</v>
      </c>
      <c r="BA580" s="25">
        <v>1</v>
      </c>
      <c r="BB580" s="25">
        <v>1</v>
      </c>
      <c r="BC580" s="25">
        <v>1</v>
      </c>
      <c r="BD580" s="25">
        <v>1</v>
      </c>
    </row>
    <row r="581" spans="27:56" x14ac:dyDescent="0.25">
      <c r="AA581" s="68" t="str">
        <f t="shared" si="37"/>
        <v>Fotos\\.jpg</v>
      </c>
      <c r="AB581" s="53">
        <f t="shared" si="38"/>
        <v>1.7211703958691911E-3</v>
      </c>
      <c r="AC581" s="25">
        <f t="shared" si="39"/>
        <v>581</v>
      </c>
      <c r="AD581" s="51">
        <f t="shared" si="40"/>
        <v>1</v>
      </c>
      <c r="AE581" s="25">
        <v>1</v>
      </c>
      <c r="AF581" s="25">
        <v>1</v>
      </c>
      <c r="AG581" s="25">
        <v>1</v>
      </c>
      <c r="AH581" s="25">
        <v>1</v>
      </c>
      <c r="AI581" s="25">
        <f>IF(OR(Apresentação!$E$3='Base de Dados e filtragem'!AI$2,Apresentação!$E$3='Base de Dados e filtragem'!E581),1,0)</f>
        <v>1</v>
      </c>
      <c r="AJ581" s="25">
        <f>IF(OR(Apresentação!$E$4='Base de Dados e filtragem'!AJ$2,Apresentação!$E$4='Base de Dados e filtragem'!F581),1,0)</f>
        <v>1</v>
      </c>
      <c r="AK581" s="25">
        <f>IF(OR(Apresentação!$E$5='Base de Dados e filtragem'!AK$2,Apresentação!$E$5='Base de Dados e filtragem'!G581),1,0)</f>
        <v>1</v>
      </c>
      <c r="AL581" s="25">
        <f>IF(OR(Apresentação!$E$6='Base de Dados e filtragem'!AL$2,Apresentação!$E$6='Base de Dados e filtragem'!H581),1,0)</f>
        <v>1</v>
      </c>
      <c r="AM581" s="25">
        <f>IF(OR(Apresentação!$I$2='Base de Dados e filtragem'!AM$2,Apresentação!$I$2='Base de Dados e filtragem'!I581),1,0)</f>
        <v>1</v>
      </c>
      <c r="AN581" s="25">
        <f>IF(OR(Apresentação!$I$3='Base de Dados e filtragem'!AN$2,Apresentação!$I$3='Base de Dados e filtragem'!J581),1,0)</f>
        <v>1</v>
      </c>
      <c r="AO581" s="25">
        <f>IF(OR(Apresentação!$I$4='Base de Dados e filtragem'!AO$2,Apresentação!$I$4='Base de Dados e filtragem'!K581),1,0)</f>
        <v>1</v>
      </c>
      <c r="AP581" s="25">
        <f>IF(OR(Apresentação!$I$5='Base de Dados e filtragem'!AP$2,Apresentação!$I$5='Base de Dados e filtragem'!L581),1,0)</f>
        <v>1</v>
      </c>
      <c r="AQ581" s="25">
        <f>IF(OR(Apresentação!$I$6='Base de Dados e filtragem'!AQ$2,Apresentação!$I$6='Base de Dados e filtragem'!M581),1,0)</f>
        <v>1</v>
      </c>
      <c r="AR581" s="25">
        <v>1</v>
      </c>
      <c r="AS581" s="25">
        <v>1</v>
      </c>
      <c r="AT581" s="25">
        <v>1</v>
      </c>
      <c r="AU581" s="25">
        <v>1</v>
      </c>
      <c r="AV581" s="25">
        <v>1</v>
      </c>
      <c r="AW581" s="25">
        <v>1</v>
      </c>
      <c r="AX581" s="25">
        <v>1</v>
      </c>
      <c r="AY581" s="25">
        <v>1</v>
      </c>
      <c r="AZ581" s="25">
        <v>1</v>
      </c>
      <c r="BA581" s="25">
        <v>1</v>
      </c>
      <c r="BB581" s="25">
        <v>1</v>
      </c>
      <c r="BC581" s="25">
        <v>1</v>
      </c>
      <c r="BD581" s="25">
        <v>1</v>
      </c>
    </row>
    <row r="582" spans="27:56" x14ac:dyDescent="0.25">
      <c r="AA582" s="68" t="str">
        <f t="shared" si="37"/>
        <v>Fotos\\.jpg</v>
      </c>
      <c r="AB582" s="53">
        <f t="shared" si="38"/>
        <v>1.718213058419244E-3</v>
      </c>
      <c r="AC582" s="25">
        <f t="shared" si="39"/>
        <v>582</v>
      </c>
      <c r="AD582" s="51">
        <f t="shared" si="40"/>
        <v>1</v>
      </c>
      <c r="AE582" s="25">
        <v>1</v>
      </c>
      <c r="AF582" s="25">
        <v>1</v>
      </c>
      <c r="AG582" s="25">
        <v>1</v>
      </c>
      <c r="AH582" s="25">
        <v>1</v>
      </c>
      <c r="AI582" s="25">
        <f>IF(OR(Apresentação!$E$3='Base de Dados e filtragem'!AI$2,Apresentação!$E$3='Base de Dados e filtragem'!E582),1,0)</f>
        <v>1</v>
      </c>
      <c r="AJ582" s="25">
        <f>IF(OR(Apresentação!$E$4='Base de Dados e filtragem'!AJ$2,Apresentação!$E$4='Base de Dados e filtragem'!F582),1,0)</f>
        <v>1</v>
      </c>
      <c r="AK582" s="25">
        <f>IF(OR(Apresentação!$E$5='Base de Dados e filtragem'!AK$2,Apresentação!$E$5='Base de Dados e filtragem'!G582),1,0)</f>
        <v>1</v>
      </c>
      <c r="AL582" s="25">
        <f>IF(OR(Apresentação!$E$6='Base de Dados e filtragem'!AL$2,Apresentação!$E$6='Base de Dados e filtragem'!H582),1,0)</f>
        <v>1</v>
      </c>
      <c r="AM582" s="25">
        <f>IF(OR(Apresentação!$I$2='Base de Dados e filtragem'!AM$2,Apresentação!$I$2='Base de Dados e filtragem'!I582),1,0)</f>
        <v>1</v>
      </c>
      <c r="AN582" s="25">
        <f>IF(OR(Apresentação!$I$3='Base de Dados e filtragem'!AN$2,Apresentação!$I$3='Base de Dados e filtragem'!J582),1,0)</f>
        <v>1</v>
      </c>
      <c r="AO582" s="25">
        <f>IF(OR(Apresentação!$I$4='Base de Dados e filtragem'!AO$2,Apresentação!$I$4='Base de Dados e filtragem'!K582),1,0)</f>
        <v>1</v>
      </c>
      <c r="AP582" s="25">
        <f>IF(OR(Apresentação!$I$5='Base de Dados e filtragem'!AP$2,Apresentação!$I$5='Base de Dados e filtragem'!L582),1,0)</f>
        <v>1</v>
      </c>
      <c r="AQ582" s="25">
        <f>IF(OR(Apresentação!$I$6='Base de Dados e filtragem'!AQ$2,Apresentação!$I$6='Base de Dados e filtragem'!M582),1,0)</f>
        <v>1</v>
      </c>
      <c r="AR582" s="25">
        <v>1</v>
      </c>
      <c r="AS582" s="25">
        <v>1</v>
      </c>
      <c r="AT582" s="25">
        <v>1</v>
      </c>
      <c r="AU582" s="25">
        <v>1</v>
      </c>
      <c r="AV582" s="25">
        <v>1</v>
      </c>
      <c r="AW582" s="25">
        <v>1</v>
      </c>
      <c r="AX582" s="25">
        <v>1</v>
      </c>
      <c r="AY582" s="25">
        <v>1</v>
      </c>
      <c r="AZ582" s="25">
        <v>1</v>
      </c>
      <c r="BA582" s="25">
        <v>1</v>
      </c>
      <c r="BB582" s="25">
        <v>1</v>
      </c>
      <c r="BC582" s="25">
        <v>1</v>
      </c>
      <c r="BD582" s="25">
        <v>1</v>
      </c>
    </row>
    <row r="583" spans="27:56" x14ac:dyDescent="0.25">
      <c r="AA583" s="68" t="str">
        <f t="shared" si="37"/>
        <v>Fotos\\.jpg</v>
      </c>
      <c r="AB583" s="53">
        <f t="shared" si="38"/>
        <v>1.7152658662092624E-3</v>
      </c>
      <c r="AC583" s="25">
        <f t="shared" si="39"/>
        <v>583</v>
      </c>
      <c r="AD583" s="51">
        <f t="shared" si="40"/>
        <v>1</v>
      </c>
      <c r="AE583" s="25">
        <v>1</v>
      </c>
      <c r="AF583" s="25">
        <v>1</v>
      </c>
      <c r="AG583" s="25">
        <v>1</v>
      </c>
      <c r="AH583" s="25">
        <v>1</v>
      </c>
      <c r="AI583" s="25">
        <f>IF(OR(Apresentação!$E$3='Base de Dados e filtragem'!AI$2,Apresentação!$E$3='Base de Dados e filtragem'!E583),1,0)</f>
        <v>1</v>
      </c>
      <c r="AJ583" s="25">
        <f>IF(OR(Apresentação!$E$4='Base de Dados e filtragem'!AJ$2,Apresentação!$E$4='Base de Dados e filtragem'!F583),1,0)</f>
        <v>1</v>
      </c>
      <c r="AK583" s="25">
        <f>IF(OR(Apresentação!$E$5='Base de Dados e filtragem'!AK$2,Apresentação!$E$5='Base de Dados e filtragem'!G583),1,0)</f>
        <v>1</v>
      </c>
      <c r="AL583" s="25">
        <f>IF(OR(Apresentação!$E$6='Base de Dados e filtragem'!AL$2,Apresentação!$E$6='Base de Dados e filtragem'!H583),1,0)</f>
        <v>1</v>
      </c>
      <c r="AM583" s="25">
        <f>IF(OR(Apresentação!$I$2='Base de Dados e filtragem'!AM$2,Apresentação!$I$2='Base de Dados e filtragem'!I583),1,0)</f>
        <v>1</v>
      </c>
      <c r="AN583" s="25">
        <f>IF(OR(Apresentação!$I$3='Base de Dados e filtragem'!AN$2,Apresentação!$I$3='Base de Dados e filtragem'!J583),1,0)</f>
        <v>1</v>
      </c>
      <c r="AO583" s="25">
        <f>IF(OR(Apresentação!$I$4='Base de Dados e filtragem'!AO$2,Apresentação!$I$4='Base de Dados e filtragem'!K583),1,0)</f>
        <v>1</v>
      </c>
      <c r="AP583" s="25">
        <f>IF(OR(Apresentação!$I$5='Base de Dados e filtragem'!AP$2,Apresentação!$I$5='Base de Dados e filtragem'!L583),1,0)</f>
        <v>1</v>
      </c>
      <c r="AQ583" s="25">
        <f>IF(OR(Apresentação!$I$6='Base de Dados e filtragem'!AQ$2,Apresentação!$I$6='Base de Dados e filtragem'!M583),1,0)</f>
        <v>1</v>
      </c>
      <c r="AR583" s="25">
        <v>1</v>
      </c>
      <c r="AS583" s="25">
        <v>1</v>
      </c>
      <c r="AT583" s="25">
        <v>1</v>
      </c>
      <c r="AU583" s="25">
        <v>1</v>
      </c>
      <c r="AV583" s="25">
        <v>1</v>
      </c>
      <c r="AW583" s="25">
        <v>1</v>
      </c>
      <c r="AX583" s="25">
        <v>1</v>
      </c>
      <c r="AY583" s="25">
        <v>1</v>
      </c>
      <c r="AZ583" s="25">
        <v>1</v>
      </c>
      <c r="BA583" s="25">
        <v>1</v>
      </c>
      <c r="BB583" s="25">
        <v>1</v>
      </c>
      <c r="BC583" s="25">
        <v>1</v>
      </c>
      <c r="BD583" s="25">
        <v>1</v>
      </c>
    </row>
    <row r="584" spans="27:56" x14ac:dyDescent="0.25">
      <c r="AA584" s="68" t="str">
        <f t="shared" si="37"/>
        <v>Fotos\\.jpg</v>
      </c>
      <c r="AB584" s="53">
        <f t="shared" si="38"/>
        <v>1.7123287671232876E-3</v>
      </c>
      <c r="AC584" s="25">
        <f t="shared" si="39"/>
        <v>584</v>
      </c>
      <c r="AD584" s="51">
        <f t="shared" si="40"/>
        <v>1</v>
      </c>
      <c r="AE584" s="25">
        <v>1</v>
      </c>
      <c r="AF584" s="25">
        <v>1</v>
      </c>
      <c r="AG584" s="25">
        <v>1</v>
      </c>
      <c r="AH584" s="25">
        <v>1</v>
      </c>
      <c r="AI584" s="25">
        <f>IF(OR(Apresentação!$E$3='Base de Dados e filtragem'!AI$2,Apresentação!$E$3='Base de Dados e filtragem'!E584),1,0)</f>
        <v>1</v>
      </c>
      <c r="AJ584" s="25">
        <f>IF(OR(Apresentação!$E$4='Base de Dados e filtragem'!AJ$2,Apresentação!$E$4='Base de Dados e filtragem'!F584),1,0)</f>
        <v>1</v>
      </c>
      <c r="AK584" s="25">
        <f>IF(OR(Apresentação!$E$5='Base de Dados e filtragem'!AK$2,Apresentação!$E$5='Base de Dados e filtragem'!G584),1,0)</f>
        <v>1</v>
      </c>
      <c r="AL584" s="25">
        <f>IF(OR(Apresentação!$E$6='Base de Dados e filtragem'!AL$2,Apresentação!$E$6='Base de Dados e filtragem'!H584),1,0)</f>
        <v>1</v>
      </c>
      <c r="AM584" s="25">
        <f>IF(OR(Apresentação!$I$2='Base de Dados e filtragem'!AM$2,Apresentação!$I$2='Base de Dados e filtragem'!I584),1,0)</f>
        <v>1</v>
      </c>
      <c r="AN584" s="25">
        <f>IF(OR(Apresentação!$I$3='Base de Dados e filtragem'!AN$2,Apresentação!$I$3='Base de Dados e filtragem'!J584),1,0)</f>
        <v>1</v>
      </c>
      <c r="AO584" s="25">
        <f>IF(OR(Apresentação!$I$4='Base de Dados e filtragem'!AO$2,Apresentação!$I$4='Base de Dados e filtragem'!K584),1,0)</f>
        <v>1</v>
      </c>
      <c r="AP584" s="25">
        <f>IF(OR(Apresentação!$I$5='Base de Dados e filtragem'!AP$2,Apresentação!$I$5='Base de Dados e filtragem'!L584),1,0)</f>
        <v>1</v>
      </c>
      <c r="AQ584" s="25">
        <f>IF(OR(Apresentação!$I$6='Base de Dados e filtragem'!AQ$2,Apresentação!$I$6='Base de Dados e filtragem'!M584),1,0)</f>
        <v>1</v>
      </c>
      <c r="AR584" s="25">
        <v>1</v>
      </c>
      <c r="AS584" s="25">
        <v>1</v>
      </c>
      <c r="AT584" s="25">
        <v>1</v>
      </c>
      <c r="AU584" s="25">
        <v>1</v>
      </c>
      <c r="AV584" s="25">
        <v>1</v>
      </c>
      <c r="AW584" s="25">
        <v>1</v>
      </c>
      <c r="AX584" s="25">
        <v>1</v>
      </c>
      <c r="AY584" s="25">
        <v>1</v>
      </c>
      <c r="AZ584" s="25">
        <v>1</v>
      </c>
      <c r="BA584" s="25">
        <v>1</v>
      </c>
      <c r="BB584" s="25">
        <v>1</v>
      </c>
      <c r="BC584" s="25">
        <v>1</v>
      </c>
      <c r="BD584" s="25">
        <v>1</v>
      </c>
    </row>
    <row r="585" spans="27:56" x14ac:dyDescent="0.25">
      <c r="AA585" s="68" t="str">
        <f t="shared" si="37"/>
        <v>Fotos\\.jpg</v>
      </c>
      <c r="AB585" s="53">
        <f t="shared" si="38"/>
        <v>1.7094017094017094E-3</v>
      </c>
      <c r="AC585" s="25">
        <f t="shared" si="39"/>
        <v>585</v>
      </c>
      <c r="AD585" s="51">
        <f t="shared" si="40"/>
        <v>1</v>
      </c>
      <c r="AE585" s="25">
        <v>1</v>
      </c>
      <c r="AF585" s="25">
        <v>1</v>
      </c>
      <c r="AG585" s="25">
        <v>1</v>
      </c>
      <c r="AH585" s="25">
        <v>1</v>
      </c>
      <c r="AI585" s="25">
        <f>IF(OR(Apresentação!$E$3='Base de Dados e filtragem'!AI$2,Apresentação!$E$3='Base de Dados e filtragem'!E585),1,0)</f>
        <v>1</v>
      </c>
      <c r="AJ585" s="25">
        <f>IF(OR(Apresentação!$E$4='Base de Dados e filtragem'!AJ$2,Apresentação!$E$4='Base de Dados e filtragem'!F585),1,0)</f>
        <v>1</v>
      </c>
      <c r="AK585" s="25">
        <f>IF(OR(Apresentação!$E$5='Base de Dados e filtragem'!AK$2,Apresentação!$E$5='Base de Dados e filtragem'!G585),1,0)</f>
        <v>1</v>
      </c>
      <c r="AL585" s="25">
        <f>IF(OR(Apresentação!$E$6='Base de Dados e filtragem'!AL$2,Apresentação!$E$6='Base de Dados e filtragem'!H585),1,0)</f>
        <v>1</v>
      </c>
      <c r="AM585" s="25">
        <f>IF(OR(Apresentação!$I$2='Base de Dados e filtragem'!AM$2,Apresentação!$I$2='Base de Dados e filtragem'!I585),1,0)</f>
        <v>1</v>
      </c>
      <c r="AN585" s="25">
        <f>IF(OR(Apresentação!$I$3='Base de Dados e filtragem'!AN$2,Apresentação!$I$3='Base de Dados e filtragem'!J585),1,0)</f>
        <v>1</v>
      </c>
      <c r="AO585" s="25">
        <f>IF(OR(Apresentação!$I$4='Base de Dados e filtragem'!AO$2,Apresentação!$I$4='Base de Dados e filtragem'!K585),1,0)</f>
        <v>1</v>
      </c>
      <c r="AP585" s="25">
        <f>IF(OR(Apresentação!$I$5='Base de Dados e filtragem'!AP$2,Apresentação!$I$5='Base de Dados e filtragem'!L585),1,0)</f>
        <v>1</v>
      </c>
      <c r="AQ585" s="25">
        <f>IF(OR(Apresentação!$I$6='Base de Dados e filtragem'!AQ$2,Apresentação!$I$6='Base de Dados e filtragem'!M585),1,0)</f>
        <v>1</v>
      </c>
      <c r="AR585" s="25">
        <v>1</v>
      </c>
      <c r="AS585" s="25">
        <v>1</v>
      </c>
      <c r="AT585" s="25">
        <v>1</v>
      </c>
      <c r="AU585" s="25">
        <v>1</v>
      </c>
      <c r="AV585" s="25">
        <v>1</v>
      </c>
      <c r="AW585" s="25">
        <v>1</v>
      </c>
      <c r="AX585" s="25">
        <v>1</v>
      </c>
      <c r="AY585" s="25">
        <v>1</v>
      </c>
      <c r="AZ585" s="25">
        <v>1</v>
      </c>
      <c r="BA585" s="25">
        <v>1</v>
      </c>
      <c r="BB585" s="25">
        <v>1</v>
      </c>
      <c r="BC585" s="25">
        <v>1</v>
      </c>
      <c r="BD585" s="25">
        <v>1</v>
      </c>
    </row>
    <row r="586" spans="27:56" x14ac:dyDescent="0.25">
      <c r="AA586" s="68" t="str">
        <f t="shared" si="37"/>
        <v>Fotos\\.jpg</v>
      </c>
      <c r="AB586" s="53">
        <f t="shared" si="38"/>
        <v>1.7064846416382253E-3</v>
      </c>
      <c r="AC586" s="25">
        <f t="shared" si="39"/>
        <v>586</v>
      </c>
      <c r="AD586" s="51">
        <f t="shared" si="40"/>
        <v>1</v>
      </c>
      <c r="AE586" s="25">
        <v>1</v>
      </c>
      <c r="AF586" s="25">
        <v>1</v>
      </c>
      <c r="AG586" s="25">
        <v>1</v>
      </c>
      <c r="AH586" s="25">
        <v>1</v>
      </c>
      <c r="AI586" s="25">
        <f>IF(OR(Apresentação!$E$3='Base de Dados e filtragem'!AI$2,Apresentação!$E$3='Base de Dados e filtragem'!E586),1,0)</f>
        <v>1</v>
      </c>
      <c r="AJ586" s="25">
        <f>IF(OR(Apresentação!$E$4='Base de Dados e filtragem'!AJ$2,Apresentação!$E$4='Base de Dados e filtragem'!F586),1,0)</f>
        <v>1</v>
      </c>
      <c r="AK586" s="25">
        <f>IF(OR(Apresentação!$E$5='Base de Dados e filtragem'!AK$2,Apresentação!$E$5='Base de Dados e filtragem'!G586),1,0)</f>
        <v>1</v>
      </c>
      <c r="AL586" s="25">
        <f>IF(OR(Apresentação!$E$6='Base de Dados e filtragem'!AL$2,Apresentação!$E$6='Base de Dados e filtragem'!H586),1,0)</f>
        <v>1</v>
      </c>
      <c r="AM586" s="25">
        <f>IF(OR(Apresentação!$I$2='Base de Dados e filtragem'!AM$2,Apresentação!$I$2='Base de Dados e filtragem'!I586),1,0)</f>
        <v>1</v>
      </c>
      <c r="AN586" s="25">
        <f>IF(OR(Apresentação!$I$3='Base de Dados e filtragem'!AN$2,Apresentação!$I$3='Base de Dados e filtragem'!J586),1,0)</f>
        <v>1</v>
      </c>
      <c r="AO586" s="25">
        <f>IF(OR(Apresentação!$I$4='Base de Dados e filtragem'!AO$2,Apresentação!$I$4='Base de Dados e filtragem'!K586),1,0)</f>
        <v>1</v>
      </c>
      <c r="AP586" s="25">
        <f>IF(OR(Apresentação!$I$5='Base de Dados e filtragem'!AP$2,Apresentação!$I$5='Base de Dados e filtragem'!L586),1,0)</f>
        <v>1</v>
      </c>
      <c r="AQ586" s="25">
        <f>IF(OR(Apresentação!$I$6='Base de Dados e filtragem'!AQ$2,Apresentação!$I$6='Base de Dados e filtragem'!M586),1,0)</f>
        <v>1</v>
      </c>
      <c r="AR586" s="25">
        <v>1</v>
      </c>
      <c r="AS586" s="25">
        <v>1</v>
      </c>
      <c r="AT586" s="25">
        <v>1</v>
      </c>
      <c r="AU586" s="25">
        <v>1</v>
      </c>
      <c r="AV586" s="25">
        <v>1</v>
      </c>
      <c r="AW586" s="25">
        <v>1</v>
      </c>
      <c r="AX586" s="25">
        <v>1</v>
      </c>
      <c r="AY586" s="25">
        <v>1</v>
      </c>
      <c r="AZ586" s="25">
        <v>1</v>
      </c>
      <c r="BA586" s="25">
        <v>1</v>
      </c>
      <c r="BB586" s="25">
        <v>1</v>
      </c>
      <c r="BC586" s="25">
        <v>1</v>
      </c>
      <c r="BD586" s="25">
        <v>1</v>
      </c>
    </row>
    <row r="587" spans="27:56" x14ac:dyDescent="0.25">
      <c r="AA587" s="68" t="str">
        <f t="shared" si="37"/>
        <v>Fotos\\.jpg</v>
      </c>
      <c r="AB587" s="53">
        <f t="shared" si="38"/>
        <v>1.7035775127768314E-3</v>
      </c>
      <c r="AC587" s="25">
        <f t="shared" si="39"/>
        <v>587</v>
      </c>
      <c r="AD587" s="51">
        <f t="shared" si="40"/>
        <v>1</v>
      </c>
      <c r="AE587" s="25">
        <v>1</v>
      </c>
      <c r="AF587" s="25">
        <v>1</v>
      </c>
      <c r="AG587" s="25">
        <v>1</v>
      </c>
      <c r="AH587" s="25">
        <v>1</v>
      </c>
      <c r="AI587" s="25">
        <f>IF(OR(Apresentação!$E$3='Base de Dados e filtragem'!AI$2,Apresentação!$E$3='Base de Dados e filtragem'!E587),1,0)</f>
        <v>1</v>
      </c>
      <c r="AJ587" s="25">
        <f>IF(OR(Apresentação!$E$4='Base de Dados e filtragem'!AJ$2,Apresentação!$E$4='Base de Dados e filtragem'!F587),1,0)</f>
        <v>1</v>
      </c>
      <c r="AK587" s="25">
        <f>IF(OR(Apresentação!$E$5='Base de Dados e filtragem'!AK$2,Apresentação!$E$5='Base de Dados e filtragem'!G587),1,0)</f>
        <v>1</v>
      </c>
      <c r="AL587" s="25">
        <f>IF(OR(Apresentação!$E$6='Base de Dados e filtragem'!AL$2,Apresentação!$E$6='Base de Dados e filtragem'!H587),1,0)</f>
        <v>1</v>
      </c>
      <c r="AM587" s="25">
        <f>IF(OR(Apresentação!$I$2='Base de Dados e filtragem'!AM$2,Apresentação!$I$2='Base de Dados e filtragem'!I587),1,0)</f>
        <v>1</v>
      </c>
      <c r="AN587" s="25">
        <f>IF(OR(Apresentação!$I$3='Base de Dados e filtragem'!AN$2,Apresentação!$I$3='Base de Dados e filtragem'!J587),1,0)</f>
        <v>1</v>
      </c>
      <c r="AO587" s="25">
        <f>IF(OR(Apresentação!$I$4='Base de Dados e filtragem'!AO$2,Apresentação!$I$4='Base de Dados e filtragem'!K587),1,0)</f>
        <v>1</v>
      </c>
      <c r="AP587" s="25">
        <f>IF(OR(Apresentação!$I$5='Base de Dados e filtragem'!AP$2,Apresentação!$I$5='Base de Dados e filtragem'!L587),1,0)</f>
        <v>1</v>
      </c>
      <c r="AQ587" s="25">
        <f>IF(OR(Apresentação!$I$6='Base de Dados e filtragem'!AQ$2,Apresentação!$I$6='Base de Dados e filtragem'!M587),1,0)</f>
        <v>1</v>
      </c>
      <c r="AR587" s="25">
        <v>1</v>
      </c>
      <c r="AS587" s="25">
        <v>1</v>
      </c>
      <c r="AT587" s="25">
        <v>1</v>
      </c>
      <c r="AU587" s="25">
        <v>1</v>
      </c>
      <c r="AV587" s="25">
        <v>1</v>
      </c>
      <c r="AW587" s="25">
        <v>1</v>
      </c>
      <c r="AX587" s="25">
        <v>1</v>
      </c>
      <c r="AY587" s="25">
        <v>1</v>
      </c>
      <c r="AZ587" s="25">
        <v>1</v>
      </c>
      <c r="BA587" s="25">
        <v>1</v>
      </c>
      <c r="BB587" s="25">
        <v>1</v>
      </c>
      <c r="BC587" s="25">
        <v>1</v>
      </c>
      <c r="BD587" s="25">
        <v>1</v>
      </c>
    </row>
    <row r="588" spans="27:56" x14ac:dyDescent="0.25">
      <c r="AA588" s="68" t="str">
        <f t="shared" si="37"/>
        <v>Fotos\\.jpg</v>
      </c>
      <c r="AB588" s="53">
        <f t="shared" si="38"/>
        <v>1.7006802721088435E-3</v>
      </c>
      <c r="AC588" s="25">
        <f t="shared" si="39"/>
        <v>588</v>
      </c>
      <c r="AD588" s="51">
        <f t="shared" si="40"/>
        <v>1</v>
      </c>
      <c r="AE588" s="25">
        <v>1</v>
      </c>
      <c r="AF588" s="25">
        <v>1</v>
      </c>
      <c r="AG588" s="25">
        <v>1</v>
      </c>
      <c r="AH588" s="25">
        <v>1</v>
      </c>
      <c r="AI588" s="25">
        <f>IF(OR(Apresentação!$E$3='Base de Dados e filtragem'!AI$2,Apresentação!$E$3='Base de Dados e filtragem'!E588),1,0)</f>
        <v>1</v>
      </c>
      <c r="AJ588" s="25">
        <f>IF(OR(Apresentação!$E$4='Base de Dados e filtragem'!AJ$2,Apresentação!$E$4='Base de Dados e filtragem'!F588),1,0)</f>
        <v>1</v>
      </c>
      <c r="AK588" s="25">
        <f>IF(OR(Apresentação!$E$5='Base de Dados e filtragem'!AK$2,Apresentação!$E$5='Base de Dados e filtragem'!G588),1,0)</f>
        <v>1</v>
      </c>
      <c r="AL588" s="25">
        <f>IF(OR(Apresentação!$E$6='Base de Dados e filtragem'!AL$2,Apresentação!$E$6='Base de Dados e filtragem'!H588),1,0)</f>
        <v>1</v>
      </c>
      <c r="AM588" s="25">
        <f>IF(OR(Apresentação!$I$2='Base de Dados e filtragem'!AM$2,Apresentação!$I$2='Base de Dados e filtragem'!I588),1,0)</f>
        <v>1</v>
      </c>
      <c r="AN588" s="25">
        <f>IF(OR(Apresentação!$I$3='Base de Dados e filtragem'!AN$2,Apresentação!$I$3='Base de Dados e filtragem'!J588),1,0)</f>
        <v>1</v>
      </c>
      <c r="AO588" s="25">
        <f>IF(OR(Apresentação!$I$4='Base de Dados e filtragem'!AO$2,Apresentação!$I$4='Base de Dados e filtragem'!K588),1,0)</f>
        <v>1</v>
      </c>
      <c r="AP588" s="25">
        <f>IF(OR(Apresentação!$I$5='Base de Dados e filtragem'!AP$2,Apresentação!$I$5='Base de Dados e filtragem'!L588),1,0)</f>
        <v>1</v>
      </c>
      <c r="AQ588" s="25">
        <f>IF(OR(Apresentação!$I$6='Base de Dados e filtragem'!AQ$2,Apresentação!$I$6='Base de Dados e filtragem'!M588),1,0)</f>
        <v>1</v>
      </c>
      <c r="AR588" s="25">
        <v>1</v>
      </c>
      <c r="AS588" s="25">
        <v>1</v>
      </c>
      <c r="AT588" s="25">
        <v>1</v>
      </c>
      <c r="AU588" s="25">
        <v>1</v>
      </c>
      <c r="AV588" s="25">
        <v>1</v>
      </c>
      <c r="AW588" s="25">
        <v>1</v>
      </c>
      <c r="AX588" s="25">
        <v>1</v>
      </c>
      <c r="AY588" s="25">
        <v>1</v>
      </c>
      <c r="AZ588" s="25">
        <v>1</v>
      </c>
      <c r="BA588" s="25">
        <v>1</v>
      </c>
      <c r="BB588" s="25">
        <v>1</v>
      </c>
      <c r="BC588" s="25">
        <v>1</v>
      </c>
      <c r="BD588" s="25">
        <v>1</v>
      </c>
    </row>
    <row r="589" spans="27:56" x14ac:dyDescent="0.25">
      <c r="AA589" s="68" t="str">
        <f t="shared" si="37"/>
        <v>Fotos\\.jpg</v>
      </c>
      <c r="AB589" s="53">
        <f t="shared" si="38"/>
        <v>1.697792869269949E-3</v>
      </c>
      <c r="AC589" s="25">
        <f t="shared" si="39"/>
        <v>589</v>
      </c>
      <c r="AD589" s="51">
        <f t="shared" si="40"/>
        <v>1</v>
      </c>
      <c r="AE589" s="25">
        <v>1</v>
      </c>
      <c r="AF589" s="25">
        <v>1</v>
      </c>
      <c r="AG589" s="25">
        <v>1</v>
      </c>
      <c r="AH589" s="25">
        <v>1</v>
      </c>
      <c r="AI589" s="25">
        <f>IF(OR(Apresentação!$E$3='Base de Dados e filtragem'!AI$2,Apresentação!$E$3='Base de Dados e filtragem'!E589),1,0)</f>
        <v>1</v>
      </c>
      <c r="AJ589" s="25">
        <f>IF(OR(Apresentação!$E$4='Base de Dados e filtragem'!AJ$2,Apresentação!$E$4='Base de Dados e filtragem'!F589),1,0)</f>
        <v>1</v>
      </c>
      <c r="AK589" s="25">
        <f>IF(OR(Apresentação!$E$5='Base de Dados e filtragem'!AK$2,Apresentação!$E$5='Base de Dados e filtragem'!G589),1,0)</f>
        <v>1</v>
      </c>
      <c r="AL589" s="25">
        <f>IF(OR(Apresentação!$E$6='Base de Dados e filtragem'!AL$2,Apresentação!$E$6='Base de Dados e filtragem'!H589),1,0)</f>
        <v>1</v>
      </c>
      <c r="AM589" s="25">
        <f>IF(OR(Apresentação!$I$2='Base de Dados e filtragem'!AM$2,Apresentação!$I$2='Base de Dados e filtragem'!I589),1,0)</f>
        <v>1</v>
      </c>
      <c r="AN589" s="25">
        <f>IF(OR(Apresentação!$I$3='Base de Dados e filtragem'!AN$2,Apresentação!$I$3='Base de Dados e filtragem'!J589),1,0)</f>
        <v>1</v>
      </c>
      <c r="AO589" s="25">
        <f>IF(OR(Apresentação!$I$4='Base de Dados e filtragem'!AO$2,Apresentação!$I$4='Base de Dados e filtragem'!K589),1,0)</f>
        <v>1</v>
      </c>
      <c r="AP589" s="25">
        <f>IF(OR(Apresentação!$I$5='Base de Dados e filtragem'!AP$2,Apresentação!$I$5='Base de Dados e filtragem'!L589),1,0)</f>
        <v>1</v>
      </c>
      <c r="AQ589" s="25">
        <f>IF(OR(Apresentação!$I$6='Base de Dados e filtragem'!AQ$2,Apresentação!$I$6='Base de Dados e filtragem'!M589),1,0)</f>
        <v>1</v>
      </c>
      <c r="AR589" s="25">
        <v>1</v>
      </c>
      <c r="AS589" s="25">
        <v>1</v>
      </c>
      <c r="AT589" s="25">
        <v>1</v>
      </c>
      <c r="AU589" s="25">
        <v>1</v>
      </c>
      <c r="AV589" s="25">
        <v>1</v>
      </c>
      <c r="AW589" s="25">
        <v>1</v>
      </c>
      <c r="AX589" s="25">
        <v>1</v>
      </c>
      <c r="AY589" s="25">
        <v>1</v>
      </c>
      <c r="AZ589" s="25">
        <v>1</v>
      </c>
      <c r="BA589" s="25">
        <v>1</v>
      </c>
      <c r="BB589" s="25">
        <v>1</v>
      </c>
      <c r="BC589" s="25">
        <v>1</v>
      </c>
      <c r="BD589" s="25">
        <v>1</v>
      </c>
    </row>
    <row r="590" spans="27:56" x14ac:dyDescent="0.25">
      <c r="AA590" s="68" t="str">
        <f t="shared" si="37"/>
        <v>Fotos\\.jpg</v>
      </c>
      <c r="AB590" s="53">
        <f t="shared" si="38"/>
        <v>1.6949152542372881E-3</v>
      </c>
      <c r="AC590" s="25">
        <f t="shared" si="39"/>
        <v>590</v>
      </c>
      <c r="AD590" s="51">
        <f t="shared" si="40"/>
        <v>1</v>
      </c>
      <c r="AE590" s="25">
        <v>1</v>
      </c>
      <c r="AF590" s="25">
        <v>1</v>
      </c>
      <c r="AG590" s="25">
        <v>1</v>
      </c>
      <c r="AH590" s="25">
        <v>1</v>
      </c>
      <c r="AI590" s="25">
        <f>IF(OR(Apresentação!$E$3='Base de Dados e filtragem'!AI$2,Apresentação!$E$3='Base de Dados e filtragem'!E590),1,0)</f>
        <v>1</v>
      </c>
      <c r="AJ590" s="25">
        <f>IF(OR(Apresentação!$E$4='Base de Dados e filtragem'!AJ$2,Apresentação!$E$4='Base de Dados e filtragem'!F590),1,0)</f>
        <v>1</v>
      </c>
      <c r="AK590" s="25">
        <f>IF(OR(Apresentação!$E$5='Base de Dados e filtragem'!AK$2,Apresentação!$E$5='Base de Dados e filtragem'!G590),1,0)</f>
        <v>1</v>
      </c>
      <c r="AL590" s="25">
        <f>IF(OR(Apresentação!$E$6='Base de Dados e filtragem'!AL$2,Apresentação!$E$6='Base de Dados e filtragem'!H590),1,0)</f>
        <v>1</v>
      </c>
      <c r="AM590" s="25">
        <f>IF(OR(Apresentação!$I$2='Base de Dados e filtragem'!AM$2,Apresentação!$I$2='Base de Dados e filtragem'!I590),1,0)</f>
        <v>1</v>
      </c>
      <c r="AN590" s="25">
        <f>IF(OR(Apresentação!$I$3='Base de Dados e filtragem'!AN$2,Apresentação!$I$3='Base de Dados e filtragem'!J590),1,0)</f>
        <v>1</v>
      </c>
      <c r="AO590" s="25">
        <f>IF(OR(Apresentação!$I$4='Base de Dados e filtragem'!AO$2,Apresentação!$I$4='Base de Dados e filtragem'!K590),1,0)</f>
        <v>1</v>
      </c>
      <c r="AP590" s="25">
        <f>IF(OR(Apresentação!$I$5='Base de Dados e filtragem'!AP$2,Apresentação!$I$5='Base de Dados e filtragem'!L590),1,0)</f>
        <v>1</v>
      </c>
      <c r="AQ590" s="25">
        <f>IF(OR(Apresentação!$I$6='Base de Dados e filtragem'!AQ$2,Apresentação!$I$6='Base de Dados e filtragem'!M590),1,0)</f>
        <v>1</v>
      </c>
      <c r="AR590" s="25">
        <v>1</v>
      </c>
      <c r="AS590" s="25">
        <v>1</v>
      </c>
      <c r="AT590" s="25">
        <v>1</v>
      </c>
      <c r="AU590" s="25">
        <v>1</v>
      </c>
      <c r="AV590" s="25">
        <v>1</v>
      </c>
      <c r="AW590" s="25">
        <v>1</v>
      </c>
      <c r="AX590" s="25">
        <v>1</v>
      </c>
      <c r="AY590" s="25">
        <v>1</v>
      </c>
      <c r="AZ590" s="25">
        <v>1</v>
      </c>
      <c r="BA590" s="25">
        <v>1</v>
      </c>
      <c r="BB590" s="25">
        <v>1</v>
      </c>
      <c r="BC590" s="25">
        <v>1</v>
      </c>
      <c r="BD590" s="25">
        <v>1</v>
      </c>
    </row>
    <row r="591" spans="27:56" x14ac:dyDescent="0.25">
      <c r="AA591" s="68" t="str">
        <f t="shared" si="37"/>
        <v>Fotos\\.jpg</v>
      </c>
      <c r="AB591" s="53">
        <f t="shared" si="38"/>
        <v>1.6920473773265651E-3</v>
      </c>
      <c r="AC591" s="25">
        <f t="shared" si="39"/>
        <v>591</v>
      </c>
      <c r="AD591" s="51">
        <f t="shared" si="40"/>
        <v>1</v>
      </c>
      <c r="AE591" s="25">
        <v>1</v>
      </c>
      <c r="AF591" s="25">
        <v>1</v>
      </c>
      <c r="AG591" s="25">
        <v>1</v>
      </c>
      <c r="AH591" s="25">
        <v>1</v>
      </c>
      <c r="AI591" s="25">
        <f>IF(OR(Apresentação!$E$3='Base de Dados e filtragem'!AI$2,Apresentação!$E$3='Base de Dados e filtragem'!E591),1,0)</f>
        <v>1</v>
      </c>
      <c r="AJ591" s="25">
        <f>IF(OR(Apresentação!$E$4='Base de Dados e filtragem'!AJ$2,Apresentação!$E$4='Base de Dados e filtragem'!F591),1,0)</f>
        <v>1</v>
      </c>
      <c r="AK591" s="25">
        <f>IF(OR(Apresentação!$E$5='Base de Dados e filtragem'!AK$2,Apresentação!$E$5='Base de Dados e filtragem'!G591),1,0)</f>
        <v>1</v>
      </c>
      <c r="AL591" s="25">
        <f>IF(OR(Apresentação!$E$6='Base de Dados e filtragem'!AL$2,Apresentação!$E$6='Base de Dados e filtragem'!H591),1,0)</f>
        <v>1</v>
      </c>
      <c r="AM591" s="25">
        <f>IF(OR(Apresentação!$I$2='Base de Dados e filtragem'!AM$2,Apresentação!$I$2='Base de Dados e filtragem'!I591),1,0)</f>
        <v>1</v>
      </c>
      <c r="AN591" s="25">
        <f>IF(OR(Apresentação!$I$3='Base de Dados e filtragem'!AN$2,Apresentação!$I$3='Base de Dados e filtragem'!J591),1,0)</f>
        <v>1</v>
      </c>
      <c r="AO591" s="25">
        <f>IF(OR(Apresentação!$I$4='Base de Dados e filtragem'!AO$2,Apresentação!$I$4='Base de Dados e filtragem'!K591),1,0)</f>
        <v>1</v>
      </c>
      <c r="AP591" s="25">
        <f>IF(OR(Apresentação!$I$5='Base de Dados e filtragem'!AP$2,Apresentação!$I$5='Base de Dados e filtragem'!L591),1,0)</f>
        <v>1</v>
      </c>
      <c r="AQ591" s="25">
        <f>IF(OR(Apresentação!$I$6='Base de Dados e filtragem'!AQ$2,Apresentação!$I$6='Base de Dados e filtragem'!M591),1,0)</f>
        <v>1</v>
      </c>
      <c r="AR591" s="25">
        <v>1</v>
      </c>
      <c r="AS591" s="25">
        <v>1</v>
      </c>
      <c r="AT591" s="25">
        <v>1</v>
      </c>
      <c r="AU591" s="25">
        <v>1</v>
      </c>
      <c r="AV591" s="25">
        <v>1</v>
      </c>
      <c r="AW591" s="25">
        <v>1</v>
      </c>
      <c r="AX591" s="25">
        <v>1</v>
      </c>
      <c r="AY591" s="25">
        <v>1</v>
      </c>
      <c r="AZ591" s="25">
        <v>1</v>
      </c>
      <c r="BA591" s="25">
        <v>1</v>
      </c>
      <c r="BB591" s="25">
        <v>1</v>
      </c>
      <c r="BC591" s="25">
        <v>1</v>
      </c>
      <c r="BD591" s="25">
        <v>1</v>
      </c>
    </row>
    <row r="592" spans="27:56" x14ac:dyDescent="0.25">
      <c r="AA592" s="68" t="str">
        <f t="shared" si="37"/>
        <v>Fotos\\.jpg</v>
      </c>
      <c r="AB592" s="53">
        <f t="shared" si="38"/>
        <v>1.6891891891891893E-3</v>
      </c>
      <c r="AC592" s="25">
        <f t="shared" si="39"/>
        <v>592</v>
      </c>
      <c r="AD592" s="51">
        <f t="shared" si="40"/>
        <v>1</v>
      </c>
      <c r="AE592" s="25">
        <v>1</v>
      </c>
      <c r="AF592" s="25">
        <v>1</v>
      </c>
      <c r="AG592" s="25">
        <v>1</v>
      </c>
      <c r="AH592" s="25">
        <v>1</v>
      </c>
      <c r="AI592" s="25">
        <f>IF(OR(Apresentação!$E$3='Base de Dados e filtragem'!AI$2,Apresentação!$E$3='Base de Dados e filtragem'!E592),1,0)</f>
        <v>1</v>
      </c>
      <c r="AJ592" s="25">
        <f>IF(OR(Apresentação!$E$4='Base de Dados e filtragem'!AJ$2,Apresentação!$E$4='Base de Dados e filtragem'!F592),1,0)</f>
        <v>1</v>
      </c>
      <c r="AK592" s="25">
        <f>IF(OR(Apresentação!$E$5='Base de Dados e filtragem'!AK$2,Apresentação!$E$5='Base de Dados e filtragem'!G592),1,0)</f>
        <v>1</v>
      </c>
      <c r="AL592" s="25">
        <f>IF(OR(Apresentação!$E$6='Base de Dados e filtragem'!AL$2,Apresentação!$E$6='Base de Dados e filtragem'!H592),1,0)</f>
        <v>1</v>
      </c>
      <c r="AM592" s="25">
        <f>IF(OR(Apresentação!$I$2='Base de Dados e filtragem'!AM$2,Apresentação!$I$2='Base de Dados e filtragem'!I592),1,0)</f>
        <v>1</v>
      </c>
      <c r="AN592" s="25">
        <f>IF(OR(Apresentação!$I$3='Base de Dados e filtragem'!AN$2,Apresentação!$I$3='Base de Dados e filtragem'!J592),1,0)</f>
        <v>1</v>
      </c>
      <c r="AO592" s="25">
        <f>IF(OR(Apresentação!$I$4='Base de Dados e filtragem'!AO$2,Apresentação!$I$4='Base de Dados e filtragem'!K592),1,0)</f>
        <v>1</v>
      </c>
      <c r="AP592" s="25">
        <f>IF(OR(Apresentação!$I$5='Base de Dados e filtragem'!AP$2,Apresentação!$I$5='Base de Dados e filtragem'!L592),1,0)</f>
        <v>1</v>
      </c>
      <c r="AQ592" s="25">
        <f>IF(OR(Apresentação!$I$6='Base de Dados e filtragem'!AQ$2,Apresentação!$I$6='Base de Dados e filtragem'!M592),1,0)</f>
        <v>1</v>
      </c>
      <c r="AR592" s="25">
        <v>1</v>
      </c>
      <c r="AS592" s="25">
        <v>1</v>
      </c>
      <c r="AT592" s="25">
        <v>1</v>
      </c>
      <c r="AU592" s="25">
        <v>1</v>
      </c>
      <c r="AV592" s="25">
        <v>1</v>
      </c>
      <c r="AW592" s="25">
        <v>1</v>
      </c>
      <c r="AX592" s="25">
        <v>1</v>
      </c>
      <c r="AY592" s="25">
        <v>1</v>
      </c>
      <c r="AZ592" s="25">
        <v>1</v>
      </c>
      <c r="BA592" s="25">
        <v>1</v>
      </c>
      <c r="BB592" s="25">
        <v>1</v>
      </c>
      <c r="BC592" s="25">
        <v>1</v>
      </c>
      <c r="BD592" s="25">
        <v>1</v>
      </c>
    </row>
    <row r="593" spans="27:56" x14ac:dyDescent="0.25">
      <c r="AA593" s="68" t="str">
        <f t="shared" si="37"/>
        <v>Fotos\\.jpg</v>
      </c>
      <c r="AB593" s="53">
        <f t="shared" si="38"/>
        <v>1.6863406408094434E-3</v>
      </c>
      <c r="AC593" s="25">
        <f t="shared" si="39"/>
        <v>593</v>
      </c>
      <c r="AD593" s="51">
        <f t="shared" si="40"/>
        <v>1</v>
      </c>
      <c r="AE593" s="25">
        <v>1</v>
      </c>
      <c r="AF593" s="25">
        <v>1</v>
      </c>
      <c r="AG593" s="25">
        <v>1</v>
      </c>
      <c r="AH593" s="25">
        <v>1</v>
      </c>
      <c r="AI593" s="25">
        <f>IF(OR(Apresentação!$E$3='Base de Dados e filtragem'!AI$2,Apresentação!$E$3='Base de Dados e filtragem'!E593),1,0)</f>
        <v>1</v>
      </c>
      <c r="AJ593" s="25">
        <f>IF(OR(Apresentação!$E$4='Base de Dados e filtragem'!AJ$2,Apresentação!$E$4='Base de Dados e filtragem'!F593),1,0)</f>
        <v>1</v>
      </c>
      <c r="AK593" s="25">
        <f>IF(OR(Apresentação!$E$5='Base de Dados e filtragem'!AK$2,Apresentação!$E$5='Base de Dados e filtragem'!G593),1,0)</f>
        <v>1</v>
      </c>
      <c r="AL593" s="25">
        <f>IF(OR(Apresentação!$E$6='Base de Dados e filtragem'!AL$2,Apresentação!$E$6='Base de Dados e filtragem'!H593),1,0)</f>
        <v>1</v>
      </c>
      <c r="AM593" s="25">
        <f>IF(OR(Apresentação!$I$2='Base de Dados e filtragem'!AM$2,Apresentação!$I$2='Base de Dados e filtragem'!I593),1,0)</f>
        <v>1</v>
      </c>
      <c r="AN593" s="25">
        <f>IF(OR(Apresentação!$I$3='Base de Dados e filtragem'!AN$2,Apresentação!$I$3='Base de Dados e filtragem'!J593),1,0)</f>
        <v>1</v>
      </c>
      <c r="AO593" s="25">
        <f>IF(OR(Apresentação!$I$4='Base de Dados e filtragem'!AO$2,Apresentação!$I$4='Base de Dados e filtragem'!K593),1,0)</f>
        <v>1</v>
      </c>
      <c r="AP593" s="25">
        <f>IF(OR(Apresentação!$I$5='Base de Dados e filtragem'!AP$2,Apresentação!$I$5='Base de Dados e filtragem'!L593),1,0)</f>
        <v>1</v>
      </c>
      <c r="AQ593" s="25">
        <f>IF(OR(Apresentação!$I$6='Base de Dados e filtragem'!AQ$2,Apresentação!$I$6='Base de Dados e filtragem'!M593),1,0)</f>
        <v>1</v>
      </c>
      <c r="AR593" s="25">
        <v>1</v>
      </c>
      <c r="AS593" s="25">
        <v>1</v>
      </c>
      <c r="AT593" s="25">
        <v>1</v>
      </c>
      <c r="AU593" s="25">
        <v>1</v>
      </c>
      <c r="AV593" s="25">
        <v>1</v>
      </c>
      <c r="AW593" s="25">
        <v>1</v>
      </c>
      <c r="AX593" s="25">
        <v>1</v>
      </c>
      <c r="AY593" s="25">
        <v>1</v>
      </c>
      <c r="AZ593" s="25">
        <v>1</v>
      </c>
      <c r="BA593" s="25">
        <v>1</v>
      </c>
      <c r="BB593" s="25">
        <v>1</v>
      </c>
      <c r="BC593" s="25">
        <v>1</v>
      </c>
      <c r="BD593" s="25">
        <v>1</v>
      </c>
    </row>
    <row r="594" spans="27:56" x14ac:dyDescent="0.25">
      <c r="AA594" s="68" t="str">
        <f t="shared" si="37"/>
        <v>Fotos\\.jpg</v>
      </c>
      <c r="AB594" s="53">
        <f t="shared" si="38"/>
        <v>1.6835016835016834E-3</v>
      </c>
      <c r="AC594" s="25">
        <f t="shared" si="39"/>
        <v>594</v>
      </c>
      <c r="AD594" s="51">
        <f t="shared" si="40"/>
        <v>1</v>
      </c>
      <c r="AE594" s="25">
        <v>1</v>
      </c>
      <c r="AF594" s="25">
        <v>1</v>
      </c>
      <c r="AG594" s="25">
        <v>1</v>
      </c>
      <c r="AH594" s="25">
        <v>1</v>
      </c>
      <c r="AI594" s="25">
        <f>IF(OR(Apresentação!$E$3='Base de Dados e filtragem'!AI$2,Apresentação!$E$3='Base de Dados e filtragem'!E594),1,0)</f>
        <v>1</v>
      </c>
      <c r="AJ594" s="25">
        <f>IF(OR(Apresentação!$E$4='Base de Dados e filtragem'!AJ$2,Apresentação!$E$4='Base de Dados e filtragem'!F594),1,0)</f>
        <v>1</v>
      </c>
      <c r="AK594" s="25">
        <f>IF(OR(Apresentação!$E$5='Base de Dados e filtragem'!AK$2,Apresentação!$E$5='Base de Dados e filtragem'!G594),1,0)</f>
        <v>1</v>
      </c>
      <c r="AL594" s="25">
        <f>IF(OR(Apresentação!$E$6='Base de Dados e filtragem'!AL$2,Apresentação!$E$6='Base de Dados e filtragem'!H594),1,0)</f>
        <v>1</v>
      </c>
      <c r="AM594" s="25">
        <f>IF(OR(Apresentação!$I$2='Base de Dados e filtragem'!AM$2,Apresentação!$I$2='Base de Dados e filtragem'!I594),1,0)</f>
        <v>1</v>
      </c>
      <c r="AN594" s="25">
        <f>IF(OR(Apresentação!$I$3='Base de Dados e filtragem'!AN$2,Apresentação!$I$3='Base de Dados e filtragem'!J594),1,0)</f>
        <v>1</v>
      </c>
      <c r="AO594" s="25">
        <f>IF(OR(Apresentação!$I$4='Base de Dados e filtragem'!AO$2,Apresentação!$I$4='Base de Dados e filtragem'!K594),1,0)</f>
        <v>1</v>
      </c>
      <c r="AP594" s="25">
        <f>IF(OR(Apresentação!$I$5='Base de Dados e filtragem'!AP$2,Apresentação!$I$5='Base de Dados e filtragem'!L594),1,0)</f>
        <v>1</v>
      </c>
      <c r="AQ594" s="25">
        <f>IF(OR(Apresentação!$I$6='Base de Dados e filtragem'!AQ$2,Apresentação!$I$6='Base de Dados e filtragem'!M594),1,0)</f>
        <v>1</v>
      </c>
      <c r="AR594" s="25">
        <v>1</v>
      </c>
      <c r="AS594" s="25">
        <v>1</v>
      </c>
      <c r="AT594" s="25">
        <v>1</v>
      </c>
      <c r="AU594" s="25">
        <v>1</v>
      </c>
      <c r="AV594" s="25">
        <v>1</v>
      </c>
      <c r="AW594" s="25">
        <v>1</v>
      </c>
      <c r="AX594" s="25">
        <v>1</v>
      </c>
      <c r="AY594" s="25">
        <v>1</v>
      </c>
      <c r="AZ594" s="25">
        <v>1</v>
      </c>
      <c r="BA594" s="25">
        <v>1</v>
      </c>
      <c r="BB594" s="25">
        <v>1</v>
      </c>
      <c r="BC594" s="25">
        <v>1</v>
      </c>
      <c r="BD594" s="25">
        <v>1</v>
      </c>
    </row>
    <row r="595" spans="27:56" x14ac:dyDescent="0.25">
      <c r="AA595" s="68" t="str">
        <f t="shared" si="37"/>
        <v>Fotos\\.jpg</v>
      </c>
      <c r="AB595" s="53">
        <f t="shared" si="38"/>
        <v>1.6806722689075631E-3</v>
      </c>
      <c r="AC595" s="25">
        <f t="shared" si="39"/>
        <v>595</v>
      </c>
      <c r="AD595" s="51">
        <f t="shared" si="40"/>
        <v>1</v>
      </c>
      <c r="AE595" s="25">
        <v>1</v>
      </c>
      <c r="AF595" s="25">
        <v>1</v>
      </c>
      <c r="AG595" s="25">
        <v>1</v>
      </c>
      <c r="AH595" s="25">
        <v>1</v>
      </c>
      <c r="AI595" s="25">
        <f>IF(OR(Apresentação!$E$3='Base de Dados e filtragem'!AI$2,Apresentação!$E$3='Base de Dados e filtragem'!E595),1,0)</f>
        <v>1</v>
      </c>
      <c r="AJ595" s="25">
        <f>IF(OR(Apresentação!$E$4='Base de Dados e filtragem'!AJ$2,Apresentação!$E$4='Base de Dados e filtragem'!F595),1,0)</f>
        <v>1</v>
      </c>
      <c r="AK595" s="25">
        <f>IF(OR(Apresentação!$E$5='Base de Dados e filtragem'!AK$2,Apresentação!$E$5='Base de Dados e filtragem'!G595),1,0)</f>
        <v>1</v>
      </c>
      <c r="AL595" s="25">
        <f>IF(OR(Apresentação!$E$6='Base de Dados e filtragem'!AL$2,Apresentação!$E$6='Base de Dados e filtragem'!H595),1,0)</f>
        <v>1</v>
      </c>
      <c r="AM595" s="25">
        <f>IF(OR(Apresentação!$I$2='Base de Dados e filtragem'!AM$2,Apresentação!$I$2='Base de Dados e filtragem'!I595),1,0)</f>
        <v>1</v>
      </c>
      <c r="AN595" s="25">
        <f>IF(OR(Apresentação!$I$3='Base de Dados e filtragem'!AN$2,Apresentação!$I$3='Base de Dados e filtragem'!J595),1,0)</f>
        <v>1</v>
      </c>
      <c r="AO595" s="25">
        <f>IF(OR(Apresentação!$I$4='Base de Dados e filtragem'!AO$2,Apresentação!$I$4='Base de Dados e filtragem'!K595),1,0)</f>
        <v>1</v>
      </c>
      <c r="AP595" s="25">
        <f>IF(OR(Apresentação!$I$5='Base de Dados e filtragem'!AP$2,Apresentação!$I$5='Base de Dados e filtragem'!L595),1,0)</f>
        <v>1</v>
      </c>
      <c r="AQ595" s="25">
        <f>IF(OR(Apresentação!$I$6='Base de Dados e filtragem'!AQ$2,Apresentação!$I$6='Base de Dados e filtragem'!M595),1,0)</f>
        <v>1</v>
      </c>
      <c r="AR595" s="25">
        <v>1</v>
      </c>
      <c r="AS595" s="25">
        <v>1</v>
      </c>
      <c r="AT595" s="25">
        <v>1</v>
      </c>
      <c r="AU595" s="25">
        <v>1</v>
      </c>
      <c r="AV595" s="25">
        <v>1</v>
      </c>
      <c r="AW595" s="25">
        <v>1</v>
      </c>
      <c r="AX595" s="25">
        <v>1</v>
      </c>
      <c r="AY595" s="25">
        <v>1</v>
      </c>
      <c r="AZ595" s="25">
        <v>1</v>
      </c>
      <c r="BA595" s="25">
        <v>1</v>
      </c>
      <c r="BB595" s="25">
        <v>1</v>
      </c>
      <c r="BC595" s="25">
        <v>1</v>
      </c>
      <c r="BD595" s="25">
        <v>1</v>
      </c>
    </row>
    <row r="596" spans="27:56" x14ac:dyDescent="0.25">
      <c r="AA596" s="68" t="str">
        <f t="shared" si="37"/>
        <v>Fotos\\.jpg</v>
      </c>
      <c r="AB596" s="53">
        <f t="shared" si="38"/>
        <v>1.6778523489932886E-3</v>
      </c>
      <c r="AC596" s="25">
        <f t="shared" si="39"/>
        <v>596</v>
      </c>
      <c r="AD596" s="51">
        <f t="shared" si="40"/>
        <v>1</v>
      </c>
      <c r="AE596" s="25">
        <v>1</v>
      </c>
      <c r="AF596" s="25">
        <v>1</v>
      </c>
      <c r="AG596" s="25">
        <v>1</v>
      </c>
      <c r="AH596" s="25">
        <v>1</v>
      </c>
      <c r="AI596" s="25">
        <f>IF(OR(Apresentação!$E$3='Base de Dados e filtragem'!AI$2,Apresentação!$E$3='Base de Dados e filtragem'!E596),1,0)</f>
        <v>1</v>
      </c>
      <c r="AJ596" s="25">
        <f>IF(OR(Apresentação!$E$4='Base de Dados e filtragem'!AJ$2,Apresentação!$E$4='Base de Dados e filtragem'!F596),1,0)</f>
        <v>1</v>
      </c>
      <c r="AK596" s="25">
        <f>IF(OR(Apresentação!$E$5='Base de Dados e filtragem'!AK$2,Apresentação!$E$5='Base de Dados e filtragem'!G596),1,0)</f>
        <v>1</v>
      </c>
      <c r="AL596" s="25">
        <f>IF(OR(Apresentação!$E$6='Base de Dados e filtragem'!AL$2,Apresentação!$E$6='Base de Dados e filtragem'!H596),1,0)</f>
        <v>1</v>
      </c>
      <c r="AM596" s="25">
        <f>IF(OR(Apresentação!$I$2='Base de Dados e filtragem'!AM$2,Apresentação!$I$2='Base de Dados e filtragem'!I596),1,0)</f>
        <v>1</v>
      </c>
      <c r="AN596" s="25">
        <f>IF(OR(Apresentação!$I$3='Base de Dados e filtragem'!AN$2,Apresentação!$I$3='Base de Dados e filtragem'!J596),1,0)</f>
        <v>1</v>
      </c>
      <c r="AO596" s="25">
        <f>IF(OR(Apresentação!$I$4='Base de Dados e filtragem'!AO$2,Apresentação!$I$4='Base de Dados e filtragem'!K596),1,0)</f>
        <v>1</v>
      </c>
      <c r="AP596" s="25">
        <f>IF(OR(Apresentação!$I$5='Base de Dados e filtragem'!AP$2,Apresentação!$I$5='Base de Dados e filtragem'!L596),1,0)</f>
        <v>1</v>
      </c>
      <c r="AQ596" s="25">
        <f>IF(OR(Apresentação!$I$6='Base de Dados e filtragem'!AQ$2,Apresentação!$I$6='Base de Dados e filtragem'!M596),1,0)</f>
        <v>1</v>
      </c>
      <c r="AR596" s="25">
        <v>1</v>
      </c>
      <c r="AS596" s="25">
        <v>1</v>
      </c>
      <c r="AT596" s="25">
        <v>1</v>
      </c>
      <c r="AU596" s="25">
        <v>1</v>
      </c>
      <c r="AV596" s="25">
        <v>1</v>
      </c>
      <c r="AW596" s="25">
        <v>1</v>
      </c>
      <c r="AX596" s="25">
        <v>1</v>
      </c>
      <c r="AY596" s="25">
        <v>1</v>
      </c>
      <c r="AZ596" s="25">
        <v>1</v>
      </c>
      <c r="BA596" s="25">
        <v>1</v>
      </c>
      <c r="BB596" s="25">
        <v>1</v>
      </c>
      <c r="BC596" s="25">
        <v>1</v>
      </c>
      <c r="BD596" s="25">
        <v>1</v>
      </c>
    </row>
    <row r="597" spans="27:56" x14ac:dyDescent="0.25">
      <c r="AA597" s="68" t="str">
        <f t="shared" si="37"/>
        <v>Fotos\\.jpg</v>
      </c>
      <c r="AB597" s="53">
        <f t="shared" si="38"/>
        <v>1.6750418760469012E-3</v>
      </c>
      <c r="AC597" s="25">
        <f t="shared" si="39"/>
        <v>597</v>
      </c>
      <c r="AD597" s="51">
        <f t="shared" si="40"/>
        <v>1</v>
      </c>
      <c r="AE597" s="25">
        <v>1</v>
      </c>
      <c r="AF597" s="25">
        <v>1</v>
      </c>
      <c r="AG597" s="25">
        <v>1</v>
      </c>
      <c r="AH597" s="25">
        <v>1</v>
      </c>
      <c r="AI597" s="25">
        <f>IF(OR(Apresentação!$E$3='Base de Dados e filtragem'!AI$2,Apresentação!$E$3='Base de Dados e filtragem'!E597),1,0)</f>
        <v>1</v>
      </c>
      <c r="AJ597" s="25">
        <f>IF(OR(Apresentação!$E$4='Base de Dados e filtragem'!AJ$2,Apresentação!$E$4='Base de Dados e filtragem'!F597),1,0)</f>
        <v>1</v>
      </c>
      <c r="AK597" s="25">
        <f>IF(OR(Apresentação!$E$5='Base de Dados e filtragem'!AK$2,Apresentação!$E$5='Base de Dados e filtragem'!G597),1,0)</f>
        <v>1</v>
      </c>
      <c r="AL597" s="25">
        <f>IF(OR(Apresentação!$E$6='Base de Dados e filtragem'!AL$2,Apresentação!$E$6='Base de Dados e filtragem'!H597),1,0)</f>
        <v>1</v>
      </c>
      <c r="AM597" s="25">
        <f>IF(OR(Apresentação!$I$2='Base de Dados e filtragem'!AM$2,Apresentação!$I$2='Base de Dados e filtragem'!I597),1,0)</f>
        <v>1</v>
      </c>
      <c r="AN597" s="25">
        <f>IF(OR(Apresentação!$I$3='Base de Dados e filtragem'!AN$2,Apresentação!$I$3='Base de Dados e filtragem'!J597),1,0)</f>
        <v>1</v>
      </c>
      <c r="AO597" s="25">
        <f>IF(OR(Apresentação!$I$4='Base de Dados e filtragem'!AO$2,Apresentação!$I$4='Base de Dados e filtragem'!K597),1,0)</f>
        <v>1</v>
      </c>
      <c r="AP597" s="25">
        <f>IF(OR(Apresentação!$I$5='Base de Dados e filtragem'!AP$2,Apresentação!$I$5='Base de Dados e filtragem'!L597),1,0)</f>
        <v>1</v>
      </c>
      <c r="AQ597" s="25">
        <f>IF(OR(Apresentação!$I$6='Base de Dados e filtragem'!AQ$2,Apresentação!$I$6='Base de Dados e filtragem'!M597),1,0)</f>
        <v>1</v>
      </c>
      <c r="AR597" s="25">
        <v>1</v>
      </c>
      <c r="AS597" s="25">
        <v>1</v>
      </c>
      <c r="AT597" s="25">
        <v>1</v>
      </c>
      <c r="AU597" s="25">
        <v>1</v>
      </c>
      <c r="AV597" s="25">
        <v>1</v>
      </c>
      <c r="AW597" s="25">
        <v>1</v>
      </c>
      <c r="AX597" s="25">
        <v>1</v>
      </c>
      <c r="AY597" s="25">
        <v>1</v>
      </c>
      <c r="AZ597" s="25">
        <v>1</v>
      </c>
      <c r="BA597" s="25">
        <v>1</v>
      </c>
      <c r="BB597" s="25">
        <v>1</v>
      </c>
      <c r="BC597" s="25">
        <v>1</v>
      </c>
      <c r="BD597" s="25">
        <v>1</v>
      </c>
    </row>
    <row r="598" spans="27:56" x14ac:dyDescent="0.25">
      <c r="AA598" s="68" t="str">
        <f t="shared" si="37"/>
        <v>Fotos\\.jpg</v>
      </c>
      <c r="AB598" s="53">
        <f t="shared" si="38"/>
        <v>1.6722408026755853E-3</v>
      </c>
      <c r="AC598" s="25">
        <f t="shared" si="39"/>
        <v>598</v>
      </c>
      <c r="AD598" s="51">
        <f t="shared" si="40"/>
        <v>1</v>
      </c>
      <c r="AE598" s="25">
        <v>1</v>
      </c>
      <c r="AF598" s="25">
        <v>1</v>
      </c>
      <c r="AG598" s="25">
        <v>1</v>
      </c>
      <c r="AH598" s="25">
        <v>1</v>
      </c>
      <c r="AI598" s="25">
        <f>IF(OR(Apresentação!$E$3='Base de Dados e filtragem'!AI$2,Apresentação!$E$3='Base de Dados e filtragem'!E598),1,0)</f>
        <v>1</v>
      </c>
      <c r="AJ598" s="25">
        <f>IF(OR(Apresentação!$E$4='Base de Dados e filtragem'!AJ$2,Apresentação!$E$4='Base de Dados e filtragem'!F598),1,0)</f>
        <v>1</v>
      </c>
      <c r="AK598" s="25">
        <f>IF(OR(Apresentação!$E$5='Base de Dados e filtragem'!AK$2,Apresentação!$E$5='Base de Dados e filtragem'!G598),1,0)</f>
        <v>1</v>
      </c>
      <c r="AL598" s="25">
        <f>IF(OR(Apresentação!$E$6='Base de Dados e filtragem'!AL$2,Apresentação!$E$6='Base de Dados e filtragem'!H598),1,0)</f>
        <v>1</v>
      </c>
      <c r="AM598" s="25">
        <f>IF(OR(Apresentação!$I$2='Base de Dados e filtragem'!AM$2,Apresentação!$I$2='Base de Dados e filtragem'!I598),1,0)</f>
        <v>1</v>
      </c>
      <c r="AN598" s="25">
        <f>IF(OR(Apresentação!$I$3='Base de Dados e filtragem'!AN$2,Apresentação!$I$3='Base de Dados e filtragem'!J598),1,0)</f>
        <v>1</v>
      </c>
      <c r="AO598" s="25">
        <f>IF(OR(Apresentação!$I$4='Base de Dados e filtragem'!AO$2,Apresentação!$I$4='Base de Dados e filtragem'!K598),1,0)</f>
        <v>1</v>
      </c>
      <c r="AP598" s="25">
        <f>IF(OR(Apresentação!$I$5='Base de Dados e filtragem'!AP$2,Apresentação!$I$5='Base de Dados e filtragem'!L598),1,0)</f>
        <v>1</v>
      </c>
      <c r="AQ598" s="25">
        <f>IF(OR(Apresentação!$I$6='Base de Dados e filtragem'!AQ$2,Apresentação!$I$6='Base de Dados e filtragem'!M598),1,0)</f>
        <v>1</v>
      </c>
      <c r="AR598" s="25">
        <v>1</v>
      </c>
      <c r="AS598" s="25">
        <v>1</v>
      </c>
      <c r="AT598" s="25">
        <v>1</v>
      </c>
      <c r="AU598" s="25">
        <v>1</v>
      </c>
      <c r="AV598" s="25">
        <v>1</v>
      </c>
      <c r="AW598" s="25">
        <v>1</v>
      </c>
      <c r="AX598" s="25">
        <v>1</v>
      </c>
      <c r="AY598" s="25">
        <v>1</v>
      </c>
      <c r="AZ598" s="25">
        <v>1</v>
      </c>
      <c r="BA598" s="25">
        <v>1</v>
      </c>
      <c r="BB598" s="25">
        <v>1</v>
      </c>
      <c r="BC598" s="25">
        <v>1</v>
      </c>
      <c r="BD598" s="25">
        <v>1</v>
      </c>
    </row>
    <row r="599" spans="27:56" x14ac:dyDescent="0.25">
      <c r="AA599" s="68" t="str">
        <f t="shared" si="37"/>
        <v>Fotos\\.jpg</v>
      </c>
      <c r="AB599" s="53">
        <f t="shared" si="38"/>
        <v>1.6694490818030051E-3</v>
      </c>
      <c r="AC599" s="25">
        <f t="shared" si="39"/>
        <v>599</v>
      </c>
      <c r="AD599" s="51">
        <f t="shared" si="40"/>
        <v>1</v>
      </c>
      <c r="AE599" s="25">
        <v>1</v>
      </c>
      <c r="AF599" s="25">
        <v>1</v>
      </c>
      <c r="AG599" s="25">
        <v>1</v>
      </c>
      <c r="AH599" s="25">
        <v>1</v>
      </c>
      <c r="AI599" s="25">
        <f>IF(OR(Apresentação!$E$3='Base de Dados e filtragem'!AI$2,Apresentação!$E$3='Base de Dados e filtragem'!E599),1,0)</f>
        <v>1</v>
      </c>
      <c r="AJ599" s="25">
        <f>IF(OR(Apresentação!$E$4='Base de Dados e filtragem'!AJ$2,Apresentação!$E$4='Base de Dados e filtragem'!F599),1,0)</f>
        <v>1</v>
      </c>
      <c r="AK599" s="25">
        <f>IF(OR(Apresentação!$E$5='Base de Dados e filtragem'!AK$2,Apresentação!$E$5='Base de Dados e filtragem'!G599),1,0)</f>
        <v>1</v>
      </c>
      <c r="AL599" s="25">
        <f>IF(OR(Apresentação!$E$6='Base de Dados e filtragem'!AL$2,Apresentação!$E$6='Base de Dados e filtragem'!H599),1,0)</f>
        <v>1</v>
      </c>
      <c r="AM599" s="25">
        <f>IF(OR(Apresentação!$I$2='Base de Dados e filtragem'!AM$2,Apresentação!$I$2='Base de Dados e filtragem'!I599),1,0)</f>
        <v>1</v>
      </c>
      <c r="AN599" s="25">
        <f>IF(OR(Apresentação!$I$3='Base de Dados e filtragem'!AN$2,Apresentação!$I$3='Base de Dados e filtragem'!J599),1,0)</f>
        <v>1</v>
      </c>
      <c r="AO599" s="25">
        <f>IF(OR(Apresentação!$I$4='Base de Dados e filtragem'!AO$2,Apresentação!$I$4='Base de Dados e filtragem'!K599),1,0)</f>
        <v>1</v>
      </c>
      <c r="AP599" s="25">
        <f>IF(OR(Apresentação!$I$5='Base de Dados e filtragem'!AP$2,Apresentação!$I$5='Base de Dados e filtragem'!L599),1,0)</f>
        <v>1</v>
      </c>
      <c r="AQ599" s="25">
        <f>IF(OR(Apresentação!$I$6='Base de Dados e filtragem'!AQ$2,Apresentação!$I$6='Base de Dados e filtragem'!M599),1,0)</f>
        <v>1</v>
      </c>
      <c r="AR599" s="25">
        <v>1</v>
      </c>
      <c r="AS599" s="25">
        <v>1</v>
      </c>
      <c r="AT599" s="25">
        <v>1</v>
      </c>
      <c r="AU599" s="25">
        <v>1</v>
      </c>
      <c r="AV599" s="25">
        <v>1</v>
      </c>
      <c r="AW599" s="25">
        <v>1</v>
      </c>
      <c r="AX599" s="25">
        <v>1</v>
      </c>
      <c r="AY599" s="25">
        <v>1</v>
      </c>
      <c r="AZ599" s="25">
        <v>1</v>
      </c>
      <c r="BA599" s="25">
        <v>1</v>
      </c>
      <c r="BB599" s="25">
        <v>1</v>
      </c>
      <c r="BC599" s="25">
        <v>1</v>
      </c>
      <c r="BD599" s="25">
        <v>1</v>
      </c>
    </row>
    <row r="600" spans="27:56" x14ac:dyDescent="0.25">
      <c r="AA600" s="68" t="str">
        <f t="shared" si="37"/>
        <v>Fotos\\.jpg</v>
      </c>
      <c r="AB600" s="53">
        <f t="shared" si="38"/>
        <v>1.6666666666666668E-3</v>
      </c>
      <c r="AC600" s="25">
        <f t="shared" si="39"/>
        <v>600</v>
      </c>
      <c r="AD600" s="51">
        <f t="shared" si="40"/>
        <v>1</v>
      </c>
      <c r="AE600" s="25">
        <v>1</v>
      </c>
      <c r="AF600" s="25">
        <v>1</v>
      </c>
      <c r="AG600" s="25">
        <v>1</v>
      </c>
      <c r="AH600" s="25">
        <v>1</v>
      </c>
      <c r="AI600" s="25">
        <f>IF(OR(Apresentação!$E$3='Base de Dados e filtragem'!AI$2,Apresentação!$E$3='Base de Dados e filtragem'!E600),1,0)</f>
        <v>1</v>
      </c>
      <c r="AJ600" s="25">
        <f>IF(OR(Apresentação!$E$4='Base de Dados e filtragem'!AJ$2,Apresentação!$E$4='Base de Dados e filtragem'!F600),1,0)</f>
        <v>1</v>
      </c>
      <c r="AK600" s="25">
        <f>IF(OR(Apresentação!$E$5='Base de Dados e filtragem'!AK$2,Apresentação!$E$5='Base de Dados e filtragem'!G600),1,0)</f>
        <v>1</v>
      </c>
      <c r="AL600" s="25">
        <f>IF(OR(Apresentação!$E$6='Base de Dados e filtragem'!AL$2,Apresentação!$E$6='Base de Dados e filtragem'!H600),1,0)</f>
        <v>1</v>
      </c>
      <c r="AM600" s="25">
        <f>IF(OR(Apresentação!$I$2='Base de Dados e filtragem'!AM$2,Apresentação!$I$2='Base de Dados e filtragem'!I600),1,0)</f>
        <v>1</v>
      </c>
      <c r="AN600" s="25">
        <f>IF(OR(Apresentação!$I$3='Base de Dados e filtragem'!AN$2,Apresentação!$I$3='Base de Dados e filtragem'!J600),1,0)</f>
        <v>1</v>
      </c>
      <c r="AO600" s="25">
        <f>IF(OR(Apresentação!$I$4='Base de Dados e filtragem'!AO$2,Apresentação!$I$4='Base de Dados e filtragem'!K600),1,0)</f>
        <v>1</v>
      </c>
      <c r="AP600" s="25">
        <f>IF(OR(Apresentação!$I$5='Base de Dados e filtragem'!AP$2,Apresentação!$I$5='Base de Dados e filtragem'!L600),1,0)</f>
        <v>1</v>
      </c>
      <c r="AQ600" s="25">
        <f>IF(OR(Apresentação!$I$6='Base de Dados e filtragem'!AQ$2,Apresentação!$I$6='Base de Dados e filtragem'!M600),1,0)</f>
        <v>1</v>
      </c>
      <c r="AR600" s="25">
        <v>1</v>
      </c>
      <c r="AS600" s="25">
        <v>1</v>
      </c>
      <c r="AT600" s="25">
        <v>1</v>
      </c>
      <c r="AU600" s="25">
        <v>1</v>
      </c>
      <c r="AV600" s="25">
        <v>1</v>
      </c>
      <c r="AW600" s="25">
        <v>1</v>
      </c>
      <c r="AX600" s="25">
        <v>1</v>
      </c>
      <c r="AY600" s="25">
        <v>1</v>
      </c>
      <c r="AZ600" s="25">
        <v>1</v>
      </c>
      <c r="BA600" s="25">
        <v>1</v>
      </c>
      <c r="BB600" s="25">
        <v>1</v>
      </c>
      <c r="BC600" s="25">
        <v>1</v>
      </c>
      <c r="BD600" s="25">
        <v>1</v>
      </c>
    </row>
    <row r="601" spans="27:56" x14ac:dyDescent="0.25">
      <c r="AA601" s="68" t="str">
        <f t="shared" si="37"/>
        <v>Fotos\\.jpg</v>
      </c>
      <c r="AB601" s="53">
        <f t="shared" si="38"/>
        <v>1.6638935108153079E-3</v>
      </c>
      <c r="AC601" s="25">
        <f t="shared" si="39"/>
        <v>601</v>
      </c>
      <c r="AD601" s="51">
        <f t="shared" si="40"/>
        <v>1</v>
      </c>
      <c r="AE601" s="25">
        <v>1</v>
      </c>
      <c r="AF601" s="25">
        <v>1</v>
      </c>
      <c r="AG601" s="25">
        <v>1</v>
      </c>
      <c r="AH601" s="25">
        <v>1</v>
      </c>
      <c r="AI601" s="25">
        <f>IF(OR(Apresentação!$E$3='Base de Dados e filtragem'!AI$2,Apresentação!$E$3='Base de Dados e filtragem'!E601),1,0)</f>
        <v>1</v>
      </c>
      <c r="AJ601" s="25">
        <f>IF(OR(Apresentação!$E$4='Base de Dados e filtragem'!AJ$2,Apresentação!$E$4='Base de Dados e filtragem'!F601),1,0)</f>
        <v>1</v>
      </c>
      <c r="AK601" s="25">
        <f>IF(OR(Apresentação!$E$5='Base de Dados e filtragem'!AK$2,Apresentação!$E$5='Base de Dados e filtragem'!G601),1,0)</f>
        <v>1</v>
      </c>
      <c r="AL601" s="25">
        <f>IF(OR(Apresentação!$E$6='Base de Dados e filtragem'!AL$2,Apresentação!$E$6='Base de Dados e filtragem'!H601),1,0)</f>
        <v>1</v>
      </c>
      <c r="AM601" s="25">
        <f>IF(OR(Apresentação!$I$2='Base de Dados e filtragem'!AM$2,Apresentação!$I$2='Base de Dados e filtragem'!I601),1,0)</f>
        <v>1</v>
      </c>
      <c r="AN601" s="25">
        <f>IF(OR(Apresentação!$I$3='Base de Dados e filtragem'!AN$2,Apresentação!$I$3='Base de Dados e filtragem'!J601),1,0)</f>
        <v>1</v>
      </c>
      <c r="AO601" s="25">
        <f>IF(OR(Apresentação!$I$4='Base de Dados e filtragem'!AO$2,Apresentação!$I$4='Base de Dados e filtragem'!K601),1,0)</f>
        <v>1</v>
      </c>
      <c r="AP601" s="25">
        <f>IF(OR(Apresentação!$I$5='Base de Dados e filtragem'!AP$2,Apresentação!$I$5='Base de Dados e filtragem'!L601),1,0)</f>
        <v>1</v>
      </c>
      <c r="AQ601" s="25">
        <f>IF(OR(Apresentação!$I$6='Base de Dados e filtragem'!AQ$2,Apresentação!$I$6='Base de Dados e filtragem'!M601),1,0)</f>
        <v>1</v>
      </c>
      <c r="AR601" s="25">
        <v>1</v>
      </c>
      <c r="AS601" s="25">
        <v>1</v>
      </c>
      <c r="AT601" s="25">
        <v>1</v>
      </c>
      <c r="AU601" s="25">
        <v>1</v>
      </c>
      <c r="AV601" s="25">
        <v>1</v>
      </c>
      <c r="AW601" s="25">
        <v>1</v>
      </c>
      <c r="AX601" s="25">
        <v>1</v>
      </c>
      <c r="AY601" s="25">
        <v>1</v>
      </c>
      <c r="AZ601" s="25">
        <v>1</v>
      </c>
      <c r="BA601" s="25">
        <v>1</v>
      </c>
      <c r="BB601" s="25">
        <v>1</v>
      </c>
      <c r="BC601" s="25">
        <v>1</v>
      </c>
      <c r="BD601" s="25">
        <v>1</v>
      </c>
    </row>
    <row r="602" spans="27:56" x14ac:dyDescent="0.25">
      <c r="AA602" s="68" t="str">
        <f t="shared" si="37"/>
        <v>Fotos\\.jpg</v>
      </c>
      <c r="AB602" s="53">
        <f t="shared" si="38"/>
        <v>1.6611295681063123E-3</v>
      </c>
      <c r="AC602" s="25">
        <f t="shared" si="39"/>
        <v>602</v>
      </c>
      <c r="AD602" s="51">
        <f t="shared" si="40"/>
        <v>1</v>
      </c>
      <c r="AE602" s="25">
        <v>1</v>
      </c>
      <c r="AF602" s="25">
        <v>1</v>
      </c>
      <c r="AG602" s="25">
        <v>1</v>
      </c>
      <c r="AH602" s="25">
        <v>1</v>
      </c>
      <c r="AI602" s="25">
        <f>IF(OR(Apresentação!$E$3='Base de Dados e filtragem'!AI$2,Apresentação!$E$3='Base de Dados e filtragem'!E602),1,0)</f>
        <v>1</v>
      </c>
      <c r="AJ602" s="25">
        <f>IF(OR(Apresentação!$E$4='Base de Dados e filtragem'!AJ$2,Apresentação!$E$4='Base de Dados e filtragem'!F602),1,0)</f>
        <v>1</v>
      </c>
      <c r="AK602" s="25">
        <f>IF(OR(Apresentação!$E$5='Base de Dados e filtragem'!AK$2,Apresentação!$E$5='Base de Dados e filtragem'!G602),1,0)</f>
        <v>1</v>
      </c>
      <c r="AL602" s="25">
        <f>IF(OR(Apresentação!$E$6='Base de Dados e filtragem'!AL$2,Apresentação!$E$6='Base de Dados e filtragem'!H602),1,0)</f>
        <v>1</v>
      </c>
      <c r="AM602" s="25">
        <f>IF(OR(Apresentação!$I$2='Base de Dados e filtragem'!AM$2,Apresentação!$I$2='Base de Dados e filtragem'!I602),1,0)</f>
        <v>1</v>
      </c>
      <c r="AN602" s="25">
        <f>IF(OR(Apresentação!$I$3='Base de Dados e filtragem'!AN$2,Apresentação!$I$3='Base de Dados e filtragem'!J602),1,0)</f>
        <v>1</v>
      </c>
      <c r="AO602" s="25">
        <f>IF(OR(Apresentação!$I$4='Base de Dados e filtragem'!AO$2,Apresentação!$I$4='Base de Dados e filtragem'!K602),1,0)</f>
        <v>1</v>
      </c>
      <c r="AP602" s="25">
        <f>IF(OR(Apresentação!$I$5='Base de Dados e filtragem'!AP$2,Apresentação!$I$5='Base de Dados e filtragem'!L602),1,0)</f>
        <v>1</v>
      </c>
      <c r="AQ602" s="25">
        <f>IF(OR(Apresentação!$I$6='Base de Dados e filtragem'!AQ$2,Apresentação!$I$6='Base de Dados e filtragem'!M602),1,0)</f>
        <v>1</v>
      </c>
      <c r="AR602" s="25">
        <v>1</v>
      </c>
      <c r="AS602" s="25">
        <v>1</v>
      </c>
      <c r="AT602" s="25">
        <v>1</v>
      </c>
      <c r="AU602" s="25">
        <v>1</v>
      </c>
      <c r="AV602" s="25">
        <v>1</v>
      </c>
      <c r="AW602" s="25">
        <v>1</v>
      </c>
      <c r="AX602" s="25">
        <v>1</v>
      </c>
      <c r="AY602" s="25">
        <v>1</v>
      </c>
      <c r="AZ602" s="25">
        <v>1</v>
      </c>
      <c r="BA602" s="25">
        <v>1</v>
      </c>
      <c r="BB602" s="25">
        <v>1</v>
      </c>
      <c r="BC602" s="25">
        <v>1</v>
      </c>
      <c r="BD602" s="25">
        <v>1</v>
      </c>
    </row>
    <row r="603" spans="27:56" x14ac:dyDescent="0.25">
      <c r="AA603" s="68" t="str">
        <f t="shared" si="37"/>
        <v>Fotos\\.jpg</v>
      </c>
      <c r="AB603" s="53">
        <f t="shared" si="38"/>
        <v>1.658374792703151E-3</v>
      </c>
      <c r="AC603" s="25">
        <f t="shared" si="39"/>
        <v>603</v>
      </c>
      <c r="AD603" s="51">
        <f t="shared" si="40"/>
        <v>1</v>
      </c>
      <c r="AE603" s="25">
        <v>1</v>
      </c>
      <c r="AF603" s="25">
        <v>1</v>
      </c>
      <c r="AG603" s="25">
        <v>1</v>
      </c>
      <c r="AH603" s="25">
        <v>1</v>
      </c>
      <c r="AI603" s="25">
        <f>IF(OR(Apresentação!$E$3='Base de Dados e filtragem'!AI$2,Apresentação!$E$3='Base de Dados e filtragem'!E603),1,0)</f>
        <v>1</v>
      </c>
      <c r="AJ603" s="25">
        <f>IF(OR(Apresentação!$E$4='Base de Dados e filtragem'!AJ$2,Apresentação!$E$4='Base de Dados e filtragem'!F603),1,0)</f>
        <v>1</v>
      </c>
      <c r="AK603" s="25">
        <f>IF(OR(Apresentação!$E$5='Base de Dados e filtragem'!AK$2,Apresentação!$E$5='Base de Dados e filtragem'!G603),1,0)</f>
        <v>1</v>
      </c>
      <c r="AL603" s="25">
        <f>IF(OR(Apresentação!$E$6='Base de Dados e filtragem'!AL$2,Apresentação!$E$6='Base de Dados e filtragem'!H603),1,0)</f>
        <v>1</v>
      </c>
      <c r="AM603" s="25">
        <f>IF(OR(Apresentação!$I$2='Base de Dados e filtragem'!AM$2,Apresentação!$I$2='Base de Dados e filtragem'!I603),1,0)</f>
        <v>1</v>
      </c>
      <c r="AN603" s="25">
        <f>IF(OR(Apresentação!$I$3='Base de Dados e filtragem'!AN$2,Apresentação!$I$3='Base de Dados e filtragem'!J603),1,0)</f>
        <v>1</v>
      </c>
      <c r="AO603" s="25">
        <f>IF(OR(Apresentação!$I$4='Base de Dados e filtragem'!AO$2,Apresentação!$I$4='Base de Dados e filtragem'!K603),1,0)</f>
        <v>1</v>
      </c>
      <c r="AP603" s="25">
        <f>IF(OR(Apresentação!$I$5='Base de Dados e filtragem'!AP$2,Apresentação!$I$5='Base de Dados e filtragem'!L603),1,0)</f>
        <v>1</v>
      </c>
      <c r="AQ603" s="25">
        <f>IF(OR(Apresentação!$I$6='Base de Dados e filtragem'!AQ$2,Apresentação!$I$6='Base de Dados e filtragem'!M603),1,0)</f>
        <v>1</v>
      </c>
      <c r="AR603" s="25">
        <v>1</v>
      </c>
      <c r="AS603" s="25">
        <v>1</v>
      </c>
      <c r="AT603" s="25">
        <v>1</v>
      </c>
      <c r="AU603" s="25">
        <v>1</v>
      </c>
      <c r="AV603" s="25">
        <v>1</v>
      </c>
      <c r="AW603" s="25">
        <v>1</v>
      </c>
      <c r="AX603" s="25">
        <v>1</v>
      </c>
      <c r="AY603" s="25">
        <v>1</v>
      </c>
      <c r="AZ603" s="25">
        <v>1</v>
      </c>
      <c r="BA603" s="25">
        <v>1</v>
      </c>
      <c r="BB603" s="25">
        <v>1</v>
      </c>
      <c r="BC603" s="25">
        <v>1</v>
      </c>
      <c r="BD603" s="25">
        <v>1</v>
      </c>
    </row>
    <row r="604" spans="27:56" x14ac:dyDescent="0.25">
      <c r="AA604" s="68" t="str">
        <f t="shared" si="37"/>
        <v>Fotos\\.jpg</v>
      </c>
      <c r="AB604" s="53">
        <f t="shared" si="38"/>
        <v>1.6556291390728477E-3</v>
      </c>
      <c r="AC604" s="25">
        <f t="shared" si="39"/>
        <v>604</v>
      </c>
      <c r="AD604" s="51">
        <f t="shared" si="40"/>
        <v>1</v>
      </c>
      <c r="AE604" s="25">
        <v>1</v>
      </c>
      <c r="AF604" s="25">
        <v>1</v>
      </c>
      <c r="AG604" s="25">
        <v>1</v>
      </c>
      <c r="AH604" s="25">
        <v>1</v>
      </c>
      <c r="AI604" s="25">
        <f>IF(OR(Apresentação!$E$3='Base de Dados e filtragem'!AI$2,Apresentação!$E$3='Base de Dados e filtragem'!E604),1,0)</f>
        <v>1</v>
      </c>
      <c r="AJ604" s="25">
        <f>IF(OR(Apresentação!$E$4='Base de Dados e filtragem'!AJ$2,Apresentação!$E$4='Base de Dados e filtragem'!F604),1,0)</f>
        <v>1</v>
      </c>
      <c r="AK604" s="25">
        <f>IF(OR(Apresentação!$E$5='Base de Dados e filtragem'!AK$2,Apresentação!$E$5='Base de Dados e filtragem'!G604),1,0)</f>
        <v>1</v>
      </c>
      <c r="AL604" s="25">
        <f>IF(OR(Apresentação!$E$6='Base de Dados e filtragem'!AL$2,Apresentação!$E$6='Base de Dados e filtragem'!H604),1,0)</f>
        <v>1</v>
      </c>
      <c r="AM604" s="25">
        <f>IF(OR(Apresentação!$I$2='Base de Dados e filtragem'!AM$2,Apresentação!$I$2='Base de Dados e filtragem'!I604),1,0)</f>
        <v>1</v>
      </c>
      <c r="AN604" s="25">
        <f>IF(OR(Apresentação!$I$3='Base de Dados e filtragem'!AN$2,Apresentação!$I$3='Base de Dados e filtragem'!J604),1,0)</f>
        <v>1</v>
      </c>
      <c r="AO604" s="25">
        <f>IF(OR(Apresentação!$I$4='Base de Dados e filtragem'!AO$2,Apresentação!$I$4='Base de Dados e filtragem'!K604),1,0)</f>
        <v>1</v>
      </c>
      <c r="AP604" s="25">
        <f>IF(OR(Apresentação!$I$5='Base de Dados e filtragem'!AP$2,Apresentação!$I$5='Base de Dados e filtragem'!L604),1,0)</f>
        <v>1</v>
      </c>
      <c r="AQ604" s="25">
        <f>IF(OR(Apresentação!$I$6='Base de Dados e filtragem'!AQ$2,Apresentação!$I$6='Base de Dados e filtragem'!M604),1,0)</f>
        <v>1</v>
      </c>
      <c r="AR604" s="25">
        <v>1</v>
      </c>
      <c r="AS604" s="25">
        <v>1</v>
      </c>
      <c r="AT604" s="25">
        <v>1</v>
      </c>
      <c r="AU604" s="25">
        <v>1</v>
      </c>
      <c r="AV604" s="25">
        <v>1</v>
      </c>
      <c r="AW604" s="25">
        <v>1</v>
      </c>
      <c r="AX604" s="25">
        <v>1</v>
      </c>
      <c r="AY604" s="25">
        <v>1</v>
      </c>
      <c r="AZ604" s="25">
        <v>1</v>
      </c>
      <c r="BA604" s="25">
        <v>1</v>
      </c>
      <c r="BB604" s="25">
        <v>1</v>
      </c>
      <c r="BC604" s="25">
        <v>1</v>
      </c>
      <c r="BD604" s="25">
        <v>1</v>
      </c>
    </row>
    <row r="605" spans="27:56" x14ac:dyDescent="0.25">
      <c r="AA605" s="68" t="str">
        <f t="shared" si="37"/>
        <v>Fotos\\.jpg</v>
      </c>
      <c r="AB605" s="53">
        <f t="shared" si="38"/>
        <v>1.652892561983471E-3</v>
      </c>
      <c r="AC605" s="25">
        <f t="shared" si="39"/>
        <v>605</v>
      </c>
      <c r="AD605" s="51">
        <f t="shared" si="40"/>
        <v>1</v>
      </c>
      <c r="AE605" s="25">
        <v>1</v>
      </c>
      <c r="AF605" s="25">
        <v>1</v>
      </c>
      <c r="AG605" s="25">
        <v>1</v>
      </c>
      <c r="AH605" s="25">
        <v>1</v>
      </c>
      <c r="AI605" s="25">
        <f>IF(OR(Apresentação!$E$3='Base de Dados e filtragem'!AI$2,Apresentação!$E$3='Base de Dados e filtragem'!E605),1,0)</f>
        <v>1</v>
      </c>
      <c r="AJ605" s="25">
        <f>IF(OR(Apresentação!$E$4='Base de Dados e filtragem'!AJ$2,Apresentação!$E$4='Base de Dados e filtragem'!F605),1,0)</f>
        <v>1</v>
      </c>
      <c r="AK605" s="25">
        <f>IF(OR(Apresentação!$E$5='Base de Dados e filtragem'!AK$2,Apresentação!$E$5='Base de Dados e filtragem'!G605),1,0)</f>
        <v>1</v>
      </c>
      <c r="AL605" s="25">
        <f>IF(OR(Apresentação!$E$6='Base de Dados e filtragem'!AL$2,Apresentação!$E$6='Base de Dados e filtragem'!H605),1,0)</f>
        <v>1</v>
      </c>
      <c r="AM605" s="25">
        <f>IF(OR(Apresentação!$I$2='Base de Dados e filtragem'!AM$2,Apresentação!$I$2='Base de Dados e filtragem'!I605),1,0)</f>
        <v>1</v>
      </c>
      <c r="AN605" s="25">
        <f>IF(OR(Apresentação!$I$3='Base de Dados e filtragem'!AN$2,Apresentação!$I$3='Base de Dados e filtragem'!J605),1,0)</f>
        <v>1</v>
      </c>
      <c r="AO605" s="25">
        <f>IF(OR(Apresentação!$I$4='Base de Dados e filtragem'!AO$2,Apresentação!$I$4='Base de Dados e filtragem'!K605),1,0)</f>
        <v>1</v>
      </c>
      <c r="AP605" s="25">
        <f>IF(OR(Apresentação!$I$5='Base de Dados e filtragem'!AP$2,Apresentação!$I$5='Base de Dados e filtragem'!L605),1,0)</f>
        <v>1</v>
      </c>
      <c r="AQ605" s="25">
        <f>IF(OR(Apresentação!$I$6='Base de Dados e filtragem'!AQ$2,Apresentação!$I$6='Base de Dados e filtragem'!M605),1,0)</f>
        <v>1</v>
      </c>
      <c r="AR605" s="25">
        <v>1</v>
      </c>
      <c r="AS605" s="25">
        <v>1</v>
      </c>
      <c r="AT605" s="25">
        <v>1</v>
      </c>
      <c r="AU605" s="25">
        <v>1</v>
      </c>
      <c r="AV605" s="25">
        <v>1</v>
      </c>
      <c r="AW605" s="25">
        <v>1</v>
      </c>
      <c r="AX605" s="25">
        <v>1</v>
      </c>
      <c r="AY605" s="25">
        <v>1</v>
      </c>
      <c r="AZ605" s="25">
        <v>1</v>
      </c>
      <c r="BA605" s="25">
        <v>1</v>
      </c>
      <c r="BB605" s="25">
        <v>1</v>
      </c>
      <c r="BC605" s="25">
        <v>1</v>
      </c>
      <c r="BD605" s="25">
        <v>1</v>
      </c>
    </row>
    <row r="606" spans="27:56" x14ac:dyDescent="0.25">
      <c r="AA606" s="68" t="str">
        <f t="shared" si="37"/>
        <v>Fotos\\.jpg</v>
      </c>
      <c r="AB606" s="53">
        <f t="shared" si="38"/>
        <v>1.6501650165016502E-3</v>
      </c>
      <c r="AC606" s="25">
        <f t="shared" si="39"/>
        <v>606</v>
      </c>
      <c r="AD606" s="51">
        <f t="shared" si="40"/>
        <v>1</v>
      </c>
      <c r="AE606" s="25">
        <v>1</v>
      </c>
      <c r="AF606" s="25">
        <v>1</v>
      </c>
      <c r="AG606" s="25">
        <v>1</v>
      </c>
      <c r="AH606" s="25">
        <v>1</v>
      </c>
      <c r="AI606" s="25">
        <f>IF(OR(Apresentação!$E$3='Base de Dados e filtragem'!AI$2,Apresentação!$E$3='Base de Dados e filtragem'!E606),1,0)</f>
        <v>1</v>
      </c>
      <c r="AJ606" s="25">
        <f>IF(OR(Apresentação!$E$4='Base de Dados e filtragem'!AJ$2,Apresentação!$E$4='Base de Dados e filtragem'!F606),1,0)</f>
        <v>1</v>
      </c>
      <c r="AK606" s="25">
        <f>IF(OR(Apresentação!$E$5='Base de Dados e filtragem'!AK$2,Apresentação!$E$5='Base de Dados e filtragem'!G606),1,0)</f>
        <v>1</v>
      </c>
      <c r="AL606" s="25">
        <f>IF(OR(Apresentação!$E$6='Base de Dados e filtragem'!AL$2,Apresentação!$E$6='Base de Dados e filtragem'!H606),1,0)</f>
        <v>1</v>
      </c>
      <c r="AM606" s="25">
        <f>IF(OR(Apresentação!$I$2='Base de Dados e filtragem'!AM$2,Apresentação!$I$2='Base de Dados e filtragem'!I606),1,0)</f>
        <v>1</v>
      </c>
      <c r="AN606" s="25">
        <f>IF(OR(Apresentação!$I$3='Base de Dados e filtragem'!AN$2,Apresentação!$I$3='Base de Dados e filtragem'!J606),1,0)</f>
        <v>1</v>
      </c>
      <c r="AO606" s="25">
        <f>IF(OR(Apresentação!$I$4='Base de Dados e filtragem'!AO$2,Apresentação!$I$4='Base de Dados e filtragem'!K606),1,0)</f>
        <v>1</v>
      </c>
      <c r="AP606" s="25">
        <f>IF(OR(Apresentação!$I$5='Base de Dados e filtragem'!AP$2,Apresentação!$I$5='Base de Dados e filtragem'!L606),1,0)</f>
        <v>1</v>
      </c>
      <c r="AQ606" s="25">
        <f>IF(OR(Apresentação!$I$6='Base de Dados e filtragem'!AQ$2,Apresentação!$I$6='Base de Dados e filtragem'!M606),1,0)</f>
        <v>1</v>
      </c>
      <c r="AR606" s="25">
        <v>1</v>
      </c>
      <c r="AS606" s="25">
        <v>1</v>
      </c>
      <c r="AT606" s="25">
        <v>1</v>
      </c>
      <c r="AU606" s="25">
        <v>1</v>
      </c>
      <c r="AV606" s="25">
        <v>1</v>
      </c>
      <c r="AW606" s="25">
        <v>1</v>
      </c>
      <c r="AX606" s="25">
        <v>1</v>
      </c>
      <c r="AY606" s="25">
        <v>1</v>
      </c>
      <c r="AZ606" s="25">
        <v>1</v>
      </c>
      <c r="BA606" s="25">
        <v>1</v>
      </c>
      <c r="BB606" s="25">
        <v>1</v>
      </c>
      <c r="BC606" s="25">
        <v>1</v>
      </c>
      <c r="BD606" s="25">
        <v>1</v>
      </c>
    </row>
    <row r="607" spans="27:56" x14ac:dyDescent="0.25">
      <c r="AA607" s="68" t="str">
        <f t="shared" si="37"/>
        <v>Fotos\\.jpg</v>
      </c>
      <c r="AB607" s="53">
        <f t="shared" si="38"/>
        <v>1.6474464579901153E-3</v>
      </c>
      <c r="AC607" s="25">
        <f t="shared" si="39"/>
        <v>607</v>
      </c>
      <c r="AD607" s="51">
        <f t="shared" si="40"/>
        <v>1</v>
      </c>
      <c r="AE607" s="25">
        <v>1</v>
      </c>
      <c r="AF607" s="25">
        <v>1</v>
      </c>
      <c r="AG607" s="25">
        <v>1</v>
      </c>
      <c r="AH607" s="25">
        <v>1</v>
      </c>
      <c r="AI607" s="25">
        <f>IF(OR(Apresentação!$E$3='Base de Dados e filtragem'!AI$2,Apresentação!$E$3='Base de Dados e filtragem'!E607),1,0)</f>
        <v>1</v>
      </c>
      <c r="AJ607" s="25">
        <f>IF(OR(Apresentação!$E$4='Base de Dados e filtragem'!AJ$2,Apresentação!$E$4='Base de Dados e filtragem'!F607),1,0)</f>
        <v>1</v>
      </c>
      <c r="AK607" s="25">
        <f>IF(OR(Apresentação!$E$5='Base de Dados e filtragem'!AK$2,Apresentação!$E$5='Base de Dados e filtragem'!G607),1,0)</f>
        <v>1</v>
      </c>
      <c r="AL607" s="25">
        <f>IF(OR(Apresentação!$E$6='Base de Dados e filtragem'!AL$2,Apresentação!$E$6='Base de Dados e filtragem'!H607),1,0)</f>
        <v>1</v>
      </c>
      <c r="AM607" s="25">
        <f>IF(OR(Apresentação!$I$2='Base de Dados e filtragem'!AM$2,Apresentação!$I$2='Base de Dados e filtragem'!I607),1,0)</f>
        <v>1</v>
      </c>
      <c r="AN607" s="25">
        <f>IF(OR(Apresentação!$I$3='Base de Dados e filtragem'!AN$2,Apresentação!$I$3='Base de Dados e filtragem'!J607),1,0)</f>
        <v>1</v>
      </c>
      <c r="AO607" s="25">
        <f>IF(OR(Apresentação!$I$4='Base de Dados e filtragem'!AO$2,Apresentação!$I$4='Base de Dados e filtragem'!K607),1,0)</f>
        <v>1</v>
      </c>
      <c r="AP607" s="25">
        <f>IF(OR(Apresentação!$I$5='Base de Dados e filtragem'!AP$2,Apresentação!$I$5='Base de Dados e filtragem'!L607),1,0)</f>
        <v>1</v>
      </c>
      <c r="AQ607" s="25">
        <f>IF(OR(Apresentação!$I$6='Base de Dados e filtragem'!AQ$2,Apresentação!$I$6='Base de Dados e filtragem'!M607),1,0)</f>
        <v>1</v>
      </c>
      <c r="AR607" s="25">
        <v>1</v>
      </c>
      <c r="AS607" s="25">
        <v>1</v>
      </c>
      <c r="AT607" s="25">
        <v>1</v>
      </c>
      <c r="AU607" s="25">
        <v>1</v>
      </c>
      <c r="AV607" s="25">
        <v>1</v>
      </c>
      <c r="AW607" s="25">
        <v>1</v>
      </c>
      <c r="AX607" s="25">
        <v>1</v>
      </c>
      <c r="AY607" s="25">
        <v>1</v>
      </c>
      <c r="AZ607" s="25">
        <v>1</v>
      </c>
      <c r="BA607" s="25">
        <v>1</v>
      </c>
      <c r="BB607" s="25">
        <v>1</v>
      </c>
      <c r="BC607" s="25">
        <v>1</v>
      </c>
      <c r="BD607" s="25">
        <v>1</v>
      </c>
    </row>
    <row r="608" spans="27:56" x14ac:dyDescent="0.25">
      <c r="AA608" s="68" t="str">
        <f t="shared" si="37"/>
        <v>Fotos\\.jpg</v>
      </c>
      <c r="AB608" s="53">
        <f t="shared" si="38"/>
        <v>1.6447368421052631E-3</v>
      </c>
      <c r="AC608" s="25">
        <f t="shared" si="39"/>
        <v>608</v>
      </c>
      <c r="AD608" s="51">
        <f t="shared" si="40"/>
        <v>1</v>
      </c>
      <c r="AE608" s="25">
        <v>1</v>
      </c>
      <c r="AF608" s="25">
        <v>1</v>
      </c>
      <c r="AG608" s="25">
        <v>1</v>
      </c>
      <c r="AH608" s="25">
        <v>1</v>
      </c>
      <c r="AI608" s="25">
        <f>IF(OR(Apresentação!$E$3='Base de Dados e filtragem'!AI$2,Apresentação!$E$3='Base de Dados e filtragem'!E608),1,0)</f>
        <v>1</v>
      </c>
      <c r="AJ608" s="25">
        <f>IF(OR(Apresentação!$E$4='Base de Dados e filtragem'!AJ$2,Apresentação!$E$4='Base de Dados e filtragem'!F608),1,0)</f>
        <v>1</v>
      </c>
      <c r="AK608" s="25">
        <f>IF(OR(Apresentação!$E$5='Base de Dados e filtragem'!AK$2,Apresentação!$E$5='Base de Dados e filtragem'!G608),1,0)</f>
        <v>1</v>
      </c>
      <c r="AL608" s="25">
        <f>IF(OR(Apresentação!$E$6='Base de Dados e filtragem'!AL$2,Apresentação!$E$6='Base de Dados e filtragem'!H608),1,0)</f>
        <v>1</v>
      </c>
      <c r="AM608" s="25">
        <f>IF(OR(Apresentação!$I$2='Base de Dados e filtragem'!AM$2,Apresentação!$I$2='Base de Dados e filtragem'!I608),1,0)</f>
        <v>1</v>
      </c>
      <c r="AN608" s="25">
        <f>IF(OR(Apresentação!$I$3='Base de Dados e filtragem'!AN$2,Apresentação!$I$3='Base de Dados e filtragem'!J608),1,0)</f>
        <v>1</v>
      </c>
      <c r="AO608" s="25">
        <f>IF(OR(Apresentação!$I$4='Base de Dados e filtragem'!AO$2,Apresentação!$I$4='Base de Dados e filtragem'!K608),1,0)</f>
        <v>1</v>
      </c>
      <c r="AP608" s="25">
        <f>IF(OR(Apresentação!$I$5='Base de Dados e filtragem'!AP$2,Apresentação!$I$5='Base de Dados e filtragem'!L608),1,0)</f>
        <v>1</v>
      </c>
      <c r="AQ608" s="25">
        <f>IF(OR(Apresentação!$I$6='Base de Dados e filtragem'!AQ$2,Apresentação!$I$6='Base de Dados e filtragem'!M608),1,0)</f>
        <v>1</v>
      </c>
      <c r="AR608" s="25">
        <v>1</v>
      </c>
      <c r="AS608" s="25">
        <v>1</v>
      </c>
      <c r="AT608" s="25">
        <v>1</v>
      </c>
      <c r="AU608" s="25">
        <v>1</v>
      </c>
      <c r="AV608" s="25">
        <v>1</v>
      </c>
      <c r="AW608" s="25">
        <v>1</v>
      </c>
      <c r="AX608" s="25">
        <v>1</v>
      </c>
      <c r="AY608" s="25">
        <v>1</v>
      </c>
      <c r="AZ608" s="25">
        <v>1</v>
      </c>
      <c r="BA608" s="25">
        <v>1</v>
      </c>
      <c r="BB608" s="25">
        <v>1</v>
      </c>
      <c r="BC608" s="25">
        <v>1</v>
      </c>
      <c r="BD608" s="25">
        <v>1</v>
      </c>
    </row>
    <row r="609" spans="27:56" x14ac:dyDescent="0.25">
      <c r="AA609" s="68" t="str">
        <f t="shared" si="37"/>
        <v>Fotos\\.jpg</v>
      </c>
      <c r="AB609" s="53">
        <f t="shared" si="38"/>
        <v>1.6420361247947454E-3</v>
      </c>
      <c r="AC609" s="25">
        <f t="shared" si="39"/>
        <v>609</v>
      </c>
      <c r="AD609" s="51">
        <f t="shared" si="40"/>
        <v>1</v>
      </c>
      <c r="AE609" s="25">
        <v>1</v>
      </c>
      <c r="AF609" s="25">
        <v>1</v>
      </c>
      <c r="AG609" s="25">
        <v>1</v>
      </c>
      <c r="AH609" s="25">
        <v>1</v>
      </c>
      <c r="AI609" s="25">
        <f>IF(OR(Apresentação!$E$3='Base de Dados e filtragem'!AI$2,Apresentação!$E$3='Base de Dados e filtragem'!E609),1,0)</f>
        <v>1</v>
      </c>
      <c r="AJ609" s="25">
        <f>IF(OR(Apresentação!$E$4='Base de Dados e filtragem'!AJ$2,Apresentação!$E$4='Base de Dados e filtragem'!F609),1,0)</f>
        <v>1</v>
      </c>
      <c r="AK609" s="25">
        <f>IF(OR(Apresentação!$E$5='Base de Dados e filtragem'!AK$2,Apresentação!$E$5='Base de Dados e filtragem'!G609),1,0)</f>
        <v>1</v>
      </c>
      <c r="AL609" s="25">
        <f>IF(OR(Apresentação!$E$6='Base de Dados e filtragem'!AL$2,Apresentação!$E$6='Base de Dados e filtragem'!H609),1,0)</f>
        <v>1</v>
      </c>
      <c r="AM609" s="25">
        <f>IF(OR(Apresentação!$I$2='Base de Dados e filtragem'!AM$2,Apresentação!$I$2='Base de Dados e filtragem'!I609),1,0)</f>
        <v>1</v>
      </c>
      <c r="AN609" s="25">
        <f>IF(OR(Apresentação!$I$3='Base de Dados e filtragem'!AN$2,Apresentação!$I$3='Base de Dados e filtragem'!J609),1,0)</f>
        <v>1</v>
      </c>
      <c r="AO609" s="25">
        <f>IF(OR(Apresentação!$I$4='Base de Dados e filtragem'!AO$2,Apresentação!$I$4='Base de Dados e filtragem'!K609),1,0)</f>
        <v>1</v>
      </c>
      <c r="AP609" s="25">
        <f>IF(OR(Apresentação!$I$5='Base de Dados e filtragem'!AP$2,Apresentação!$I$5='Base de Dados e filtragem'!L609),1,0)</f>
        <v>1</v>
      </c>
      <c r="AQ609" s="25">
        <f>IF(OR(Apresentação!$I$6='Base de Dados e filtragem'!AQ$2,Apresentação!$I$6='Base de Dados e filtragem'!M609),1,0)</f>
        <v>1</v>
      </c>
      <c r="AR609" s="25">
        <v>1</v>
      </c>
      <c r="AS609" s="25">
        <v>1</v>
      </c>
      <c r="AT609" s="25">
        <v>1</v>
      </c>
      <c r="AU609" s="25">
        <v>1</v>
      </c>
      <c r="AV609" s="25">
        <v>1</v>
      </c>
      <c r="AW609" s="25">
        <v>1</v>
      </c>
      <c r="AX609" s="25">
        <v>1</v>
      </c>
      <c r="AY609" s="25">
        <v>1</v>
      </c>
      <c r="AZ609" s="25">
        <v>1</v>
      </c>
      <c r="BA609" s="25">
        <v>1</v>
      </c>
      <c r="BB609" s="25">
        <v>1</v>
      </c>
      <c r="BC609" s="25">
        <v>1</v>
      </c>
      <c r="BD609" s="25">
        <v>1</v>
      </c>
    </row>
    <row r="610" spans="27:56" x14ac:dyDescent="0.25">
      <c r="AA610" s="68" t="str">
        <f t="shared" si="37"/>
        <v>Fotos\\.jpg</v>
      </c>
      <c r="AB610" s="53">
        <f t="shared" si="38"/>
        <v>1.639344262295082E-3</v>
      </c>
      <c r="AC610" s="25">
        <f t="shared" si="39"/>
        <v>610</v>
      </c>
      <c r="AD610" s="51">
        <f t="shared" si="40"/>
        <v>1</v>
      </c>
      <c r="AE610" s="25">
        <v>1</v>
      </c>
      <c r="AF610" s="25">
        <v>1</v>
      </c>
      <c r="AG610" s="25">
        <v>1</v>
      </c>
      <c r="AH610" s="25">
        <v>1</v>
      </c>
      <c r="AI610" s="25">
        <f>IF(OR(Apresentação!$E$3='Base de Dados e filtragem'!AI$2,Apresentação!$E$3='Base de Dados e filtragem'!E610),1,0)</f>
        <v>1</v>
      </c>
      <c r="AJ610" s="25">
        <f>IF(OR(Apresentação!$E$4='Base de Dados e filtragem'!AJ$2,Apresentação!$E$4='Base de Dados e filtragem'!F610),1,0)</f>
        <v>1</v>
      </c>
      <c r="AK610" s="25">
        <f>IF(OR(Apresentação!$E$5='Base de Dados e filtragem'!AK$2,Apresentação!$E$5='Base de Dados e filtragem'!G610),1,0)</f>
        <v>1</v>
      </c>
      <c r="AL610" s="25">
        <f>IF(OR(Apresentação!$E$6='Base de Dados e filtragem'!AL$2,Apresentação!$E$6='Base de Dados e filtragem'!H610),1,0)</f>
        <v>1</v>
      </c>
      <c r="AM610" s="25">
        <f>IF(OR(Apresentação!$I$2='Base de Dados e filtragem'!AM$2,Apresentação!$I$2='Base de Dados e filtragem'!I610),1,0)</f>
        <v>1</v>
      </c>
      <c r="AN610" s="25">
        <f>IF(OR(Apresentação!$I$3='Base de Dados e filtragem'!AN$2,Apresentação!$I$3='Base de Dados e filtragem'!J610),1,0)</f>
        <v>1</v>
      </c>
      <c r="AO610" s="25">
        <f>IF(OR(Apresentação!$I$4='Base de Dados e filtragem'!AO$2,Apresentação!$I$4='Base de Dados e filtragem'!K610),1,0)</f>
        <v>1</v>
      </c>
      <c r="AP610" s="25">
        <f>IF(OR(Apresentação!$I$5='Base de Dados e filtragem'!AP$2,Apresentação!$I$5='Base de Dados e filtragem'!L610),1,0)</f>
        <v>1</v>
      </c>
      <c r="AQ610" s="25">
        <f>IF(OR(Apresentação!$I$6='Base de Dados e filtragem'!AQ$2,Apresentação!$I$6='Base de Dados e filtragem'!M610),1,0)</f>
        <v>1</v>
      </c>
      <c r="AR610" s="25">
        <v>1</v>
      </c>
      <c r="AS610" s="25">
        <v>1</v>
      </c>
      <c r="AT610" s="25">
        <v>1</v>
      </c>
      <c r="AU610" s="25">
        <v>1</v>
      </c>
      <c r="AV610" s="25">
        <v>1</v>
      </c>
      <c r="AW610" s="25">
        <v>1</v>
      </c>
      <c r="AX610" s="25">
        <v>1</v>
      </c>
      <c r="AY610" s="25">
        <v>1</v>
      </c>
      <c r="AZ610" s="25">
        <v>1</v>
      </c>
      <c r="BA610" s="25">
        <v>1</v>
      </c>
      <c r="BB610" s="25">
        <v>1</v>
      </c>
      <c r="BC610" s="25">
        <v>1</v>
      </c>
      <c r="BD610" s="25">
        <v>1</v>
      </c>
    </row>
    <row r="611" spans="27:56" x14ac:dyDescent="0.25">
      <c r="AA611" s="68" t="str">
        <f t="shared" si="37"/>
        <v>Fotos\\.jpg</v>
      </c>
      <c r="AB611" s="53">
        <f t="shared" si="38"/>
        <v>1.6366612111292963E-3</v>
      </c>
      <c r="AC611" s="25">
        <f t="shared" si="39"/>
        <v>611</v>
      </c>
      <c r="AD611" s="51">
        <f t="shared" si="40"/>
        <v>1</v>
      </c>
      <c r="AE611" s="25">
        <v>1</v>
      </c>
      <c r="AF611" s="25">
        <v>1</v>
      </c>
      <c r="AG611" s="25">
        <v>1</v>
      </c>
      <c r="AH611" s="25">
        <v>1</v>
      </c>
      <c r="AI611" s="25">
        <f>IF(OR(Apresentação!$E$3='Base de Dados e filtragem'!AI$2,Apresentação!$E$3='Base de Dados e filtragem'!E611),1,0)</f>
        <v>1</v>
      </c>
      <c r="AJ611" s="25">
        <f>IF(OR(Apresentação!$E$4='Base de Dados e filtragem'!AJ$2,Apresentação!$E$4='Base de Dados e filtragem'!F611),1,0)</f>
        <v>1</v>
      </c>
      <c r="AK611" s="25">
        <f>IF(OR(Apresentação!$E$5='Base de Dados e filtragem'!AK$2,Apresentação!$E$5='Base de Dados e filtragem'!G611),1,0)</f>
        <v>1</v>
      </c>
      <c r="AL611" s="25">
        <f>IF(OR(Apresentação!$E$6='Base de Dados e filtragem'!AL$2,Apresentação!$E$6='Base de Dados e filtragem'!H611),1,0)</f>
        <v>1</v>
      </c>
      <c r="AM611" s="25">
        <f>IF(OR(Apresentação!$I$2='Base de Dados e filtragem'!AM$2,Apresentação!$I$2='Base de Dados e filtragem'!I611),1,0)</f>
        <v>1</v>
      </c>
      <c r="AN611" s="25">
        <f>IF(OR(Apresentação!$I$3='Base de Dados e filtragem'!AN$2,Apresentação!$I$3='Base de Dados e filtragem'!J611),1,0)</f>
        <v>1</v>
      </c>
      <c r="AO611" s="25">
        <f>IF(OR(Apresentação!$I$4='Base de Dados e filtragem'!AO$2,Apresentação!$I$4='Base de Dados e filtragem'!K611),1,0)</f>
        <v>1</v>
      </c>
      <c r="AP611" s="25">
        <f>IF(OR(Apresentação!$I$5='Base de Dados e filtragem'!AP$2,Apresentação!$I$5='Base de Dados e filtragem'!L611),1,0)</f>
        <v>1</v>
      </c>
      <c r="AQ611" s="25">
        <f>IF(OR(Apresentação!$I$6='Base de Dados e filtragem'!AQ$2,Apresentação!$I$6='Base de Dados e filtragem'!M611),1,0)</f>
        <v>1</v>
      </c>
      <c r="AR611" s="25">
        <v>1</v>
      </c>
      <c r="AS611" s="25">
        <v>1</v>
      </c>
      <c r="AT611" s="25">
        <v>1</v>
      </c>
      <c r="AU611" s="25">
        <v>1</v>
      </c>
      <c r="AV611" s="25">
        <v>1</v>
      </c>
      <c r="AW611" s="25">
        <v>1</v>
      </c>
      <c r="AX611" s="25">
        <v>1</v>
      </c>
      <c r="AY611" s="25">
        <v>1</v>
      </c>
      <c r="AZ611" s="25">
        <v>1</v>
      </c>
      <c r="BA611" s="25">
        <v>1</v>
      </c>
      <c r="BB611" s="25">
        <v>1</v>
      </c>
      <c r="BC611" s="25">
        <v>1</v>
      </c>
      <c r="BD611" s="25">
        <v>1</v>
      </c>
    </row>
    <row r="612" spans="27:56" x14ac:dyDescent="0.25">
      <c r="AA612" s="68" t="str">
        <f t="shared" si="37"/>
        <v>Fotos\\.jpg</v>
      </c>
      <c r="AB612" s="53">
        <f t="shared" si="38"/>
        <v>1.6339869281045752E-3</v>
      </c>
      <c r="AC612" s="25">
        <f t="shared" si="39"/>
        <v>612</v>
      </c>
      <c r="AD612" s="51">
        <f t="shared" si="40"/>
        <v>1</v>
      </c>
      <c r="AE612" s="25">
        <v>1</v>
      </c>
      <c r="AF612" s="25">
        <v>1</v>
      </c>
      <c r="AG612" s="25">
        <v>1</v>
      </c>
      <c r="AH612" s="25">
        <v>1</v>
      </c>
      <c r="AI612" s="25">
        <f>IF(OR(Apresentação!$E$3='Base de Dados e filtragem'!AI$2,Apresentação!$E$3='Base de Dados e filtragem'!E612),1,0)</f>
        <v>1</v>
      </c>
      <c r="AJ612" s="25">
        <f>IF(OR(Apresentação!$E$4='Base de Dados e filtragem'!AJ$2,Apresentação!$E$4='Base de Dados e filtragem'!F612),1,0)</f>
        <v>1</v>
      </c>
      <c r="AK612" s="25">
        <f>IF(OR(Apresentação!$E$5='Base de Dados e filtragem'!AK$2,Apresentação!$E$5='Base de Dados e filtragem'!G612),1,0)</f>
        <v>1</v>
      </c>
      <c r="AL612" s="25">
        <f>IF(OR(Apresentação!$E$6='Base de Dados e filtragem'!AL$2,Apresentação!$E$6='Base de Dados e filtragem'!H612),1,0)</f>
        <v>1</v>
      </c>
      <c r="AM612" s="25">
        <f>IF(OR(Apresentação!$I$2='Base de Dados e filtragem'!AM$2,Apresentação!$I$2='Base de Dados e filtragem'!I612),1,0)</f>
        <v>1</v>
      </c>
      <c r="AN612" s="25">
        <f>IF(OR(Apresentação!$I$3='Base de Dados e filtragem'!AN$2,Apresentação!$I$3='Base de Dados e filtragem'!J612),1,0)</f>
        <v>1</v>
      </c>
      <c r="AO612" s="25">
        <f>IF(OR(Apresentação!$I$4='Base de Dados e filtragem'!AO$2,Apresentação!$I$4='Base de Dados e filtragem'!K612),1,0)</f>
        <v>1</v>
      </c>
      <c r="AP612" s="25">
        <f>IF(OR(Apresentação!$I$5='Base de Dados e filtragem'!AP$2,Apresentação!$I$5='Base de Dados e filtragem'!L612),1,0)</f>
        <v>1</v>
      </c>
      <c r="AQ612" s="25">
        <f>IF(OR(Apresentação!$I$6='Base de Dados e filtragem'!AQ$2,Apresentação!$I$6='Base de Dados e filtragem'!M612),1,0)</f>
        <v>1</v>
      </c>
      <c r="AR612" s="25">
        <v>1</v>
      </c>
      <c r="AS612" s="25">
        <v>1</v>
      </c>
      <c r="AT612" s="25">
        <v>1</v>
      </c>
      <c r="AU612" s="25">
        <v>1</v>
      </c>
      <c r="AV612" s="25">
        <v>1</v>
      </c>
      <c r="AW612" s="25">
        <v>1</v>
      </c>
      <c r="AX612" s="25">
        <v>1</v>
      </c>
      <c r="AY612" s="25">
        <v>1</v>
      </c>
      <c r="AZ612" s="25">
        <v>1</v>
      </c>
      <c r="BA612" s="25">
        <v>1</v>
      </c>
      <c r="BB612" s="25">
        <v>1</v>
      </c>
      <c r="BC612" s="25">
        <v>1</v>
      </c>
      <c r="BD612" s="25">
        <v>1</v>
      </c>
    </row>
    <row r="613" spans="27:56" x14ac:dyDescent="0.25">
      <c r="AA613" s="68" t="str">
        <f t="shared" si="37"/>
        <v>Fotos\\.jpg</v>
      </c>
      <c r="AB613" s="53">
        <f t="shared" si="38"/>
        <v>1.6313213703099511E-3</v>
      </c>
      <c r="AC613" s="25">
        <f t="shared" si="39"/>
        <v>613</v>
      </c>
      <c r="AD613" s="51">
        <f t="shared" si="40"/>
        <v>1</v>
      </c>
      <c r="AE613" s="25">
        <v>1</v>
      </c>
      <c r="AF613" s="25">
        <v>1</v>
      </c>
      <c r="AG613" s="25">
        <v>1</v>
      </c>
      <c r="AH613" s="25">
        <v>1</v>
      </c>
      <c r="AI613" s="25">
        <f>IF(OR(Apresentação!$E$3='Base de Dados e filtragem'!AI$2,Apresentação!$E$3='Base de Dados e filtragem'!E613),1,0)</f>
        <v>1</v>
      </c>
      <c r="AJ613" s="25">
        <f>IF(OR(Apresentação!$E$4='Base de Dados e filtragem'!AJ$2,Apresentação!$E$4='Base de Dados e filtragem'!F613),1,0)</f>
        <v>1</v>
      </c>
      <c r="AK613" s="25">
        <f>IF(OR(Apresentação!$E$5='Base de Dados e filtragem'!AK$2,Apresentação!$E$5='Base de Dados e filtragem'!G613),1,0)</f>
        <v>1</v>
      </c>
      <c r="AL613" s="25">
        <f>IF(OR(Apresentação!$E$6='Base de Dados e filtragem'!AL$2,Apresentação!$E$6='Base de Dados e filtragem'!H613),1,0)</f>
        <v>1</v>
      </c>
      <c r="AM613" s="25">
        <f>IF(OR(Apresentação!$I$2='Base de Dados e filtragem'!AM$2,Apresentação!$I$2='Base de Dados e filtragem'!I613),1,0)</f>
        <v>1</v>
      </c>
      <c r="AN613" s="25">
        <f>IF(OR(Apresentação!$I$3='Base de Dados e filtragem'!AN$2,Apresentação!$I$3='Base de Dados e filtragem'!J613),1,0)</f>
        <v>1</v>
      </c>
      <c r="AO613" s="25">
        <f>IF(OR(Apresentação!$I$4='Base de Dados e filtragem'!AO$2,Apresentação!$I$4='Base de Dados e filtragem'!K613),1,0)</f>
        <v>1</v>
      </c>
      <c r="AP613" s="25">
        <f>IF(OR(Apresentação!$I$5='Base de Dados e filtragem'!AP$2,Apresentação!$I$5='Base de Dados e filtragem'!L613),1,0)</f>
        <v>1</v>
      </c>
      <c r="AQ613" s="25">
        <f>IF(OR(Apresentação!$I$6='Base de Dados e filtragem'!AQ$2,Apresentação!$I$6='Base de Dados e filtragem'!M613),1,0)</f>
        <v>1</v>
      </c>
      <c r="AR613" s="25">
        <v>1</v>
      </c>
      <c r="AS613" s="25">
        <v>1</v>
      </c>
      <c r="AT613" s="25">
        <v>1</v>
      </c>
      <c r="AU613" s="25">
        <v>1</v>
      </c>
      <c r="AV613" s="25">
        <v>1</v>
      </c>
      <c r="AW613" s="25">
        <v>1</v>
      </c>
      <c r="AX613" s="25">
        <v>1</v>
      </c>
      <c r="AY613" s="25">
        <v>1</v>
      </c>
      <c r="AZ613" s="25">
        <v>1</v>
      </c>
      <c r="BA613" s="25">
        <v>1</v>
      </c>
      <c r="BB613" s="25">
        <v>1</v>
      </c>
      <c r="BC613" s="25">
        <v>1</v>
      </c>
      <c r="BD613" s="25">
        <v>1</v>
      </c>
    </row>
    <row r="614" spans="27:56" x14ac:dyDescent="0.25">
      <c r="AA614" s="68" t="str">
        <f t="shared" si="37"/>
        <v>Fotos\\.jpg</v>
      </c>
      <c r="AB614" s="53">
        <f t="shared" si="38"/>
        <v>1.6286644951140066E-3</v>
      </c>
      <c r="AC614" s="25">
        <f t="shared" si="39"/>
        <v>614</v>
      </c>
      <c r="AD614" s="51">
        <f t="shared" si="40"/>
        <v>1</v>
      </c>
      <c r="AE614" s="25">
        <v>1</v>
      </c>
      <c r="AF614" s="25">
        <v>1</v>
      </c>
      <c r="AG614" s="25">
        <v>1</v>
      </c>
      <c r="AH614" s="25">
        <v>1</v>
      </c>
      <c r="AI614" s="25">
        <f>IF(OR(Apresentação!$E$3='Base de Dados e filtragem'!AI$2,Apresentação!$E$3='Base de Dados e filtragem'!E614),1,0)</f>
        <v>1</v>
      </c>
      <c r="AJ614" s="25">
        <f>IF(OR(Apresentação!$E$4='Base de Dados e filtragem'!AJ$2,Apresentação!$E$4='Base de Dados e filtragem'!F614),1,0)</f>
        <v>1</v>
      </c>
      <c r="AK614" s="25">
        <f>IF(OR(Apresentação!$E$5='Base de Dados e filtragem'!AK$2,Apresentação!$E$5='Base de Dados e filtragem'!G614),1,0)</f>
        <v>1</v>
      </c>
      <c r="AL614" s="25">
        <f>IF(OR(Apresentação!$E$6='Base de Dados e filtragem'!AL$2,Apresentação!$E$6='Base de Dados e filtragem'!H614),1,0)</f>
        <v>1</v>
      </c>
      <c r="AM614" s="25">
        <f>IF(OR(Apresentação!$I$2='Base de Dados e filtragem'!AM$2,Apresentação!$I$2='Base de Dados e filtragem'!I614),1,0)</f>
        <v>1</v>
      </c>
      <c r="AN614" s="25">
        <f>IF(OR(Apresentação!$I$3='Base de Dados e filtragem'!AN$2,Apresentação!$I$3='Base de Dados e filtragem'!J614),1,0)</f>
        <v>1</v>
      </c>
      <c r="AO614" s="25">
        <f>IF(OR(Apresentação!$I$4='Base de Dados e filtragem'!AO$2,Apresentação!$I$4='Base de Dados e filtragem'!K614),1,0)</f>
        <v>1</v>
      </c>
      <c r="AP614" s="25">
        <f>IF(OR(Apresentação!$I$5='Base de Dados e filtragem'!AP$2,Apresentação!$I$5='Base de Dados e filtragem'!L614),1,0)</f>
        <v>1</v>
      </c>
      <c r="AQ614" s="25">
        <f>IF(OR(Apresentação!$I$6='Base de Dados e filtragem'!AQ$2,Apresentação!$I$6='Base de Dados e filtragem'!M614),1,0)</f>
        <v>1</v>
      </c>
      <c r="AR614" s="25">
        <v>1</v>
      </c>
      <c r="AS614" s="25">
        <v>1</v>
      </c>
      <c r="AT614" s="25">
        <v>1</v>
      </c>
      <c r="AU614" s="25">
        <v>1</v>
      </c>
      <c r="AV614" s="25">
        <v>1</v>
      </c>
      <c r="AW614" s="25">
        <v>1</v>
      </c>
      <c r="AX614" s="25">
        <v>1</v>
      </c>
      <c r="AY614" s="25">
        <v>1</v>
      </c>
      <c r="AZ614" s="25">
        <v>1</v>
      </c>
      <c r="BA614" s="25">
        <v>1</v>
      </c>
      <c r="BB614" s="25">
        <v>1</v>
      </c>
      <c r="BC614" s="25">
        <v>1</v>
      </c>
      <c r="BD614" s="25">
        <v>1</v>
      </c>
    </row>
    <row r="615" spans="27:56" x14ac:dyDescent="0.25">
      <c r="AA615" s="68" t="str">
        <f t="shared" si="37"/>
        <v>Fotos\\.jpg</v>
      </c>
      <c r="AB615" s="53">
        <f t="shared" si="38"/>
        <v>1.6260162601626016E-3</v>
      </c>
      <c r="AC615" s="25">
        <f t="shared" si="39"/>
        <v>615</v>
      </c>
      <c r="AD615" s="51">
        <f t="shared" si="40"/>
        <v>1</v>
      </c>
      <c r="AE615" s="25">
        <v>1</v>
      </c>
      <c r="AF615" s="25">
        <v>1</v>
      </c>
      <c r="AG615" s="25">
        <v>1</v>
      </c>
      <c r="AH615" s="25">
        <v>1</v>
      </c>
      <c r="AI615" s="25">
        <f>IF(OR(Apresentação!$E$3='Base de Dados e filtragem'!AI$2,Apresentação!$E$3='Base de Dados e filtragem'!E615),1,0)</f>
        <v>1</v>
      </c>
      <c r="AJ615" s="25">
        <f>IF(OR(Apresentação!$E$4='Base de Dados e filtragem'!AJ$2,Apresentação!$E$4='Base de Dados e filtragem'!F615),1,0)</f>
        <v>1</v>
      </c>
      <c r="AK615" s="25">
        <f>IF(OR(Apresentação!$E$5='Base de Dados e filtragem'!AK$2,Apresentação!$E$5='Base de Dados e filtragem'!G615),1,0)</f>
        <v>1</v>
      </c>
      <c r="AL615" s="25">
        <f>IF(OR(Apresentação!$E$6='Base de Dados e filtragem'!AL$2,Apresentação!$E$6='Base de Dados e filtragem'!H615),1,0)</f>
        <v>1</v>
      </c>
      <c r="AM615" s="25">
        <f>IF(OR(Apresentação!$I$2='Base de Dados e filtragem'!AM$2,Apresentação!$I$2='Base de Dados e filtragem'!I615),1,0)</f>
        <v>1</v>
      </c>
      <c r="AN615" s="25">
        <f>IF(OR(Apresentação!$I$3='Base de Dados e filtragem'!AN$2,Apresentação!$I$3='Base de Dados e filtragem'!J615),1,0)</f>
        <v>1</v>
      </c>
      <c r="AO615" s="25">
        <f>IF(OR(Apresentação!$I$4='Base de Dados e filtragem'!AO$2,Apresentação!$I$4='Base de Dados e filtragem'!K615),1,0)</f>
        <v>1</v>
      </c>
      <c r="AP615" s="25">
        <f>IF(OR(Apresentação!$I$5='Base de Dados e filtragem'!AP$2,Apresentação!$I$5='Base de Dados e filtragem'!L615),1,0)</f>
        <v>1</v>
      </c>
      <c r="AQ615" s="25">
        <f>IF(OR(Apresentação!$I$6='Base de Dados e filtragem'!AQ$2,Apresentação!$I$6='Base de Dados e filtragem'!M615),1,0)</f>
        <v>1</v>
      </c>
      <c r="AR615" s="25">
        <v>1</v>
      </c>
      <c r="AS615" s="25">
        <v>1</v>
      </c>
      <c r="AT615" s="25">
        <v>1</v>
      </c>
      <c r="AU615" s="25">
        <v>1</v>
      </c>
      <c r="AV615" s="25">
        <v>1</v>
      </c>
      <c r="AW615" s="25">
        <v>1</v>
      </c>
      <c r="AX615" s="25">
        <v>1</v>
      </c>
      <c r="AY615" s="25">
        <v>1</v>
      </c>
      <c r="AZ615" s="25">
        <v>1</v>
      </c>
      <c r="BA615" s="25">
        <v>1</v>
      </c>
      <c r="BB615" s="25">
        <v>1</v>
      </c>
      <c r="BC615" s="25">
        <v>1</v>
      </c>
      <c r="BD615" s="25">
        <v>1</v>
      </c>
    </row>
    <row r="616" spans="27:56" x14ac:dyDescent="0.25">
      <c r="AA616" s="68" t="str">
        <f t="shared" si="37"/>
        <v>Fotos\\.jpg</v>
      </c>
      <c r="AB616" s="53">
        <f t="shared" si="38"/>
        <v>1.6233766233766235E-3</v>
      </c>
      <c r="AC616" s="25">
        <f t="shared" si="39"/>
        <v>616</v>
      </c>
      <c r="AD616" s="51">
        <f t="shared" si="40"/>
        <v>1</v>
      </c>
      <c r="AE616" s="25">
        <v>1</v>
      </c>
      <c r="AF616" s="25">
        <v>1</v>
      </c>
      <c r="AG616" s="25">
        <v>1</v>
      </c>
      <c r="AH616" s="25">
        <v>1</v>
      </c>
      <c r="AI616" s="25">
        <f>IF(OR(Apresentação!$E$3='Base de Dados e filtragem'!AI$2,Apresentação!$E$3='Base de Dados e filtragem'!E616),1,0)</f>
        <v>1</v>
      </c>
      <c r="AJ616" s="25">
        <f>IF(OR(Apresentação!$E$4='Base de Dados e filtragem'!AJ$2,Apresentação!$E$4='Base de Dados e filtragem'!F616),1,0)</f>
        <v>1</v>
      </c>
      <c r="AK616" s="25">
        <f>IF(OR(Apresentação!$E$5='Base de Dados e filtragem'!AK$2,Apresentação!$E$5='Base de Dados e filtragem'!G616),1,0)</f>
        <v>1</v>
      </c>
      <c r="AL616" s="25">
        <f>IF(OR(Apresentação!$E$6='Base de Dados e filtragem'!AL$2,Apresentação!$E$6='Base de Dados e filtragem'!H616),1,0)</f>
        <v>1</v>
      </c>
      <c r="AM616" s="25">
        <f>IF(OR(Apresentação!$I$2='Base de Dados e filtragem'!AM$2,Apresentação!$I$2='Base de Dados e filtragem'!I616),1,0)</f>
        <v>1</v>
      </c>
      <c r="AN616" s="25">
        <f>IF(OR(Apresentação!$I$3='Base de Dados e filtragem'!AN$2,Apresentação!$I$3='Base de Dados e filtragem'!J616),1,0)</f>
        <v>1</v>
      </c>
      <c r="AO616" s="25">
        <f>IF(OR(Apresentação!$I$4='Base de Dados e filtragem'!AO$2,Apresentação!$I$4='Base de Dados e filtragem'!K616),1,0)</f>
        <v>1</v>
      </c>
      <c r="AP616" s="25">
        <f>IF(OR(Apresentação!$I$5='Base de Dados e filtragem'!AP$2,Apresentação!$I$5='Base de Dados e filtragem'!L616),1,0)</f>
        <v>1</v>
      </c>
      <c r="AQ616" s="25">
        <f>IF(OR(Apresentação!$I$6='Base de Dados e filtragem'!AQ$2,Apresentação!$I$6='Base de Dados e filtragem'!M616),1,0)</f>
        <v>1</v>
      </c>
      <c r="AR616" s="25">
        <v>1</v>
      </c>
      <c r="AS616" s="25">
        <v>1</v>
      </c>
      <c r="AT616" s="25">
        <v>1</v>
      </c>
      <c r="AU616" s="25">
        <v>1</v>
      </c>
      <c r="AV616" s="25">
        <v>1</v>
      </c>
      <c r="AW616" s="25">
        <v>1</v>
      </c>
      <c r="AX616" s="25">
        <v>1</v>
      </c>
      <c r="AY616" s="25">
        <v>1</v>
      </c>
      <c r="AZ616" s="25">
        <v>1</v>
      </c>
      <c r="BA616" s="25">
        <v>1</v>
      </c>
      <c r="BB616" s="25">
        <v>1</v>
      </c>
      <c r="BC616" s="25">
        <v>1</v>
      </c>
      <c r="BD616" s="25">
        <v>1</v>
      </c>
    </row>
    <row r="617" spans="27:56" x14ac:dyDescent="0.25">
      <c r="AA617" s="68" t="str">
        <f t="shared" si="37"/>
        <v>Fotos\\.jpg</v>
      </c>
      <c r="AB617" s="53">
        <f t="shared" si="38"/>
        <v>1.6207455429497568E-3</v>
      </c>
      <c r="AC617" s="25">
        <f t="shared" si="39"/>
        <v>617</v>
      </c>
      <c r="AD617" s="51">
        <f t="shared" si="40"/>
        <v>1</v>
      </c>
      <c r="AE617" s="25">
        <v>1</v>
      </c>
      <c r="AF617" s="25">
        <v>1</v>
      </c>
      <c r="AG617" s="25">
        <v>1</v>
      </c>
      <c r="AH617" s="25">
        <v>1</v>
      </c>
      <c r="AI617" s="25">
        <f>IF(OR(Apresentação!$E$3='Base de Dados e filtragem'!AI$2,Apresentação!$E$3='Base de Dados e filtragem'!E617),1,0)</f>
        <v>1</v>
      </c>
      <c r="AJ617" s="25">
        <f>IF(OR(Apresentação!$E$4='Base de Dados e filtragem'!AJ$2,Apresentação!$E$4='Base de Dados e filtragem'!F617),1,0)</f>
        <v>1</v>
      </c>
      <c r="AK617" s="25">
        <f>IF(OR(Apresentação!$E$5='Base de Dados e filtragem'!AK$2,Apresentação!$E$5='Base de Dados e filtragem'!G617),1,0)</f>
        <v>1</v>
      </c>
      <c r="AL617" s="25">
        <f>IF(OR(Apresentação!$E$6='Base de Dados e filtragem'!AL$2,Apresentação!$E$6='Base de Dados e filtragem'!H617),1,0)</f>
        <v>1</v>
      </c>
      <c r="AM617" s="25">
        <f>IF(OR(Apresentação!$I$2='Base de Dados e filtragem'!AM$2,Apresentação!$I$2='Base de Dados e filtragem'!I617),1,0)</f>
        <v>1</v>
      </c>
      <c r="AN617" s="25">
        <f>IF(OR(Apresentação!$I$3='Base de Dados e filtragem'!AN$2,Apresentação!$I$3='Base de Dados e filtragem'!J617),1,0)</f>
        <v>1</v>
      </c>
      <c r="AO617" s="25">
        <f>IF(OR(Apresentação!$I$4='Base de Dados e filtragem'!AO$2,Apresentação!$I$4='Base de Dados e filtragem'!K617),1,0)</f>
        <v>1</v>
      </c>
      <c r="AP617" s="25">
        <f>IF(OR(Apresentação!$I$5='Base de Dados e filtragem'!AP$2,Apresentação!$I$5='Base de Dados e filtragem'!L617),1,0)</f>
        <v>1</v>
      </c>
      <c r="AQ617" s="25">
        <f>IF(OR(Apresentação!$I$6='Base de Dados e filtragem'!AQ$2,Apresentação!$I$6='Base de Dados e filtragem'!M617),1,0)</f>
        <v>1</v>
      </c>
      <c r="AR617" s="25">
        <v>1</v>
      </c>
      <c r="AS617" s="25">
        <v>1</v>
      </c>
      <c r="AT617" s="25">
        <v>1</v>
      </c>
      <c r="AU617" s="25">
        <v>1</v>
      </c>
      <c r="AV617" s="25">
        <v>1</v>
      </c>
      <c r="AW617" s="25">
        <v>1</v>
      </c>
      <c r="AX617" s="25">
        <v>1</v>
      </c>
      <c r="AY617" s="25">
        <v>1</v>
      </c>
      <c r="AZ617" s="25">
        <v>1</v>
      </c>
      <c r="BA617" s="25">
        <v>1</v>
      </c>
      <c r="BB617" s="25">
        <v>1</v>
      </c>
      <c r="BC617" s="25">
        <v>1</v>
      </c>
      <c r="BD617" s="25">
        <v>1</v>
      </c>
    </row>
    <row r="618" spans="27:56" x14ac:dyDescent="0.25">
      <c r="AA618" s="68" t="str">
        <f t="shared" si="37"/>
        <v>Fotos\\.jpg</v>
      </c>
      <c r="AB618" s="53">
        <f t="shared" si="38"/>
        <v>1.6181229773462784E-3</v>
      </c>
      <c r="AC618" s="25">
        <f t="shared" si="39"/>
        <v>618</v>
      </c>
      <c r="AD618" s="51">
        <f t="shared" si="40"/>
        <v>1</v>
      </c>
      <c r="AE618" s="25">
        <v>1</v>
      </c>
      <c r="AF618" s="25">
        <v>1</v>
      </c>
      <c r="AG618" s="25">
        <v>1</v>
      </c>
      <c r="AH618" s="25">
        <v>1</v>
      </c>
      <c r="AI618" s="25">
        <f>IF(OR(Apresentação!$E$3='Base de Dados e filtragem'!AI$2,Apresentação!$E$3='Base de Dados e filtragem'!E618),1,0)</f>
        <v>1</v>
      </c>
      <c r="AJ618" s="25">
        <f>IF(OR(Apresentação!$E$4='Base de Dados e filtragem'!AJ$2,Apresentação!$E$4='Base de Dados e filtragem'!F618),1,0)</f>
        <v>1</v>
      </c>
      <c r="AK618" s="25">
        <f>IF(OR(Apresentação!$E$5='Base de Dados e filtragem'!AK$2,Apresentação!$E$5='Base de Dados e filtragem'!G618),1,0)</f>
        <v>1</v>
      </c>
      <c r="AL618" s="25">
        <f>IF(OR(Apresentação!$E$6='Base de Dados e filtragem'!AL$2,Apresentação!$E$6='Base de Dados e filtragem'!H618),1,0)</f>
        <v>1</v>
      </c>
      <c r="AM618" s="25">
        <f>IF(OR(Apresentação!$I$2='Base de Dados e filtragem'!AM$2,Apresentação!$I$2='Base de Dados e filtragem'!I618),1,0)</f>
        <v>1</v>
      </c>
      <c r="AN618" s="25">
        <f>IF(OR(Apresentação!$I$3='Base de Dados e filtragem'!AN$2,Apresentação!$I$3='Base de Dados e filtragem'!J618),1,0)</f>
        <v>1</v>
      </c>
      <c r="AO618" s="25">
        <f>IF(OR(Apresentação!$I$4='Base de Dados e filtragem'!AO$2,Apresentação!$I$4='Base de Dados e filtragem'!K618),1,0)</f>
        <v>1</v>
      </c>
      <c r="AP618" s="25">
        <f>IF(OR(Apresentação!$I$5='Base de Dados e filtragem'!AP$2,Apresentação!$I$5='Base de Dados e filtragem'!L618),1,0)</f>
        <v>1</v>
      </c>
      <c r="AQ618" s="25">
        <f>IF(OR(Apresentação!$I$6='Base de Dados e filtragem'!AQ$2,Apresentação!$I$6='Base de Dados e filtragem'!M618),1,0)</f>
        <v>1</v>
      </c>
      <c r="AR618" s="25">
        <v>1</v>
      </c>
      <c r="AS618" s="25">
        <v>1</v>
      </c>
      <c r="AT618" s="25">
        <v>1</v>
      </c>
      <c r="AU618" s="25">
        <v>1</v>
      </c>
      <c r="AV618" s="25">
        <v>1</v>
      </c>
      <c r="AW618" s="25">
        <v>1</v>
      </c>
      <c r="AX618" s="25">
        <v>1</v>
      </c>
      <c r="AY618" s="25">
        <v>1</v>
      </c>
      <c r="AZ618" s="25">
        <v>1</v>
      </c>
      <c r="BA618" s="25">
        <v>1</v>
      </c>
      <c r="BB618" s="25">
        <v>1</v>
      </c>
      <c r="BC618" s="25">
        <v>1</v>
      </c>
      <c r="BD618" s="25">
        <v>1</v>
      </c>
    </row>
    <row r="619" spans="27:56" x14ac:dyDescent="0.25">
      <c r="AA619" s="68" t="str">
        <f t="shared" si="37"/>
        <v>Fotos\\.jpg</v>
      </c>
      <c r="AB619" s="53">
        <f t="shared" si="38"/>
        <v>1.6155088852988692E-3</v>
      </c>
      <c r="AC619" s="25">
        <f t="shared" si="39"/>
        <v>619</v>
      </c>
      <c r="AD619" s="51">
        <f t="shared" si="40"/>
        <v>1</v>
      </c>
      <c r="AE619" s="25">
        <v>1</v>
      </c>
      <c r="AF619" s="25">
        <v>1</v>
      </c>
      <c r="AG619" s="25">
        <v>1</v>
      </c>
      <c r="AH619" s="25">
        <v>1</v>
      </c>
      <c r="AI619" s="25">
        <f>IF(OR(Apresentação!$E$3='Base de Dados e filtragem'!AI$2,Apresentação!$E$3='Base de Dados e filtragem'!E619),1,0)</f>
        <v>1</v>
      </c>
      <c r="AJ619" s="25">
        <f>IF(OR(Apresentação!$E$4='Base de Dados e filtragem'!AJ$2,Apresentação!$E$4='Base de Dados e filtragem'!F619),1,0)</f>
        <v>1</v>
      </c>
      <c r="AK619" s="25">
        <f>IF(OR(Apresentação!$E$5='Base de Dados e filtragem'!AK$2,Apresentação!$E$5='Base de Dados e filtragem'!G619),1,0)</f>
        <v>1</v>
      </c>
      <c r="AL619" s="25">
        <f>IF(OR(Apresentação!$E$6='Base de Dados e filtragem'!AL$2,Apresentação!$E$6='Base de Dados e filtragem'!H619),1,0)</f>
        <v>1</v>
      </c>
      <c r="AM619" s="25">
        <f>IF(OR(Apresentação!$I$2='Base de Dados e filtragem'!AM$2,Apresentação!$I$2='Base de Dados e filtragem'!I619),1,0)</f>
        <v>1</v>
      </c>
      <c r="AN619" s="25">
        <f>IF(OR(Apresentação!$I$3='Base de Dados e filtragem'!AN$2,Apresentação!$I$3='Base de Dados e filtragem'!J619),1,0)</f>
        <v>1</v>
      </c>
      <c r="AO619" s="25">
        <f>IF(OR(Apresentação!$I$4='Base de Dados e filtragem'!AO$2,Apresentação!$I$4='Base de Dados e filtragem'!K619),1,0)</f>
        <v>1</v>
      </c>
      <c r="AP619" s="25">
        <f>IF(OR(Apresentação!$I$5='Base de Dados e filtragem'!AP$2,Apresentação!$I$5='Base de Dados e filtragem'!L619),1,0)</f>
        <v>1</v>
      </c>
      <c r="AQ619" s="25">
        <f>IF(OR(Apresentação!$I$6='Base de Dados e filtragem'!AQ$2,Apresentação!$I$6='Base de Dados e filtragem'!M619),1,0)</f>
        <v>1</v>
      </c>
      <c r="AR619" s="25">
        <v>1</v>
      </c>
      <c r="AS619" s="25">
        <v>1</v>
      </c>
      <c r="AT619" s="25">
        <v>1</v>
      </c>
      <c r="AU619" s="25">
        <v>1</v>
      </c>
      <c r="AV619" s="25">
        <v>1</v>
      </c>
      <c r="AW619" s="25">
        <v>1</v>
      </c>
      <c r="AX619" s="25">
        <v>1</v>
      </c>
      <c r="AY619" s="25">
        <v>1</v>
      </c>
      <c r="AZ619" s="25">
        <v>1</v>
      </c>
      <c r="BA619" s="25">
        <v>1</v>
      </c>
      <c r="BB619" s="25">
        <v>1</v>
      </c>
      <c r="BC619" s="25">
        <v>1</v>
      </c>
      <c r="BD619" s="25">
        <v>1</v>
      </c>
    </row>
    <row r="620" spans="27:56" x14ac:dyDescent="0.25">
      <c r="AA620" s="68" t="str">
        <f t="shared" si="37"/>
        <v>Fotos\\.jpg</v>
      </c>
      <c r="AB620" s="53">
        <f t="shared" si="38"/>
        <v>1.6129032258064516E-3</v>
      </c>
      <c r="AC620" s="25">
        <f t="shared" si="39"/>
        <v>620</v>
      </c>
      <c r="AD620" s="51">
        <f t="shared" si="40"/>
        <v>1</v>
      </c>
      <c r="AE620" s="25">
        <v>1</v>
      </c>
      <c r="AF620" s="25">
        <v>1</v>
      </c>
      <c r="AG620" s="25">
        <v>1</v>
      </c>
      <c r="AH620" s="25">
        <v>1</v>
      </c>
      <c r="AI620" s="25">
        <f>IF(OR(Apresentação!$E$3='Base de Dados e filtragem'!AI$2,Apresentação!$E$3='Base de Dados e filtragem'!E620),1,0)</f>
        <v>1</v>
      </c>
      <c r="AJ620" s="25">
        <f>IF(OR(Apresentação!$E$4='Base de Dados e filtragem'!AJ$2,Apresentação!$E$4='Base de Dados e filtragem'!F620),1,0)</f>
        <v>1</v>
      </c>
      <c r="AK620" s="25">
        <f>IF(OR(Apresentação!$E$5='Base de Dados e filtragem'!AK$2,Apresentação!$E$5='Base de Dados e filtragem'!G620),1,0)</f>
        <v>1</v>
      </c>
      <c r="AL620" s="25">
        <f>IF(OR(Apresentação!$E$6='Base de Dados e filtragem'!AL$2,Apresentação!$E$6='Base de Dados e filtragem'!H620),1,0)</f>
        <v>1</v>
      </c>
      <c r="AM620" s="25">
        <f>IF(OR(Apresentação!$I$2='Base de Dados e filtragem'!AM$2,Apresentação!$I$2='Base de Dados e filtragem'!I620),1,0)</f>
        <v>1</v>
      </c>
      <c r="AN620" s="25">
        <f>IF(OR(Apresentação!$I$3='Base de Dados e filtragem'!AN$2,Apresentação!$I$3='Base de Dados e filtragem'!J620),1,0)</f>
        <v>1</v>
      </c>
      <c r="AO620" s="25">
        <f>IF(OR(Apresentação!$I$4='Base de Dados e filtragem'!AO$2,Apresentação!$I$4='Base de Dados e filtragem'!K620),1,0)</f>
        <v>1</v>
      </c>
      <c r="AP620" s="25">
        <f>IF(OR(Apresentação!$I$5='Base de Dados e filtragem'!AP$2,Apresentação!$I$5='Base de Dados e filtragem'!L620),1,0)</f>
        <v>1</v>
      </c>
      <c r="AQ620" s="25">
        <f>IF(OR(Apresentação!$I$6='Base de Dados e filtragem'!AQ$2,Apresentação!$I$6='Base de Dados e filtragem'!M620),1,0)</f>
        <v>1</v>
      </c>
      <c r="AR620" s="25">
        <v>1</v>
      </c>
      <c r="AS620" s="25">
        <v>1</v>
      </c>
      <c r="AT620" s="25">
        <v>1</v>
      </c>
      <c r="AU620" s="25">
        <v>1</v>
      </c>
      <c r="AV620" s="25">
        <v>1</v>
      </c>
      <c r="AW620" s="25">
        <v>1</v>
      </c>
      <c r="AX620" s="25">
        <v>1</v>
      </c>
      <c r="AY620" s="25">
        <v>1</v>
      </c>
      <c r="AZ620" s="25">
        <v>1</v>
      </c>
      <c r="BA620" s="25">
        <v>1</v>
      </c>
      <c r="BB620" s="25">
        <v>1</v>
      </c>
      <c r="BC620" s="25">
        <v>1</v>
      </c>
      <c r="BD620" s="25">
        <v>1</v>
      </c>
    </row>
    <row r="621" spans="27:56" x14ac:dyDescent="0.25">
      <c r="AA621" s="68" t="str">
        <f t="shared" si="37"/>
        <v>Fotos\\.jpg</v>
      </c>
      <c r="AB621" s="53">
        <f t="shared" si="38"/>
        <v>1.6103059581320451E-3</v>
      </c>
      <c r="AC621" s="25">
        <f t="shared" si="39"/>
        <v>621</v>
      </c>
      <c r="AD621" s="51">
        <f t="shared" si="40"/>
        <v>1</v>
      </c>
      <c r="AE621" s="25">
        <v>1</v>
      </c>
      <c r="AF621" s="25">
        <v>1</v>
      </c>
      <c r="AG621" s="25">
        <v>1</v>
      </c>
      <c r="AH621" s="25">
        <v>1</v>
      </c>
      <c r="AI621" s="25">
        <f>IF(OR(Apresentação!$E$3='Base de Dados e filtragem'!AI$2,Apresentação!$E$3='Base de Dados e filtragem'!E621),1,0)</f>
        <v>1</v>
      </c>
      <c r="AJ621" s="25">
        <f>IF(OR(Apresentação!$E$4='Base de Dados e filtragem'!AJ$2,Apresentação!$E$4='Base de Dados e filtragem'!F621),1,0)</f>
        <v>1</v>
      </c>
      <c r="AK621" s="25">
        <f>IF(OR(Apresentação!$E$5='Base de Dados e filtragem'!AK$2,Apresentação!$E$5='Base de Dados e filtragem'!G621),1,0)</f>
        <v>1</v>
      </c>
      <c r="AL621" s="25">
        <f>IF(OR(Apresentação!$E$6='Base de Dados e filtragem'!AL$2,Apresentação!$E$6='Base de Dados e filtragem'!H621),1,0)</f>
        <v>1</v>
      </c>
      <c r="AM621" s="25">
        <f>IF(OR(Apresentação!$I$2='Base de Dados e filtragem'!AM$2,Apresentação!$I$2='Base de Dados e filtragem'!I621),1,0)</f>
        <v>1</v>
      </c>
      <c r="AN621" s="25">
        <f>IF(OR(Apresentação!$I$3='Base de Dados e filtragem'!AN$2,Apresentação!$I$3='Base de Dados e filtragem'!J621),1,0)</f>
        <v>1</v>
      </c>
      <c r="AO621" s="25">
        <f>IF(OR(Apresentação!$I$4='Base de Dados e filtragem'!AO$2,Apresentação!$I$4='Base de Dados e filtragem'!K621),1,0)</f>
        <v>1</v>
      </c>
      <c r="AP621" s="25">
        <f>IF(OR(Apresentação!$I$5='Base de Dados e filtragem'!AP$2,Apresentação!$I$5='Base de Dados e filtragem'!L621),1,0)</f>
        <v>1</v>
      </c>
      <c r="AQ621" s="25">
        <f>IF(OR(Apresentação!$I$6='Base de Dados e filtragem'!AQ$2,Apresentação!$I$6='Base de Dados e filtragem'!M621),1,0)</f>
        <v>1</v>
      </c>
      <c r="AR621" s="25">
        <v>1</v>
      </c>
      <c r="AS621" s="25">
        <v>1</v>
      </c>
      <c r="AT621" s="25">
        <v>1</v>
      </c>
      <c r="AU621" s="25">
        <v>1</v>
      </c>
      <c r="AV621" s="25">
        <v>1</v>
      </c>
      <c r="AW621" s="25">
        <v>1</v>
      </c>
      <c r="AX621" s="25">
        <v>1</v>
      </c>
      <c r="AY621" s="25">
        <v>1</v>
      </c>
      <c r="AZ621" s="25">
        <v>1</v>
      </c>
      <c r="BA621" s="25">
        <v>1</v>
      </c>
      <c r="BB621" s="25">
        <v>1</v>
      </c>
      <c r="BC621" s="25">
        <v>1</v>
      </c>
      <c r="BD621" s="25">
        <v>1</v>
      </c>
    </row>
    <row r="622" spans="27:56" x14ac:dyDescent="0.25">
      <c r="AA622" s="68" t="str">
        <f t="shared" si="37"/>
        <v>Fotos\\.jpg</v>
      </c>
      <c r="AB622" s="53">
        <f t="shared" si="38"/>
        <v>1.6077170418006431E-3</v>
      </c>
      <c r="AC622" s="25">
        <f t="shared" si="39"/>
        <v>622</v>
      </c>
      <c r="AD622" s="51">
        <f t="shared" si="40"/>
        <v>1</v>
      </c>
      <c r="AE622" s="25">
        <v>1</v>
      </c>
      <c r="AF622" s="25">
        <v>1</v>
      </c>
      <c r="AG622" s="25">
        <v>1</v>
      </c>
      <c r="AH622" s="25">
        <v>1</v>
      </c>
      <c r="AI622" s="25">
        <f>IF(OR(Apresentação!$E$3='Base de Dados e filtragem'!AI$2,Apresentação!$E$3='Base de Dados e filtragem'!E622),1,0)</f>
        <v>1</v>
      </c>
      <c r="AJ622" s="25">
        <f>IF(OR(Apresentação!$E$4='Base de Dados e filtragem'!AJ$2,Apresentação!$E$4='Base de Dados e filtragem'!F622),1,0)</f>
        <v>1</v>
      </c>
      <c r="AK622" s="25">
        <f>IF(OR(Apresentação!$E$5='Base de Dados e filtragem'!AK$2,Apresentação!$E$5='Base de Dados e filtragem'!G622),1,0)</f>
        <v>1</v>
      </c>
      <c r="AL622" s="25">
        <f>IF(OR(Apresentação!$E$6='Base de Dados e filtragem'!AL$2,Apresentação!$E$6='Base de Dados e filtragem'!H622),1,0)</f>
        <v>1</v>
      </c>
      <c r="AM622" s="25">
        <f>IF(OR(Apresentação!$I$2='Base de Dados e filtragem'!AM$2,Apresentação!$I$2='Base de Dados e filtragem'!I622),1,0)</f>
        <v>1</v>
      </c>
      <c r="AN622" s="25">
        <f>IF(OR(Apresentação!$I$3='Base de Dados e filtragem'!AN$2,Apresentação!$I$3='Base de Dados e filtragem'!J622),1,0)</f>
        <v>1</v>
      </c>
      <c r="AO622" s="25">
        <f>IF(OR(Apresentação!$I$4='Base de Dados e filtragem'!AO$2,Apresentação!$I$4='Base de Dados e filtragem'!K622),1,0)</f>
        <v>1</v>
      </c>
      <c r="AP622" s="25">
        <f>IF(OR(Apresentação!$I$5='Base de Dados e filtragem'!AP$2,Apresentação!$I$5='Base de Dados e filtragem'!L622),1,0)</f>
        <v>1</v>
      </c>
      <c r="AQ622" s="25">
        <f>IF(OR(Apresentação!$I$6='Base de Dados e filtragem'!AQ$2,Apresentação!$I$6='Base de Dados e filtragem'!M622),1,0)</f>
        <v>1</v>
      </c>
      <c r="AR622" s="25">
        <v>1</v>
      </c>
      <c r="AS622" s="25">
        <v>1</v>
      </c>
      <c r="AT622" s="25">
        <v>1</v>
      </c>
      <c r="AU622" s="25">
        <v>1</v>
      </c>
      <c r="AV622" s="25">
        <v>1</v>
      </c>
      <c r="AW622" s="25">
        <v>1</v>
      </c>
      <c r="AX622" s="25">
        <v>1</v>
      </c>
      <c r="AY622" s="25">
        <v>1</v>
      </c>
      <c r="AZ622" s="25">
        <v>1</v>
      </c>
      <c r="BA622" s="25">
        <v>1</v>
      </c>
      <c r="BB622" s="25">
        <v>1</v>
      </c>
      <c r="BC622" s="25">
        <v>1</v>
      </c>
      <c r="BD622" s="25">
        <v>1</v>
      </c>
    </row>
    <row r="623" spans="27:56" x14ac:dyDescent="0.25">
      <c r="AA623" s="68" t="str">
        <f t="shared" si="37"/>
        <v>Fotos\\.jpg</v>
      </c>
      <c r="AB623" s="53">
        <f t="shared" si="38"/>
        <v>1.6051364365971107E-3</v>
      </c>
      <c r="AC623" s="25">
        <f t="shared" si="39"/>
        <v>623</v>
      </c>
      <c r="AD623" s="51">
        <f t="shared" si="40"/>
        <v>1</v>
      </c>
      <c r="AE623" s="25">
        <v>1</v>
      </c>
      <c r="AF623" s="25">
        <v>1</v>
      </c>
      <c r="AG623" s="25">
        <v>1</v>
      </c>
      <c r="AH623" s="25">
        <v>1</v>
      </c>
      <c r="AI623" s="25">
        <f>IF(OR(Apresentação!$E$3='Base de Dados e filtragem'!AI$2,Apresentação!$E$3='Base de Dados e filtragem'!E623),1,0)</f>
        <v>1</v>
      </c>
      <c r="AJ623" s="25">
        <f>IF(OR(Apresentação!$E$4='Base de Dados e filtragem'!AJ$2,Apresentação!$E$4='Base de Dados e filtragem'!F623),1,0)</f>
        <v>1</v>
      </c>
      <c r="AK623" s="25">
        <f>IF(OR(Apresentação!$E$5='Base de Dados e filtragem'!AK$2,Apresentação!$E$5='Base de Dados e filtragem'!G623),1,0)</f>
        <v>1</v>
      </c>
      <c r="AL623" s="25">
        <f>IF(OR(Apresentação!$E$6='Base de Dados e filtragem'!AL$2,Apresentação!$E$6='Base de Dados e filtragem'!H623),1,0)</f>
        <v>1</v>
      </c>
      <c r="AM623" s="25">
        <f>IF(OR(Apresentação!$I$2='Base de Dados e filtragem'!AM$2,Apresentação!$I$2='Base de Dados e filtragem'!I623),1,0)</f>
        <v>1</v>
      </c>
      <c r="AN623" s="25">
        <f>IF(OR(Apresentação!$I$3='Base de Dados e filtragem'!AN$2,Apresentação!$I$3='Base de Dados e filtragem'!J623),1,0)</f>
        <v>1</v>
      </c>
      <c r="AO623" s="25">
        <f>IF(OR(Apresentação!$I$4='Base de Dados e filtragem'!AO$2,Apresentação!$I$4='Base de Dados e filtragem'!K623),1,0)</f>
        <v>1</v>
      </c>
      <c r="AP623" s="25">
        <f>IF(OR(Apresentação!$I$5='Base de Dados e filtragem'!AP$2,Apresentação!$I$5='Base de Dados e filtragem'!L623),1,0)</f>
        <v>1</v>
      </c>
      <c r="AQ623" s="25">
        <f>IF(OR(Apresentação!$I$6='Base de Dados e filtragem'!AQ$2,Apresentação!$I$6='Base de Dados e filtragem'!M623),1,0)</f>
        <v>1</v>
      </c>
      <c r="AR623" s="25">
        <v>1</v>
      </c>
      <c r="AS623" s="25">
        <v>1</v>
      </c>
      <c r="AT623" s="25">
        <v>1</v>
      </c>
      <c r="AU623" s="25">
        <v>1</v>
      </c>
      <c r="AV623" s="25">
        <v>1</v>
      </c>
      <c r="AW623" s="25">
        <v>1</v>
      </c>
      <c r="AX623" s="25">
        <v>1</v>
      </c>
      <c r="AY623" s="25">
        <v>1</v>
      </c>
      <c r="AZ623" s="25">
        <v>1</v>
      </c>
      <c r="BA623" s="25">
        <v>1</v>
      </c>
      <c r="BB623" s="25">
        <v>1</v>
      </c>
      <c r="BC623" s="25">
        <v>1</v>
      </c>
      <c r="BD623" s="25">
        <v>1</v>
      </c>
    </row>
    <row r="624" spans="27:56" x14ac:dyDescent="0.25">
      <c r="AA624" s="68" t="str">
        <f t="shared" si="37"/>
        <v>Fotos\\.jpg</v>
      </c>
      <c r="AB624" s="53">
        <f t="shared" si="38"/>
        <v>1.6025641025641025E-3</v>
      </c>
      <c r="AC624" s="25">
        <f t="shared" si="39"/>
        <v>624</v>
      </c>
      <c r="AD624" s="51">
        <f t="shared" si="40"/>
        <v>1</v>
      </c>
      <c r="AE624" s="25">
        <v>1</v>
      </c>
      <c r="AF624" s="25">
        <v>1</v>
      </c>
      <c r="AG624" s="25">
        <v>1</v>
      </c>
      <c r="AH624" s="25">
        <v>1</v>
      </c>
      <c r="AI624" s="25">
        <f>IF(OR(Apresentação!$E$3='Base de Dados e filtragem'!AI$2,Apresentação!$E$3='Base de Dados e filtragem'!E624),1,0)</f>
        <v>1</v>
      </c>
      <c r="AJ624" s="25">
        <f>IF(OR(Apresentação!$E$4='Base de Dados e filtragem'!AJ$2,Apresentação!$E$4='Base de Dados e filtragem'!F624),1,0)</f>
        <v>1</v>
      </c>
      <c r="AK624" s="25">
        <f>IF(OR(Apresentação!$E$5='Base de Dados e filtragem'!AK$2,Apresentação!$E$5='Base de Dados e filtragem'!G624),1,0)</f>
        <v>1</v>
      </c>
      <c r="AL624" s="25">
        <f>IF(OR(Apresentação!$E$6='Base de Dados e filtragem'!AL$2,Apresentação!$E$6='Base de Dados e filtragem'!H624),1,0)</f>
        <v>1</v>
      </c>
      <c r="AM624" s="25">
        <f>IF(OR(Apresentação!$I$2='Base de Dados e filtragem'!AM$2,Apresentação!$I$2='Base de Dados e filtragem'!I624),1,0)</f>
        <v>1</v>
      </c>
      <c r="AN624" s="25">
        <f>IF(OR(Apresentação!$I$3='Base de Dados e filtragem'!AN$2,Apresentação!$I$3='Base de Dados e filtragem'!J624),1,0)</f>
        <v>1</v>
      </c>
      <c r="AO624" s="25">
        <f>IF(OR(Apresentação!$I$4='Base de Dados e filtragem'!AO$2,Apresentação!$I$4='Base de Dados e filtragem'!K624),1,0)</f>
        <v>1</v>
      </c>
      <c r="AP624" s="25">
        <f>IF(OR(Apresentação!$I$5='Base de Dados e filtragem'!AP$2,Apresentação!$I$5='Base de Dados e filtragem'!L624),1,0)</f>
        <v>1</v>
      </c>
      <c r="AQ624" s="25">
        <f>IF(OR(Apresentação!$I$6='Base de Dados e filtragem'!AQ$2,Apresentação!$I$6='Base de Dados e filtragem'!M624),1,0)</f>
        <v>1</v>
      </c>
      <c r="AR624" s="25">
        <v>1</v>
      </c>
      <c r="AS624" s="25">
        <v>1</v>
      </c>
      <c r="AT624" s="25">
        <v>1</v>
      </c>
      <c r="AU624" s="25">
        <v>1</v>
      </c>
      <c r="AV624" s="25">
        <v>1</v>
      </c>
      <c r="AW624" s="25">
        <v>1</v>
      </c>
      <c r="AX624" s="25">
        <v>1</v>
      </c>
      <c r="AY624" s="25">
        <v>1</v>
      </c>
      <c r="AZ624" s="25">
        <v>1</v>
      </c>
      <c r="BA624" s="25">
        <v>1</v>
      </c>
      <c r="BB624" s="25">
        <v>1</v>
      </c>
      <c r="BC624" s="25">
        <v>1</v>
      </c>
      <c r="BD624" s="25">
        <v>1</v>
      </c>
    </row>
    <row r="625" spans="27:56" x14ac:dyDescent="0.25">
      <c r="AA625" s="68" t="str">
        <f t="shared" si="37"/>
        <v>Fotos\\.jpg</v>
      </c>
      <c r="AB625" s="53">
        <f t="shared" si="38"/>
        <v>1.6000000000000001E-3</v>
      </c>
      <c r="AC625" s="25">
        <f t="shared" si="39"/>
        <v>625</v>
      </c>
      <c r="AD625" s="51">
        <f t="shared" si="40"/>
        <v>1</v>
      </c>
      <c r="AE625" s="25">
        <v>1</v>
      </c>
      <c r="AF625" s="25">
        <v>1</v>
      </c>
      <c r="AG625" s="25">
        <v>1</v>
      </c>
      <c r="AH625" s="25">
        <v>1</v>
      </c>
      <c r="AI625" s="25">
        <f>IF(OR(Apresentação!$E$3='Base de Dados e filtragem'!AI$2,Apresentação!$E$3='Base de Dados e filtragem'!E625),1,0)</f>
        <v>1</v>
      </c>
      <c r="AJ625" s="25">
        <f>IF(OR(Apresentação!$E$4='Base de Dados e filtragem'!AJ$2,Apresentação!$E$4='Base de Dados e filtragem'!F625),1,0)</f>
        <v>1</v>
      </c>
      <c r="AK625" s="25">
        <f>IF(OR(Apresentação!$E$5='Base de Dados e filtragem'!AK$2,Apresentação!$E$5='Base de Dados e filtragem'!G625),1,0)</f>
        <v>1</v>
      </c>
      <c r="AL625" s="25">
        <f>IF(OR(Apresentação!$E$6='Base de Dados e filtragem'!AL$2,Apresentação!$E$6='Base de Dados e filtragem'!H625),1,0)</f>
        <v>1</v>
      </c>
      <c r="AM625" s="25">
        <f>IF(OR(Apresentação!$I$2='Base de Dados e filtragem'!AM$2,Apresentação!$I$2='Base de Dados e filtragem'!I625),1,0)</f>
        <v>1</v>
      </c>
      <c r="AN625" s="25">
        <f>IF(OR(Apresentação!$I$3='Base de Dados e filtragem'!AN$2,Apresentação!$I$3='Base de Dados e filtragem'!J625),1,0)</f>
        <v>1</v>
      </c>
      <c r="AO625" s="25">
        <f>IF(OR(Apresentação!$I$4='Base de Dados e filtragem'!AO$2,Apresentação!$I$4='Base de Dados e filtragem'!K625),1,0)</f>
        <v>1</v>
      </c>
      <c r="AP625" s="25">
        <f>IF(OR(Apresentação!$I$5='Base de Dados e filtragem'!AP$2,Apresentação!$I$5='Base de Dados e filtragem'!L625),1,0)</f>
        <v>1</v>
      </c>
      <c r="AQ625" s="25">
        <f>IF(OR(Apresentação!$I$6='Base de Dados e filtragem'!AQ$2,Apresentação!$I$6='Base de Dados e filtragem'!M625),1,0)</f>
        <v>1</v>
      </c>
      <c r="AR625" s="25">
        <v>1</v>
      </c>
      <c r="AS625" s="25">
        <v>1</v>
      </c>
      <c r="AT625" s="25">
        <v>1</v>
      </c>
      <c r="AU625" s="25">
        <v>1</v>
      </c>
      <c r="AV625" s="25">
        <v>1</v>
      </c>
      <c r="AW625" s="25">
        <v>1</v>
      </c>
      <c r="AX625" s="25">
        <v>1</v>
      </c>
      <c r="AY625" s="25">
        <v>1</v>
      </c>
      <c r="AZ625" s="25">
        <v>1</v>
      </c>
      <c r="BA625" s="25">
        <v>1</v>
      </c>
      <c r="BB625" s="25">
        <v>1</v>
      </c>
      <c r="BC625" s="25">
        <v>1</v>
      </c>
      <c r="BD625" s="25">
        <v>1</v>
      </c>
    </row>
    <row r="626" spans="27:56" x14ac:dyDescent="0.25">
      <c r="AA626" s="68" t="str">
        <f t="shared" si="37"/>
        <v>Fotos\\.jpg</v>
      </c>
      <c r="AB626" s="53">
        <f t="shared" si="38"/>
        <v>1.5974440894568689E-3</v>
      </c>
      <c r="AC626" s="25">
        <f t="shared" si="39"/>
        <v>626</v>
      </c>
      <c r="AD626" s="51">
        <f t="shared" si="40"/>
        <v>1</v>
      </c>
      <c r="AE626" s="25">
        <v>1</v>
      </c>
      <c r="AF626" s="25">
        <v>1</v>
      </c>
      <c r="AG626" s="25">
        <v>1</v>
      </c>
      <c r="AH626" s="25">
        <v>1</v>
      </c>
      <c r="AI626" s="25">
        <f>IF(OR(Apresentação!$E$3='Base de Dados e filtragem'!AI$2,Apresentação!$E$3='Base de Dados e filtragem'!E626),1,0)</f>
        <v>1</v>
      </c>
      <c r="AJ626" s="25">
        <f>IF(OR(Apresentação!$E$4='Base de Dados e filtragem'!AJ$2,Apresentação!$E$4='Base de Dados e filtragem'!F626),1,0)</f>
        <v>1</v>
      </c>
      <c r="AK626" s="25">
        <f>IF(OR(Apresentação!$E$5='Base de Dados e filtragem'!AK$2,Apresentação!$E$5='Base de Dados e filtragem'!G626),1,0)</f>
        <v>1</v>
      </c>
      <c r="AL626" s="25">
        <f>IF(OR(Apresentação!$E$6='Base de Dados e filtragem'!AL$2,Apresentação!$E$6='Base de Dados e filtragem'!H626),1,0)</f>
        <v>1</v>
      </c>
      <c r="AM626" s="25">
        <f>IF(OR(Apresentação!$I$2='Base de Dados e filtragem'!AM$2,Apresentação!$I$2='Base de Dados e filtragem'!I626),1,0)</f>
        <v>1</v>
      </c>
      <c r="AN626" s="25">
        <f>IF(OR(Apresentação!$I$3='Base de Dados e filtragem'!AN$2,Apresentação!$I$3='Base de Dados e filtragem'!J626),1,0)</f>
        <v>1</v>
      </c>
      <c r="AO626" s="25">
        <f>IF(OR(Apresentação!$I$4='Base de Dados e filtragem'!AO$2,Apresentação!$I$4='Base de Dados e filtragem'!K626),1,0)</f>
        <v>1</v>
      </c>
      <c r="AP626" s="25">
        <f>IF(OR(Apresentação!$I$5='Base de Dados e filtragem'!AP$2,Apresentação!$I$5='Base de Dados e filtragem'!L626),1,0)</f>
        <v>1</v>
      </c>
      <c r="AQ626" s="25">
        <f>IF(OR(Apresentação!$I$6='Base de Dados e filtragem'!AQ$2,Apresentação!$I$6='Base de Dados e filtragem'!M626),1,0)</f>
        <v>1</v>
      </c>
      <c r="AR626" s="25">
        <v>1</v>
      </c>
      <c r="AS626" s="25">
        <v>1</v>
      </c>
      <c r="AT626" s="25">
        <v>1</v>
      </c>
      <c r="AU626" s="25">
        <v>1</v>
      </c>
      <c r="AV626" s="25">
        <v>1</v>
      </c>
      <c r="AW626" s="25">
        <v>1</v>
      </c>
      <c r="AX626" s="25">
        <v>1</v>
      </c>
      <c r="AY626" s="25">
        <v>1</v>
      </c>
      <c r="AZ626" s="25">
        <v>1</v>
      </c>
      <c r="BA626" s="25">
        <v>1</v>
      </c>
      <c r="BB626" s="25">
        <v>1</v>
      </c>
      <c r="BC626" s="25">
        <v>1</v>
      </c>
      <c r="BD626" s="25">
        <v>1</v>
      </c>
    </row>
    <row r="627" spans="27:56" x14ac:dyDescent="0.25">
      <c r="AA627" s="68" t="str">
        <f t="shared" si="37"/>
        <v>Fotos\\.jpg</v>
      </c>
      <c r="AB627" s="53">
        <f t="shared" si="38"/>
        <v>1.594896331738437E-3</v>
      </c>
      <c r="AC627" s="25">
        <f t="shared" si="39"/>
        <v>627</v>
      </c>
      <c r="AD627" s="51">
        <f t="shared" si="40"/>
        <v>1</v>
      </c>
      <c r="AE627" s="25">
        <v>1</v>
      </c>
      <c r="AF627" s="25">
        <v>1</v>
      </c>
      <c r="AG627" s="25">
        <v>1</v>
      </c>
      <c r="AH627" s="25">
        <v>1</v>
      </c>
      <c r="AI627" s="25">
        <f>IF(OR(Apresentação!$E$3='Base de Dados e filtragem'!AI$2,Apresentação!$E$3='Base de Dados e filtragem'!E627),1,0)</f>
        <v>1</v>
      </c>
      <c r="AJ627" s="25">
        <f>IF(OR(Apresentação!$E$4='Base de Dados e filtragem'!AJ$2,Apresentação!$E$4='Base de Dados e filtragem'!F627),1,0)</f>
        <v>1</v>
      </c>
      <c r="AK627" s="25">
        <f>IF(OR(Apresentação!$E$5='Base de Dados e filtragem'!AK$2,Apresentação!$E$5='Base de Dados e filtragem'!G627),1,0)</f>
        <v>1</v>
      </c>
      <c r="AL627" s="25">
        <f>IF(OR(Apresentação!$E$6='Base de Dados e filtragem'!AL$2,Apresentação!$E$6='Base de Dados e filtragem'!H627),1,0)</f>
        <v>1</v>
      </c>
      <c r="AM627" s="25">
        <f>IF(OR(Apresentação!$I$2='Base de Dados e filtragem'!AM$2,Apresentação!$I$2='Base de Dados e filtragem'!I627),1,0)</f>
        <v>1</v>
      </c>
      <c r="AN627" s="25">
        <f>IF(OR(Apresentação!$I$3='Base de Dados e filtragem'!AN$2,Apresentação!$I$3='Base de Dados e filtragem'!J627),1,0)</f>
        <v>1</v>
      </c>
      <c r="AO627" s="25">
        <f>IF(OR(Apresentação!$I$4='Base de Dados e filtragem'!AO$2,Apresentação!$I$4='Base de Dados e filtragem'!K627),1,0)</f>
        <v>1</v>
      </c>
      <c r="AP627" s="25">
        <f>IF(OR(Apresentação!$I$5='Base de Dados e filtragem'!AP$2,Apresentação!$I$5='Base de Dados e filtragem'!L627),1,0)</f>
        <v>1</v>
      </c>
      <c r="AQ627" s="25">
        <f>IF(OR(Apresentação!$I$6='Base de Dados e filtragem'!AQ$2,Apresentação!$I$6='Base de Dados e filtragem'!M627),1,0)</f>
        <v>1</v>
      </c>
      <c r="AR627" s="25">
        <v>1</v>
      </c>
      <c r="AS627" s="25">
        <v>1</v>
      </c>
      <c r="AT627" s="25">
        <v>1</v>
      </c>
      <c r="AU627" s="25">
        <v>1</v>
      </c>
      <c r="AV627" s="25">
        <v>1</v>
      </c>
      <c r="AW627" s="25">
        <v>1</v>
      </c>
      <c r="AX627" s="25">
        <v>1</v>
      </c>
      <c r="AY627" s="25">
        <v>1</v>
      </c>
      <c r="AZ627" s="25">
        <v>1</v>
      </c>
      <c r="BA627" s="25">
        <v>1</v>
      </c>
      <c r="BB627" s="25">
        <v>1</v>
      </c>
      <c r="BC627" s="25">
        <v>1</v>
      </c>
      <c r="BD627" s="25">
        <v>1</v>
      </c>
    </row>
    <row r="628" spans="27:56" x14ac:dyDescent="0.25">
      <c r="AA628" s="68" t="str">
        <f t="shared" si="37"/>
        <v>Fotos\\.jpg</v>
      </c>
      <c r="AB628" s="53">
        <f t="shared" si="38"/>
        <v>1.5923566878980893E-3</v>
      </c>
      <c r="AC628" s="25">
        <f t="shared" si="39"/>
        <v>628</v>
      </c>
      <c r="AD628" s="51">
        <f t="shared" si="40"/>
        <v>1</v>
      </c>
      <c r="AE628" s="25">
        <v>1</v>
      </c>
      <c r="AF628" s="25">
        <v>1</v>
      </c>
      <c r="AG628" s="25">
        <v>1</v>
      </c>
      <c r="AH628" s="25">
        <v>1</v>
      </c>
      <c r="AI628" s="25">
        <f>IF(OR(Apresentação!$E$3='Base de Dados e filtragem'!AI$2,Apresentação!$E$3='Base de Dados e filtragem'!E628),1,0)</f>
        <v>1</v>
      </c>
      <c r="AJ628" s="25">
        <f>IF(OR(Apresentação!$E$4='Base de Dados e filtragem'!AJ$2,Apresentação!$E$4='Base de Dados e filtragem'!F628),1,0)</f>
        <v>1</v>
      </c>
      <c r="AK628" s="25">
        <f>IF(OR(Apresentação!$E$5='Base de Dados e filtragem'!AK$2,Apresentação!$E$5='Base de Dados e filtragem'!G628),1,0)</f>
        <v>1</v>
      </c>
      <c r="AL628" s="25">
        <f>IF(OR(Apresentação!$E$6='Base de Dados e filtragem'!AL$2,Apresentação!$E$6='Base de Dados e filtragem'!H628),1,0)</f>
        <v>1</v>
      </c>
      <c r="AM628" s="25">
        <f>IF(OR(Apresentação!$I$2='Base de Dados e filtragem'!AM$2,Apresentação!$I$2='Base de Dados e filtragem'!I628),1,0)</f>
        <v>1</v>
      </c>
      <c r="AN628" s="25">
        <f>IF(OR(Apresentação!$I$3='Base de Dados e filtragem'!AN$2,Apresentação!$I$3='Base de Dados e filtragem'!J628),1,0)</f>
        <v>1</v>
      </c>
      <c r="AO628" s="25">
        <f>IF(OR(Apresentação!$I$4='Base de Dados e filtragem'!AO$2,Apresentação!$I$4='Base de Dados e filtragem'!K628),1,0)</f>
        <v>1</v>
      </c>
      <c r="AP628" s="25">
        <f>IF(OR(Apresentação!$I$5='Base de Dados e filtragem'!AP$2,Apresentação!$I$5='Base de Dados e filtragem'!L628),1,0)</f>
        <v>1</v>
      </c>
      <c r="AQ628" s="25">
        <f>IF(OR(Apresentação!$I$6='Base de Dados e filtragem'!AQ$2,Apresentação!$I$6='Base de Dados e filtragem'!M628),1,0)</f>
        <v>1</v>
      </c>
      <c r="AR628" s="25">
        <v>1</v>
      </c>
      <c r="AS628" s="25">
        <v>1</v>
      </c>
      <c r="AT628" s="25">
        <v>1</v>
      </c>
      <c r="AU628" s="25">
        <v>1</v>
      </c>
      <c r="AV628" s="25">
        <v>1</v>
      </c>
      <c r="AW628" s="25">
        <v>1</v>
      </c>
      <c r="AX628" s="25">
        <v>1</v>
      </c>
      <c r="AY628" s="25">
        <v>1</v>
      </c>
      <c r="AZ628" s="25">
        <v>1</v>
      </c>
      <c r="BA628" s="25">
        <v>1</v>
      </c>
      <c r="BB628" s="25">
        <v>1</v>
      </c>
      <c r="BC628" s="25">
        <v>1</v>
      </c>
      <c r="BD628" s="25">
        <v>1</v>
      </c>
    </row>
    <row r="629" spans="27:56" x14ac:dyDescent="0.25">
      <c r="AA629" s="68" t="str">
        <f t="shared" si="37"/>
        <v>Fotos\\.jpg</v>
      </c>
      <c r="AB629" s="53">
        <f t="shared" si="38"/>
        <v>1.589825119236884E-3</v>
      </c>
      <c r="AC629" s="25">
        <f t="shared" si="39"/>
        <v>629</v>
      </c>
      <c r="AD629" s="51">
        <f t="shared" si="40"/>
        <v>1</v>
      </c>
      <c r="AE629" s="25">
        <v>1</v>
      </c>
      <c r="AF629" s="25">
        <v>1</v>
      </c>
      <c r="AG629" s="25">
        <v>1</v>
      </c>
      <c r="AH629" s="25">
        <v>1</v>
      </c>
      <c r="AI629" s="25">
        <f>IF(OR(Apresentação!$E$3='Base de Dados e filtragem'!AI$2,Apresentação!$E$3='Base de Dados e filtragem'!E629),1,0)</f>
        <v>1</v>
      </c>
      <c r="AJ629" s="25">
        <f>IF(OR(Apresentação!$E$4='Base de Dados e filtragem'!AJ$2,Apresentação!$E$4='Base de Dados e filtragem'!F629),1,0)</f>
        <v>1</v>
      </c>
      <c r="AK629" s="25">
        <f>IF(OR(Apresentação!$E$5='Base de Dados e filtragem'!AK$2,Apresentação!$E$5='Base de Dados e filtragem'!G629),1,0)</f>
        <v>1</v>
      </c>
      <c r="AL629" s="25">
        <f>IF(OR(Apresentação!$E$6='Base de Dados e filtragem'!AL$2,Apresentação!$E$6='Base de Dados e filtragem'!H629),1,0)</f>
        <v>1</v>
      </c>
      <c r="AM629" s="25">
        <f>IF(OR(Apresentação!$I$2='Base de Dados e filtragem'!AM$2,Apresentação!$I$2='Base de Dados e filtragem'!I629),1,0)</f>
        <v>1</v>
      </c>
      <c r="AN629" s="25">
        <f>IF(OR(Apresentação!$I$3='Base de Dados e filtragem'!AN$2,Apresentação!$I$3='Base de Dados e filtragem'!J629),1,0)</f>
        <v>1</v>
      </c>
      <c r="AO629" s="25">
        <f>IF(OR(Apresentação!$I$4='Base de Dados e filtragem'!AO$2,Apresentação!$I$4='Base de Dados e filtragem'!K629),1,0)</f>
        <v>1</v>
      </c>
      <c r="AP629" s="25">
        <f>IF(OR(Apresentação!$I$5='Base de Dados e filtragem'!AP$2,Apresentação!$I$5='Base de Dados e filtragem'!L629),1,0)</f>
        <v>1</v>
      </c>
      <c r="AQ629" s="25">
        <f>IF(OR(Apresentação!$I$6='Base de Dados e filtragem'!AQ$2,Apresentação!$I$6='Base de Dados e filtragem'!M629),1,0)</f>
        <v>1</v>
      </c>
      <c r="AR629" s="25">
        <v>1</v>
      </c>
      <c r="AS629" s="25">
        <v>1</v>
      </c>
      <c r="AT629" s="25">
        <v>1</v>
      </c>
      <c r="AU629" s="25">
        <v>1</v>
      </c>
      <c r="AV629" s="25">
        <v>1</v>
      </c>
      <c r="AW629" s="25">
        <v>1</v>
      </c>
      <c r="AX629" s="25">
        <v>1</v>
      </c>
      <c r="AY629" s="25">
        <v>1</v>
      </c>
      <c r="AZ629" s="25">
        <v>1</v>
      </c>
      <c r="BA629" s="25">
        <v>1</v>
      </c>
      <c r="BB629" s="25">
        <v>1</v>
      </c>
      <c r="BC629" s="25">
        <v>1</v>
      </c>
      <c r="BD629" s="25">
        <v>1</v>
      </c>
    </row>
    <row r="630" spans="27:56" x14ac:dyDescent="0.25">
      <c r="AA630" s="68" t="str">
        <f t="shared" si="37"/>
        <v>Fotos\\.jpg</v>
      </c>
      <c r="AB630" s="53">
        <f t="shared" si="38"/>
        <v>1.5873015873015873E-3</v>
      </c>
      <c r="AC630" s="25">
        <f t="shared" si="39"/>
        <v>630</v>
      </c>
      <c r="AD630" s="51">
        <f t="shared" si="40"/>
        <v>1</v>
      </c>
      <c r="AE630" s="25">
        <v>1</v>
      </c>
      <c r="AF630" s="25">
        <v>1</v>
      </c>
      <c r="AG630" s="25">
        <v>1</v>
      </c>
      <c r="AH630" s="25">
        <v>1</v>
      </c>
      <c r="AI630" s="25">
        <f>IF(OR(Apresentação!$E$3='Base de Dados e filtragem'!AI$2,Apresentação!$E$3='Base de Dados e filtragem'!E630),1,0)</f>
        <v>1</v>
      </c>
      <c r="AJ630" s="25">
        <f>IF(OR(Apresentação!$E$4='Base de Dados e filtragem'!AJ$2,Apresentação!$E$4='Base de Dados e filtragem'!F630),1,0)</f>
        <v>1</v>
      </c>
      <c r="AK630" s="25">
        <f>IF(OR(Apresentação!$E$5='Base de Dados e filtragem'!AK$2,Apresentação!$E$5='Base de Dados e filtragem'!G630),1,0)</f>
        <v>1</v>
      </c>
      <c r="AL630" s="25">
        <f>IF(OR(Apresentação!$E$6='Base de Dados e filtragem'!AL$2,Apresentação!$E$6='Base de Dados e filtragem'!H630),1,0)</f>
        <v>1</v>
      </c>
      <c r="AM630" s="25">
        <f>IF(OR(Apresentação!$I$2='Base de Dados e filtragem'!AM$2,Apresentação!$I$2='Base de Dados e filtragem'!I630),1,0)</f>
        <v>1</v>
      </c>
      <c r="AN630" s="25">
        <f>IF(OR(Apresentação!$I$3='Base de Dados e filtragem'!AN$2,Apresentação!$I$3='Base de Dados e filtragem'!J630),1,0)</f>
        <v>1</v>
      </c>
      <c r="AO630" s="25">
        <f>IF(OR(Apresentação!$I$4='Base de Dados e filtragem'!AO$2,Apresentação!$I$4='Base de Dados e filtragem'!K630),1,0)</f>
        <v>1</v>
      </c>
      <c r="AP630" s="25">
        <f>IF(OR(Apresentação!$I$5='Base de Dados e filtragem'!AP$2,Apresentação!$I$5='Base de Dados e filtragem'!L630),1,0)</f>
        <v>1</v>
      </c>
      <c r="AQ630" s="25">
        <f>IF(OR(Apresentação!$I$6='Base de Dados e filtragem'!AQ$2,Apresentação!$I$6='Base de Dados e filtragem'!M630),1,0)</f>
        <v>1</v>
      </c>
      <c r="AR630" s="25">
        <v>1</v>
      </c>
      <c r="AS630" s="25">
        <v>1</v>
      </c>
      <c r="AT630" s="25">
        <v>1</v>
      </c>
      <c r="AU630" s="25">
        <v>1</v>
      </c>
      <c r="AV630" s="25">
        <v>1</v>
      </c>
      <c r="AW630" s="25">
        <v>1</v>
      </c>
      <c r="AX630" s="25">
        <v>1</v>
      </c>
      <c r="AY630" s="25">
        <v>1</v>
      </c>
      <c r="AZ630" s="25">
        <v>1</v>
      </c>
      <c r="BA630" s="25">
        <v>1</v>
      </c>
      <c r="BB630" s="25">
        <v>1</v>
      </c>
      <c r="BC630" s="25">
        <v>1</v>
      </c>
      <c r="BD630" s="25">
        <v>1</v>
      </c>
    </row>
    <row r="631" spans="27:56" x14ac:dyDescent="0.25">
      <c r="AA631" s="68" t="str">
        <f t="shared" si="37"/>
        <v>Fotos\\.jpg</v>
      </c>
      <c r="AB631" s="53">
        <f t="shared" si="38"/>
        <v>1.5847860538827259E-3</v>
      </c>
      <c r="AC631" s="25">
        <f t="shared" si="39"/>
        <v>631</v>
      </c>
      <c r="AD631" s="51">
        <f t="shared" si="40"/>
        <v>1</v>
      </c>
      <c r="AE631" s="25">
        <v>1</v>
      </c>
      <c r="AF631" s="25">
        <v>1</v>
      </c>
      <c r="AG631" s="25">
        <v>1</v>
      </c>
      <c r="AH631" s="25">
        <v>1</v>
      </c>
      <c r="AI631" s="25">
        <f>IF(OR(Apresentação!$E$3='Base de Dados e filtragem'!AI$2,Apresentação!$E$3='Base de Dados e filtragem'!E631),1,0)</f>
        <v>1</v>
      </c>
      <c r="AJ631" s="25">
        <f>IF(OR(Apresentação!$E$4='Base de Dados e filtragem'!AJ$2,Apresentação!$E$4='Base de Dados e filtragem'!F631),1,0)</f>
        <v>1</v>
      </c>
      <c r="AK631" s="25">
        <f>IF(OR(Apresentação!$E$5='Base de Dados e filtragem'!AK$2,Apresentação!$E$5='Base de Dados e filtragem'!G631),1,0)</f>
        <v>1</v>
      </c>
      <c r="AL631" s="25">
        <f>IF(OR(Apresentação!$E$6='Base de Dados e filtragem'!AL$2,Apresentação!$E$6='Base de Dados e filtragem'!H631),1,0)</f>
        <v>1</v>
      </c>
      <c r="AM631" s="25">
        <f>IF(OR(Apresentação!$I$2='Base de Dados e filtragem'!AM$2,Apresentação!$I$2='Base de Dados e filtragem'!I631),1,0)</f>
        <v>1</v>
      </c>
      <c r="AN631" s="25">
        <f>IF(OR(Apresentação!$I$3='Base de Dados e filtragem'!AN$2,Apresentação!$I$3='Base de Dados e filtragem'!J631),1,0)</f>
        <v>1</v>
      </c>
      <c r="AO631" s="25">
        <f>IF(OR(Apresentação!$I$4='Base de Dados e filtragem'!AO$2,Apresentação!$I$4='Base de Dados e filtragem'!K631),1,0)</f>
        <v>1</v>
      </c>
      <c r="AP631" s="25">
        <f>IF(OR(Apresentação!$I$5='Base de Dados e filtragem'!AP$2,Apresentação!$I$5='Base de Dados e filtragem'!L631),1,0)</f>
        <v>1</v>
      </c>
      <c r="AQ631" s="25">
        <f>IF(OR(Apresentação!$I$6='Base de Dados e filtragem'!AQ$2,Apresentação!$I$6='Base de Dados e filtragem'!M631),1,0)</f>
        <v>1</v>
      </c>
      <c r="AR631" s="25">
        <v>1</v>
      </c>
      <c r="AS631" s="25">
        <v>1</v>
      </c>
      <c r="AT631" s="25">
        <v>1</v>
      </c>
      <c r="AU631" s="25">
        <v>1</v>
      </c>
      <c r="AV631" s="25">
        <v>1</v>
      </c>
      <c r="AW631" s="25">
        <v>1</v>
      </c>
      <c r="AX631" s="25">
        <v>1</v>
      </c>
      <c r="AY631" s="25">
        <v>1</v>
      </c>
      <c r="AZ631" s="25">
        <v>1</v>
      </c>
      <c r="BA631" s="25">
        <v>1</v>
      </c>
      <c r="BB631" s="25">
        <v>1</v>
      </c>
      <c r="BC631" s="25">
        <v>1</v>
      </c>
      <c r="BD631" s="25">
        <v>1</v>
      </c>
    </row>
    <row r="632" spans="27:56" x14ac:dyDescent="0.25">
      <c r="AA632" s="68" t="str">
        <f t="shared" si="37"/>
        <v>Fotos\\.jpg</v>
      </c>
      <c r="AB632" s="53">
        <f t="shared" si="38"/>
        <v>1.5822784810126582E-3</v>
      </c>
      <c r="AC632" s="25">
        <f t="shared" si="39"/>
        <v>632</v>
      </c>
      <c r="AD632" s="51">
        <f t="shared" si="40"/>
        <v>1</v>
      </c>
      <c r="AE632" s="25">
        <v>1</v>
      </c>
      <c r="AF632" s="25">
        <v>1</v>
      </c>
      <c r="AG632" s="25">
        <v>1</v>
      </c>
      <c r="AH632" s="25">
        <v>1</v>
      </c>
      <c r="AI632" s="25">
        <f>IF(OR(Apresentação!$E$3='Base de Dados e filtragem'!AI$2,Apresentação!$E$3='Base de Dados e filtragem'!E632),1,0)</f>
        <v>1</v>
      </c>
      <c r="AJ632" s="25">
        <f>IF(OR(Apresentação!$E$4='Base de Dados e filtragem'!AJ$2,Apresentação!$E$4='Base de Dados e filtragem'!F632),1,0)</f>
        <v>1</v>
      </c>
      <c r="AK632" s="25">
        <f>IF(OR(Apresentação!$E$5='Base de Dados e filtragem'!AK$2,Apresentação!$E$5='Base de Dados e filtragem'!G632),1,0)</f>
        <v>1</v>
      </c>
      <c r="AL632" s="25">
        <f>IF(OR(Apresentação!$E$6='Base de Dados e filtragem'!AL$2,Apresentação!$E$6='Base de Dados e filtragem'!H632),1,0)</f>
        <v>1</v>
      </c>
      <c r="AM632" s="25">
        <f>IF(OR(Apresentação!$I$2='Base de Dados e filtragem'!AM$2,Apresentação!$I$2='Base de Dados e filtragem'!I632),1,0)</f>
        <v>1</v>
      </c>
      <c r="AN632" s="25">
        <f>IF(OR(Apresentação!$I$3='Base de Dados e filtragem'!AN$2,Apresentação!$I$3='Base de Dados e filtragem'!J632),1,0)</f>
        <v>1</v>
      </c>
      <c r="AO632" s="25">
        <f>IF(OR(Apresentação!$I$4='Base de Dados e filtragem'!AO$2,Apresentação!$I$4='Base de Dados e filtragem'!K632),1,0)</f>
        <v>1</v>
      </c>
      <c r="AP632" s="25">
        <f>IF(OR(Apresentação!$I$5='Base de Dados e filtragem'!AP$2,Apresentação!$I$5='Base de Dados e filtragem'!L632),1,0)</f>
        <v>1</v>
      </c>
      <c r="AQ632" s="25">
        <f>IF(OR(Apresentação!$I$6='Base de Dados e filtragem'!AQ$2,Apresentação!$I$6='Base de Dados e filtragem'!M632),1,0)</f>
        <v>1</v>
      </c>
      <c r="AR632" s="25">
        <v>1</v>
      </c>
      <c r="AS632" s="25">
        <v>1</v>
      </c>
      <c r="AT632" s="25">
        <v>1</v>
      </c>
      <c r="AU632" s="25">
        <v>1</v>
      </c>
      <c r="AV632" s="25">
        <v>1</v>
      </c>
      <c r="AW632" s="25">
        <v>1</v>
      </c>
      <c r="AX632" s="25">
        <v>1</v>
      </c>
      <c r="AY632" s="25">
        <v>1</v>
      </c>
      <c r="AZ632" s="25">
        <v>1</v>
      </c>
      <c r="BA632" s="25">
        <v>1</v>
      </c>
      <c r="BB632" s="25">
        <v>1</v>
      </c>
      <c r="BC632" s="25">
        <v>1</v>
      </c>
      <c r="BD632" s="25">
        <v>1</v>
      </c>
    </row>
    <row r="633" spans="27:56" x14ac:dyDescent="0.25">
      <c r="AA633" s="68" t="str">
        <f t="shared" si="37"/>
        <v>Fotos\\.jpg</v>
      </c>
      <c r="AB633" s="53">
        <f t="shared" si="38"/>
        <v>1.5797788309636651E-3</v>
      </c>
      <c r="AC633" s="25">
        <f t="shared" si="39"/>
        <v>633</v>
      </c>
      <c r="AD633" s="51">
        <f t="shared" si="40"/>
        <v>1</v>
      </c>
      <c r="AE633" s="25">
        <v>1</v>
      </c>
      <c r="AF633" s="25">
        <v>1</v>
      </c>
      <c r="AG633" s="25">
        <v>1</v>
      </c>
      <c r="AH633" s="25">
        <v>1</v>
      </c>
      <c r="AI633" s="25">
        <f>IF(OR(Apresentação!$E$3='Base de Dados e filtragem'!AI$2,Apresentação!$E$3='Base de Dados e filtragem'!E633),1,0)</f>
        <v>1</v>
      </c>
      <c r="AJ633" s="25">
        <f>IF(OR(Apresentação!$E$4='Base de Dados e filtragem'!AJ$2,Apresentação!$E$4='Base de Dados e filtragem'!F633),1,0)</f>
        <v>1</v>
      </c>
      <c r="AK633" s="25">
        <f>IF(OR(Apresentação!$E$5='Base de Dados e filtragem'!AK$2,Apresentação!$E$5='Base de Dados e filtragem'!G633),1,0)</f>
        <v>1</v>
      </c>
      <c r="AL633" s="25">
        <f>IF(OR(Apresentação!$E$6='Base de Dados e filtragem'!AL$2,Apresentação!$E$6='Base de Dados e filtragem'!H633),1,0)</f>
        <v>1</v>
      </c>
      <c r="AM633" s="25">
        <f>IF(OR(Apresentação!$I$2='Base de Dados e filtragem'!AM$2,Apresentação!$I$2='Base de Dados e filtragem'!I633),1,0)</f>
        <v>1</v>
      </c>
      <c r="AN633" s="25">
        <f>IF(OR(Apresentação!$I$3='Base de Dados e filtragem'!AN$2,Apresentação!$I$3='Base de Dados e filtragem'!J633),1,0)</f>
        <v>1</v>
      </c>
      <c r="AO633" s="25">
        <f>IF(OR(Apresentação!$I$4='Base de Dados e filtragem'!AO$2,Apresentação!$I$4='Base de Dados e filtragem'!K633),1,0)</f>
        <v>1</v>
      </c>
      <c r="AP633" s="25">
        <f>IF(OR(Apresentação!$I$5='Base de Dados e filtragem'!AP$2,Apresentação!$I$5='Base de Dados e filtragem'!L633),1,0)</f>
        <v>1</v>
      </c>
      <c r="AQ633" s="25">
        <f>IF(OR(Apresentação!$I$6='Base de Dados e filtragem'!AQ$2,Apresentação!$I$6='Base de Dados e filtragem'!M633),1,0)</f>
        <v>1</v>
      </c>
      <c r="AR633" s="25">
        <v>1</v>
      </c>
      <c r="AS633" s="25">
        <v>1</v>
      </c>
      <c r="AT633" s="25">
        <v>1</v>
      </c>
      <c r="AU633" s="25">
        <v>1</v>
      </c>
      <c r="AV633" s="25">
        <v>1</v>
      </c>
      <c r="AW633" s="25">
        <v>1</v>
      </c>
      <c r="AX633" s="25">
        <v>1</v>
      </c>
      <c r="AY633" s="25">
        <v>1</v>
      </c>
      <c r="AZ633" s="25">
        <v>1</v>
      </c>
      <c r="BA633" s="25">
        <v>1</v>
      </c>
      <c r="BB633" s="25">
        <v>1</v>
      </c>
      <c r="BC633" s="25">
        <v>1</v>
      </c>
      <c r="BD633" s="25">
        <v>1</v>
      </c>
    </row>
    <row r="634" spans="27:56" x14ac:dyDescent="0.25">
      <c r="AA634" s="68" t="str">
        <f t="shared" si="37"/>
        <v>Fotos\\.jpg</v>
      </c>
      <c r="AB634" s="53">
        <f t="shared" si="38"/>
        <v>1.5772870662460567E-3</v>
      </c>
      <c r="AC634" s="25">
        <f t="shared" si="39"/>
        <v>634</v>
      </c>
      <c r="AD634" s="51">
        <f t="shared" si="40"/>
        <v>1</v>
      </c>
      <c r="AE634" s="25">
        <v>1</v>
      </c>
      <c r="AF634" s="25">
        <v>1</v>
      </c>
      <c r="AG634" s="25">
        <v>1</v>
      </c>
      <c r="AH634" s="25">
        <v>1</v>
      </c>
      <c r="AI634" s="25">
        <f>IF(OR(Apresentação!$E$3='Base de Dados e filtragem'!AI$2,Apresentação!$E$3='Base de Dados e filtragem'!E634),1,0)</f>
        <v>1</v>
      </c>
      <c r="AJ634" s="25">
        <f>IF(OR(Apresentação!$E$4='Base de Dados e filtragem'!AJ$2,Apresentação!$E$4='Base de Dados e filtragem'!F634),1,0)</f>
        <v>1</v>
      </c>
      <c r="AK634" s="25">
        <f>IF(OR(Apresentação!$E$5='Base de Dados e filtragem'!AK$2,Apresentação!$E$5='Base de Dados e filtragem'!G634),1,0)</f>
        <v>1</v>
      </c>
      <c r="AL634" s="25">
        <f>IF(OR(Apresentação!$E$6='Base de Dados e filtragem'!AL$2,Apresentação!$E$6='Base de Dados e filtragem'!H634),1,0)</f>
        <v>1</v>
      </c>
      <c r="AM634" s="25">
        <f>IF(OR(Apresentação!$I$2='Base de Dados e filtragem'!AM$2,Apresentação!$I$2='Base de Dados e filtragem'!I634),1,0)</f>
        <v>1</v>
      </c>
      <c r="AN634" s="25">
        <f>IF(OR(Apresentação!$I$3='Base de Dados e filtragem'!AN$2,Apresentação!$I$3='Base de Dados e filtragem'!J634),1,0)</f>
        <v>1</v>
      </c>
      <c r="AO634" s="25">
        <f>IF(OR(Apresentação!$I$4='Base de Dados e filtragem'!AO$2,Apresentação!$I$4='Base de Dados e filtragem'!K634),1,0)</f>
        <v>1</v>
      </c>
      <c r="AP634" s="25">
        <f>IF(OR(Apresentação!$I$5='Base de Dados e filtragem'!AP$2,Apresentação!$I$5='Base de Dados e filtragem'!L634),1,0)</f>
        <v>1</v>
      </c>
      <c r="AQ634" s="25">
        <f>IF(OR(Apresentação!$I$6='Base de Dados e filtragem'!AQ$2,Apresentação!$I$6='Base de Dados e filtragem'!M634),1,0)</f>
        <v>1</v>
      </c>
      <c r="AR634" s="25">
        <v>1</v>
      </c>
      <c r="AS634" s="25">
        <v>1</v>
      </c>
      <c r="AT634" s="25">
        <v>1</v>
      </c>
      <c r="AU634" s="25">
        <v>1</v>
      </c>
      <c r="AV634" s="25">
        <v>1</v>
      </c>
      <c r="AW634" s="25">
        <v>1</v>
      </c>
      <c r="AX634" s="25">
        <v>1</v>
      </c>
      <c r="AY634" s="25">
        <v>1</v>
      </c>
      <c r="AZ634" s="25">
        <v>1</v>
      </c>
      <c r="BA634" s="25">
        <v>1</v>
      </c>
      <c r="BB634" s="25">
        <v>1</v>
      </c>
      <c r="BC634" s="25">
        <v>1</v>
      </c>
      <c r="BD634" s="25">
        <v>1</v>
      </c>
    </row>
    <row r="635" spans="27:56" x14ac:dyDescent="0.25">
      <c r="AA635" s="68" t="str">
        <f t="shared" si="37"/>
        <v>Fotos\\.jpg</v>
      </c>
      <c r="AB635" s="53">
        <f t="shared" si="38"/>
        <v>1.5748031496062992E-3</v>
      </c>
      <c r="AC635" s="25">
        <f t="shared" si="39"/>
        <v>635</v>
      </c>
      <c r="AD635" s="51">
        <f t="shared" si="40"/>
        <v>1</v>
      </c>
      <c r="AE635" s="25">
        <v>1</v>
      </c>
      <c r="AF635" s="25">
        <v>1</v>
      </c>
      <c r="AG635" s="25">
        <v>1</v>
      </c>
      <c r="AH635" s="25">
        <v>1</v>
      </c>
      <c r="AI635" s="25">
        <f>IF(OR(Apresentação!$E$3='Base de Dados e filtragem'!AI$2,Apresentação!$E$3='Base de Dados e filtragem'!E635),1,0)</f>
        <v>1</v>
      </c>
      <c r="AJ635" s="25">
        <f>IF(OR(Apresentação!$E$4='Base de Dados e filtragem'!AJ$2,Apresentação!$E$4='Base de Dados e filtragem'!F635),1,0)</f>
        <v>1</v>
      </c>
      <c r="AK635" s="25">
        <f>IF(OR(Apresentação!$E$5='Base de Dados e filtragem'!AK$2,Apresentação!$E$5='Base de Dados e filtragem'!G635),1,0)</f>
        <v>1</v>
      </c>
      <c r="AL635" s="25">
        <f>IF(OR(Apresentação!$E$6='Base de Dados e filtragem'!AL$2,Apresentação!$E$6='Base de Dados e filtragem'!H635),1,0)</f>
        <v>1</v>
      </c>
      <c r="AM635" s="25">
        <f>IF(OR(Apresentação!$I$2='Base de Dados e filtragem'!AM$2,Apresentação!$I$2='Base de Dados e filtragem'!I635),1,0)</f>
        <v>1</v>
      </c>
      <c r="AN635" s="25">
        <f>IF(OR(Apresentação!$I$3='Base de Dados e filtragem'!AN$2,Apresentação!$I$3='Base de Dados e filtragem'!J635),1,0)</f>
        <v>1</v>
      </c>
      <c r="AO635" s="25">
        <f>IF(OR(Apresentação!$I$4='Base de Dados e filtragem'!AO$2,Apresentação!$I$4='Base de Dados e filtragem'!K635),1,0)</f>
        <v>1</v>
      </c>
      <c r="AP635" s="25">
        <f>IF(OR(Apresentação!$I$5='Base de Dados e filtragem'!AP$2,Apresentação!$I$5='Base de Dados e filtragem'!L635),1,0)</f>
        <v>1</v>
      </c>
      <c r="AQ635" s="25">
        <f>IF(OR(Apresentação!$I$6='Base de Dados e filtragem'!AQ$2,Apresentação!$I$6='Base de Dados e filtragem'!M635),1,0)</f>
        <v>1</v>
      </c>
      <c r="AR635" s="25">
        <v>1</v>
      </c>
      <c r="AS635" s="25">
        <v>1</v>
      </c>
      <c r="AT635" s="25">
        <v>1</v>
      </c>
      <c r="AU635" s="25">
        <v>1</v>
      </c>
      <c r="AV635" s="25">
        <v>1</v>
      </c>
      <c r="AW635" s="25">
        <v>1</v>
      </c>
      <c r="AX635" s="25">
        <v>1</v>
      </c>
      <c r="AY635" s="25">
        <v>1</v>
      </c>
      <c r="AZ635" s="25">
        <v>1</v>
      </c>
      <c r="BA635" s="25">
        <v>1</v>
      </c>
      <c r="BB635" s="25">
        <v>1</v>
      </c>
      <c r="BC635" s="25">
        <v>1</v>
      </c>
      <c r="BD635" s="25">
        <v>1</v>
      </c>
    </row>
    <row r="636" spans="27:56" x14ac:dyDescent="0.25">
      <c r="AA636" s="68" t="str">
        <f t="shared" si="37"/>
        <v>Fotos\\.jpg</v>
      </c>
      <c r="AB636" s="53">
        <f t="shared" si="38"/>
        <v>1.5723270440251573E-3</v>
      </c>
      <c r="AC636" s="25">
        <f t="shared" si="39"/>
        <v>636</v>
      </c>
      <c r="AD636" s="51">
        <f t="shared" si="40"/>
        <v>1</v>
      </c>
      <c r="AE636" s="25">
        <v>1</v>
      </c>
      <c r="AF636" s="25">
        <v>1</v>
      </c>
      <c r="AG636" s="25">
        <v>1</v>
      </c>
      <c r="AH636" s="25">
        <v>1</v>
      </c>
      <c r="AI636" s="25">
        <f>IF(OR(Apresentação!$E$3='Base de Dados e filtragem'!AI$2,Apresentação!$E$3='Base de Dados e filtragem'!E636),1,0)</f>
        <v>1</v>
      </c>
      <c r="AJ636" s="25">
        <f>IF(OR(Apresentação!$E$4='Base de Dados e filtragem'!AJ$2,Apresentação!$E$4='Base de Dados e filtragem'!F636),1,0)</f>
        <v>1</v>
      </c>
      <c r="AK636" s="25">
        <f>IF(OR(Apresentação!$E$5='Base de Dados e filtragem'!AK$2,Apresentação!$E$5='Base de Dados e filtragem'!G636),1,0)</f>
        <v>1</v>
      </c>
      <c r="AL636" s="25">
        <f>IF(OR(Apresentação!$E$6='Base de Dados e filtragem'!AL$2,Apresentação!$E$6='Base de Dados e filtragem'!H636),1,0)</f>
        <v>1</v>
      </c>
      <c r="AM636" s="25">
        <f>IF(OR(Apresentação!$I$2='Base de Dados e filtragem'!AM$2,Apresentação!$I$2='Base de Dados e filtragem'!I636),1,0)</f>
        <v>1</v>
      </c>
      <c r="AN636" s="25">
        <f>IF(OR(Apresentação!$I$3='Base de Dados e filtragem'!AN$2,Apresentação!$I$3='Base de Dados e filtragem'!J636),1,0)</f>
        <v>1</v>
      </c>
      <c r="AO636" s="25">
        <f>IF(OR(Apresentação!$I$4='Base de Dados e filtragem'!AO$2,Apresentação!$I$4='Base de Dados e filtragem'!K636),1,0)</f>
        <v>1</v>
      </c>
      <c r="AP636" s="25">
        <f>IF(OR(Apresentação!$I$5='Base de Dados e filtragem'!AP$2,Apresentação!$I$5='Base de Dados e filtragem'!L636),1,0)</f>
        <v>1</v>
      </c>
      <c r="AQ636" s="25">
        <f>IF(OR(Apresentação!$I$6='Base de Dados e filtragem'!AQ$2,Apresentação!$I$6='Base de Dados e filtragem'!M636),1,0)</f>
        <v>1</v>
      </c>
      <c r="AR636" s="25">
        <v>1</v>
      </c>
      <c r="AS636" s="25">
        <v>1</v>
      </c>
      <c r="AT636" s="25">
        <v>1</v>
      </c>
      <c r="AU636" s="25">
        <v>1</v>
      </c>
      <c r="AV636" s="25">
        <v>1</v>
      </c>
      <c r="AW636" s="25">
        <v>1</v>
      </c>
      <c r="AX636" s="25">
        <v>1</v>
      </c>
      <c r="AY636" s="25">
        <v>1</v>
      </c>
      <c r="AZ636" s="25">
        <v>1</v>
      </c>
      <c r="BA636" s="25">
        <v>1</v>
      </c>
      <c r="BB636" s="25">
        <v>1</v>
      </c>
      <c r="BC636" s="25">
        <v>1</v>
      </c>
      <c r="BD636" s="25">
        <v>1</v>
      </c>
    </row>
    <row r="637" spans="27:56" x14ac:dyDescent="0.25">
      <c r="AA637" s="68" t="str">
        <f t="shared" si="37"/>
        <v>Fotos\\.jpg</v>
      </c>
      <c r="AB637" s="53">
        <f t="shared" si="38"/>
        <v>1.5698587127158557E-3</v>
      </c>
      <c r="AC637" s="25">
        <f t="shared" si="39"/>
        <v>637</v>
      </c>
      <c r="AD637" s="51">
        <f t="shared" si="40"/>
        <v>1</v>
      </c>
      <c r="AE637" s="25">
        <v>1</v>
      </c>
      <c r="AF637" s="25">
        <v>1</v>
      </c>
      <c r="AG637" s="25">
        <v>1</v>
      </c>
      <c r="AH637" s="25">
        <v>1</v>
      </c>
      <c r="AI637" s="25">
        <f>IF(OR(Apresentação!$E$3='Base de Dados e filtragem'!AI$2,Apresentação!$E$3='Base de Dados e filtragem'!E637),1,0)</f>
        <v>1</v>
      </c>
      <c r="AJ637" s="25">
        <f>IF(OR(Apresentação!$E$4='Base de Dados e filtragem'!AJ$2,Apresentação!$E$4='Base de Dados e filtragem'!F637),1,0)</f>
        <v>1</v>
      </c>
      <c r="AK637" s="25">
        <f>IF(OR(Apresentação!$E$5='Base de Dados e filtragem'!AK$2,Apresentação!$E$5='Base de Dados e filtragem'!G637),1,0)</f>
        <v>1</v>
      </c>
      <c r="AL637" s="25">
        <f>IF(OR(Apresentação!$E$6='Base de Dados e filtragem'!AL$2,Apresentação!$E$6='Base de Dados e filtragem'!H637),1,0)</f>
        <v>1</v>
      </c>
      <c r="AM637" s="25">
        <f>IF(OR(Apresentação!$I$2='Base de Dados e filtragem'!AM$2,Apresentação!$I$2='Base de Dados e filtragem'!I637),1,0)</f>
        <v>1</v>
      </c>
      <c r="AN637" s="25">
        <f>IF(OR(Apresentação!$I$3='Base de Dados e filtragem'!AN$2,Apresentação!$I$3='Base de Dados e filtragem'!J637),1,0)</f>
        <v>1</v>
      </c>
      <c r="AO637" s="25">
        <f>IF(OR(Apresentação!$I$4='Base de Dados e filtragem'!AO$2,Apresentação!$I$4='Base de Dados e filtragem'!K637),1,0)</f>
        <v>1</v>
      </c>
      <c r="AP637" s="25">
        <f>IF(OR(Apresentação!$I$5='Base de Dados e filtragem'!AP$2,Apresentação!$I$5='Base de Dados e filtragem'!L637),1,0)</f>
        <v>1</v>
      </c>
      <c r="AQ637" s="25">
        <f>IF(OR(Apresentação!$I$6='Base de Dados e filtragem'!AQ$2,Apresentação!$I$6='Base de Dados e filtragem'!M637),1,0)</f>
        <v>1</v>
      </c>
      <c r="AR637" s="25">
        <v>1</v>
      </c>
      <c r="AS637" s="25">
        <v>1</v>
      </c>
      <c r="AT637" s="25">
        <v>1</v>
      </c>
      <c r="AU637" s="25">
        <v>1</v>
      </c>
      <c r="AV637" s="25">
        <v>1</v>
      </c>
      <c r="AW637" s="25">
        <v>1</v>
      </c>
      <c r="AX637" s="25">
        <v>1</v>
      </c>
      <c r="AY637" s="25">
        <v>1</v>
      </c>
      <c r="AZ637" s="25">
        <v>1</v>
      </c>
      <c r="BA637" s="25">
        <v>1</v>
      </c>
      <c r="BB637" s="25">
        <v>1</v>
      </c>
      <c r="BC637" s="25">
        <v>1</v>
      </c>
      <c r="BD637" s="25">
        <v>1</v>
      </c>
    </row>
    <row r="638" spans="27:56" x14ac:dyDescent="0.25">
      <c r="AA638" s="68" t="str">
        <f t="shared" si="37"/>
        <v>Fotos\\.jpg</v>
      </c>
      <c r="AB638" s="53">
        <f t="shared" si="38"/>
        <v>1.567398119122257E-3</v>
      </c>
      <c r="AC638" s="25">
        <f t="shared" si="39"/>
        <v>638</v>
      </c>
      <c r="AD638" s="51">
        <f t="shared" si="40"/>
        <v>1</v>
      </c>
      <c r="AE638" s="25">
        <v>1</v>
      </c>
      <c r="AF638" s="25">
        <v>1</v>
      </c>
      <c r="AG638" s="25">
        <v>1</v>
      </c>
      <c r="AH638" s="25">
        <v>1</v>
      </c>
      <c r="AI638" s="25">
        <f>IF(OR(Apresentação!$E$3='Base de Dados e filtragem'!AI$2,Apresentação!$E$3='Base de Dados e filtragem'!E638),1,0)</f>
        <v>1</v>
      </c>
      <c r="AJ638" s="25">
        <f>IF(OR(Apresentação!$E$4='Base de Dados e filtragem'!AJ$2,Apresentação!$E$4='Base de Dados e filtragem'!F638),1,0)</f>
        <v>1</v>
      </c>
      <c r="AK638" s="25">
        <f>IF(OR(Apresentação!$E$5='Base de Dados e filtragem'!AK$2,Apresentação!$E$5='Base de Dados e filtragem'!G638),1,0)</f>
        <v>1</v>
      </c>
      <c r="AL638" s="25">
        <f>IF(OR(Apresentação!$E$6='Base de Dados e filtragem'!AL$2,Apresentação!$E$6='Base de Dados e filtragem'!H638),1,0)</f>
        <v>1</v>
      </c>
      <c r="AM638" s="25">
        <f>IF(OR(Apresentação!$I$2='Base de Dados e filtragem'!AM$2,Apresentação!$I$2='Base de Dados e filtragem'!I638),1,0)</f>
        <v>1</v>
      </c>
      <c r="AN638" s="25">
        <f>IF(OR(Apresentação!$I$3='Base de Dados e filtragem'!AN$2,Apresentação!$I$3='Base de Dados e filtragem'!J638),1,0)</f>
        <v>1</v>
      </c>
      <c r="AO638" s="25">
        <f>IF(OR(Apresentação!$I$4='Base de Dados e filtragem'!AO$2,Apresentação!$I$4='Base de Dados e filtragem'!K638),1,0)</f>
        <v>1</v>
      </c>
      <c r="AP638" s="25">
        <f>IF(OR(Apresentação!$I$5='Base de Dados e filtragem'!AP$2,Apresentação!$I$5='Base de Dados e filtragem'!L638),1,0)</f>
        <v>1</v>
      </c>
      <c r="AQ638" s="25">
        <f>IF(OR(Apresentação!$I$6='Base de Dados e filtragem'!AQ$2,Apresentação!$I$6='Base de Dados e filtragem'!M638),1,0)</f>
        <v>1</v>
      </c>
      <c r="AR638" s="25">
        <v>1</v>
      </c>
      <c r="AS638" s="25">
        <v>1</v>
      </c>
      <c r="AT638" s="25">
        <v>1</v>
      </c>
      <c r="AU638" s="25">
        <v>1</v>
      </c>
      <c r="AV638" s="25">
        <v>1</v>
      </c>
      <c r="AW638" s="25">
        <v>1</v>
      </c>
      <c r="AX638" s="25">
        <v>1</v>
      </c>
      <c r="AY638" s="25">
        <v>1</v>
      </c>
      <c r="AZ638" s="25">
        <v>1</v>
      </c>
      <c r="BA638" s="25">
        <v>1</v>
      </c>
      <c r="BB638" s="25">
        <v>1</v>
      </c>
      <c r="BC638" s="25">
        <v>1</v>
      </c>
      <c r="BD638" s="25">
        <v>1</v>
      </c>
    </row>
    <row r="639" spans="27:56" x14ac:dyDescent="0.25">
      <c r="AA639" s="68" t="str">
        <f t="shared" si="37"/>
        <v>Fotos\\.jpg</v>
      </c>
      <c r="AB639" s="53">
        <f t="shared" si="38"/>
        <v>1.5649452269170579E-3</v>
      </c>
      <c r="AC639" s="25">
        <f t="shared" si="39"/>
        <v>639</v>
      </c>
      <c r="AD639" s="51">
        <f t="shared" si="40"/>
        <v>1</v>
      </c>
      <c r="AE639" s="25">
        <v>1</v>
      </c>
      <c r="AF639" s="25">
        <v>1</v>
      </c>
      <c r="AG639" s="25">
        <v>1</v>
      </c>
      <c r="AH639" s="25">
        <v>1</v>
      </c>
      <c r="AI639" s="25">
        <f>IF(OR(Apresentação!$E$3='Base de Dados e filtragem'!AI$2,Apresentação!$E$3='Base de Dados e filtragem'!E639),1,0)</f>
        <v>1</v>
      </c>
      <c r="AJ639" s="25">
        <f>IF(OR(Apresentação!$E$4='Base de Dados e filtragem'!AJ$2,Apresentação!$E$4='Base de Dados e filtragem'!F639),1,0)</f>
        <v>1</v>
      </c>
      <c r="AK639" s="25">
        <f>IF(OR(Apresentação!$E$5='Base de Dados e filtragem'!AK$2,Apresentação!$E$5='Base de Dados e filtragem'!G639),1,0)</f>
        <v>1</v>
      </c>
      <c r="AL639" s="25">
        <f>IF(OR(Apresentação!$E$6='Base de Dados e filtragem'!AL$2,Apresentação!$E$6='Base de Dados e filtragem'!H639),1,0)</f>
        <v>1</v>
      </c>
      <c r="AM639" s="25">
        <f>IF(OR(Apresentação!$I$2='Base de Dados e filtragem'!AM$2,Apresentação!$I$2='Base de Dados e filtragem'!I639),1,0)</f>
        <v>1</v>
      </c>
      <c r="AN639" s="25">
        <f>IF(OR(Apresentação!$I$3='Base de Dados e filtragem'!AN$2,Apresentação!$I$3='Base de Dados e filtragem'!J639),1,0)</f>
        <v>1</v>
      </c>
      <c r="AO639" s="25">
        <f>IF(OR(Apresentação!$I$4='Base de Dados e filtragem'!AO$2,Apresentação!$I$4='Base de Dados e filtragem'!K639),1,0)</f>
        <v>1</v>
      </c>
      <c r="AP639" s="25">
        <f>IF(OR(Apresentação!$I$5='Base de Dados e filtragem'!AP$2,Apresentação!$I$5='Base de Dados e filtragem'!L639),1,0)</f>
        <v>1</v>
      </c>
      <c r="AQ639" s="25">
        <f>IF(OR(Apresentação!$I$6='Base de Dados e filtragem'!AQ$2,Apresentação!$I$6='Base de Dados e filtragem'!M639),1,0)</f>
        <v>1</v>
      </c>
      <c r="AR639" s="25">
        <v>1</v>
      </c>
      <c r="AS639" s="25">
        <v>1</v>
      </c>
      <c r="AT639" s="25">
        <v>1</v>
      </c>
      <c r="AU639" s="25">
        <v>1</v>
      </c>
      <c r="AV639" s="25">
        <v>1</v>
      </c>
      <c r="AW639" s="25">
        <v>1</v>
      </c>
      <c r="AX639" s="25">
        <v>1</v>
      </c>
      <c r="AY639" s="25">
        <v>1</v>
      </c>
      <c r="AZ639" s="25">
        <v>1</v>
      </c>
      <c r="BA639" s="25">
        <v>1</v>
      </c>
      <c r="BB639" s="25">
        <v>1</v>
      </c>
      <c r="BC639" s="25">
        <v>1</v>
      </c>
      <c r="BD639" s="25">
        <v>1</v>
      </c>
    </row>
    <row r="640" spans="27:56" x14ac:dyDescent="0.25">
      <c r="AA640" s="68" t="str">
        <f t="shared" si="37"/>
        <v>Fotos\\.jpg</v>
      </c>
      <c r="AB640" s="53">
        <f t="shared" si="38"/>
        <v>1.5625000000000001E-3</v>
      </c>
      <c r="AC640" s="25">
        <f t="shared" si="39"/>
        <v>640</v>
      </c>
      <c r="AD640" s="51">
        <f t="shared" si="40"/>
        <v>1</v>
      </c>
      <c r="AE640" s="25">
        <v>1</v>
      </c>
      <c r="AF640" s="25">
        <v>1</v>
      </c>
      <c r="AG640" s="25">
        <v>1</v>
      </c>
      <c r="AH640" s="25">
        <v>1</v>
      </c>
      <c r="AI640" s="25">
        <f>IF(OR(Apresentação!$E$3='Base de Dados e filtragem'!AI$2,Apresentação!$E$3='Base de Dados e filtragem'!E640),1,0)</f>
        <v>1</v>
      </c>
      <c r="AJ640" s="25">
        <f>IF(OR(Apresentação!$E$4='Base de Dados e filtragem'!AJ$2,Apresentação!$E$4='Base de Dados e filtragem'!F640),1,0)</f>
        <v>1</v>
      </c>
      <c r="AK640" s="25">
        <f>IF(OR(Apresentação!$E$5='Base de Dados e filtragem'!AK$2,Apresentação!$E$5='Base de Dados e filtragem'!G640),1,0)</f>
        <v>1</v>
      </c>
      <c r="AL640" s="25">
        <f>IF(OR(Apresentação!$E$6='Base de Dados e filtragem'!AL$2,Apresentação!$E$6='Base de Dados e filtragem'!H640),1,0)</f>
        <v>1</v>
      </c>
      <c r="AM640" s="25">
        <f>IF(OR(Apresentação!$I$2='Base de Dados e filtragem'!AM$2,Apresentação!$I$2='Base de Dados e filtragem'!I640),1,0)</f>
        <v>1</v>
      </c>
      <c r="AN640" s="25">
        <f>IF(OR(Apresentação!$I$3='Base de Dados e filtragem'!AN$2,Apresentação!$I$3='Base de Dados e filtragem'!J640),1,0)</f>
        <v>1</v>
      </c>
      <c r="AO640" s="25">
        <f>IF(OR(Apresentação!$I$4='Base de Dados e filtragem'!AO$2,Apresentação!$I$4='Base de Dados e filtragem'!K640),1,0)</f>
        <v>1</v>
      </c>
      <c r="AP640" s="25">
        <f>IF(OR(Apresentação!$I$5='Base de Dados e filtragem'!AP$2,Apresentação!$I$5='Base de Dados e filtragem'!L640),1,0)</f>
        <v>1</v>
      </c>
      <c r="AQ640" s="25">
        <f>IF(OR(Apresentação!$I$6='Base de Dados e filtragem'!AQ$2,Apresentação!$I$6='Base de Dados e filtragem'!M640),1,0)</f>
        <v>1</v>
      </c>
      <c r="AR640" s="25">
        <v>1</v>
      </c>
      <c r="AS640" s="25">
        <v>1</v>
      </c>
      <c r="AT640" s="25">
        <v>1</v>
      </c>
      <c r="AU640" s="25">
        <v>1</v>
      </c>
      <c r="AV640" s="25">
        <v>1</v>
      </c>
      <c r="AW640" s="25">
        <v>1</v>
      </c>
      <c r="AX640" s="25">
        <v>1</v>
      </c>
      <c r="AY640" s="25">
        <v>1</v>
      </c>
      <c r="AZ640" s="25">
        <v>1</v>
      </c>
      <c r="BA640" s="25">
        <v>1</v>
      </c>
      <c r="BB640" s="25">
        <v>1</v>
      </c>
      <c r="BC640" s="25">
        <v>1</v>
      </c>
      <c r="BD640" s="25">
        <v>1</v>
      </c>
    </row>
    <row r="641" spans="27:56" x14ac:dyDescent="0.25">
      <c r="AA641" s="68" t="str">
        <f t="shared" si="37"/>
        <v>Fotos\\.jpg</v>
      </c>
      <c r="AB641" s="53">
        <f t="shared" si="38"/>
        <v>1.5600624024960999E-3</v>
      </c>
      <c r="AC641" s="25">
        <f t="shared" si="39"/>
        <v>641</v>
      </c>
      <c r="AD641" s="51">
        <f t="shared" si="40"/>
        <v>1</v>
      </c>
      <c r="AE641" s="25">
        <v>1</v>
      </c>
      <c r="AF641" s="25">
        <v>1</v>
      </c>
      <c r="AG641" s="25">
        <v>1</v>
      </c>
      <c r="AH641" s="25">
        <v>1</v>
      </c>
      <c r="AI641" s="25">
        <f>IF(OR(Apresentação!$E$3='Base de Dados e filtragem'!AI$2,Apresentação!$E$3='Base de Dados e filtragem'!E641),1,0)</f>
        <v>1</v>
      </c>
      <c r="AJ641" s="25">
        <f>IF(OR(Apresentação!$E$4='Base de Dados e filtragem'!AJ$2,Apresentação!$E$4='Base de Dados e filtragem'!F641),1,0)</f>
        <v>1</v>
      </c>
      <c r="AK641" s="25">
        <f>IF(OR(Apresentação!$E$5='Base de Dados e filtragem'!AK$2,Apresentação!$E$5='Base de Dados e filtragem'!G641),1,0)</f>
        <v>1</v>
      </c>
      <c r="AL641" s="25">
        <f>IF(OR(Apresentação!$E$6='Base de Dados e filtragem'!AL$2,Apresentação!$E$6='Base de Dados e filtragem'!H641),1,0)</f>
        <v>1</v>
      </c>
      <c r="AM641" s="25">
        <f>IF(OR(Apresentação!$I$2='Base de Dados e filtragem'!AM$2,Apresentação!$I$2='Base de Dados e filtragem'!I641),1,0)</f>
        <v>1</v>
      </c>
      <c r="AN641" s="25">
        <f>IF(OR(Apresentação!$I$3='Base de Dados e filtragem'!AN$2,Apresentação!$I$3='Base de Dados e filtragem'!J641),1,0)</f>
        <v>1</v>
      </c>
      <c r="AO641" s="25">
        <f>IF(OR(Apresentação!$I$4='Base de Dados e filtragem'!AO$2,Apresentação!$I$4='Base de Dados e filtragem'!K641),1,0)</f>
        <v>1</v>
      </c>
      <c r="AP641" s="25">
        <f>IF(OR(Apresentação!$I$5='Base de Dados e filtragem'!AP$2,Apresentação!$I$5='Base de Dados e filtragem'!L641),1,0)</f>
        <v>1</v>
      </c>
      <c r="AQ641" s="25">
        <f>IF(OR(Apresentação!$I$6='Base de Dados e filtragem'!AQ$2,Apresentação!$I$6='Base de Dados e filtragem'!M641),1,0)</f>
        <v>1</v>
      </c>
      <c r="AR641" s="25">
        <v>1</v>
      </c>
      <c r="AS641" s="25">
        <v>1</v>
      </c>
      <c r="AT641" s="25">
        <v>1</v>
      </c>
      <c r="AU641" s="25">
        <v>1</v>
      </c>
      <c r="AV641" s="25">
        <v>1</v>
      </c>
      <c r="AW641" s="25">
        <v>1</v>
      </c>
      <c r="AX641" s="25">
        <v>1</v>
      </c>
      <c r="AY641" s="25">
        <v>1</v>
      </c>
      <c r="AZ641" s="25">
        <v>1</v>
      </c>
      <c r="BA641" s="25">
        <v>1</v>
      </c>
      <c r="BB641" s="25">
        <v>1</v>
      </c>
      <c r="BC641" s="25">
        <v>1</v>
      </c>
      <c r="BD641" s="25">
        <v>1</v>
      </c>
    </row>
    <row r="642" spans="27:56" x14ac:dyDescent="0.25">
      <c r="AA642" s="68" t="str">
        <f t="shared" si="37"/>
        <v>Fotos\\.jpg</v>
      </c>
      <c r="AB642" s="53">
        <f t="shared" si="38"/>
        <v>1.557632398753894E-3</v>
      </c>
      <c r="AC642" s="25">
        <f t="shared" si="39"/>
        <v>642</v>
      </c>
      <c r="AD642" s="51">
        <f t="shared" si="40"/>
        <v>1</v>
      </c>
      <c r="AE642" s="25">
        <v>1</v>
      </c>
      <c r="AF642" s="25">
        <v>1</v>
      </c>
      <c r="AG642" s="25">
        <v>1</v>
      </c>
      <c r="AH642" s="25">
        <v>1</v>
      </c>
      <c r="AI642" s="25">
        <f>IF(OR(Apresentação!$E$3='Base de Dados e filtragem'!AI$2,Apresentação!$E$3='Base de Dados e filtragem'!E642),1,0)</f>
        <v>1</v>
      </c>
      <c r="AJ642" s="25">
        <f>IF(OR(Apresentação!$E$4='Base de Dados e filtragem'!AJ$2,Apresentação!$E$4='Base de Dados e filtragem'!F642),1,0)</f>
        <v>1</v>
      </c>
      <c r="AK642" s="25">
        <f>IF(OR(Apresentação!$E$5='Base de Dados e filtragem'!AK$2,Apresentação!$E$5='Base de Dados e filtragem'!G642),1,0)</f>
        <v>1</v>
      </c>
      <c r="AL642" s="25">
        <f>IF(OR(Apresentação!$E$6='Base de Dados e filtragem'!AL$2,Apresentação!$E$6='Base de Dados e filtragem'!H642),1,0)</f>
        <v>1</v>
      </c>
      <c r="AM642" s="25">
        <f>IF(OR(Apresentação!$I$2='Base de Dados e filtragem'!AM$2,Apresentação!$I$2='Base de Dados e filtragem'!I642),1,0)</f>
        <v>1</v>
      </c>
      <c r="AN642" s="25">
        <f>IF(OR(Apresentação!$I$3='Base de Dados e filtragem'!AN$2,Apresentação!$I$3='Base de Dados e filtragem'!J642),1,0)</f>
        <v>1</v>
      </c>
      <c r="AO642" s="25">
        <f>IF(OR(Apresentação!$I$4='Base de Dados e filtragem'!AO$2,Apresentação!$I$4='Base de Dados e filtragem'!K642),1,0)</f>
        <v>1</v>
      </c>
      <c r="AP642" s="25">
        <f>IF(OR(Apresentação!$I$5='Base de Dados e filtragem'!AP$2,Apresentação!$I$5='Base de Dados e filtragem'!L642),1,0)</f>
        <v>1</v>
      </c>
      <c r="AQ642" s="25">
        <f>IF(OR(Apresentação!$I$6='Base de Dados e filtragem'!AQ$2,Apresentação!$I$6='Base de Dados e filtragem'!M642),1,0)</f>
        <v>1</v>
      </c>
      <c r="AR642" s="25">
        <v>1</v>
      </c>
      <c r="AS642" s="25">
        <v>1</v>
      </c>
      <c r="AT642" s="25">
        <v>1</v>
      </c>
      <c r="AU642" s="25">
        <v>1</v>
      </c>
      <c r="AV642" s="25">
        <v>1</v>
      </c>
      <c r="AW642" s="25">
        <v>1</v>
      </c>
      <c r="AX642" s="25">
        <v>1</v>
      </c>
      <c r="AY642" s="25">
        <v>1</v>
      </c>
      <c r="AZ642" s="25">
        <v>1</v>
      </c>
      <c r="BA642" s="25">
        <v>1</v>
      </c>
      <c r="BB642" s="25">
        <v>1</v>
      </c>
      <c r="BC642" s="25">
        <v>1</v>
      </c>
      <c r="BD642" s="25">
        <v>1</v>
      </c>
    </row>
    <row r="643" spans="27:56" x14ac:dyDescent="0.25">
      <c r="AA643" s="68" t="str">
        <f t="shared" si="37"/>
        <v>Fotos\\.jpg</v>
      </c>
      <c r="AB643" s="53">
        <f t="shared" si="38"/>
        <v>1.5552099533437014E-3</v>
      </c>
      <c r="AC643" s="25">
        <f t="shared" si="39"/>
        <v>643</v>
      </c>
      <c r="AD643" s="51">
        <f t="shared" si="40"/>
        <v>1</v>
      </c>
      <c r="AE643" s="25">
        <v>1</v>
      </c>
      <c r="AF643" s="25">
        <v>1</v>
      </c>
      <c r="AG643" s="25">
        <v>1</v>
      </c>
      <c r="AH643" s="25">
        <v>1</v>
      </c>
      <c r="AI643" s="25">
        <f>IF(OR(Apresentação!$E$3='Base de Dados e filtragem'!AI$2,Apresentação!$E$3='Base de Dados e filtragem'!E643),1,0)</f>
        <v>1</v>
      </c>
      <c r="AJ643" s="25">
        <f>IF(OR(Apresentação!$E$4='Base de Dados e filtragem'!AJ$2,Apresentação!$E$4='Base de Dados e filtragem'!F643),1,0)</f>
        <v>1</v>
      </c>
      <c r="AK643" s="25">
        <f>IF(OR(Apresentação!$E$5='Base de Dados e filtragem'!AK$2,Apresentação!$E$5='Base de Dados e filtragem'!G643),1,0)</f>
        <v>1</v>
      </c>
      <c r="AL643" s="25">
        <f>IF(OR(Apresentação!$E$6='Base de Dados e filtragem'!AL$2,Apresentação!$E$6='Base de Dados e filtragem'!H643),1,0)</f>
        <v>1</v>
      </c>
      <c r="AM643" s="25">
        <f>IF(OR(Apresentação!$I$2='Base de Dados e filtragem'!AM$2,Apresentação!$I$2='Base de Dados e filtragem'!I643),1,0)</f>
        <v>1</v>
      </c>
      <c r="AN643" s="25">
        <f>IF(OR(Apresentação!$I$3='Base de Dados e filtragem'!AN$2,Apresentação!$I$3='Base de Dados e filtragem'!J643),1,0)</f>
        <v>1</v>
      </c>
      <c r="AO643" s="25">
        <f>IF(OR(Apresentação!$I$4='Base de Dados e filtragem'!AO$2,Apresentação!$I$4='Base de Dados e filtragem'!K643),1,0)</f>
        <v>1</v>
      </c>
      <c r="AP643" s="25">
        <f>IF(OR(Apresentação!$I$5='Base de Dados e filtragem'!AP$2,Apresentação!$I$5='Base de Dados e filtragem'!L643),1,0)</f>
        <v>1</v>
      </c>
      <c r="AQ643" s="25">
        <f>IF(OR(Apresentação!$I$6='Base de Dados e filtragem'!AQ$2,Apresentação!$I$6='Base de Dados e filtragem'!M643),1,0)</f>
        <v>1</v>
      </c>
      <c r="AR643" s="25">
        <v>1</v>
      </c>
      <c r="AS643" s="25">
        <v>1</v>
      </c>
      <c r="AT643" s="25">
        <v>1</v>
      </c>
      <c r="AU643" s="25">
        <v>1</v>
      </c>
      <c r="AV643" s="25">
        <v>1</v>
      </c>
      <c r="AW643" s="25">
        <v>1</v>
      </c>
      <c r="AX643" s="25">
        <v>1</v>
      </c>
      <c r="AY643" s="25">
        <v>1</v>
      </c>
      <c r="AZ643" s="25">
        <v>1</v>
      </c>
      <c r="BA643" s="25">
        <v>1</v>
      </c>
      <c r="BB643" s="25">
        <v>1</v>
      </c>
      <c r="BC643" s="25">
        <v>1</v>
      </c>
      <c r="BD643" s="25">
        <v>1</v>
      </c>
    </row>
    <row r="644" spans="27:56" x14ac:dyDescent="0.25">
      <c r="AA644" s="68" t="str">
        <f t="shared" ref="AA644:AA707" si="41">"Fotos\"&amp;I644&amp;"\"&amp;A644&amp;".jpg"</f>
        <v>Fotos\\.jpg</v>
      </c>
      <c r="AB644" s="53">
        <f t="shared" ref="AB644:AB707" si="42">AD644/AC644</f>
        <v>1.5527950310559005E-3</v>
      </c>
      <c r="AC644" s="25">
        <f t="shared" ref="AC644:AC707" si="43">AC643+1</f>
        <v>644</v>
      </c>
      <c r="AD644" s="51">
        <f t="shared" ref="AD644:AD707" si="44">PRODUCT(AE644:BD644)</f>
        <v>1</v>
      </c>
      <c r="AE644" s="25">
        <v>1</v>
      </c>
      <c r="AF644" s="25">
        <v>1</v>
      </c>
      <c r="AG644" s="25">
        <v>1</v>
      </c>
      <c r="AH644" s="25">
        <v>1</v>
      </c>
      <c r="AI644" s="25">
        <f>IF(OR(Apresentação!$E$3='Base de Dados e filtragem'!AI$2,Apresentação!$E$3='Base de Dados e filtragem'!E644),1,0)</f>
        <v>1</v>
      </c>
      <c r="AJ644" s="25">
        <f>IF(OR(Apresentação!$E$4='Base de Dados e filtragem'!AJ$2,Apresentação!$E$4='Base de Dados e filtragem'!F644),1,0)</f>
        <v>1</v>
      </c>
      <c r="AK644" s="25">
        <f>IF(OR(Apresentação!$E$5='Base de Dados e filtragem'!AK$2,Apresentação!$E$5='Base de Dados e filtragem'!G644),1,0)</f>
        <v>1</v>
      </c>
      <c r="AL644" s="25">
        <f>IF(OR(Apresentação!$E$6='Base de Dados e filtragem'!AL$2,Apresentação!$E$6='Base de Dados e filtragem'!H644),1,0)</f>
        <v>1</v>
      </c>
      <c r="AM644" s="25">
        <f>IF(OR(Apresentação!$I$2='Base de Dados e filtragem'!AM$2,Apresentação!$I$2='Base de Dados e filtragem'!I644),1,0)</f>
        <v>1</v>
      </c>
      <c r="AN644" s="25">
        <f>IF(OR(Apresentação!$I$3='Base de Dados e filtragem'!AN$2,Apresentação!$I$3='Base de Dados e filtragem'!J644),1,0)</f>
        <v>1</v>
      </c>
      <c r="AO644" s="25">
        <f>IF(OR(Apresentação!$I$4='Base de Dados e filtragem'!AO$2,Apresentação!$I$4='Base de Dados e filtragem'!K644),1,0)</f>
        <v>1</v>
      </c>
      <c r="AP644" s="25">
        <f>IF(OR(Apresentação!$I$5='Base de Dados e filtragem'!AP$2,Apresentação!$I$5='Base de Dados e filtragem'!L644),1,0)</f>
        <v>1</v>
      </c>
      <c r="AQ644" s="25">
        <f>IF(OR(Apresentação!$I$6='Base de Dados e filtragem'!AQ$2,Apresentação!$I$6='Base de Dados e filtragem'!M644),1,0)</f>
        <v>1</v>
      </c>
      <c r="AR644" s="25">
        <v>1</v>
      </c>
      <c r="AS644" s="25">
        <v>1</v>
      </c>
      <c r="AT644" s="25">
        <v>1</v>
      </c>
      <c r="AU644" s="25">
        <v>1</v>
      </c>
      <c r="AV644" s="25">
        <v>1</v>
      </c>
      <c r="AW644" s="25">
        <v>1</v>
      </c>
      <c r="AX644" s="25">
        <v>1</v>
      </c>
      <c r="AY644" s="25">
        <v>1</v>
      </c>
      <c r="AZ644" s="25">
        <v>1</v>
      </c>
      <c r="BA644" s="25">
        <v>1</v>
      </c>
      <c r="BB644" s="25">
        <v>1</v>
      </c>
      <c r="BC644" s="25">
        <v>1</v>
      </c>
      <c r="BD644" s="25">
        <v>1</v>
      </c>
    </row>
    <row r="645" spans="27:56" x14ac:dyDescent="0.25">
      <c r="AA645" s="68" t="str">
        <f t="shared" si="41"/>
        <v>Fotos\\.jpg</v>
      </c>
      <c r="AB645" s="53">
        <f t="shared" si="42"/>
        <v>1.5503875968992248E-3</v>
      </c>
      <c r="AC645" s="25">
        <f t="shared" si="43"/>
        <v>645</v>
      </c>
      <c r="AD645" s="51">
        <f t="shared" si="44"/>
        <v>1</v>
      </c>
      <c r="AE645" s="25">
        <v>1</v>
      </c>
      <c r="AF645" s="25">
        <v>1</v>
      </c>
      <c r="AG645" s="25">
        <v>1</v>
      </c>
      <c r="AH645" s="25">
        <v>1</v>
      </c>
      <c r="AI645" s="25">
        <f>IF(OR(Apresentação!$E$3='Base de Dados e filtragem'!AI$2,Apresentação!$E$3='Base de Dados e filtragem'!E645),1,0)</f>
        <v>1</v>
      </c>
      <c r="AJ645" s="25">
        <f>IF(OR(Apresentação!$E$4='Base de Dados e filtragem'!AJ$2,Apresentação!$E$4='Base de Dados e filtragem'!F645),1,0)</f>
        <v>1</v>
      </c>
      <c r="AK645" s="25">
        <f>IF(OR(Apresentação!$E$5='Base de Dados e filtragem'!AK$2,Apresentação!$E$5='Base de Dados e filtragem'!G645),1,0)</f>
        <v>1</v>
      </c>
      <c r="AL645" s="25">
        <f>IF(OR(Apresentação!$E$6='Base de Dados e filtragem'!AL$2,Apresentação!$E$6='Base de Dados e filtragem'!H645),1,0)</f>
        <v>1</v>
      </c>
      <c r="AM645" s="25">
        <f>IF(OR(Apresentação!$I$2='Base de Dados e filtragem'!AM$2,Apresentação!$I$2='Base de Dados e filtragem'!I645),1,0)</f>
        <v>1</v>
      </c>
      <c r="AN645" s="25">
        <f>IF(OR(Apresentação!$I$3='Base de Dados e filtragem'!AN$2,Apresentação!$I$3='Base de Dados e filtragem'!J645),1,0)</f>
        <v>1</v>
      </c>
      <c r="AO645" s="25">
        <f>IF(OR(Apresentação!$I$4='Base de Dados e filtragem'!AO$2,Apresentação!$I$4='Base de Dados e filtragem'!K645),1,0)</f>
        <v>1</v>
      </c>
      <c r="AP645" s="25">
        <f>IF(OR(Apresentação!$I$5='Base de Dados e filtragem'!AP$2,Apresentação!$I$5='Base de Dados e filtragem'!L645),1,0)</f>
        <v>1</v>
      </c>
      <c r="AQ645" s="25">
        <f>IF(OR(Apresentação!$I$6='Base de Dados e filtragem'!AQ$2,Apresentação!$I$6='Base de Dados e filtragem'!M645),1,0)</f>
        <v>1</v>
      </c>
      <c r="AR645" s="25">
        <v>1</v>
      </c>
      <c r="AS645" s="25">
        <v>1</v>
      </c>
      <c r="AT645" s="25">
        <v>1</v>
      </c>
      <c r="AU645" s="25">
        <v>1</v>
      </c>
      <c r="AV645" s="25">
        <v>1</v>
      </c>
      <c r="AW645" s="25">
        <v>1</v>
      </c>
      <c r="AX645" s="25">
        <v>1</v>
      </c>
      <c r="AY645" s="25">
        <v>1</v>
      </c>
      <c r="AZ645" s="25">
        <v>1</v>
      </c>
      <c r="BA645" s="25">
        <v>1</v>
      </c>
      <c r="BB645" s="25">
        <v>1</v>
      </c>
      <c r="BC645" s="25">
        <v>1</v>
      </c>
      <c r="BD645" s="25">
        <v>1</v>
      </c>
    </row>
    <row r="646" spans="27:56" x14ac:dyDescent="0.25">
      <c r="AA646" s="68" t="str">
        <f t="shared" si="41"/>
        <v>Fotos\\.jpg</v>
      </c>
      <c r="AB646" s="53">
        <f t="shared" si="42"/>
        <v>1.5479876160990713E-3</v>
      </c>
      <c r="AC646" s="25">
        <f t="shared" si="43"/>
        <v>646</v>
      </c>
      <c r="AD646" s="51">
        <f t="shared" si="44"/>
        <v>1</v>
      </c>
      <c r="AE646" s="25">
        <v>1</v>
      </c>
      <c r="AF646" s="25">
        <v>1</v>
      </c>
      <c r="AG646" s="25">
        <v>1</v>
      </c>
      <c r="AH646" s="25">
        <v>1</v>
      </c>
      <c r="AI646" s="25">
        <f>IF(OR(Apresentação!$E$3='Base de Dados e filtragem'!AI$2,Apresentação!$E$3='Base de Dados e filtragem'!E646),1,0)</f>
        <v>1</v>
      </c>
      <c r="AJ646" s="25">
        <f>IF(OR(Apresentação!$E$4='Base de Dados e filtragem'!AJ$2,Apresentação!$E$4='Base de Dados e filtragem'!F646),1,0)</f>
        <v>1</v>
      </c>
      <c r="AK646" s="25">
        <f>IF(OR(Apresentação!$E$5='Base de Dados e filtragem'!AK$2,Apresentação!$E$5='Base de Dados e filtragem'!G646),1,0)</f>
        <v>1</v>
      </c>
      <c r="AL646" s="25">
        <f>IF(OR(Apresentação!$E$6='Base de Dados e filtragem'!AL$2,Apresentação!$E$6='Base de Dados e filtragem'!H646),1,0)</f>
        <v>1</v>
      </c>
      <c r="AM646" s="25">
        <f>IF(OR(Apresentação!$I$2='Base de Dados e filtragem'!AM$2,Apresentação!$I$2='Base de Dados e filtragem'!I646),1,0)</f>
        <v>1</v>
      </c>
      <c r="AN646" s="25">
        <f>IF(OR(Apresentação!$I$3='Base de Dados e filtragem'!AN$2,Apresentação!$I$3='Base de Dados e filtragem'!J646),1,0)</f>
        <v>1</v>
      </c>
      <c r="AO646" s="25">
        <f>IF(OR(Apresentação!$I$4='Base de Dados e filtragem'!AO$2,Apresentação!$I$4='Base de Dados e filtragem'!K646),1,0)</f>
        <v>1</v>
      </c>
      <c r="AP646" s="25">
        <f>IF(OR(Apresentação!$I$5='Base de Dados e filtragem'!AP$2,Apresentação!$I$5='Base de Dados e filtragem'!L646),1,0)</f>
        <v>1</v>
      </c>
      <c r="AQ646" s="25">
        <f>IF(OR(Apresentação!$I$6='Base de Dados e filtragem'!AQ$2,Apresentação!$I$6='Base de Dados e filtragem'!M646),1,0)</f>
        <v>1</v>
      </c>
      <c r="AR646" s="25">
        <v>1</v>
      </c>
      <c r="AS646" s="25">
        <v>1</v>
      </c>
      <c r="AT646" s="25">
        <v>1</v>
      </c>
      <c r="AU646" s="25">
        <v>1</v>
      </c>
      <c r="AV646" s="25">
        <v>1</v>
      </c>
      <c r="AW646" s="25">
        <v>1</v>
      </c>
      <c r="AX646" s="25">
        <v>1</v>
      </c>
      <c r="AY646" s="25">
        <v>1</v>
      </c>
      <c r="AZ646" s="25">
        <v>1</v>
      </c>
      <c r="BA646" s="25">
        <v>1</v>
      </c>
      <c r="BB646" s="25">
        <v>1</v>
      </c>
      <c r="BC646" s="25">
        <v>1</v>
      </c>
      <c r="BD646" s="25">
        <v>1</v>
      </c>
    </row>
    <row r="647" spans="27:56" x14ac:dyDescent="0.25">
      <c r="AA647" s="68" t="str">
        <f t="shared" si="41"/>
        <v>Fotos\\.jpg</v>
      </c>
      <c r="AB647" s="53">
        <f t="shared" si="42"/>
        <v>1.5455950540958269E-3</v>
      </c>
      <c r="AC647" s="25">
        <f t="shared" si="43"/>
        <v>647</v>
      </c>
      <c r="AD647" s="51">
        <f t="shared" si="44"/>
        <v>1</v>
      </c>
      <c r="AE647" s="25">
        <v>1</v>
      </c>
      <c r="AF647" s="25">
        <v>1</v>
      </c>
      <c r="AG647" s="25">
        <v>1</v>
      </c>
      <c r="AH647" s="25">
        <v>1</v>
      </c>
      <c r="AI647" s="25">
        <f>IF(OR(Apresentação!$E$3='Base de Dados e filtragem'!AI$2,Apresentação!$E$3='Base de Dados e filtragem'!E647),1,0)</f>
        <v>1</v>
      </c>
      <c r="AJ647" s="25">
        <f>IF(OR(Apresentação!$E$4='Base de Dados e filtragem'!AJ$2,Apresentação!$E$4='Base de Dados e filtragem'!F647),1,0)</f>
        <v>1</v>
      </c>
      <c r="AK647" s="25">
        <f>IF(OR(Apresentação!$E$5='Base de Dados e filtragem'!AK$2,Apresentação!$E$5='Base de Dados e filtragem'!G647),1,0)</f>
        <v>1</v>
      </c>
      <c r="AL647" s="25">
        <f>IF(OR(Apresentação!$E$6='Base de Dados e filtragem'!AL$2,Apresentação!$E$6='Base de Dados e filtragem'!H647),1,0)</f>
        <v>1</v>
      </c>
      <c r="AM647" s="25">
        <f>IF(OR(Apresentação!$I$2='Base de Dados e filtragem'!AM$2,Apresentação!$I$2='Base de Dados e filtragem'!I647),1,0)</f>
        <v>1</v>
      </c>
      <c r="AN647" s="25">
        <f>IF(OR(Apresentação!$I$3='Base de Dados e filtragem'!AN$2,Apresentação!$I$3='Base de Dados e filtragem'!J647),1,0)</f>
        <v>1</v>
      </c>
      <c r="AO647" s="25">
        <f>IF(OR(Apresentação!$I$4='Base de Dados e filtragem'!AO$2,Apresentação!$I$4='Base de Dados e filtragem'!K647),1,0)</f>
        <v>1</v>
      </c>
      <c r="AP647" s="25">
        <f>IF(OR(Apresentação!$I$5='Base de Dados e filtragem'!AP$2,Apresentação!$I$5='Base de Dados e filtragem'!L647),1,0)</f>
        <v>1</v>
      </c>
      <c r="AQ647" s="25">
        <f>IF(OR(Apresentação!$I$6='Base de Dados e filtragem'!AQ$2,Apresentação!$I$6='Base de Dados e filtragem'!M647),1,0)</f>
        <v>1</v>
      </c>
      <c r="AR647" s="25">
        <v>1</v>
      </c>
      <c r="AS647" s="25">
        <v>1</v>
      </c>
      <c r="AT647" s="25">
        <v>1</v>
      </c>
      <c r="AU647" s="25">
        <v>1</v>
      </c>
      <c r="AV647" s="25">
        <v>1</v>
      </c>
      <c r="AW647" s="25">
        <v>1</v>
      </c>
      <c r="AX647" s="25">
        <v>1</v>
      </c>
      <c r="AY647" s="25">
        <v>1</v>
      </c>
      <c r="AZ647" s="25">
        <v>1</v>
      </c>
      <c r="BA647" s="25">
        <v>1</v>
      </c>
      <c r="BB647" s="25">
        <v>1</v>
      </c>
      <c r="BC647" s="25">
        <v>1</v>
      </c>
      <c r="BD647" s="25">
        <v>1</v>
      </c>
    </row>
    <row r="648" spans="27:56" x14ac:dyDescent="0.25">
      <c r="AA648" s="68" t="str">
        <f t="shared" si="41"/>
        <v>Fotos\\.jpg</v>
      </c>
      <c r="AB648" s="53">
        <f t="shared" si="42"/>
        <v>1.5432098765432098E-3</v>
      </c>
      <c r="AC648" s="25">
        <f t="shared" si="43"/>
        <v>648</v>
      </c>
      <c r="AD648" s="51">
        <f t="shared" si="44"/>
        <v>1</v>
      </c>
      <c r="AE648" s="25">
        <v>1</v>
      </c>
      <c r="AF648" s="25">
        <v>1</v>
      </c>
      <c r="AG648" s="25">
        <v>1</v>
      </c>
      <c r="AH648" s="25">
        <v>1</v>
      </c>
      <c r="AI648" s="25">
        <f>IF(OR(Apresentação!$E$3='Base de Dados e filtragem'!AI$2,Apresentação!$E$3='Base de Dados e filtragem'!E648),1,0)</f>
        <v>1</v>
      </c>
      <c r="AJ648" s="25">
        <f>IF(OR(Apresentação!$E$4='Base de Dados e filtragem'!AJ$2,Apresentação!$E$4='Base de Dados e filtragem'!F648),1,0)</f>
        <v>1</v>
      </c>
      <c r="AK648" s="25">
        <f>IF(OR(Apresentação!$E$5='Base de Dados e filtragem'!AK$2,Apresentação!$E$5='Base de Dados e filtragem'!G648),1,0)</f>
        <v>1</v>
      </c>
      <c r="AL648" s="25">
        <f>IF(OR(Apresentação!$E$6='Base de Dados e filtragem'!AL$2,Apresentação!$E$6='Base de Dados e filtragem'!H648),1,0)</f>
        <v>1</v>
      </c>
      <c r="AM648" s="25">
        <f>IF(OR(Apresentação!$I$2='Base de Dados e filtragem'!AM$2,Apresentação!$I$2='Base de Dados e filtragem'!I648),1,0)</f>
        <v>1</v>
      </c>
      <c r="AN648" s="25">
        <f>IF(OR(Apresentação!$I$3='Base de Dados e filtragem'!AN$2,Apresentação!$I$3='Base de Dados e filtragem'!J648),1,0)</f>
        <v>1</v>
      </c>
      <c r="AO648" s="25">
        <f>IF(OR(Apresentação!$I$4='Base de Dados e filtragem'!AO$2,Apresentação!$I$4='Base de Dados e filtragem'!K648),1,0)</f>
        <v>1</v>
      </c>
      <c r="AP648" s="25">
        <f>IF(OR(Apresentação!$I$5='Base de Dados e filtragem'!AP$2,Apresentação!$I$5='Base de Dados e filtragem'!L648),1,0)</f>
        <v>1</v>
      </c>
      <c r="AQ648" s="25">
        <f>IF(OR(Apresentação!$I$6='Base de Dados e filtragem'!AQ$2,Apresentação!$I$6='Base de Dados e filtragem'!M648),1,0)</f>
        <v>1</v>
      </c>
      <c r="AR648" s="25">
        <v>1</v>
      </c>
      <c r="AS648" s="25">
        <v>1</v>
      </c>
      <c r="AT648" s="25">
        <v>1</v>
      </c>
      <c r="AU648" s="25">
        <v>1</v>
      </c>
      <c r="AV648" s="25">
        <v>1</v>
      </c>
      <c r="AW648" s="25">
        <v>1</v>
      </c>
      <c r="AX648" s="25">
        <v>1</v>
      </c>
      <c r="AY648" s="25">
        <v>1</v>
      </c>
      <c r="AZ648" s="25">
        <v>1</v>
      </c>
      <c r="BA648" s="25">
        <v>1</v>
      </c>
      <c r="BB648" s="25">
        <v>1</v>
      </c>
      <c r="BC648" s="25">
        <v>1</v>
      </c>
      <c r="BD648" s="25">
        <v>1</v>
      </c>
    </row>
    <row r="649" spans="27:56" x14ac:dyDescent="0.25">
      <c r="AA649" s="68" t="str">
        <f t="shared" si="41"/>
        <v>Fotos\\.jpg</v>
      </c>
      <c r="AB649" s="53">
        <f t="shared" si="42"/>
        <v>1.5408320493066256E-3</v>
      </c>
      <c r="AC649" s="25">
        <f t="shared" si="43"/>
        <v>649</v>
      </c>
      <c r="AD649" s="51">
        <f t="shared" si="44"/>
        <v>1</v>
      </c>
      <c r="AE649" s="25">
        <v>1</v>
      </c>
      <c r="AF649" s="25">
        <v>1</v>
      </c>
      <c r="AG649" s="25">
        <v>1</v>
      </c>
      <c r="AH649" s="25">
        <v>1</v>
      </c>
      <c r="AI649" s="25">
        <f>IF(OR(Apresentação!$E$3='Base de Dados e filtragem'!AI$2,Apresentação!$E$3='Base de Dados e filtragem'!E649),1,0)</f>
        <v>1</v>
      </c>
      <c r="AJ649" s="25">
        <f>IF(OR(Apresentação!$E$4='Base de Dados e filtragem'!AJ$2,Apresentação!$E$4='Base de Dados e filtragem'!F649),1,0)</f>
        <v>1</v>
      </c>
      <c r="AK649" s="25">
        <f>IF(OR(Apresentação!$E$5='Base de Dados e filtragem'!AK$2,Apresentação!$E$5='Base de Dados e filtragem'!G649),1,0)</f>
        <v>1</v>
      </c>
      <c r="AL649" s="25">
        <f>IF(OR(Apresentação!$E$6='Base de Dados e filtragem'!AL$2,Apresentação!$E$6='Base de Dados e filtragem'!H649),1,0)</f>
        <v>1</v>
      </c>
      <c r="AM649" s="25">
        <f>IF(OR(Apresentação!$I$2='Base de Dados e filtragem'!AM$2,Apresentação!$I$2='Base de Dados e filtragem'!I649),1,0)</f>
        <v>1</v>
      </c>
      <c r="AN649" s="25">
        <f>IF(OR(Apresentação!$I$3='Base de Dados e filtragem'!AN$2,Apresentação!$I$3='Base de Dados e filtragem'!J649),1,0)</f>
        <v>1</v>
      </c>
      <c r="AO649" s="25">
        <f>IF(OR(Apresentação!$I$4='Base de Dados e filtragem'!AO$2,Apresentação!$I$4='Base de Dados e filtragem'!K649),1,0)</f>
        <v>1</v>
      </c>
      <c r="AP649" s="25">
        <f>IF(OR(Apresentação!$I$5='Base de Dados e filtragem'!AP$2,Apresentação!$I$5='Base de Dados e filtragem'!L649),1,0)</f>
        <v>1</v>
      </c>
      <c r="AQ649" s="25">
        <f>IF(OR(Apresentação!$I$6='Base de Dados e filtragem'!AQ$2,Apresentação!$I$6='Base de Dados e filtragem'!M649),1,0)</f>
        <v>1</v>
      </c>
      <c r="AR649" s="25">
        <v>1</v>
      </c>
      <c r="AS649" s="25">
        <v>1</v>
      </c>
      <c r="AT649" s="25">
        <v>1</v>
      </c>
      <c r="AU649" s="25">
        <v>1</v>
      </c>
      <c r="AV649" s="25">
        <v>1</v>
      </c>
      <c r="AW649" s="25">
        <v>1</v>
      </c>
      <c r="AX649" s="25">
        <v>1</v>
      </c>
      <c r="AY649" s="25">
        <v>1</v>
      </c>
      <c r="AZ649" s="25">
        <v>1</v>
      </c>
      <c r="BA649" s="25">
        <v>1</v>
      </c>
      <c r="BB649" s="25">
        <v>1</v>
      </c>
      <c r="BC649" s="25">
        <v>1</v>
      </c>
      <c r="BD649" s="25">
        <v>1</v>
      </c>
    </row>
    <row r="650" spans="27:56" x14ac:dyDescent="0.25">
      <c r="AA650" s="68" t="str">
        <f t="shared" si="41"/>
        <v>Fotos\\.jpg</v>
      </c>
      <c r="AB650" s="53">
        <f t="shared" si="42"/>
        <v>1.5384615384615385E-3</v>
      </c>
      <c r="AC650" s="25">
        <f t="shared" si="43"/>
        <v>650</v>
      </c>
      <c r="AD650" s="51">
        <f t="shared" si="44"/>
        <v>1</v>
      </c>
      <c r="AE650" s="25">
        <v>1</v>
      </c>
      <c r="AF650" s="25">
        <v>1</v>
      </c>
      <c r="AG650" s="25">
        <v>1</v>
      </c>
      <c r="AH650" s="25">
        <v>1</v>
      </c>
      <c r="AI650" s="25">
        <f>IF(OR(Apresentação!$E$3='Base de Dados e filtragem'!AI$2,Apresentação!$E$3='Base de Dados e filtragem'!E650),1,0)</f>
        <v>1</v>
      </c>
      <c r="AJ650" s="25">
        <f>IF(OR(Apresentação!$E$4='Base de Dados e filtragem'!AJ$2,Apresentação!$E$4='Base de Dados e filtragem'!F650),1,0)</f>
        <v>1</v>
      </c>
      <c r="AK650" s="25">
        <f>IF(OR(Apresentação!$E$5='Base de Dados e filtragem'!AK$2,Apresentação!$E$5='Base de Dados e filtragem'!G650),1,0)</f>
        <v>1</v>
      </c>
      <c r="AL650" s="25">
        <f>IF(OR(Apresentação!$E$6='Base de Dados e filtragem'!AL$2,Apresentação!$E$6='Base de Dados e filtragem'!H650),1,0)</f>
        <v>1</v>
      </c>
      <c r="AM650" s="25">
        <f>IF(OR(Apresentação!$I$2='Base de Dados e filtragem'!AM$2,Apresentação!$I$2='Base de Dados e filtragem'!I650),1,0)</f>
        <v>1</v>
      </c>
      <c r="AN650" s="25">
        <f>IF(OR(Apresentação!$I$3='Base de Dados e filtragem'!AN$2,Apresentação!$I$3='Base de Dados e filtragem'!J650),1,0)</f>
        <v>1</v>
      </c>
      <c r="AO650" s="25">
        <f>IF(OR(Apresentação!$I$4='Base de Dados e filtragem'!AO$2,Apresentação!$I$4='Base de Dados e filtragem'!K650),1,0)</f>
        <v>1</v>
      </c>
      <c r="AP650" s="25">
        <f>IF(OR(Apresentação!$I$5='Base de Dados e filtragem'!AP$2,Apresentação!$I$5='Base de Dados e filtragem'!L650),1,0)</f>
        <v>1</v>
      </c>
      <c r="AQ650" s="25">
        <f>IF(OR(Apresentação!$I$6='Base de Dados e filtragem'!AQ$2,Apresentação!$I$6='Base de Dados e filtragem'!M650),1,0)</f>
        <v>1</v>
      </c>
      <c r="AR650" s="25">
        <v>1</v>
      </c>
      <c r="AS650" s="25">
        <v>1</v>
      </c>
      <c r="AT650" s="25">
        <v>1</v>
      </c>
      <c r="AU650" s="25">
        <v>1</v>
      </c>
      <c r="AV650" s="25">
        <v>1</v>
      </c>
      <c r="AW650" s="25">
        <v>1</v>
      </c>
      <c r="AX650" s="25">
        <v>1</v>
      </c>
      <c r="AY650" s="25">
        <v>1</v>
      </c>
      <c r="AZ650" s="25">
        <v>1</v>
      </c>
      <c r="BA650" s="25">
        <v>1</v>
      </c>
      <c r="BB650" s="25">
        <v>1</v>
      </c>
      <c r="BC650" s="25">
        <v>1</v>
      </c>
      <c r="BD650" s="25">
        <v>1</v>
      </c>
    </row>
    <row r="651" spans="27:56" x14ac:dyDescent="0.25">
      <c r="AA651" s="68" t="str">
        <f t="shared" si="41"/>
        <v>Fotos\\.jpg</v>
      </c>
      <c r="AB651" s="53">
        <f t="shared" si="42"/>
        <v>1.5360983102918587E-3</v>
      </c>
      <c r="AC651" s="25">
        <f t="shared" si="43"/>
        <v>651</v>
      </c>
      <c r="AD651" s="51">
        <f t="shared" si="44"/>
        <v>1</v>
      </c>
      <c r="AE651" s="25">
        <v>1</v>
      </c>
      <c r="AF651" s="25">
        <v>1</v>
      </c>
      <c r="AG651" s="25">
        <v>1</v>
      </c>
      <c r="AH651" s="25">
        <v>1</v>
      </c>
      <c r="AI651" s="25">
        <f>IF(OR(Apresentação!$E$3='Base de Dados e filtragem'!AI$2,Apresentação!$E$3='Base de Dados e filtragem'!E651),1,0)</f>
        <v>1</v>
      </c>
      <c r="AJ651" s="25">
        <f>IF(OR(Apresentação!$E$4='Base de Dados e filtragem'!AJ$2,Apresentação!$E$4='Base de Dados e filtragem'!F651),1,0)</f>
        <v>1</v>
      </c>
      <c r="AK651" s="25">
        <f>IF(OR(Apresentação!$E$5='Base de Dados e filtragem'!AK$2,Apresentação!$E$5='Base de Dados e filtragem'!G651),1,0)</f>
        <v>1</v>
      </c>
      <c r="AL651" s="25">
        <f>IF(OR(Apresentação!$E$6='Base de Dados e filtragem'!AL$2,Apresentação!$E$6='Base de Dados e filtragem'!H651),1,0)</f>
        <v>1</v>
      </c>
      <c r="AM651" s="25">
        <f>IF(OR(Apresentação!$I$2='Base de Dados e filtragem'!AM$2,Apresentação!$I$2='Base de Dados e filtragem'!I651),1,0)</f>
        <v>1</v>
      </c>
      <c r="AN651" s="25">
        <f>IF(OR(Apresentação!$I$3='Base de Dados e filtragem'!AN$2,Apresentação!$I$3='Base de Dados e filtragem'!J651),1,0)</f>
        <v>1</v>
      </c>
      <c r="AO651" s="25">
        <f>IF(OR(Apresentação!$I$4='Base de Dados e filtragem'!AO$2,Apresentação!$I$4='Base de Dados e filtragem'!K651),1,0)</f>
        <v>1</v>
      </c>
      <c r="AP651" s="25">
        <f>IF(OR(Apresentação!$I$5='Base de Dados e filtragem'!AP$2,Apresentação!$I$5='Base de Dados e filtragem'!L651),1,0)</f>
        <v>1</v>
      </c>
      <c r="AQ651" s="25">
        <f>IF(OR(Apresentação!$I$6='Base de Dados e filtragem'!AQ$2,Apresentação!$I$6='Base de Dados e filtragem'!M651),1,0)</f>
        <v>1</v>
      </c>
      <c r="AR651" s="25">
        <v>1</v>
      </c>
      <c r="AS651" s="25">
        <v>1</v>
      </c>
      <c r="AT651" s="25">
        <v>1</v>
      </c>
      <c r="AU651" s="25">
        <v>1</v>
      </c>
      <c r="AV651" s="25">
        <v>1</v>
      </c>
      <c r="AW651" s="25">
        <v>1</v>
      </c>
      <c r="AX651" s="25">
        <v>1</v>
      </c>
      <c r="AY651" s="25">
        <v>1</v>
      </c>
      <c r="AZ651" s="25">
        <v>1</v>
      </c>
      <c r="BA651" s="25">
        <v>1</v>
      </c>
      <c r="BB651" s="25">
        <v>1</v>
      </c>
      <c r="BC651" s="25">
        <v>1</v>
      </c>
      <c r="BD651" s="25">
        <v>1</v>
      </c>
    </row>
    <row r="652" spans="27:56" x14ac:dyDescent="0.25">
      <c r="AA652" s="68" t="str">
        <f t="shared" si="41"/>
        <v>Fotos\\.jpg</v>
      </c>
      <c r="AB652" s="53">
        <f t="shared" si="42"/>
        <v>1.5337423312883436E-3</v>
      </c>
      <c r="AC652" s="25">
        <f t="shared" si="43"/>
        <v>652</v>
      </c>
      <c r="AD652" s="51">
        <f t="shared" si="44"/>
        <v>1</v>
      </c>
      <c r="AE652" s="25">
        <v>1</v>
      </c>
      <c r="AF652" s="25">
        <v>1</v>
      </c>
      <c r="AG652" s="25">
        <v>1</v>
      </c>
      <c r="AH652" s="25">
        <v>1</v>
      </c>
      <c r="AI652" s="25">
        <f>IF(OR(Apresentação!$E$3='Base de Dados e filtragem'!AI$2,Apresentação!$E$3='Base de Dados e filtragem'!E652),1,0)</f>
        <v>1</v>
      </c>
      <c r="AJ652" s="25">
        <f>IF(OR(Apresentação!$E$4='Base de Dados e filtragem'!AJ$2,Apresentação!$E$4='Base de Dados e filtragem'!F652),1,0)</f>
        <v>1</v>
      </c>
      <c r="AK652" s="25">
        <f>IF(OR(Apresentação!$E$5='Base de Dados e filtragem'!AK$2,Apresentação!$E$5='Base de Dados e filtragem'!G652),1,0)</f>
        <v>1</v>
      </c>
      <c r="AL652" s="25">
        <f>IF(OR(Apresentação!$E$6='Base de Dados e filtragem'!AL$2,Apresentação!$E$6='Base de Dados e filtragem'!H652),1,0)</f>
        <v>1</v>
      </c>
      <c r="AM652" s="25">
        <f>IF(OR(Apresentação!$I$2='Base de Dados e filtragem'!AM$2,Apresentação!$I$2='Base de Dados e filtragem'!I652),1,0)</f>
        <v>1</v>
      </c>
      <c r="AN652" s="25">
        <f>IF(OR(Apresentação!$I$3='Base de Dados e filtragem'!AN$2,Apresentação!$I$3='Base de Dados e filtragem'!J652),1,0)</f>
        <v>1</v>
      </c>
      <c r="AO652" s="25">
        <f>IF(OR(Apresentação!$I$4='Base de Dados e filtragem'!AO$2,Apresentação!$I$4='Base de Dados e filtragem'!K652),1,0)</f>
        <v>1</v>
      </c>
      <c r="AP652" s="25">
        <f>IF(OR(Apresentação!$I$5='Base de Dados e filtragem'!AP$2,Apresentação!$I$5='Base de Dados e filtragem'!L652),1,0)</f>
        <v>1</v>
      </c>
      <c r="AQ652" s="25">
        <f>IF(OR(Apresentação!$I$6='Base de Dados e filtragem'!AQ$2,Apresentação!$I$6='Base de Dados e filtragem'!M652),1,0)</f>
        <v>1</v>
      </c>
      <c r="AR652" s="25">
        <v>1</v>
      </c>
      <c r="AS652" s="25">
        <v>1</v>
      </c>
      <c r="AT652" s="25">
        <v>1</v>
      </c>
      <c r="AU652" s="25">
        <v>1</v>
      </c>
      <c r="AV652" s="25">
        <v>1</v>
      </c>
      <c r="AW652" s="25">
        <v>1</v>
      </c>
      <c r="AX652" s="25">
        <v>1</v>
      </c>
      <c r="AY652" s="25">
        <v>1</v>
      </c>
      <c r="AZ652" s="25">
        <v>1</v>
      </c>
      <c r="BA652" s="25">
        <v>1</v>
      </c>
      <c r="BB652" s="25">
        <v>1</v>
      </c>
      <c r="BC652" s="25">
        <v>1</v>
      </c>
      <c r="BD652" s="25">
        <v>1</v>
      </c>
    </row>
    <row r="653" spans="27:56" x14ac:dyDescent="0.25">
      <c r="AA653" s="68" t="str">
        <f t="shared" si="41"/>
        <v>Fotos\\.jpg</v>
      </c>
      <c r="AB653" s="53">
        <f t="shared" si="42"/>
        <v>1.5313935681470138E-3</v>
      </c>
      <c r="AC653" s="25">
        <f t="shared" si="43"/>
        <v>653</v>
      </c>
      <c r="AD653" s="51">
        <f t="shared" si="44"/>
        <v>1</v>
      </c>
      <c r="AE653" s="25">
        <v>1</v>
      </c>
      <c r="AF653" s="25">
        <v>1</v>
      </c>
      <c r="AG653" s="25">
        <v>1</v>
      </c>
      <c r="AH653" s="25">
        <v>1</v>
      </c>
      <c r="AI653" s="25">
        <f>IF(OR(Apresentação!$E$3='Base de Dados e filtragem'!AI$2,Apresentação!$E$3='Base de Dados e filtragem'!E653),1,0)</f>
        <v>1</v>
      </c>
      <c r="AJ653" s="25">
        <f>IF(OR(Apresentação!$E$4='Base de Dados e filtragem'!AJ$2,Apresentação!$E$4='Base de Dados e filtragem'!F653),1,0)</f>
        <v>1</v>
      </c>
      <c r="AK653" s="25">
        <f>IF(OR(Apresentação!$E$5='Base de Dados e filtragem'!AK$2,Apresentação!$E$5='Base de Dados e filtragem'!G653),1,0)</f>
        <v>1</v>
      </c>
      <c r="AL653" s="25">
        <f>IF(OR(Apresentação!$E$6='Base de Dados e filtragem'!AL$2,Apresentação!$E$6='Base de Dados e filtragem'!H653),1,0)</f>
        <v>1</v>
      </c>
      <c r="AM653" s="25">
        <f>IF(OR(Apresentação!$I$2='Base de Dados e filtragem'!AM$2,Apresentação!$I$2='Base de Dados e filtragem'!I653),1,0)</f>
        <v>1</v>
      </c>
      <c r="AN653" s="25">
        <f>IF(OR(Apresentação!$I$3='Base de Dados e filtragem'!AN$2,Apresentação!$I$3='Base de Dados e filtragem'!J653),1,0)</f>
        <v>1</v>
      </c>
      <c r="AO653" s="25">
        <f>IF(OR(Apresentação!$I$4='Base de Dados e filtragem'!AO$2,Apresentação!$I$4='Base de Dados e filtragem'!K653),1,0)</f>
        <v>1</v>
      </c>
      <c r="AP653" s="25">
        <f>IF(OR(Apresentação!$I$5='Base de Dados e filtragem'!AP$2,Apresentação!$I$5='Base de Dados e filtragem'!L653),1,0)</f>
        <v>1</v>
      </c>
      <c r="AQ653" s="25">
        <f>IF(OR(Apresentação!$I$6='Base de Dados e filtragem'!AQ$2,Apresentação!$I$6='Base de Dados e filtragem'!M653),1,0)</f>
        <v>1</v>
      </c>
      <c r="AR653" s="25">
        <v>1</v>
      </c>
      <c r="AS653" s="25">
        <v>1</v>
      </c>
      <c r="AT653" s="25">
        <v>1</v>
      </c>
      <c r="AU653" s="25">
        <v>1</v>
      </c>
      <c r="AV653" s="25">
        <v>1</v>
      </c>
      <c r="AW653" s="25">
        <v>1</v>
      </c>
      <c r="AX653" s="25">
        <v>1</v>
      </c>
      <c r="AY653" s="25">
        <v>1</v>
      </c>
      <c r="AZ653" s="25">
        <v>1</v>
      </c>
      <c r="BA653" s="25">
        <v>1</v>
      </c>
      <c r="BB653" s="25">
        <v>1</v>
      </c>
      <c r="BC653" s="25">
        <v>1</v>
      </c>
      <c r="BD653" s="25">
        <v>1</v>
      </c>
    </row>
    <row r="654" spans="27:56" x14ac:dyDescent="0.25">
      <c r="AA654" s="68" t="str">
        <f t="shared" si="41"/>
        <v>Fotos\\.jpg</v>
      </c>
      <c r="AB654" s="53">
        <f t="shared" si="42"/>
        <v>1.5290519877675841E-3</v>
      </c>
      <c r="AC654" s="25">
        <f t="shared" si="43"/>
        <v>654</v>
      </c>
      <c r="AD654" s="51">
        <f t="shared" si="44"/>
        <v>1</v>
      </c>
      <c r="AE654" s="25">
        <v>1</v>
      </c>
      <c r="AF654" s="25">
        <v>1</v>
      </c>
      <c r="AG654" s="25">
        <v>1</v>
      </c>
      <c r="AH654" s="25">
        <v>1</v>
      </c>
      <c r="AI654" s="25">
        <f>IF(OR(Apresentação!$E$3='Base de Dados e filtragem'!AI$2,Apresentação!$E$3='Base de Dados e filtragem'!E654),1,0)</f>
        <v>1</v>
      </c>
      <c r="AJ654" s="25">
        <f>IF(OR(Apresentação!$E$4='Base de Dados e filtragem'!AJ$2,Apresentação!$E$4='Base de Dados e filtragem'!F654),1,0)</f>
        <v>1</v>
      </c>
      <c r="AK654" s="25">
        <f>IF(OR(Apresentação!$E$5='Base de Dados e filtragem'!AK$2,Apresentação!$E$5='Base de Dados e filtragem'!G654),1,0)</f>
        <v>1</v>
      </c>
      <c r="AL654" s="25">
        <f>IF(OR(Apresentação!$E$6='Base de Dados e filtragem'!AL$2,Apresentação!$E$6='Base de Dados e filtragem'!H654),1,0)</f>
        <v>1</v>
      </c>
      <c r="AM654" s="25">
        <f>IF(OR(Apresentação!$I$2='Base de Dados e filtragem'!AM$2,Apresentação!$I$2='Base de Dados e filtragem'!I654),1,0)</f>
        <v>1</v>
      </c>
      <c r="AN654" s="25">
        <f>IF(OR(Apresentação!$I$3='Base de Dados e filtragem'!AN$2,Apresentação!$I$3='Base de Dados e filtragem'!J654),1,0)</f>
        <v>1</v>
      </c>
      <c r="AO654" s="25">
        <f>IF(OR(Apresentação!$I$4='Base de Dados e filtragem'!AO$2,Apresentação!$I$4='Base de Dados e filtragem'!K654),1,0)</f>
        <v>1</v>
      </c>
      <c r="AP654" s="25">
        <f>IF(OR(Apresentação!$I$5='Base de Dados e filtragem'!AP$2,Apresentação!$I$5='Base de Dados e filtragem'!L654),1,0)</f>
        <v>1</v>
      </c>
      <c r="AQ654" s="25">
        <f>IF(OR(Apresentação!$I$6='Base de Dados e filtragem'!AQ$2,Apresentação!$I$6='Base de Dados e filtragem'!M654),1,0)</f>
        <v>1</v>
      </c>
      <c r="AR654" s="25">
        <v>1</v>
      </c>
      <c r="AS654" s="25">
        <v>1</v>
      </c>
      <c r="AT654" s="25">
        <v>1</v>
      </c>
      <c r="AU654" s="25">
        <v>1</v>
      </c>
      <c r="AV654" s="25">
        <v>1</v>
      </c>
      <c r="AW654" s="25">
        <v>1</v>
      </c>
      <c r="AX654" s="25">
        <v>1</v>
      </c>
      <c r="AY654" s="25">
        <v>1</v>
      </c>
      <c r="AZ654" s="25">
        <v>1</v>
      </c>
      <c r="BA654" s="25">
        <v>1</v>
      </c>
      <c r="BB654" s="25">
        <v>1</v>
      </c>
      <c r="BC654" s="25">
        <v>1</v>
      </c>
      <c r="BD654" s="25">
        <v>1</v>
      </c>
    </row>
    <row r="655" spans="27:56" x14ac:dyDescent="0.25">
      <c r="AA655" s="68" t="str">
        <f t="shared" si="41"/>
        <v>Fotos\\.jpg</v>
      </c>
      <c r="AB655" s="53">
        <f t="shared" si="42"/>
        <v>1.5267175572519084E-3</v>
      </c>
      <c r="AC655" s="25">
        <f t="shared" si="43"/>
        <v>655</v>
      </c>
      <c r="AD655" s="51">
        <f t="shared" si="44"/>
        <v>1</v>
      </c>
      <c r="AE655" s="25">
        <v>1</v>
      </c>
      <c r="AF655" s="25">
        <v>1</v>
      </c>
      <c r="AG655" s="25">
        <v>1</v>
      </c>
      <c r="AH655" s="25">
        <v>1</v>
      </c>
      <c r="AI655" s="25">
        <f>IF(OR(Apresentação!$E$3='Base de Dados e filtragem'!AI$2,Apresentação!$E$3='Base de Dados e filtragem'!E655),1,0)</f>
        <v>1</v>
      </c>
      <c r="AJ655" s="25">
        <f>IF(OR(Apresentação!$E$4='Base de Dados e filtragem'!AJ$2,Apresentação!$E$4='Base de Dados e filtragem'!F655),1,0)</f>
        <v>1</v>
      </c>
      <c r="AK655" s="25">
        <f>IF(OR(Apresentação!$E$5='Base de Dados e filtragem'!AK$2,Apresentação!$E$5='Base de Dados e filtragem'!G655),1,0)</f>
        <v>1</v>
      </c>
      <c r="AL655" s="25">
        <f>IF(OR(Apresentação!$E$6='Base de Dados e filtragem'!AL$2,Apresentação!$E$6='Base de Dados e filtragem'!H655),1,0)</f>
        <v>1</v>
      </c>
      <c r="AM655" s="25">
        <f>IF(OR(Apresentação!$I$2='Base de Dados e filtragem'!AM$2,Apresentação!$I$2='Base de Dados e filtragem'!I655),1,0)</f>
        <v>1</v>
      </c>
      <c r="AN655" s="25">
        <f>IF(OR(Apresentação!$I$3='Base de Dados e filtragem'!AN$2,Apresentação!$I$3='Base de Dados e filtragem'!J655),1,0)</f>
        <v>1</v>
      </c>
      <c r="AO655" s="25">
        <f>IF(OR(Apresentação!$I$4='Base de Dados e filtragem'!AO$2,Apresentação!$I$4='Base de Dados e filtragem'!K655),1,0)</f>
        <v>1</v>
      </c>
      <c r="AP655" s="25">
        <f>IF(OR(Apresentação!$I$5='Base de Dados e filtragem'!AP$2,Apresentação!$I$5='Base de Dados e filtragem'!L655),1,0)</f>
        <v>1</v>
      </c>
      <c r="AQ655" s="25">
        <f>IF(OR(Apresentação!$I$6='Base de Dados e filtragem'!AQ$2,Apresentação!$I$6='Base de Dados e filtragem'!M655),1,0)</f>
        <v>1</v>
      </c>
      <c r="AR655" s="25">
        <v>1</v>
      </c>
      <c r="AS655" s="25">
        <v>1</v>
      </c>
      <c r="AT655" s="25">
        <v>1</v>
      </c>
      <c r="AU655" s="25">
        <v>1</v>
      </c>
      <c r="AV655" s="25">
        <v>1</v>
      </c>
      <c r="AW655" s="25">
        <v>1</v>
      </c>
      <c r="AX655" s="25">
        <v>1</v>
      </c>
      <c r="AY655" s="25">
        <v>1</v>
      </c>
      <c r="AZ655" s="25">
        <v>1</v>
      </c>
      <c r="BA655" s="25">
        <v>1</v>
      </c>
      <c r="BB655" s="25">
        <v>1</v>
      </c>
      <c r="BC655" s="25">
        <v>1</v>
      </c>
      <c r="BD655" s="25">
        <v>1</v>
      </c>
    </row>
    <row r="656" spans="27:56" x14ac:dyDescent="0.25">
      <c r="AA656" s="68" t="str">
        <f t="shared" si="41"/>
        <v>Fotos\\.jpg</v>
      </c>
      <c r="AB656" s="53">
        <f t="shared" si="42"/>
        <v>1.5243902439024391E-3</v>
      </c>
      <c r="AC656" s="25">
        <f t="shared" si="43"/>
        <v>656</v>
      </c>
      <c r="AD656" s="51">
        <f t="shared" si="44"/>
        <v>1</v>
      </c>
      <c r="AE656" s="25">
        <v>1</v>
      </c>
      <c r="AF656" s="25">
        <v>1</v>
      </c>
      <c r="AG656" s="25">
        <v>1</v>
      </c>
      <c r="AH656" s="25">
        <v>1</v>
      </c>
      <c r="AI656" s="25">
        <f>IF(OR(Apresentação!$E$3='Base de Dados e filtragem'!AI$2,Apresentação!$E$3='Base de Dados e filtragem'!E656),1,0)</f>
        <v>1</v>
      </c>
      <c r="AJ656" s="25">
        <f>IF(OR(Apresentação!$E$4='Base de Dados e filtragem'!AJ$2,Apresentação!$E$4='Base de Dados e filtragem'!F656),1,0)</f>
        <v>1</v>
      </c>
      <c r="AK656" s="25">
        <f>IF(OR(Apresentação!$E$5='Base de Dados e filtragem'!AK$2,Apresentação!$E$5='Base de Dados e filtragem'!G656),1,0)</f>
        <v>1</v>
      </c>
      <c r="AL656" s="25">
        <f>IF(OR(Apresentação!$E$6='Base de Dados e filtragem'!AL$2,Apresentação!$E$6='Base de Dados e filtragem'!H656),1,0)</f>
        <v>1</v>
      </c>
      <c r="AM656" s="25">
        <f>IF(OR(Apresentação!$I$2='Base de Dados e filtragem'!AM$2,Apresentação!$I$2='Base de Dados e filtragem'!I656),1,0)</f>
        <v>1</v>
      </c>
      <c r="AN656" s="25">
        <f>IF(OR(Apresentação!$I$3='Base de Dados e filtragem'!AN$2,Apresentação!$I$3='Base de Dados e filtragem'!J656),1,0)</f>
        <v>1</v>
      </c>
      <c r="AO656" s="25">
        <f>IF(OR(Apresentação!$I$4='Base de Dados e filtragem'!AO$2,Apresentação!$I$4='Base de Dados e filtragem'!K656),1,0)</f>
        <v>1</v>
      </c>
      <c r="AP656" s="25">
        <f>IF(OR(Apresentação!$I$5='Base de Dados e filtragem'!AP$2,Apresentação!$I$5='Base de Dados e filtragem'!L656),1,0)</f>
        <v>1</v>
      </c>
      <c r="AQ656" s="25">
        <f>IF(OR(Apresentação!$I$6='Base de Dados e filtragem'!AQ$2,Apresentação!$I$6='Base de Dados e filtragem'!M656),1,0)</f>
        <v>1</v>
      </c>
      <c r="AR656" s="25">
        <v>1</v>
      </c>
      <c r="AS656" s="25">
        <v>1</v>
      </c>
      <c r="AT656" s="25">
        <v>1</v>
      </c>
      <c r="AU656" s="25">
        <v>1</v>
      </c>
      <c r="AV656" s="25">
        <v>1</v>
      </c>
      <c r="AW656" s="25">
        <v>1</v>
      </c>
      <c r="AX656" s="25">
        <v>1</v>
      </c>
      <c r="AY656" s="25">
        <v>1</v>
      </c>
      <c r="AZ656" s="25">
        <v>1</v>
      </c>
      <c r="BA656" s="25">
        <v>1</v>
      </c>
      <c r="BB656" s="25">
        <v>1</v>
      </c>
      <c r="BC656" s="25">
        <v>1</v>
      </c>
      <c r="BD656" s="25">
        <v>1</v>
      </c>
    </row>
    <row r="657" spans="27:56" x14ac:dyDescent="0.25">
      <c r="AA657" s="68" t="str">
        <f t="shared" si="41"/>
        <v>Fotos\\.jpg</v>
      </c>
      <c r="AB657" s="53">
        <f t="shared" si="42"/>
        <v>1.5220700152207001E-3</v>
      </c>
      <c r="AC657" s="25">
        <f t="shared" si="43"/>
        <v>657</v>
      </c>
      <c r="AD657" s="51">
        <f t="shared" si="44"/>
        <v>1</v>
      </c>
      <c r="AE657" s="25">
        <v>1</v>
      </c>
      <c r="AF657" s="25">
        <v>1</v>
      </c>
      <c r="AG657" s="25">
        <v>1</v>
      </c>
      <c r="AH657" s="25">
        <v>1</v>
      </c>
      <c r="AI657" s="25">
        <f>IF(OR(Apresentação!$E$3='Base de Dados e filtragem'!AI$2,Apresentação!$E$3='Base de Dados e filtragem'!E657),1,0)</f>
        <v>1</v>
      </c>
      <c r="AJ657" s="25">
        <f>IF(OR(Apresentação!$E$4='Base de Dados e filtragem'!AJ$2,Apresentação!$E$4='Base de Dados e filtragem'!F657),1,0)</f>
        <v>1</v>
      </c>
      <c r="AK657" s="25">
        <f>IF(OR(Apresentação!$E$5='Base de Dados e filtragem'!AK$2,Apresentação!$E$5='Base de Dados e filtragem'!G657),1,0)</f>
        <v>1</v>
      </c>
      <c r="AL657" s="25">
        <f>IF(OR(Apresentação!$E$6='Base de Dados e filtragem'!AL$2,Apresentação!$E$6='Base de Dados e filtragem'!H657),1,0)</f>
        <v>1</v>
      </c>
      <c r="AM657" s="25">
        <f>IF(OR(Apresentação!$I$2='Base de Dados e filtragem'!AM$2,Apresentação!$I$2='Base de Dados e filtragem'!I657),1,0)</f>
        <v>1</v>
      </c>
      <c r="AN657" s="25">
        <f>IF(OR(Apresentação!$I$3='Base de Dados e filtragem'!AN$2,Apresentação!$I$3='Base de Dados e filtragem'!J657),1,0)</f>
        <v>1</v>
      </c>
      <c r="AO657" s="25">
        <f>IF(OR(Apresentação!$I$4='Base de Dados e filtragem'!AO$2,Apresentação!$I$4='Base de Dados e filtragem'!K657),1,0)</f>
        <v>1</v>
      </c>
      <c r="AP657" s="25">
        <f>IF(OR(Apresentação!$I$5='Base de Dados e filtragem'!AP$2,Apresentação!$I$5='Base de Dados e filtragem'!L657),1,0)</f>
        <v>1</v>
      </c>
      <c r="AQ657" s="25">
        <f>IF(OR(Apresentação!$I$6='Base de Dados e filtragem'!AQ$2,Apresentação!$I$6='Base de Dados e filtragem'!M657),1,0)</f>
        <v>1</v>
      </c>
      <c r="AR657" s="25">
        <v>1</v>
      </c>
      <c r="AS657" s="25">
        <v>1</v>
      </c>
      <c r="AT657" s="25">
        <v>1</v>
      </c>
      <c r="AU657" s="25">
        <v>1</v>
      </c>
      <c r="AV657" s="25">
        <v>1</v>
      </c>
      <c r="AW657" s="25">
        <v>1</v>
      </c>
      <c r="AX657" s="25">
        <v>1</v>
      </c>
      <c r="AY657" s="25">
        <v>1</v>
      </c>
      <c r="AZ657" s="25">
        <v>1</v>
      </c>
      <c r="BA657" s="25">
        <v>1</v>
      </c>
      <c r="BB657" s="25">
        <v>1</v>
      </c>
      <c r="BC657" s="25">
        <v>1</v>
      </c>
      <c r="BD657" s="25">
        <v>1</v>
      </c>
    </row>
    <row r="658" spans="27:56" x14ac:dyDescent="0.25">
      <c r="AA658" s="68" t="str">
        <f t="shared" si="41"/>
        <v>Fotos\\.jpg</v>
      </c>
      <c r="AB658" s="53">
        <f t="shared" si="42"/>
        <v>1.5197568389057751E-3</v>
      </c>
      <c r="AC658" s="25">
        <f t="shared" si="43"/>
        <v>658</v>
      </c>
      <c r="AD658" s="51">
        <f t="shared" si="44"/>
        <v>1</v>
      </c>
      <c r="AE658" s="25">
        <v>1</v>
      </c>
      <c r="AF658" s="25">
        <v>1</v>
      </c>
      <c r="AG658" s="25">
        <v>1</v>
      </c>
      <c r="AH658" s="25">
        <v>1</v>
      </c>
      <c r="AI658" s="25">
        <f>IF(OR(Apresentação!$E$3='Base de Dados e filtragem'!AI$2,Apresentação!$E$3='Base de Dados e filtragem'!E658),1,0)</f>
        <v>1</v>
      </c>
      <c r="AJ658" s="25">
        <f>IF(OR(Apresentação!$E$4='Base de Dados e filtragem'!AJ$2,Apresentação!$E$4='Base de Dados e filtragem'!F658),1,0)</f>
        <v>1</v>
      </c>
      <c r="AK658" s="25">
        <f>IF(OR(Apresentação!$E$5='Base de Dados e filtragem'!AK$2,Apresentação!$E$5='Base de Dados e filtragem'!G658),1,0)</f>
        <v>1</v>
      </c>
      <c r="AL658" s="25">
        <f>IF(OR(Apresentação!$E$6='Base de Dados e filtragem'!AL$2,Apresentação!$E$6='Base de Dados e filtragem'!H658),1,0)</f>
        <v>1</v>
      </c>
      <c r="AM658" s="25">
        <f>IF(OR(Apresentação!$I$2='Base de Dados e filtragem'!AM$2,Apresentação!$I$2='Base de Dados e filtragem'!I658),1,0)</f>
        <v>1</v>
      </c>
      <c r="AN658" s="25">
        <f>IF(OR(Apresentação!$I$3='Base de Dados e filtragem'!AN$2,Apresentação!$I$3='Base de Dados e filtragem'!J658),1,0)</f>
        <v>1</v>
      </c>
      <c r="AO658" s="25">
        <f>IF(OR(Apresentação!$I$4='Base de Dados e filtragem'!AO$2,Apresentação!$I$4='Base de Dados e filtragem'!K658),1,0)</f>
        <v>1</v>
      </c>
      <c r="AP658" s="25">
        <f>IF(OR(Apresentação!$I$5='Base de Dados e filtragem'!AP$2,Apresentação!$I$5='Base de Dados e filtragem'!L658),1,0)</f>
        <v>1</v>
      </c>
      <c r="AQ658" s="25">
        <f>IF(OR(Apresentação!$I$6='Base de Dados e filtragem'!AQ$2,Apresentação!$I$6='Base de Dados e filtragem'!M658),1,0)</f>
        <v>1</v>
      </c>
      <c r="AR658" s="25">
        <v>1</v>
      </c>
      <c r="AS658" s="25">
        <v>1</v>
      </c>
      <c r="AT658" s="25">
        <v>1</v>
      </c>
      <c r="AU658" s="25">
        <v>1</v>
      </c>
      <c r="AV658" s="25">
        <v>1</v>
      </c>
      <c r="AW658" s="25">
        <v>1</v>
      </c>
      <c r="AX658" s="25">
        <v>1</v>
      </c>
      <c r="AY658" s="25">
        <v>1</v>
      </c>
      <c r="AZ658" s="25">
        <v>1</v>
      </c>
      <c r="BA658" s="25">
        <v>1</v>
      </c>
      <c r="BB658" s="25">
        <v>1</v>
      </c>
      <c r="BC658" s="25">
        <v>1</v>
      </c>
      <c r="BD658" s="25">
        <v>1</v>
      </c>
    </row>
    <row r="659" spans="27:56" x14ac:dyDescent="0.25">
      <c r="AA659" s="68" t="str">
        <f t="shared" si="41"/>
        <v>Fotos\\.jpg</v>
      </c>
      <c r="AB659" s="53">
        <f t="shared" si="42"/>
        <v>1.5174506828528073E-3</v>
      </c>
      <c r="AC659" s="25">
        <f t="shared" si="43"/>
        <v>659</v>
      </c>
      <c r="AD659" s="51">
        <f t="shared" si="44"/>
        <v>1</v>
      </c>
      <c r="AE659" s="25">
        <v>1</v>
      </c>
      <c r="AF659" s="25">
        <v>1</v>
      </c>
      <c r="AG659" s="25">
        <v>1</v>
      </c>
      <c r="AH659" s="25">
        <v>1</v>
      </c>
      <c r="AI659" s="25">
        <f>IF(OR(Apresentação!$E$3='Base de Dados e filtragem'!AI$2,Apresentação!$E$3='Base de Dados e filtragem'!E659),1,0)</f>
        <v>1</v>
      </c>
      <c r="AJ659" s="25">
        <f>IF(OR(Apresentação!$E$4='Base de Dados e filtragem'!AJ$2,Apresentação!$E$4='Base de Dados e filtragem'!F659),1,0)</f>
        <v>1</v>
      </c>
      <c r="AK659" s="25">
        <f>IF(OR(Apresentação!$E$5='Base de Dados e filtragem'!AK$2,Apresentação!$E$5='Base de Dados e filtragem'!G659),1,0)</f>
        <v>1</v>
      </c>
      <c r="AL659" s="25">
        <f>IF(OR(Apresentação!$E$6='Base de Dados e filtragem'!AL$2,Apresentação!$E$6='Base de Dados e filtragem'!H659),1,0)</f>
        <v>1</v>
      </c>
      <c r="AM659" s="25">
        <f>IF(OR(Apresentação!$I$2='Base de Dados e filtragem'!AM$2,Apresentação!$I$2='Base de Dados e filtragem'!I659),1,0)</f>
        <v>1</v>
      </c>
      <c r="AN659" s="25">
        <f>IF(OR(Apresentação!$I$3='Base de Dados e filtragem'!AN$2,Apresentação!$I$3='Base de Dados e filtragem'!J659),1,0)</f>
        <v>1</v>
      </c>
      <c r="AO659" s="25">
        <f>IF(OR(Apresentação!$I$4='Base de Dados e filtragem'!AO$2,Apresentação!$I$4='Base de Dados e filtragem'!K659),1,0)</f>
        <v>1</v>
      </c>
      <c r="AP659" s="25">
        <f>IF(OR(Apresentação!$I$5='Base de Dados e filtragem'!AP$2,Apresentação!$I$5='Base de Dados e filtragem'!L659),1,0)</f>
        <v>1</v>
      </c>
      <c r="AQ659" s="25">
        <f>IF(OR(Apresentação!$I$6='Base de Dados e filtragem'!AQ$2,Apresentação!$I$6='Base de Dados e filtragem'!M659),1,0)</f>
        <v>1</v>
      </c>
      <c r="AR659" s="25">
        <v>1</v>
      </c>
      <c r="AS659" s="25">
        <v>1</v>
      </c>
      <c r="AT659" s="25">
        <v>1</v>
      </c>
      <c r="AU659" s="25">
        <v>1</v>
      </c>
      <c r="AV659" s="25">
        <v>1</v>
      </c>
      <c r="AW659" s="25">
        <v>1</v>
      </c>
      <c r="AX659" s="25">
        <v>1</v>
      </c>
      <c r="AY659" s="25">
        <v>1</v>
      </c>
      <c r="AZ659" s="25">
        <v>1</v>
      </c>
      <c r="BA659" s="25">
        <v>1</v>
      </c>
      <c r="BB659" s="25">
        <v>1</v>
      </c>
      <c r="BC659" s="25">
        <v>1</v>
      </c>
      <c r="BD659" s="25">
        <v>1</v>
      </c>
    </row>
    <row r="660" spans="27:56" x14ac:dyDescent="0.25">
      <c r="AA660" s="68" t="str">
        <f t="shared" si="41"/>
        <v>Fotos\\.jpg</v>
      </c>
      <c r="AB660" s="53">
        <f t="shared" si="42"/>
        <v>1.5151515151515152E-3</v>
      </c>
      <c r="AC660" s="25">
        <f t="shared" si="43"/>
        <v>660</v>
      </c>
      <c r="AD660" s="51">
        <f t="shared" si="44"/>
        <v>1</v>
      </c>
      <c r="AE660" s="25">
        <v>1</v>
      </c>
      <c r="AF660" s="25">
        <v>1</v>
      </c>
      <c r="AG660" s="25">
        <v>1</v>
      </c>
      <c r="AH660" s="25">
        <v>1</v>
      </c>
      <c r="AI660" s="25">
        <f>IF(OR(Apresentação!$E$3='Base de Dados e filtragem'!AI$2,Apresentação!$E$3='Base de Dados e filtragem'!E660),1,0)</f>
        <v>1</v>
      </c>
      <c r="AJ660" s="25">
        <f>IF(OR(Apresentação!$E$4='Base de Dados e filtragem'!AJ$2,Apresentação!$E$4='Base de Dados e filtragem'!F660),1,0)</f>
        <v>1</v>
      </c>
      <c r="AK660" s="25">
        <f>IF(OR(Apresentação!$E$5='Base de Dados e filtragem'!AK$2,Apresentação!$E$5='Base de Dados e filtragem'!G660),1,0)</f>
        <v>1</v>
      </c>
      <c r="AL660" s="25">
        <f>IF(OR(Apresentação!$E$6='Base de Dados e filtragem'!AL$2,Apresentação!$E$6='Base de Dados e filtragem'!H660),1,0)</f>
        <v>1</v>
      </c>
      <c r="AM660" s="25">
        <f>IF(OR(Apresentação!$I$2='Base de Dados e filtragem'!AM$2,Apresentação!$I$2='Base de Dados e filtragem'!I660),1,0)</f>
        <v>1</v>
      </c>
      <c r="AN660" s="25">
        <f>IF(OR(Apresentação!$I$3='Base de Dados e filtragem'!AN$2,Apresentação!$I$3='Base de Dados e filtragem'!J660),1,0)</f>
        <v>1</v>
      </c>
      <c r="AO660" s="25">
        <f>IF(OR(Apresentação!$I$4='Base de Dados e filtragem'!AO$2,Apresentação!$I$4='Base de Dados e filtragem'!K660),1,0)</f>
        <v>1</v>
      </c>
      <c r="AP660" s="25">
        <f>IF(OR(Apresentação!$I$5='Base de Dados e filtragem'!AP$2,Apresentação!$I$5='Base de Dados e filtragem'!L660),1,0)</f>
        <v>1</v>
      </c>
      <c r="AQ660" s="25">
        <f>IF(OR(Apresentação!$I$6='Base de Dados e filtragem'!AQ$2,Apresentação!$I$6='Base de Dados e filtragem'!M660),1,0)</f>
        <v>1</v>
      </c>
      <c r="AR660" s="25">
        <v>1</v>
      </c>
      <c r="AS660" s="25">
        <v>1</v>
      </c>
      <c r="AT660" s="25">
        <v>1</v>
      </c>
      <c r="AU660" s="25">
        <v>1</v>
      </c>
      <c r="AV660" s="25">
        <v>1</v>
      </c>
      <c r="AW660" s="25">
        <v>1</v>
      </c>
      <c r="AX660" s="25">
        <v>1</v>
      </c>
      <c r="AY660" s="25">
        <v>1</v>
      </c>
      <c r="AZ660" s="25">
        <v>1</v>
      </c>
      <c r="BA660" s="25">
        <v>1</v>
      </c>
      <c r="BB660" s="25">
        <v>1</v>
      </c>
      <c r="BC660" s="25">
        <v>1</v>
      </c>
      <c r="BD660" s="25">
        <v>1</v>
      </c>
    </row>
    <row r="661" spans="27:56" x14ac:dyDescent="0.25">
      <c r="AA661" s="68" t="str">
        <f t="shared" si="41"/>
        <v>Fotos\\.jpg</v>
      </c>
      <c r="AB661" s="53">
        <f t="shared" si="42"/>
        <v>1.5128593040847202E-3</v>
      </c>
      <c r="AC661" s="25">
        <f t="shared" si="43"/>
        <v>661</v>
      </c>
      <c r="AD661" s="51">
        <f t="shared" si="44"/>
        <v>1</v>
      </c>
      <c r="AE661" s="25">
        <v>1</v>
      </c>
      <c r="AF661" s="25">
        <v>1</v>
      </c>
      <c r="AG661" s="25">
        <v>1</v>
      </c>
      <c r="AH661" s="25">
        <v>1</v>
      </c>
      <c r="AI661" s="25">
        <f>IF(OR(Apresentação!$E$3='Base de Dados e filtragem'!AI$2,Apresentação!$E$3='Base de Dados e filtragem'!E661),1,0)</f>
        <v>1</v>
      </c>
      <c r="AJ661" s="25">
        <f>IF(OR(Apresentação!$E$4='Base de Dados e filtragem'!AJ$2,Apresentação!$E$4='Base de Dados e filtragem'!F661),1,0)</f>
        <v>1</v>
      </c>
      <c r="AK661" s="25">
        <f>IF(OR(Apresentação!$E$5='Base de Dados e filtragem'!AK$2,Apresentação!$E$5='Base de Dados e filtragem'!G661),1,0)</f>
        <v>1</v>
      </c>
      <c r="AL661" s="25">
        <f>IF(OR(Apresentação!$E$6='Base de Dados e filtragem'!AL$2,Apresentação!$E$6='Base de Dados e filtragem'!H661),1,0)</f>
        <v>1</v>
      </c>
      <c r="AM661" s="25">
        <f>IF(OR(Apresentação!$I$2='Base de Dados e filtragem'!AM$2,Apresentação!$I$2='Base de Dados e filtragem'!I661),1,0)</f>
        <v>1</v>
      </c>
      <c r="AN661" s="25">
        <f>IF(OR(Apresentação!$I$3='Base de Dados e filtragem'!AN$2,Apresentação!$I$3='Base de Dados e filtragem'!J661),1,0)</f>
        <v>1</v>
      </c>
      <c r="AO661" s="25">
        <f>IF(OR(Apresentação!$I$4='Base de Dados e filtragem'!AO$2,Apresentação!$I$4='Base de Dados e filtragem'!K661),1,0)</f>
        <v>1</v>
      </c>
      <c r="AP661" s="25">
        <f>IF(OR(Apresentação!$I$5='Base de Dados e filtragem'!AP$2,Apresentação!$I$5='Base de Dados e filtragem'!L661),1,0)</f>
        <v>1</v>
      </c>
      <c r="AQ661" s="25">
        <f>IF(OR(Apresentação!$I$6='Base de Dados e filtragem'!AQ$2,Apresentação!$I$6='Base de Dados e filtragem'!M661),1,0)</f>
        <v>1</v>
      </c>
      <c r="AR661" s="25">
        <v>1</v>
      </c>
      <c r="AS661" s="25">
        <v>1</v>
      </c>
      <c r="AT661" s="25">
        <v>1</v>
      </c>
      <c r="AU661" s="25">
        <v>1</v>
      </c>
      <c r="AV661" s="25">
        <v>1</v>
      </c>
      <c r="AW661" s="25">
        <v>1</v>
      </c>
      <c r="AX661" s="25">
        <v>1</v>
      </c>
      <c r="AY661" s="25">
        <v>1</v>
      </c>
      <c r="AZ661" s="25">
        <v>1</v>
      </c>
      <c r="BA661" s="25">
        <v>1</v>
      </c>
      <c r="BB661" s="25">
        <v>1</v>
      </c>
      <c r="BC661" s="25">
        <v>1</v>
      </c>
      <c r="BD661" s="25">
        <v>1</v>
      </c>
    </row>
    <row r="662" spans="27:56" x14ac:dyDescent="0.25">
      <c r="AA662" s="68" t="str">
        <f t="shared" si="41"/>
        <v>Fotos\\.jpg</v>
      </c>
      <c r="AB662" s="53">
        <f t="shared" si="42"/>
        <v>1.5105740181268882E-3</v>
      </c>
      <c r="AC662" s="25">
        <f t="shared" si="43"/>
        <v>662</v>
      </c>
      <c r="AD662" s="51">
        <f t="shared" si="44"/>
        <v>1</v>
      </c>
      <c r="AE662" s="25">
        <v>1</v>
      </c>
      <c r="AF662" s="25">
        <v>1</v>
      </c>
      <c r="AG662" s="25">
        <v>1</v>
      </c>
      <c r="AH662" s="25">
        <v>1</v>
      </c>
      <c r="AI662" s="25">
        <f>IF(OR(Apresentação!$E$3='Base de Dados e filtragem'!AI$2,Apresentação!$E$3='Base de Dados e filtragem'!E662),1,0)</f>
        <v>1</v>
      </c>
      <c r="AJ662" s="25">
        <f>IF(OR(Apresentação!$E$4='Base de Dados e filtragem'!AJ$2,Apresentação!$E$4='Base de Dados e filtragem'!F662),1,0)</f>
        <v>1</v>
      </c>
      <c r="AK662" s="25">
        <f>IF(OR(Apresentação!$E$5='Base de Dados e filtragem'!AK$2,Apresentação!$E$5='Base de Dados e filtragem'!G662),1,0)</f>
        <v>1</v>
      </c>
      <c r="AL662" s="25">
        <f>IF(OR(Apresentação!$E$6='Base de Dados e filtragem'!AL$2,Apresentação!$E$6='Base de Dados e filtragem'!H662),1,0)</f>
        <v>1</v>
      </c>
      <c r="AM662" s="25">
        <f>IF(OR(Apresentação!$I$2='Base de Dados e filtragem'!AM$2,Apresentação!$I$2='Base de Dados e filtragem'!I662),1,0)</f>
        <v>1</v>
      </c>
      <c r="AN662" s="25">
        <f>IF(OR(Apresentação!$I$3='Base de Dados e filtragem'!AN$2,Apresentação!$I$3='Base de Dados e filtragem'!J662),1,0)</f>
        <v>1</v>
      </c>
      <c r="AO662" s="25">
        <f>IF(OR(Apresentação!$I$4='Base de Dados e filtragem'!AO$2,Apresentação!$I$4='Base de Dados e filtragem'!K662),1,0)</f>
        <v>1</v>
      </c>
      <c r="AP662" s="25">
        <f>IF(OR(Apresentação!$I$5='Base de Dados e filtragem'!AP$2,Apresentação!$I$5='Base de Dados e filtragem'!L662),1,0)</f>
        <v>1</v>
      </c>
      <c r="AQ662" s="25">
        <f>IF(OR(Apresentação!$I$6='Base de Dados e filtragem'!AQ$2,Apresentação!$I$6='Base de Dados e filtragem'!M662),1,0)</f>
        <v>1</v>
      </c>
      <c r="AR662" s="25">
        <v>1</v>
      </c>
      <c r="AS662" s="25">
        <v>1</v>
      </c>
      <c r="AT662" s="25">
        <v>1</v>
      </c>
      <c r="AU662" s="25">
        <v>1</v>
      </c>
      <c r="AV662" s="25">
        <v>1</v>
      </c>
      <c r="AW662" s="25">
        <v>1</v>
      </c>
      <c r="AX662" s="25">
        <v>1</v>
      </c>
      <c r="AY662" s="25">
        <v>1</v>
      </c>
      <c r="AZ662" s="25">
        <v>1</v>
      </c>
      <c r="BA662" s="25">
        <v>1</v>
      </c>
      <c r="BB662" s="25">
        <v>1</v>
      </c>
      <c r="BC662" s="25">
        <v>1</v>
      </c>
      <c r="BD662" s="25">
        <v>1</v>
      </c>
    </row>
    <row r="663" spans="27:56" x14ac:dyDescent="0.25">
      <c r="AA663" s="68" t="str">
        <f t="shared" si="41"/>
        <v>Fotos\\.jpg</v>
      </c>
      <c r="AB663" s="53">
        <f t="shared" si="42"/>
        <v>1.5082956259426848E-3</v>
      </c>
      <c r="AC663" s="25">
        <f t="shared" si="43"/>
        <v>663</v>
      </c>
      <c r="AD663" s="51">
        <f t="shared" si="44"/>
        <v>1</v>
      </c>
      <c r="AE663" s="25">
        <v>1</v>
      </c>
      <c r="AF663" s="25">
        <v>1</v>
      </c>
      <c r="AG663" s="25">
        <v>1</v>
      </c>
      <c r="AH663" s="25">
        <v>1</v>
      </c>
      <c r="AI663" s="25">
        <f>IF(OR(Apresentação!$E$3='Base de Dados e filtragem'!AI$2,Apresentação!$E$3='Base de Dados e filtragem'!E663),1,0)</f>
        <v>1</v>
      </c>
      <c r="AJ663" s="25">
        <f>IF(OR(Apresentação!$E$4='Base de Dados e filtragem'!AJ$2,Apresentação!$E$4='Base de Dados e filtragem'!F663),1,0)</f>
        <v>1</v>
      </c>
      <c r="AK663" s="25">
        <f>IF(OR(Apresentação!$E$5='Base de Dados e filtragem'!AK$2,Apresentação!$E$5='Base de Dados e filtragem'!G663),1,0)</f>
        <v>1</v>
      </c>
      <c r="AL663" s="25">
        <f>IF(OR(Apresentação!$E$6='Base de Dados e filtragem'!AL$2,Apresentação!$E$6='Base de Dados e filtragem'!H663),1,0)</f>
        <v>1</v>
      </c>
      <c r="AM663" s="25">
        <f>IF(OR(Apresentação!$I$2='Base de Dados e filtragem'!AM$2,Apresentação!$I$2='Base de Dados e filtragem'!I663),1,0)</f>
        <v>1</v>
      </c>
      <c r="AN663" s="25">
        <f>IF(OR(Apresentação!$I$3='Base de Dados e filtragem'!AN$2,Apresentação!$I$3='Base de Dados e filtragem'!J663),1,0)</f>
        <v>1</v>
      </c>
      <c r="AO663" s="25">
        <f>IF(OR(Apresentação!$I$4='Base de Dados e filtragem'!AO$2,Apresentação!$I$4='Base de Dados e filtragem'!K663),1,0)</f>
        <v>1</v>
      </c>
      <c r="AP663" s="25">
        <f>IF(OR(Apresentação!$I$5='Base de Dados e filtragem'!AP$2,Apresentação!$I$5='Base de Dados e filtragem'!L663),1,0)</f>
        <v>1</v>
      </c>
      <c r="AQ663" s="25">
        <f>IF(OR(Apresentação!$I$6='Base de Dados e filtragem'!AQ$2,Apresentação!$I$6='Base de Dados e filtragem'!M663),1,0)</f>
        <v>1</v>
      </c>
      <c r="AR663" s="25">
        <v>1</v>
      </c>
      <c r="AS663" s="25">
        <v>1</v>
      </c>
      <c r="AT663" s="25">
        <v>1</v>
      </c>
      <c r="AU663" s="25">
        <v>1</v>
      </c>
      <c r="AV663" s="25">
        <v>1</v>
      </c>
      <c r="AW663" s="25">
        <v>1</v>
      </c>
      <c r="AX663" s="25">
        <v>1</v>
      </c>
      <c r="AY663" s="25">
        <v>1</v>
      </c>
      <c r="AZ663" s="25">
        <v>1</v>
      </c>
      <c r="BA663" s="25">
        <v>1</v>
      </c>
      <c r="BB663" s="25">
        <v>1</v>
      </c>
      <c r="BC663" s="25">
        <v>1</v>
      </c>
      <c r="BD663" s="25">
        <v>1</v>
      </c>
    </row>
    <row r="664" spans="27:56" x14ac:dyDescent="0.25">
      <c r="AA664" s="68" t="str">
        <f t="shared" si="41"/>
        <v>Fotos\\.jpg</v>
      </c>
      <c r="AB664" s="53">
        <f t="shared" si="42"/>
        <v>1.5060240963855422E-3</v>
      </c>
      <c r="AC664" s="25">
        <f t="shared" si="43"/>
        <v>664</v>
      </c>
      <c r="AD664" s="51">
        <f t="shared" si="44"/>
        <v>1</v>
      </c>
      <c r="AE664" s="25">
        <v>1</v>
      </c>
      <c r="AF664" s="25">
        <v>1</v>
      </c>
      <c r="AG664" s="25">
        <v>1</v>
      </c>
      <c r="AH664" s="25">
        <v>1</v>
      </c>
      <c r="AI664" s="25">
        <f>IF(OR(Apresentação!$E$3='Base de Dados e filtragem'!AI$2,Apresentação!$E$3='Base de Dados e filtragem'!E664),1,0)</f>
        <v>1</v>
      </c>
      <c r="AJ664" s="25">
        <f>IF(OR(Apresentação!$E$4='Base de Dados e filtragem'!AJ$2,Apresentação!$E$4='Base de Dados e filtragem'!F664),1,0)</f>
        <v>1</v>
      </c>
      <c r="AK664" s="25">
        <f>IF(OR(Apresentação!$E$5='Base de Dados e filtragem'!AK$2,Apresentação!$E$5='Base de Dados e filtragem'!G664),1,0)</f>
        <v>1</v>
      </c>
      <c r="AL664" s="25">
        <f>IF(OR(Apresentação!$E$6='Base de Dados e filtragem'!AL$2,Apresentação!$E$6='Base de Dados e filtragem'!H664),1,0)</f>
        <v>1</v>
      </c>
      <c r="AM664" s="25">
        <f>IF(OR(Apresentação!$I$2='Base de Dados e filtragem'!AM$2,Apresentação!$I$2='Base de Dados e filtragem'!I664),1,0)</f>
        <v>1</v>
      </c>
      <c r="AN664" s="25">
        <f>IF(OR(Apresentação!$I$3='Base de Dados e filtragem'!AN$2,Apresentação!$I$3='Base de Dados e filtragem'!J664),1,0)</f>
        <v>1</v>
      </c>
      <c r="AO664" s="25">
        <f>IF(OR(Apresentação!$I$4='Base de Dados e filtragem'!AO$2,Apresentação!$I$4='Base de Dados e filtragem'!K664),1,0)</f>
        <v>1</v>
      </c>
      <c r="AP664" s="25">
        <f>IF(OR(Apresentação!$I$5='Base de Dados e filtragem'!AP$2,Apresentação!$I$5='Base de Dados e filtragem'!L664),1,0)</f>
        <v>1</v>
      </c>
      <c r="AQ664" s="25">
        <f>IF(OR(Apresentação!$I$6='Base de Dados e filtragem'!AQ$2,Apresentação!$I$6='Base de Dados e filtragem'!M664),1,0)</f>
        <v>1</v>
      </c>
      <c r="AR664" s="25">
        <v>1</v>
      </c>
      <c r="AS664" s="25">
        <v>1</v>
      </c>
      <c r="AT664" s="25">
        <v>1</v>
      </c>
      <c r="AU664" s="25">
        <v>1</v>
      </c>
      <c r="AV664" s="25">
        <v>1</v>
      </c>
      <c r="AW664" s="25">
        <v>1</v>
      </c>
      <c r="AX664" s="25">
        <v>1</v>
      </c>
      <c r="AY664" s="25">
        <v>1</v>
      </c>
      <c r="AZ664" s="25">
        <v>1</v>
      </c>
      <c r="BA664" s="25">
        <v>1</v>
      </c>
      <c r="BB664" s="25">
        <v>1</v>
      </c>
      <c r="BC664" s="25">
        <v>1</v>
      </c>
      <c r="BD664" s="25">
        <v>1</v>
      </c>
    </row>
    <row r="665" spans="27:56" x14ac:dyDescent="0.25">
      <c r="AA665" s="68" t="str">
        <f t="shared" si="41"/>
        <v>Fotos\\.jpg</v>
      </c>
      <c r="AB665" s="53">
        <f t="shared" si="42"/>
        <v>1.5037593984962407E-3</v>
      </c>
      <c r="AC665" s="25">
        <f t="shared" si="43"/>
        <v>665</v>
      </c>
      <c r="AD665" s="51">
        <f t="shared" si="44"/>
        <v>1</v>
      </c>
      <c r="AE665" s="25">
        <v>1</v>
      </c>
      <c r="AF665" s="25">
        <v>1</v>
      </c>
      <c r="AG665" s="25">
        <v>1</v>
      </c>
      <c r="AH665" s="25">
        <v>1</v>
      </c>
      <c r="AI665" s="25">
        <f>IF(OR(Apresentação!$E$3='Base de Dados e filtragem'!AI$2,Apresentação!$E$3='Base de Dados e filtragem'!E665),1,0)</f>
        <v>1</v>
      </c>
      <c r="AJ665" s="25">
        <f>IF(OR(Apresentação!$E$4='Base de Dados e filtragem'!AJ$2,Apresentação!$E$4='Base de Dados e filtragem'!F665),1,0)</f>
        <v>1</v>
      </c>
      <c r="AK665" s="25">
        <f>IF(OR(Apresentação!$E$5='Base de Dados e filtragem'!AK$2,Apresentação!$E$5='Base de Dados e filtragem'!G665),1,0)</f>
        <v>1</v>
      </c>
      <c r="AL665" s="25">
        <f>IF(OR(Apresentação!$E$6='Base de Dados e filtragem'!AL$2,Apresentação!$E$6='Base de Dados e filtragem'!H665),1,0)</f>
        <v>1</v>
      </c>
      <c r="AM665" s="25">
        <f>IF(OR(Apresentação!$I$2='Base de Dados e filtragem'!AM$2,Apresentação!$I$2='Base de Dados e filtragem'!I665),1,0)</f>
        <v>1</v>
      </c>
      <c r="AN665" s="25">
        <f>IF(OR(Apresentação!$I$3='Base de Dados e filtragem'!AN$2,Apresentação!$I$3='Base de Dados e filtragem'!J665),1,0)</f>
        <v>1</v>
      </c>
      <c r="AO665" s="25">
        <f>IF(OR(Apresentação!$I$4='Base de Dados e filtragem'!AO$2,Apresentação!$I$4='Base de Dados e filtragem'!K665),1,0)</f>
        <v>1</v>
      </c>
      <c r="AP665" s="25">
        <f>IF(OR(Apresentação!$I$5='Base de Dados e filtragem'!AP$2,Apresentação!$I$5='Base de Dados e filtragem'!L665),1,0)</f>
        <v>1</v>
      </c>
      <c r="AQ665" s="25">
        <f>IF(OR(Apresentação!$I$6='Base de Dados e filtragem'!AQ$2,Apresentação!$I$6='Base de Dados e filtragem'!M665),1,0)</f>
        <v>1</v>
      </c>
      <c r="AR665" s="25">
        <v>1</v>
      </c>
      <c r="AS665" s="25">
        <v>1</v>
      </c>
      <c r="AT665" s="25">
        <v>1</v>
      </c>
      <c r="AU665" s="25">
        <v>1</v>
      </c>
      <c r="AV665" s="25">
        <v>1</v>
      </c>
      <c r="AW665" s="25">
        <v>1</v>
      </c>
      <c r="AX665" s="25">
        <v>1</v>
      </c>
      <c r="AY665" s="25">
        <v>1</v>
      </c>
      <c r="AZ665" s="25">
        <v>1</v>
      </c>
      <c r="BA665" s="25">
        <v>1</v>
      </c>
      <c r="BB665" s="25">
        <v>1</v>
      </c>
      <c r="BC665" s="25">
        <v>1</v>
      </c>
      <c r="BD665" s="25">
        <v>1</v>
      </c>
    </row>
    <row r="666" spans="27:56" x14ac:dyDescent="0.25">
      <c r="AA666" s="68" t="str">
        <f t="shared" si="41"/>
        <v>Fotos\\.jpg</v>
      </c>
      <c r="AB666" s="53">
        <f t="shared" si="42"/>
        <v>1.5015015015015015E-3</v>
      </c>
      <c r="AC666" s="25">
        <f t="shared" si="43"/>
        <v>666</v>
      </c>
      <c r="AD666" s="51">
        <f t="shared" si="44"/>
        <v>1</v>
      </c>
      <c r="AE666" s="25">
        <v>1</v>
      </c>
      <c r="AF666" s="25">
        <v>1</v>
      </c>
      <c r="AG666" s="25">
        <v>1</v>
      </c>
      <c r="AH666" s="25">
        <v>1</v>
      </c>
      <c r="AI666" s="25">
        <f>IF(OR(Apresentação!$E$3='Base de Dados e filtragem'!AI$2,Apresentação!$E$3='Base de Dados e filtragem'!E666),1,0)</f>
        <v>1</v>
      </c>
      <c r="AJ666" s="25">
        <f>IF(OR(Apresentação!$E$4='Base de Dados e filtragem'!AJ$2,Apresentação!$E$4='Base de Dados e filtragem'!F666),1,0)</f>
        <v>1</v>
      </c>
      <c r="AK666" s="25">
        <f>IF(OR(Apresentação!$E$5='Base de Dados e filtragem'!AK$2,Apresentação!$E$5='Base de Dados e filtragem'!G666),1,0)</f>
        <v>1</v>
      </c>
      <c r="AL666" s="25">
        <f>IF(OR(Apresentação!$E$6='Base de Dados e filtragem'!AL$2,Apresentação!$E$6='Base de Dados e filtragem'!H666),1,0)</f>
        <v>1</v>
      </c>
      <c r="AM666" s="25">
        <f>IF(OR(Apresentação!$I$2='Base de Dados e filtragem'!AM$2,Apresentação!$I$2='Base de Dados e filtragem'!I666),1,0)</f>
        <v>1</v>
      </c>
      <c r="AN666" s="25">
        <f>IF(OR(Apresentação!$I$3='Base de Dados e filtragem'!AN$2,Apresentação!$I$3='Base de Dados e filtragem'!J666),1,0)</f>
        <v>1</v>
      </c>
      <c r="AO666" s="25">
        <f>IF(OR(Apresentação!$I$4='Base de Dados e filtragem'!AO$2,Apresentação!$I$4='Base de Dados e filtragem'!K666),1,0)</f>
        <v>1</v>
      </c>
      <c r="AP666" s="25">
        <f>IF(OR(Apresentação!$I$5='Base de Dados e filtragem'!AP$2,Apresentação!$I$5='Base de Dados e filtragem'!L666),1,0)</f>
        <v>1</v>
      </c>
      <c r="AQ666" s="25">
        <f>IF(OR(Apresentação!$I$6='Base de Dados e filtragem'!AQ$2,Apresentação!$I$6='Base de Dados e filtragem'!M666),1,0)</f>
        <v>1</v>
      </c>
      <c r="AR666" s="25">
        <v>1</v>
      </c>
      <c r="AS666" s="25">
        <v>1</v>
      </c>
      <c r="AT666" s="25">
        <v>1</v>
      </c>
      <c r="AU666" s="25">
        <v>1</v>
      </c>
      <c r="AV666" s="25">
        <v>1</v>
      </c>
      <c r="AW666" s="25">
        <v>1</v>
      </c>
      <c r="AX666" s="25">
        <v>1</v>
      </c>
      <c r="AY666" s="25">
        <v>1</v>
      </c>
      <c r="AZ666" s="25">
        <v>1</v>
      </c>
      <c r="BA666" s="25">
        <v>1</v>
      </c>
      <c r="BB666" s="25">
        <v>1</v>
      </c>
      <c r="BC666" s="25">
        <v>1</v>
      </c>
      <c r="BD666" s="25">
        <v>1</v>
      </c>
    </row>
    <row r="667" spans="27:56" x14ac:dyDescent="0.25">
      <c r="AA667" s="68" t="str">
        <f t="shared" si="41"/>
        <v>Fotos\\.jpg</v>
      </c>
      <c r="AB667" s="53">
        <f t="shared" si="42"/>
        <v>1.4992503748125937E-3</v>
      </c>
      <c r="AC667" s="25">
        <f t="shared" si="43"/>
        <v>667</v>
      </c>
      <c r="AD667" s="51">
        <f t="shared" si="44"/>
        <v>1</v>
      </c>
      <c r="AE667" s="25">
        <v>1</v>
      </c>
      <c r="AF667" s="25">
        <v>1</v>
      </c>
      <c r="AG667" s="25">
        <v>1</v>
      </c>
      <c r="AH667" s="25">
        <v>1</v>
      </c>
      <c r="AI667" s="25">
        <f>IF(OR(Apresentação!$E$3='Base de Dados e filtragem'!AI$2,Apresentação!$E$3='Base de Dados e filtragem'!E667),1,0)</f>
        <v>1</v>
      </c>
      <c r="AJ667" s="25">
        <f>IF(OR(Apresentação!$E$4='Base de Dados e filtragem'!AJ$2,Apresentação!$E$4='Base de Dados e filtragem'!F667),1,0)</f>
        <v>1</v>
      </c>
      <c r="AK667" s="25">
        <f>IF(OR(Apresentação!$E$5='Base de Dados e filtragem'!AK$2,Apresentação!$E$5='Base de Dados e filtragem'!G667),1,0)</f>
        <v>1</v>
      </c>
      <c r="AL667" s="25">
        <f>IF(OR(Apresentação!$E$6='Base de Dados e filtragem'!AL$2,Apresentação!$E$6='Base de Dados e filtragem'!H667),1,0)</f>
        <v>1</v>
      </c>
      <c r="AM667" s="25">
        <f>IF(OR(Apresentação!$I$2='Base de Dados e filtragem'!AM$2,Apresentação!$I$2='Base de Dados e filtragem'!I667),1,0)</f>
        <v>1</v>
      </c>
      <c r="AN667" s="25">
        <f>IF(OR(Apresentação!$I$3='Base de Dados e filtragem'!AN$2,Apresentação!$I$3='Base de Dados e filtragem'!J667),1,0)</f>
        <v>1</v>
      </c>
      <c r="AO667" s="25">
        <f>IF(OR(Apresentação!$I$4='Base de Dados e filtragem'!AO$2,Apresentação!$I$4='Base de Dados e filtragem'!K667),1,0)</f>
        <v>1</v>
      </c>
      <c r="AP667" s="25">
        <f>IF(OR(Apresentação!$I$5='Base de Dados e filtragem'!AP$2,Apresentação!$I$5='Base de Dados e filtragem'!L667),1,0)</f>
        <v>1</v>
      </c>
      <c r="AQ667" s="25">
        <f>IF(OR(Apresentação!$I$6='Base de Dados e filtragem'!AQ$2,Apresentação!$I$6='Base de Dados e filtragem'!M667),1,0)</f>
        <v>1</v>
      </c>
      <c r="AR667" s="25">
        <v>1</v>
      </c>
      <c r="AS667" s="25">
        <v>1</v>
      </c>
      <c r="AT667" s="25">
        <v>1</v>
      </c>
      <c r="AU667" s="25">
        <v>1</v>
      </c>
      <c r="AV667" s="25">
        <v>1</v>
      </c>
      <c r="AW667" s="25">
        <v>1</v>
      </c>
      <c r="AX667" s="25">
        <v>1</v>
      </c>
      <c r="AY667" s="25">
        <v>1</v>
      </c>
      <c r="AZ667" s="25">
        <v>1</v>
      </c>
      <c r="BA667" s="25">
        <v>1</v>
      </c>
      <c r="BB667" s="25">
        <v>1</v>
      </c>
      <c r="BC667" s="25">
        <v>1</v>
      </c>
      <c r="BD667" s="25">
        <v>1</v>
      </c>
    </row>
    <row r="668" spans="27:56" x14ac:dyDescent="0.25">
      <c r="AA668" s="68" t="str">
        <f t="shared" si="41"/>
        <v>Fotos\\.jpg</v>
      </c>
      <c r="AB668" s="53">
        <f t="shared" si="42"/>
        <v>1.4970059880239522E-3</v>
      </c>
      <c r="AC668" s="25">
        <f t="shared" si="43"/>
        <v>668</v>
      </c>
      <c r="AD668" s="51">
        <f t="shared" si="44"/>
        <v>1</v>
      </c>
      <c r="AE668" s="25">
        <v>1</v>
      </c>
      <c r="AF668" s="25">
        <v>1</v>
      </c>
      <c r="AG668" s="25">
        <v>1</v>
      </c>
      <c r="AH668" s="25">
        <v>1</v>
      </c>
      <c r="AI668" s="25">
        <f>IF(OR(Apresentação!$E$3='Base de Dados e filtragem'!AI$2,Apresentação!$E$3='Base de Dados e filtragem'!E668),1,0)</f>
        <v>1</v>
      </c>
      <c r="AJ668" s="25">
        <f>IF(OR(Apresentação!$E$4='Base de Dados e filtragem'!AJ$2,Apresentação!$E$4='Base de Dados e filtragem'!F668),1,0)</f>
        <v>1</v>
      </c>
      <c r="AK668" s="25">
        <f>IF(OR(Apresentação!$E$5='Base de Dados e filtragem'!AK$2,Apresentação!$E$5='Base de Dados e filtragem'!G668),1,0)</f>
        <v>1</v>
      </c>
      <c r="AL668" s="25">
        <f>IF(OR(Apresentação!$E$6='Base de Dados e filtragem'!AL$2,Apresentação!$E$6='Base de Dados e filtragem'!H668),1,0)</f>
        <v>1</v>
      </c>
      <c r="AM668" s="25">
        <f>IF(OR(Apresentação!$I$2='Base de Dados e filtragem'!AM$2,Apresentação!$I$2='Base de Dados e filtragem'!I668),1,0)</f>
        <v>1</v>
      </c>
      <c r="AN668" s="25">
        <f>IF(OR(Apresentação!$I$3='Base de Dados e filtragem'!AN$2,Apresentação!$I$3='Base de Dados e filtragem'!J668),1,0)</f>
        <v>1</v>
      </c>
      <c r="AO668" s="25">
        <f>IF(OR(Apresentação!$I$4='Base de Dados e filtragem'!AO$2,Apresentação!$I$4='Base de Dados e filtragem'!K668),1,0)</f>
        <v>1</v>
      </c>
      <c r="AP668" s="25">
        <f>IF(OR(Apresentação!$I$5='Base de Dados e filtragem'!AP$2,Apresentação!$I$5='Base de Dados e filtragem'!L668),1,0)</f>
        <v>1</v>
      </c>
      <c r="AQ668" s="25">
        <f>IF(OR(Apresentação!$I$6='Base de Dados e filtragem'!AQ$2,Apresentação!$I$6='Base de Dados e filtragem'!M668),1,0)</f>
        <v>1</v>
      </c>
      <c r="AR668" s="25">
        <v>1</v>
      </c>
      <c r="AS668" s="25">
        <v>1</v>
      </c>
      <c r="AT668" s="25">
        <v>1</v>
      </c>
      <c r="AU668" s="25">
        <v>1</v>
      </c>
      <c r="AV668" s="25">
        <v>1</v>
      </c>
      <c r="AW668" s="25">
        <v>1</v>
      </c>
      <c r="AX668" s="25">
        <v>1</v>
      </c>
      <c r="AY668" s="25">
        <v>1</v>
      </c>
      <c r="AZ668" s="25">
        <v>1</v>
      </c>
      <c r="BA668" s="25">
        <v>1</v>
      </c>
      <c r="BB668" s="25">
        <v>1</v>
      </c>
      <c r="BC668" s="25">
        <v>1</v>
      </c>
      <c r="BD668" s="25">
        <v>1</v>
      </c>
    </row>
    <row r="669" spans="27:56" x14ac:dyDescent="0.25">
      <c r="AA669" s="68" t="str">
        <f t="shared" si="41"/>
        <v>Fotos\\.jpg</v>
      </c>
      <c r="AB669" s="53">
        <f t="shared" si="42"/>
        <v>1.4947683109118087E-3</v>
      </c>
      <c r="AC669" s="25">
        <f t="shared" si="43"/>
        <v>669</v>
      </c>
      <c r="AD669" s="51">
        <f t="shared" si="44"/>
        <v>1</v>
      </c>
      <c r="AE669" s="25">
        <v>1</v>
      </c>
      <c r="AF669" s="25">
        <v>1</v>
      </c>
      <c r="AG669" s="25">
        <v>1</v>
      </c>
      <c r="AH669" s="25">
        <v>1</v>
      </c>
      <c r="AI669" s="25">
        <f>IF(OR(Apresentação!$E$3='Base de Dados e filtragem'!AI$2,Apresentação!$E$3='Base de Dados e filtragem'!E669),1,0)</f>
        <v>1</v>
      </c>
      <c r="AJ669" s="25">
        <f>IF(OR(Apresentação!$E$4='Base de Dados e filtragem'!AJ$2,Apresentação!$E$4='Base de Dados e filtragem'!F669),1,0)</f>
        <v>1</v>
      </c>
      <c r="AK669" s="25">
        <f>IF(OR(Apresentação!$E$5='Base de Dados e filtragem'!AK$2,Apresentação!$E$5='Base de Dados e filtragem'!G669),1,0)</f>
        <v>1</v>
      </c>
      <c r="AL669" s="25">
        <f>IF(OR(Apresentação!$E$6='Base de Dados e filtragem'!AL$2,Apresentação!$E$6='Base de Dados e filtragem'!H669),1,0)</f>
        <v>1</v>
      </c>
      <c r="AM669" s="25">
        <f>IF(OR(Apresentação!$I$2='Base de Dados e filtragem'!AM$2,Apresentação!$I$2='Base de Dados e filtragem'!I669),1,0)</f>
        <v>1</v>
      </c>
      <c r="AN669" s="25">
        <f>IF(OR(Apresentação!$I$3='Base de Dados e filtragem'!AN$2,Apresentação!$I$3='Base de Dados e filtragem'!J669),1,0)</f>
        <v>1</v>
      </c>
      <c r="AO669" s="25">
        <f>IF(OR(Apresentação!$I$4='Base de Dados e filtragem'!AO$2,Apresentação!$I$4='Base de Dados e filtragem'!K669),1,0)</f>
        <v>1</v>
      </c>
      <c r="AP669" s="25">
        <f>IF(OR(Apresentação!$I$5='Base de Dados e filtragem'!AP$2,Apresentação!$I$5='Base de Dados e filtragem'!L669),1,0)</f>
        <v>1</v>
      </c>
      <c r="AQ669" s="25">
        <f>IF(OR(Apresentação!$I$6='Base de Dados e filtragem'!AQ$2,Apresentação!$I$6='Base de Dados e filtragem'!M669),1,0)</f>
        <v>1</v>
      </c>
      <c r="AR669" s="25">
        <v>1</v>
      </c>
      <c r="AS669" s="25">
        <v>1</v>
      </c>
      <c r="AT669" s="25">
        <v>1</v>
      </c>
      <c r="AU669" s="25">
        <v>1</v>
      </c>
      <c r="AV669" s="25">
        <v>1</v>
      </c>
      <c r="AW669" s="25">
        <v>1</v>
      </c>
      <c r="AX669" s="25">
        <v>1</v>
      </c>
      <c r="AY669" s="25">
        <v>1</v>
      </c>
      <c r="AZ669" s="25">
        <v>1</v>
      </c>
      <c r="BA669" s="25">
        <v>1</v>
      </c>
      <c r="BB669" s="25">
        <v>1</v>
      </c>
      <c r="BC669" s="25">
        <v>1</v>
      </c>
      <c r="BD669" s="25">
        <v>1</v>
      </c>
    </row>
    <row r="670" spans="27:56" x14ac:dyDescent="0.25">
      <c r="AA670" s="68" t="str">
        <f t="shared" si="41"/>
        <v>Fotos\\.jpg</v>
      </c>
      <c r="AB670" s="53">
        <f t="shared" si="42"/>
        <v>1.4925373134328358E-3</v>
      </c>
      <c r="AC670" s="25">
        <f t="shared" si="43"/>
        <v>670</v>
      </c>
      <c r="AD670" s="51">
        <f t="shared" si="44"/>
        <v>1</v>
      </c>
      <c r="AE670" s="25">
        <v>1</v>
      </c>
      <c r="AF670" s="25">
        <v>1</v>
      </c>
      <c r="AG670" s="25">
        <v>1</v>
      </c>
      <c r="AH670" s="25">
        <v>1</v>
      </c>
      <c r="AI670" s="25">
        <f>IF(OR(Apresentação!$E$3='Base de Dados e filtragem'!AI$2,Apresentação!$E$3='Base de Dados e filtragem'!E670),1,0)</f>
        <v>1</v>
      </c>
      <c r="AJ670" s="25">
        <f>IF(OR(Apresentação!$E$4='Base de Dados e filtragem'!AJ$2,Apresentação!$E$4='Base de Dados e filtragem'!F670),1,0)</f>
        <v>1</v>
      </c>
      <c r="AK670" s="25">
        <f>IF(OR(Apresentação!$E$5='Base de Dados e filtragem'!AK$2,Apresentação!$E$5='Base de Dados e filtragem'!G670),1,0)</f>
        <v>1</v>
      </c>
      <c r="AL670" s="25">
        <f>IF(OR(Apresentação!$E$6='Base de Dados e filtragem'!AL$2,Apresentação!$E$6='Base de Dados e filtragem'!H670),1,0)</f>
        <v>1</v>
      </c>
      <c r="AM670" s="25">
        <f>IF(OR(Apresentação!$I$2='Base de Dados e filtragem'!AM$2,Apresentação!$I$2='Base de Dados e filtragem'!I670),1,0)</f>
        <v>1</v>
      </c>
      <c r="AN670" s="25">
        <f>IF(OR(Apresentação!$I$3='Base de Dados e filtragem'!AN$2,Apresentação!$I$3='Base de Dados e filtragem'!J670),1,0)</f>
        <v>1</v>
      </c>
      <c r="AO670" s="25">
        <f>IF(OR(Apresentação!$I$4='Base de Dados e filtragem'!AO$2,Apresentação!$I$4='Base de Dados e filtragem'!K670),1,0)</f>
        <v>1</v>
      </c>
      <c r="AP670" s="25">
        <f>IF(OR(Apresentação!$I$5='Base de Dados e filtragem'!AP$2,Apresentação!$I$5='Base de Dados e filtragem'!L670),1,0)</f>
        <v>1</v>
      </c>
      <c r="AQ670" s="25">
        <f>IF(OR(Apresentação!$I$6='Base de Dados e filtragem'!AQ$2,Apresentação!$I$6='Base de Dados e filtragem'!M670),1,0)</f>
        <v>1</v>
      </c>
      <c r="AR670" s="25">
        <v>1</v>
      </c>
      <c r="AS670" s="25">
        <v>1</v>
      </c>
      <c r="AT670" s="25">
        <v>1</v>
      </c>
      <c r="AU670" s="25">
        <v>1</v>
      </c>
      <c r="AV670" s="25">
        <v>1</v>
      </c>
      <c r="AW670" s="25">
        <v>1</v>
      </c>
      <c r="AX670" s="25">
        <v>1</v>
      </c>
      <c r="AY670" s="25">
        <v>1</v>
      </c>
      <c r="AZ670" s="25">
        <v>1</v>
      </c>
      <c r="BA670" s="25">
        <v>1</v>
      </c>
      <c r="BB670" s="25">
        <v>1</v>
      </c>
      <c r="BC670" s="25">
        <v>1</v>
      </c>
      <c r="BD670" s="25">
        <v>1</v>
      </c>
    </row>
    <row r="671" spans="27:56" x14ac:dyDescent="0.25">
      <c r="AA671" s="68" t="str">
        <f t="shared" si="41"/>
        <v>Fotos\\.jpg</v>
      </c>
      <c r="AB671" s="53">
        <f t="shared" si="42"/>
        <v>1.4903129657228018E-3</v>
      </c>
      <c r="AC671" s="25">
        <f t="shared" si="43"/>
        <v>671</v>
      </c>
      <c r="AD671" s="51">
        <f t="shared" si="44"/>
        <v>1</v>
      </c>
      <c r="AE671" s="25">
        <v>1</v>
      </c>
      <c r="AF671" s="25">
        <v>1</v>
      </c>
      <c r="AG671" s="25">
        <v>1</v>
      </c>
      <c r="AH671" s="25">
        <v>1</v>
      </c>
      <c r="AI671" s="25">
        <f>IF(OR(Apresentação!$E$3='Base de Dados e filtragem'!AI$2,Apresentação!$E$3='Base de Dados e filtragem'!E671),1,0)</f>
        <v>1</v>
      </c>
      <c r="AJ671" s="25">
        <f>IF(OR(Apresentação!$E$4='Base de Dados e filtragem'!AJ$2,Apresentação!$E$4='Base de Dados e filtragem'!F671),1,0)</f>
        <v>1</v>
      </c>
      <c r="AK671" s="25">
        <f>IF(OR(Apresentação!$E$5='Base de Dados e filtragem'!AK$2,Apresentação!$E$5='Base de Dados e filtragem'!G671),1,0)</f>
        <v>1</v>
      </c>
      <c r="AL671" s="25">
        <f>IF(OR(Apresentação!$E$6='Base de Dados e filtragem'!AL$2,Apresentação!$E$6='Base de Dados e filtragem'!H671),1,0)</f>
        <v>1</v>
      </c>
      <c r="AM671" s="25">
        <f>IF(OR(Apresentação!$I$2='Base de Dados e filtragem'!AM$2,Apresentação!$I$2='Base de Dados e filtragem'!I671),1,0)</f>
        <v>1</v>
      </c>
      <c r="AN671" s="25">
        <f>IF(OR(Apresentação!$I$3='Base de Dados e filtragem'!AN$2,Apresentação!$I$3='Base de Dados e filtragem'!J671),1,0)</f>
        <v>1</v>
      </c>
      <c r="AO671" s="25">
        <f>IF(OR(Apresentação!$I$4='Base de Dados e filtragem'!AO$2,Apresentação!$I$4='Base de Dados e filtragem'!K671),1,0)</f>
        <v>1</v>
      </c>
      <c r="AP671" s="25">
        <f>IF(OR(Apresentação!$I$5='Base de Dados e filtragem'!AP$2,Apresentação!$I$5='Base de Dados e filtragem'!L671),1,0)</f>
        <v>1</v>
      </c>
      <c r="AQ671" s="25">
        <f>IF(OR(Apresentação!$I$6='Base de Dados e filtragem'!AQ$2,Apresentação!$I$6='Base de Dados e filtragem'!M671),1,0)</f>
        <v>1</v>
      </c>
      <c r="AR671" s="25">
        <v>1</v>
      </c>
      <c r="AS671" s="25">
        <v>1</v>
      </c>
      <c r="AT671" s="25">
        <v>1</v>
      </c>
      <c r="AU671" s="25">
        <v>1</v>
      </c>
      <c r="AV671" s="25">
        <v>1</v>
      </c>
      <c r="AW671" s="25">
        <v>1</v>
      </c>
      <c r="AX671" s="25">
        <v>1</v>
      </c>
      <c r="AY671" s="25">
        <v>1</v>
      </c>
      <c r="AZ671" s="25">
        <v>1</v>
      </c>
      <c r="BA671" s="25">
        <v>1</v>
      </c>
      <c r="BB671" s="25">
        <v>1</v>
      </c>
      <c r="BC671" s="25">
        <v>1</v>
      </c>
      <c r="BD671" s="25">
        <v>1</v>
      </c>
    </row>
    <row r="672" spans="27:56" x14ac:dyDescent="0.25">
      <c r="AA672" s="68" t="str">
        <f t="shared" si="41"/>
        <v>Fotos\\.jpg</v>
      </c>
      <c r="AB672" s="53">
        <f t="shared" si="42"/>
        <v>1.488095238095238E-3</v>
      </c>
      <c r="AC672" s="25">
        <f t="shared" si="43"/>
        <v>672</v>
      </c>
      <c r="AD672" s="51">
        <f t="shared" si="44"/>
        <v>1</v>
      </c>
      <c r="AE672" s="25">
        <v>1</v>
      </c>
      <c r="AF672" s="25">
        <v>1</v>
      </c>
      <c r="AG672" s="25">
        <v>1</v>
      </c>
      <c r="AH672" s="25">
        <v>1</v>
      </c>
      <c r="AI672" s="25">
        <f>IF(OR(Apresentação!$E$3='Base de Dados e filtragem'!AI$2,Apresentação!$E$3='Base de Dados e filtragem'!E672),1,0)</f>
        <v>1</v>
      </c>
      <c r="AJ672" s="25">
        <f>IF(OR(Apresentação!$E$4='Base de Dados e filtragem'!AJ$2,Apresentação!$E$4='Base de Dados e filtragem'!F672),1,0)</f>
        <v>1</v>
      </c>
      <c r="AK672" s="25">
        <f>IF(OR(Apresentação!$E$5='Base de Dados e filtragem'!AK$2,Apresentação!$E$5='Base de Dados e filtragem'!G672),1,0)</f>
        <v>1</v>
      </c>
      <c r="AL672" s="25">
        <f>IF(OR(Apresentação!$E$6='Base de Dados e filtragem'!AL$2,Apresentação!$E$6='Base de Dados e filtragem'!H672),1,0)</f>
        <v>1</v>
      </c>
      <c r="AM672" s="25">
        <f>IF(OR(Apresentação!$I$2='Base de Dados e filtragem'!AM$2,Apresentação!$I$2='Base de Dados e filtragem'!I672),1,0)</f>
        <v>1</v>
      </c>
      <c r="AN672" s="25">
        <f>IF(OR(Apresentação!$I$3='Base de Dados e filtragem'!AN$2,Apresentação!$I$3='Base de Dados e filtragem'!J672),1,0)</f>
        <v>1</v>
      </c>
      <c r="AO672" s="25">
        <f>IF(OR(Apresentação!$I$4='Base de Dados e filtragem'!AO$2,Apresentação!$I$4='Base de Dados e filtragem'!K672),1,0)</f>
        <v>1</v>
      </c>
      <c r="AP672" s="25">
        <f>IF(OR(Apresentação!$I$5='Base de Dados e filtragem'!AP$2,Apresentação!$I$5='Base de Dados e filtragem'!L672),1,0)</f>
        <v>1</v>
      </c>
      <c r="AQ672" s="25">
        <f>IF(OR(Apresentação!$I$6='Base de Dados e filtragem'!AQ$2,Apresentação!$I$6='Base de Dados e filtragem'!M672),1,0)</f>
        <v>1</v>
      </c>
      <c r="AR672" s="25">
        <v>1</v>
      </c>
      <c r="AS672" s="25">
        <v>1</v>
      </c>
      <c r="AT672" s="25">
        <v>1</v>
      </c>
      <c r="AU672" s="25">
        <v>1</v>
      </c>
      <c r="AV672" s="25">
        <v>1</v>
      </c>
      <c r="AW672" s="25">
        <v>1</v>
      </c>
      <c r="AX672" s="25">
        <v>1</v>
      </c>
      <c r="AY672" s="25">
        <v>1</v>
      </c>
      <c r="AZ672" s="25">
        <v>1</v>
      </c>
      <c r="BA672" s="25">
        <v>1</v>
      </c>
      <c r="BB672" s="25">
        <v>1</v>
      </c>
      <c r="BC672" s="25">
        <v>1</v>
      </c>
      <c r="BD672" s="25">
        <v>1</v>
      </c>
    </row>
    <row r="673" spans="27:56" x14ac:dyDescent="0.25">
      <c r="AA673" s="68" t="str">
        <f t="shared" si="41"/>
        <v>Fotos\\.jpg</v>
      </c>
      <c r="AB673" s="53">
        <f t="shared" si="42"/>
        <v>1.4858841010401188E-3</v>
      </c>
      <c r="AC673" s="25">
        <f t="shared" si="43"/>
        <v>673</v>
      </c>
      <c r="AD673" s="51">
        <f t="shared" si="44"/>
        <v>1</v>
      </c>
      <c r="AE673" s="25">
        <v>1</v>
      </c>
      <c r="AF673" s="25">
        <v>1</v>
      </c>
      <c r="AG673" s="25">
        <v>1</v>
      </c>
      <c r="AH673" s="25">
        <v>1</v>
      </c>
      <c r="AI673" s="25">
        <f>IF(OR(Apresentação!$E$3='Base de Dados e filtragem'!AI$2,Apresentação!$E$3='Base de Dados e filtragem'!E673),1,0)</f>
        <v>1</v>
      </c>
      <c r="AJ673" s="25">
        <f>IF(OR(Apresentação!$E$4='Base de Dados e filtragem'!AJ$2,Apresentação!$E$4='Base de Dados e filtragem'!F673),1,0)</f>
        <v>1</v>
      </c>
      <c r="AK673" s="25">
        <f>IF(OR(Apresentação!$E$5='Base de Dados e filtragem'!AK$2,Apresentação!$E$5='Base de Dados e filtragem'!G673),1,0)</f>
        <v>1</v>
      </c>
      <c r="AL673" s="25">
        <f>IF(OR(Apresentação!$E$6='Base de Dados e filtragem'!AL$2,Apresentação!$E$6='Base de Dados e filtragem'!H673),1,0)</f>
        <v>1</v>
      </c>
      <c r="AM673" s="25">
        <f>IF(OR(Apresentação!$I$2='Base de Dados e filtragem'!AM$2,Apresentação!$I$2='Base de Dados e filtragem'!I673),1,0)</f>
        <v>1</v>
      </c>
      <c r="AN673" s="25">
        <f>IF(OR(Apresentação!$I$3='Base de Dados e filtragem'!AN$2,Apresentação!$I$3='Base de Dados e filtragem'!J673),1,0)</f>
        <v>1</v>
      </c>
      <c r="AO673" s="25">
        <f>IF(OR(Apresentação!$I$4='Base de Dados e filtragem'!AO$2,Apresentação!$I$4='Base de Dados e filtragem'!K673),1,0)</f>
        <v>1</v>
      </c>
      <c r="AP673" s="25">
        <f>IF(OR(Apresentação!$I$5='Base de Dados e filtragem'!AP$2,Apresentação!$I$5='Base de Dados e filtragem'!L673),1,0)</f>
        <v>1</v>
      </c>
      <c r="AQ673" s="25">
        <f>IF(OR(Apresentação!$I$6='Base de Dados e filtragem'!AQ$2,Apresentação!$I$6='Base de Dados e filtragem'!M673),1,0)</f>
        <v>1</v>
      </c>
      <c r="AR673" s="25">
        <v>1</v>
      </c>
      <c r="AS673" s="25">
        <v>1</v>
      </c>
      <c r="AT673" s="25">
        <v>1</v>
      </c>
      <c r="AU673" s="25">
        <v>1</v>
      </c>
      <c r="AV673" s="25">
        <v>1</v>
      </c>
      <c r="AW673" s="25">
        <v>1</v>
      </c>
      <c r="AX673" s="25">
        <v>1</v>
      </c>
      <c r="AY673" s="25">
        <v>1</v>
      </c>
      <c r="AZ673" s="25">
        <v>1</v>
      </c>
      <c r="BA673" s="25">
        <v>1</v>
      </c>
      <c r="BB673" s="25">
        <v>1</v>
      </c>
      <c r="BC673" s="25">
        <v>1</v>
      </c>
      <c r="BD673" s="25">
        <v>1</v>
      </c>
    </row>
    <row r="674" spans="27:56" x14ac:dyDescent="0.25">
      <c r="AA674" s="68" t="str">
        <f t="shared" si="41"/>
        <v>Fotos\\.jpg</v>
      </c>
      <c r="AB674" s="53">
        <f t="shared" si="42"/>
        <v>1.483679525222552E-3</v>
      </c>
      <c r="AC674" s="25">
        <f t="shared" si="43"/>
        <v>674</v>
      </c>
      <c r="AD674" s="51">
        <f t="shared" si="44"/>
        <v>1</v>
      </c>
      <c r="AE674" s="25">
        <v>1</v>
      </c>
      <c r="AF674" s="25">
        <v>1</v>
      </c>
      <c r="AG674" s="25">
        <v>1</v>
      </c>
      <c r="AH674" s="25">
        <v>1</v>
      </c>
      <c r="AI674" s="25">
        <f>IF(OR(Apresentação!$E$3='Base de Dados e filtragem'!AI$2,Apresentação!$E$3='Base de Dados e filtragem'!E674),1,0)</f>
        <v>1</v>
      </c>
      <c r="AJ674" s="25">
        <f>IF(OR(Apresentação!$E$4='Base de Dados e filtragem'!AJ$2,Apresentação!$E$4='Base de Dados e filtragem'!F674),1,0)</f>
        <v>1</v>
      </c>
      <c r="AK674" s="25">
        <f>IF(OR(Apresentação!$E$5='Base de Dados e filtragem'!AK$2,Apresentação!$E$5='Base de Dados e filtragem'!G674),1,0)</f>
        <v>1</v>
      </c>
      <c r="AL674" s="25">
        <f>IF(OR(Apresentação!$E$6='Base de Dados e filtragem'!AL$2,Apresentação!$E$6='Base de Dados e filtragem'!H674),1,0)</f>
        <v>1</v>
      </c>
      <c r="AM674" s="25">
        <f>IF(OR(Apresentação!$I$2='Base de Dados e filtragem'!AM$2,Apresentação!$I$2='Base de Dados e filtragem'!I674),1,0)</f>
        <v>1</v>
      </c>
      <c r="AN674" s="25">
        <f>IF(OR(Apresentação!$I$3='Base de Dados e filtragem'!AN$2,Apresentação!$I$3='Base de Dados e filtragem'!J674),1,0)</f>
        <v>1</v>
      </c>
      <c r="AO674" s="25">
        <f>IF(OR(Apresentação!$I$4='Base de Dados e filtragem'!AO$2,Apresentação!$I$4='Base de Dados e filtragem'!K674),1,0)</f>
        <v>1</v>
      </c>
      <c r="AP674" s="25">
        <f>IF(OR(Apresentação!$I$5='Base de Dados e filtragem'!AP$2,Apresentação!$I$5='Base de Dados e filtragem'!L674),1,0)</f>
        <v>1</v>
      </c>
      <c r="AQ674" s="25">
        <f>IF(OR(Apresentação!$I$6='Base de Dados e filtragem'!AQ$2,Apresentação!$I$6='Base de Dados e filtragem'!M674),1,0)</f>
        <v>1</v>
      </c>
      <c r="AR674" s="25">
        <v>1</v>
      </c>
      <c r="AS674" s="25">
        <v>1</v>
      </c>
      <c r="AT674" s="25">
        <v>1</v>
      </c>
      <c r="AU674" s="25">
        <v>1</v>
      </c>
      <c r="AV674" s="25">
        <v>1</v>
      </c>
      <c r="AW674" s="25">
        <v>1</v>
      </c>
      <c r="AX674" s="25">
        <v>1</v>
      </c>
      <c r="AY674" s="25">
        <v>1</v>
      </c>
      <c r="AZ674" s="25">
        <v>1</v>
      </c>
      <c r="BA674" s="25">
        <v>1</v>
      </c>
      <c r="BB674" s="25">
        <v>1</v>
      </c>
      <c r="BC674" s="25">
        <v>1</v>
      </c>
      <c r="BD674" s="25">
        <v>1</v>
      </c>
    </row>
    <row r="675" spans="27:56" x14ac:dyDescent="0.25">
      <c r="AA675" s="68" t="str">
        <f t="shared" si="41"/>
        <v>Fotos\\.jpg</v>
      </c>
      <c r="AB675" s="53">
        <f t="shared" si="42"/>
        <v>1.4814814814814814E-3</v>
      </c>
      <c r="AC675" s="25">
        <f t="shared" si="43"/>
        <v>675</v>
      </c>
      <c r="AD675" s="51">
        <f t="shared" si="44"/>
        <v>1</v>
      </c>
      <c r="AE675" s="25">
        <v>1</v>
      </c>
      <c r="AF675" s="25">
        <v>1</v>
      </c>
      <c r="AG675" s="25">
        <v>1</v>
      </c>
      <c r="AH675" s="25">
        <v>1</v>
      </c>
      <c r="AI675" s="25">
        <f>IF(OR(Apresentação!$E$3='Base de Dados e filtragem'!AI$2,Apresentação!$E$3='Base de Dados e filtragem'!E675),1,0)</f>
        <v>1</v>
      </c>
      <c r="AJ675" s="25">
        <f>IF(OR(Apresentação!$E$4='Base de Dados e filtragem'!AJ$2,Apresentação!$E$4='Base de Dados e filtragem'!F675),1,0)</f>
        <v>1</v>
      </c>
      <c r="AK675" s="25">
        <f>IF(OR(Apresentação!$E$5='Base de Dados e filtragem'!AK$2,Apresentação!$E$5='Base de Dados e filtragem'!G675),1,0)</f>
        <v>1</v>
      </c>
      <c r="AL675" s="25">
        <f>IF(OR(Apresentação!$E$6='Base de Dados e filtragem'!AL$2,Apresentação!$E$6='Base de Dados e filtragem'!H675),1,0)</f>
        <v>1</v>
      </c>
      <c r="AM675" s="25">
        <f>IF(OR(Apresentação!$I$2='Base de Dados e filtragem'!AM$2,Apresentação!$I$2='Base de Dados e filtragem'!I675),1,0)</f>
        <v>1</v>
      </c>
      <c r="AN675" s="25">
        <f>IF(OR(Apresentação!$I$3='Base de Dados e filtragem'!AN$2,Apresentação!$I$3='Base de Dados e filtragem'!J675),1,0)</f>
        <v>1</v>
      </c>
      <c r="AO675" s="25">
        <f>IF(OR(Apresentação!$I$4='Base de Dados e filtragem'!AO$2,Apresentação!$I$4='Base de Dados e filtragem'!K675),1,0)</f>
        <v>1</v>
      </c>
      <c r="AP675" s="25">
        <f>IF(OR(Apresentação!$I$5='Base de Dados e filtragem'!AP$2,Apresentação!$I$5='Base de Dados e filtragem'!L675),1,0)</f>
        <v>1</v>
      </c>
      <c r="AQ675" s="25">
        <f>IF(OR(Apresentação!$I$6='Base de Dados e filtragem'!AQ$2,Apresentação!$I$6='Base de Dados e filtragem'!M675),1,0)</f>
        <v>1</v>
      </c>
      <c r="AR675" s="25">
        <v>1</v>
      </c>
      <c r="AS675" s="25">
        <v>1</v>
      </c>
      <c r="AT675" s="25">
        <v>1</v>
      </c>
      <c r="AU675" s="25">
        <v>1</v>
      </c>
      <c r="AV675" s="25">
        <v>1</v>
      </c>
      <c r="AW675" s="25">
        <v>1</v>
      </c>
      <c r="AX675" s="25">
        <v>1</v>
      </c>
      <c r="AY675" s="25">
        <v>1</v>
      </c>
      <c r="AZ675" s="25">
        <v>1</v>
      </c>
      <c r="BA675" s="25">
        <v>1</v>
      </c>
      <c r="BB675" s="25">
        <v>1</v>
      </c>
      <c r="BC675" s="25">
        <v>1</v>
      </c>
      <c r="BD675" s="25">
        <v>1</v>
      </c>
    </row>
    <row r="676" spans="27:56" x14ac:dyDescent="0.25">
      <c r="AA676" s="68" t="str">
        <f t="shared" si="41"/>
        <v>Fotos\\.jpg</v>
      </c>
      <c r="AB676" s="53">
        <f t="shared" si="42"/>
        <v>1.4792899408284023E-3</v>
      </c>
      <c r="AC676" s="25">
        <f t="shared" si="43"/>
        <v>676</v>
      </c>
      <c r="AD676" s="51">
        <f t="shared" si="44"/>
        <v>1</v>
      </c>
      <c r="AE676" s="25">
        <v>1</v>
      </c>
      <c r="AF676" s="25">
        <v>1</v>
      </c>
      <c r="AG676" s="25">
        <v>1</v>
      </c>
      <c r="AH676" s="25">
        <v>1</v>
      </c>
      <c r="AI676" s="25">
        <f>IF(OR(Apresentação!$E$3='Base de Dados e filtragem'!AI$2,Apresentação!$E$3='Base de Dados e filtragem'!E676),1,0)</f>
        <v>1</v>
      </c>
      <c r="AJ676" s="25">
        <f>IF(OR(Apresentação!$E$4='Base de Dados e filtragem'!AJ$2,Apresentação!$E$4='Base de Dados e filtragem'!F676),1,0)</f>
        <v>1</v>
      </c>
      <c r="AK676" s="25">
        <f>IF(OR(Apresentação!$E$5='Base de Dados e filtragem'!AK$2,Apresentação!$E$5='Base de Dados e filtragem'!G676),1,0)</f>
        <v>1</v>
      </c>
      <c r="AL676" s="25">
        <f>IF(OR(Apresentação!$E$6='Base de Dados e filtragem'!AL$2,Apresentação!$E$6='Base de Dados e filtragem'!H676),1,0)</f>
        <v>1</v>
      </c>
      <c r="AM676" s="25">
        <f>IF(OR(Apresentação!$I$2='Base de Dados e filtragem'!AM$2,Apresentação!$I$2='Base de Dados e filtragem'!I676),1,0)</f>
        <v>1</v>
      </c>
      <c r="AN676" s="25">
        <f>IF(OR(Apresentação!$I$3='Base de Dados e filtragem'!AN$2,Apresentação!$I$3='Base de Dados e filtragem'!J676),1,0)</f>
        <v>1</v>
      </c>
      <c r="AO676" s="25">
        <f>IF(OR(Apresentação!$I$4='Base de Dados e filtragem'!AO$2,Apresentação!$I$4='Base de Dados e filtragem'!K676),1,0)</f>
        <v>1</v>
      </c>
      <c r="AP676" s="25">
        <f>IF(OR(Apresentação!$I$5='Base de Dados e filtragem'!AP$2,Apresentação!$I$5='Base de Dados e filtragem'!L676),1,0)</f>
        <v>1</v>
      </c>
      <c r="AQ676" s="25">
        <f>IF(OR(Apresentação!$I$6='Base de Dados e filtragem'!AQ$2,Apresentação!$I$6='Base de Dados e filtragem'!M676),1,0)</f>
        <v>1</v>
      </c>
      <c r="AR676" s="25">
        <v>1</v>
      </c>
      <c r="AS676" s="25">
        <v>1</v>
      </c>
      <c r="AT676" s="25">
        <v>1</v>
      </c>
      <c r="AU676" s="25">
        <v>1</v>
      </c>
      <c r="AV676" s="25">
        <v>1</v>
      </c>
      <c r="AW676" s="25">
        <v>1</v>
      </c>
      <c r="AX676" s="25">
        <v>1</v>
      </c>
      <c r="AY676" s="25">
        <v>1</v>
      </c>
      <c r="AZ676" s="25">
        <v>1</v>
      </c>
      <c r="BA676" s="25">
        <v>1</v>
      </c>
      <c r="BB676" s="25">
        <v>1</v>
      </c>
      <c r="BC676" s="25">
        <v>1</v>
      </c>
      <c r="BD676" s="25">
        <v>1</v>
      </c>
    </row>
    <row r="677" spans="27:56" x14ac:dyDescent="0.25">
      <c r="AA677" s="68" t="str">
        <f t="shared" si="41"/>
        <v>Fotos\\.jpg</v>
      </c>
      <c r="AB677" s="53">
        <f t="shared" si="42"/>
        <v>1.4771048744460858E-3</v>
      </c>
      <c r="AC677" s="25">
        <f t="shared" si="43"/>
        <v>677</v>
      </c>
      <c r="AD677" s="51">
        <f t="shared" si="44"/>
        <v>1</v>
      </c>
      <c r="AE677" s="25">
        <v>1</v>
      </c>
      <c r="AF677" s="25">
        <v>1</v>
      </c>
      <c r="AG677" s="25">
        <v>1</v>
      </c>
      <c r="AH677" s="25">
        <v>1</v>
      </c>
      <c r="AI677" s="25">
        <f>IF(OR(Apresentação!$E$3='Base de Dados e filtragem'!AI$2,Apresentação!$E$3='Base de Dados e filtragem'!E677),1,0)</f>
        <v>1</v>
      </c>
      <c r="AJ677" s="25">
        <f>IF(OR(Apresentação!$E$4='Base de Dados e filtragem'!AJ$2,Apresentação!$E$4='Base de Dados e filtragem'!F677),1,0)</f>
        <v>1</v>
      </c>
      <c r="AK677" s="25">
        <f>IF(OR(Apresentação!$E$5='Base de Dados e filtragem'!AK$2,Apresentação!$E$5='Base de Dados e filtragem'!G677),1,0)</f>
        <v>1</v>
      </c>
      <c r="AL677" s="25">
        <f>IF(OR(Apresentação!$E$6='Base de Dados e filtragem'!AL$2,Apresentação!$E$6='Base de Dados e filtragem'!H677),1,0)</f>
        <v>1</v>
      </c>
      <c r="AM677" s="25">
        <f>IF(OR(Apresentação!$I$2='Base de Dados e filtragem'!AM$2,Apresentação!$I$2='Base de Dados e filtragem'!I677),1,0)</f>
        <v>1</v>
      </c>
      <c r="AN677" s="25">
        <f>IF(OR(Apresentação!$I$3='Base de Dados e filtragem'!AN$2,Apresentação!$I$3='Base de Dados e filtragem'!J677),1,0)</f>
        <v>1</v>
      </c>
      <c r="AO677" s="25">
        <f>IF(OR(Apresentação!$I$4='Base de Dados e filtragem'!AO$2,Apresentação!$I$4='Base de Dados e filtragem'!K677),1,0)</f>
        <v>1</v>
      </c>
      <c r="AP677" s="25">
        <f>IF(OR(Apresentação!$I$5='Base de Dados e filtragem'!AP$2,Apresentação!$I$5='Base de Dados e filtragem'!L677),1,0)</f>
        <v>1</v>
      </c>
      <c r="AQ677" s="25">
        <f>IF(OR(Apresentação!$I$6='Base de Dados e filtragem'!AQ$2,Apresentação!$I$6='Base de Dados e filtragem'!M677),1,0)</f>
        <v>1</v>
      </c>
      <c r="AR677" s="25">
        <v>1</v>
      </c>
      <c r="AS677" s="25">
        <v>1</v>
      </c>
      <c r="AT677" s="25">
        <v>1</v>
      </c>
      <c r="AU677" s="25">
        <v>1</v>
      </c>
      <c r="AV677" s="25">
        <v>1</v>
      </c>
      <c r="AW677" s="25">
        <v>1</v>
      </c>
      <c r="AX677" s="25">
        <v>1</v>
      </c>
      <c r="AY677" s="25">
        <v>1</v>
      </c>
      <c r="AZ677" s="25">
        <v>1</v>
      </c>
      <c r="BA677" s="25">
        <v>1</v>
      </c>
      <c r="BB677" s="25">
        <v>1</v>
      </c>
      <c r="BC677" s="25">
        <v>1</v>
      </c>
      <c r="BD677" s="25">
        <v>1</v>
      </c>
    </row>
    <row r="678" spans="27:56" x14ac:dyDescent="0.25">
      <c r="AA678" s="68" t="str">
        <f t="shared" si="41"/>
        <v>Fotos\\.jpg</v>
      </c>
      <c r="AB678" s="53">
        <f t="shared" si="42"/>
        <v>1.4749262536873156E-3</v>
      </c>
      <c r="AC678" s="25">
        <f t="shared" si="43"/>
        <v>678</v>
      </c>
      <c r="AD678" s="51">
        <f t="shared" si="44"/>
        <v>1</v>
      </c>
      <c r="AE678" s="25">
        <v>1</v>
      </c>
      <c r="AF678" s="25">
        <v>1</v>
      </c>
      <c r="AG678" s="25">
        <v>1</v>
      </c>
      <c r="AH678" s="25">
        <v>1</v>
      </c>
      <c r="AI678" s="25">
        <f>IF(OR(Apresentação!$E$3='Base de Dados e filtragem'!AI$2,Apresentação!$E$3='Base de Dados e filtragem'!E678),1,0)</f>
        <v>1</v>
      </c>
      <c r="AJ678" s="25">
        <f>IF(OR(Apresentação!$E$4='Base de Dados e filtragem'!AJ$2,Apresentação!$E$4='Base de Dados e filtragem'!F678),1,0)</f>
        <v>1</v>
      </c>
      <c r="AK678" s="25">
        <f>IF(OR(Apresentação!$E$5='Base de Dados e filtragem'!AK$2,Apresentação!$E$5='Base de Dados e filtragem'!G678),1,0)</f>
        <v>1</v>
      </c>
      <c r="AL678" s="25">
        <f>IF(OR(Apresentação!$E$6='Base de Dados e filtragem'!AL$2,Apresentação!$E$6='Base de Dados e filtragem'!H678),1,0)</f>
        <v>1</v>
      </c>
      <c r="AM678" s="25">
        <f>IF(OR(Apresentação!$I$2='Base de Dados e filtragem'!AM$2,Apresentação!$I$2='Base de Dados e filtragem'!I678),1,0)</f>
        <v>1</v>
      </c>
      <c r="AN678" s="25">
        <f>IF(OR(Apresentação!$I$3='Base de Dados e filtragem'!AN$2,Apresentação!$I$3='Base de Dados e filtragem'!J678),1,0)</f>
        <v>1</v>
      </c>
      <c r="AO678" s="25">
        <f>IF(OR(Apresentação!$I$4='Base de Dados e filtragem'!AO$2,Apresentação!$I$4='Base de Dados e filtragem'!K678),1,0)</f>
        <v>1</v>
      </c>
      <c r="AP678" s="25">
        <f>IF(OR(Apresentação!$I$5='Base de Dados e filtragem'!AP$2,Apresentação!$I$5='Base de Dados e filtragem'!L678),1,0)</f>
        <v>1</v>
      </c>
      <c r="AQ678" s="25">
        <f>IF(OR(Apresentação!$I$6='Base de Dados e filtragem'!AQ$2,Apresentação!$I$6='Base de Dados e filtragem'!M678),1,0)</f>
        <v>1</v>
      </c>
      <c r="AR678" s="25">
        <v>1</v>
      </c>
      <c r="AS678" s="25">
        <v>1</v>
      </c>
      <c r="AT678" s="25">
        <v>1</v>
      </c>
      <c r="AU678" s="25">
        <v>1</v>
      </c>
      <c r="AV678" s="25">
        <v>1</v>
      </c>
      <c r="AW678" s="25">
        <v>1</v>
      </c>
      <c r="AX678" s="25">
        <v>1</v>
      </c>
      <c r="AY678" s="25">
        <v>1</v>
      </c>
      <c r="AZ678" s="25">
        <v>1</v>
      </c>
      <c r="BA678" s="25">
        <v>1</v>
      </c>
      <c r="BB678" s="25">
        <v>1</v>
      </c>
      <c r="BC678" s="25">
        <v>1</v>
      </c>
      <c r="BD678" s="25">
        <v>1</v>
      </c>
    </row>
    <row r="679" spans="27:56" x14ac:dyDescent="0.25">
      <c r="AA679" s="68" t="str">
        <f t="shared" si="41"/>
        <v>Fotos\\.jpg</v>
      </c>
      <c r="AB679" s="53">
        <f t="shared" si="42"/>
        <v>1.4727540500736377E-3</v>
      </c>
      <c r="AC679" s="25">
        <f t="shared" si="43"/>
        <v>679</v>
      </c>
      <c r="AD679" s="51">
        <f t="shared" si="44"/>
        <v>1</v>
      </c>
      <c r="AE679" s="25">
        <v>1</v>
      </c>
      <c r="AF679" s="25">
        <v>1</v>
      </c>
      <c r="AG679" s="25">
        <v>1</v>
      </c>
      <c r="AH679" s="25">
        <v>1</v>
      </c>
      <c r="AI679" s="25">
        <f>IF(OR(Apresentação!$E$3='Base de Dados e filtragem'!AI$2,Apresentação!$E$3='Base de Dados e filtragem'!E679),1,0)</f>
        <v>1</v>
      </c>
      <c r="AJ679" s="25">
        <f>IF(OR(Apresentação!$E$4='Base de Dados e filtragem'!AJ$2,Apresentação!$E$4='Base de Dados e filtragem'!F679),1,0)</f>
        <v>1</v>
      </c>
      <c r="AK679" s="25">
        <f>IF(OR(Apresentação!$E$5='Base de Dados e filtragem'!AK$2,Apresentação!$E$5='Base de Dados e filtragem'!G679),1,0)</f>
        <v>1</v>
      </c>
      <c r="AL679" s="25">
        <f>IF(OR(Apresentação!$E$6='Base de Dados e filtragem'!AL$2,Apresentação!$E$6='Base de Dados e filtragem'!H679),1,0)</f>
        <v>1</v>
      </c>
      <c r="AM679" s="25">
        <f>IF(OR(Apresentação!$I$2='Base de Dados e filtragem'!AM$2,Apresentação!$I$2='Base de Dados e filtragem'!I679),1,0)</f>
        <v>1</v>
      </c>
      <c r="AN679" s="25">
        <f>IF(OR(Apresentação!$I$3='Base de Dados e filtragem'!AN$2,Apresentação!$I$3='Base de Dados e filtragem'!J679),1,0)</f>
        <v>1</v>
      </c>
      <c r="AO679" s="25">
        <f>IF(OR(Apresentação!$I$4='Base de Dados e filtragem'!AO$2,Apresentação!$I$4='Base de Dados e filtragem'!K679),1,0)</f>
        <v>1</v>
      </c>
      <c r="AP679" s="25">
        <f>IF(OR(Apresentação!$I$5='Base de Dados e filtragem'!AP$2,Apresentação!$I$5='Base de Dados e filtragem'!L679),1,0)</f>
        <v>1</v>
      </c>
      <c r="AQ679" s="25">
        <f>IF(OR(Apresentação!$I$6='Base de Dados e filtragem'!AQ$2,Apresentação!$I$6='Base de Dados e filtragem'!M679),1,0)</f>
        <v>1</v>
      </c>
      <c r="AR679" s="25">
        <v>1</v>
      </c>
      <c r="AS679" s="25">
        <v>1</v>
      </c>
      <c r="AT679" s="25">
        <v>1</v>
      </c>
      <c r="AU679" s="25">
        <v>1</v>
      </c>
      <c r="AV679" s="25">
        <v>1</v>
      </c>
      <c r="AW679" s="25">
        <v>1</v>
      </c>
      <c r="AX679" s="25">
        <v>1</v>
      </c>
      <c r="AY679" s="25">
        <v>1</v>
      </c>
      <c r="AZ679" s="25">
        <v>1</v>
      </c>
      <c r="BA679" s="25">
        <v>1</v>
      </c>
      <c r="BB679" s="25">
        <v>1</v>
      </c>
      <c r="BC679" s="25">
        <v>1</v>
      </c>
      <c r="BD679" s="25">
        <v>1</v>
      </c>
    </row>
    <row r="680" spans="27:56" x14ac:dyDescent="0.25">
      <c r="AA680" s="68" t="str">
        <f t="shared" si="41"/>
        <v>Fotos\\.jpg</v>
      </c>
      <c r="AB680" s="53">
        <f t="shared" si="42"/>
        <v>1.4705882352941176E-3</v>
      </c>
      <c r="AC680" s="25">
        <f t="shared" si="43"/>
        <v>680</v>
      </c>
      <c r="AD680" s="51">
        <f t="shared" si="44"/>
        <v>1</v>
      </c>
      <c r="AE680" s="25">
        <v>1</v>
      </c>
      <c r="AF680" s="25">
        <v>1</v>
      </c>
      <c r="AG680" s="25">
        <v>1</v>
      </c>
      <c r="AH680" s="25">
        <v>1</v>
      </c>
      <c r="AI680" s="25">
        <f>IF(OR(Apresentação!$E$3='Base de Dados e filtragem'!AI$2,Apresentação!$E$3='Base de Dados e filtragem'!E680),1,0)</f>
        <v>1</v>
      </c>
      <c r="AJ680" s="25">
        <f>IF(OR(Apresentação!$E$4='Base de Dados e filtragem'!AJ$2,Apresentação!$E$4='Base de Dados e filtragem'!F680),1,0)</f>
        <v>1</v>
      </c>
      <c r="AK680" s="25">
        <f>IF(OR(Apresentação!$E$5='Base de Dados e filtragem'!AK$2,Apresentação!$E$5='Base de Dados e filtragem'!G680),1,0)</f>
        <v>1</v>
      </c>
      <c r="AL680" s="25">
        <f>IF(OR(Apresentação!$E$6='Base de Dados e filtragem'!AL$2,Apresentação!$E$6='Base de Dados e filtragem'!H680),1,0)</f>
        <v>1</v>
      </c>
      <c r="AM680" s="25">
        <f>IF(OR(Apresentação!$I$2='Base de Dados e filtragem'!AM$2,Apresentação!$I$2='Base de Dados e filtragem'!I680),1,0)</f>
        <v>1</v>
      </c>
      <c r="AN680" s="25">
        <f>IF(OR(Apresentação!$I$3='Base de Dados e filtragem'!AN$2,Apresentação!$I$3='Base de Dados e filtragem'!J680),1,0)</f>
        <v>1</v>
      </c>
      <c r="AO680" s="25">
        <f>IF(OR(Apresentação!$I$4='Base de Dados e filtragem'!AO$2,Apresentação!$I$4='Base de Dados e filtragem'!K680),1,0)</f>
        <v>1</v>
      </c>
      <c r="AP680" s="25">
        <f>IF(OR(Apresentação!$I$5='Base de Dados e filtragem'!AP$2,Apresentação!$I$5='Base de Dados e filtragem'!L680),1,0)</f>
        <v>1</v>
      </c>
      <c r="AQ680" s="25">
        <f>IF(OR(Apresentação!$I$6='Base de Dados e filtragem'!AQ$2,Apresentação!$I$6='Base de Dados e filtragem'!M680),1,0)</f>
        <v>1</v>
      </c>
      <c r="AR680" s="25">
        <v>1</v>
      </c>
      <c r="AS680" s="25">
        <v>1</v>
      </c>
      <c r="AT680" s="25">
        <v>1</v>
      </c>
      <c r="AU680" s="25">
        <v>1</v>
      </c>
      <c r="AV680" s="25">
        <v>1</v>
      </c>
      <c r="AW680" s="25">
        <v>1</v>
      </c>
      <c r="AX680" s="25">
        <v>1</v>
      </c>
      <c r="AY680" s="25">
        <v>1</v>
      </c>
      <c r="AZ680" s="25">
        <v>1</v>
      </c>
      <c r="BA680" s="25">
        <v>1</v>
      </c>
      <c r="BB680" s="25">
        <v>1</v>
      </c>
      <c r="BC680" s="25">
        <v>1</v>
      </c>
      <c r="BD680" s="25">
        <v>1</v>
      </c>
    </row>
    <row r="681" spans="27:56" x14ac:dyDescent="0.25">
      <c r="AA681" s="68" t="str">
        <f t="shared" si="41"/>
        <v>Fotos\\.jpg</v>
      </c>
      <c r="AB681" s="53">
        <f t="shared" si="42"/>
        <v>1.4684287812041115E-3</v>
      </c>
      <c r="AC681" s="25">
        <f t="shared" si="43"/>
        <v>681</v>
      </c>
      <c r="AD681" s="51">
        <f t="shared" si="44"/>
        <v>1</v>
      </c>
      <c r="AE681" s="25">
        <v>1</v>
      </c>
      <c r="AF681" s="25">
        <v>1</v>
      </c>
      <c r="AG681" s="25">
        <v>1</v>
      </c>
      <c r="AH681" s="25">
        <v>1</v>
      </c>
      <c r="AI681" s="25">
        <f>IF(OR(Apresentação!$E$3='Base de Dados e filtragem'!AI$2,Apresentação!$E$3='Base de Dados e filtragem'!E681),1,0)</f>
        <v>1</v>
      </c>
      <c r="AJ681" s="25">
        <f>IF(OR(Apresentação!$E$4='Base de Dados e filtragem'!AJ$2,Apresentação!$E$4='Base de Dados e filtragem'!F681),1,0)</f>
        <v>1</v>
      </c>
      <c r="AK681" s="25">
        <f>IF(OR(Apresentação!$E$5='Base de Dados e filtragem'!AK$2,Apresentação!$E$5='Base de Dados e filtragem'!G681),1,0)</f>
        <v>1</v>
      </c>
      <c r="AL681" s="25">
        <f>IF(OR(Apresentação!$E$6='Base de Dados e filtragem'!AL$2,Apresentação!$E$6='Base de Dados e filtragem'!H681),1,0)</f>
        <v>1</v>
      </c>
      <c r="AM681" s="25">
        <f>IF(OR(Apresentação!$I$2='Base de Dados e filtragem'!AM$2,Apresentação!$I$2='Base de Dados e filtragem'!I681),1,0)</f>
        <v>1</v>
      </c>
      <c r="AN681" s="25">
        <f>IF(OR(Apresentação!$I$3='Base de Dados e filtragem'!AN$2,Apresentação!$I$3='Base de Dados e filtragem'!J681),1,0)</f>
        <v>1</v>
      </c>
      <c r="AO681" s="25">
        <f>IF(OR(Apresentação!$I$4='Base de Dados e filtragem'!AO$2,Apresentação!$I$4='Base de Dados e filtragem'!K681),1,0)</f>
        <v>1</v>
      </c>
      <c r="AP681" s="25">
        <f>IF(OR(Apresentação!$I$5='Base de Dados e filtragem'!AP$2,Apresentação!$I$5='Base de Dados e filtragem'!L681),1,0)</f>
        <v>1</v>
      </c>
      <c r="AQ681" s="25">
        <f>IF(OR(Apresentação!$I$6='Base de Dados e filtragem'!AQ$2,Apresentação!$I$6='Base de Dados e filtragem'!M681),1,0)</f>
        <v>1</v>
      </c>
      <c r="AR681" s="25">
        <v>1</v>
      </c>
      <c r="AS681" s="25">
        <v>1</v>
      </c>
      <c r="AT681" s="25">
        <v>1</v>
      </c>
      <c r="AU681" s="25">
        <v>1</v>
      </c>
      <c r="AV681" s="25">
        <v>1</v>
      </c>
      <c r="AW681" s="25">
        <v>1</v>
      </c>
      <c r="AX681" s="25">
        <v>1</v>
      </c>
      <c r="AY681" s="25">
        <v>1</v>
      </c>
      <c r="AZ681" s="25">
        <v>1</v>
      </c>
      <c r="BA681" s="25">
        <v>1</v>
      </c>
      <c r="BB681" s="25">
        <v>1</v>
      </c>
      <c r="BC681" s="25">
        <v>1</v>
      </c>
      <c r="BD681" s="25">
        <v>1</v>
      </c>
    </row>
    <row r="682" spans="27:56" x14ac:dyDescent="0.25">
      <c r="AA682" s="68" t="str">
        <f t="shared" si="41"/>
        <v>Fotos\\.jpg</v>
      </c>
      <c r="AB682" s="53">
        <f t="shared" si="42"/>
        <v>1.4662756598240469E-3</v>
      </c>
      <c r="AC682" s="25">
        <f t="shared" si="43"/>
        <v>682</v>
      </c>
      <c r="AD682" s="51">
        <f t="shared" si="44"/>
        <v>1</v>
      </c>
      <c r="AE682" s="25">
        <v>1</v>
      </c>
      <c r="AF682" s="25">
        <v>1</v>
      </c>
      <c r="AG682" s="25">
        <v>1</v>
      </c>
      <c r="AH682" s="25">
        <v>1</v>
      </c>
      <c r="AI682" s="25">
        <f>IF(OR(Apresentação!$E$3='Base de Dados e filtragem'!AI$2,Apresentação!$E$3='Base de Dados e filtragem'!E682),1,0)</f>
        <v>1</v>
      </c>
      <c r="AJ682" s="25">
        <f>IF(OR(Apresentação!$E$4='Base de Dados e filtragem'!AJ$2,Apresentação!$E$4='Base de Dados e filtragem'!F682),1,0)</f>
        <v>1</v>
      </c>
      <c r="AK682" s="25">
        <f>IF(OR(Apresentação!$E$5='Base de Dados e filtragem'!AK$2,Apresentação!$E$5='Base de Dados e filtragem'!G682),1,0)</f>
        <v>1</v>
      </c>
      <c r="AL682" s="25">
        <f>IF(OR(Apresentação!$E$6='Base de Dados e filtragem'!AL$2,Apresentação!$E$6='Base de Dados e filtragem'!H682),1,0)</f>
        <v>1</v>
      </c>
      <c r="AM682" s="25">
        <f>IF(OR(Apresentação!$I$2='Base de Dados e filtragem'!AM$2,Apresentação!$I$2='Base de Dados e filtragem'!I682),1,0)</f>
        <v>1</v>
      </c>
      <c r="AN682" s="25">
        <f>IF(OR(Apresentação!$I$3='Base de Dados e filtragem'!AN$2,Apresentação!$I$3='Base de Dados e filtragem'!J682),1,0)</f>
        <v>1</v>
      </c>
      <c r="AO682" s="25">
        <f>IF(OR(Apresentação!$I$4='Base de Dados e filtragem'!AO$2,Apresentação!$I$4='Base de Dados e filtragem'!K682),1,0)</f>
        <v>1</v>
      </c>
      <c r="AP682" s="25">
        <f>IF(OR(Apresentação!$I$5='Base de Dados e filtragem'!AP$2,Apresentação!$I$5='Base de Dados e filtragem'!L682),1,0)</f>
        <v>1</v>
      </c>
      <c r="AQ682" s="25">
        <f>IF(OR(Apresentação!$I$6='Base de Dados e filtragem'!AQ$2,Apresentação!$I$6='Base de Dados e filtragem'!M682),1,0)</f>
        <v>1</v>
      </c>
      <c r="AR682" s="25">
        <v>1</v>
      </c>
      <c r="AS682" s="25">
        <v>1</v>
      </c>
      <c r="AT682" s="25">
        <v>1</v>
      </c>
      <c r="AU682" s="25">
        <v>1</v>
      </c>
      <c r="AV682" s="25">
        <v>1</v>
      </c>
      <c r="AW682" s="25">
        <v>1</v>
      </c>
      <c r="AX682" s="25">
        <v>1</v>
      </c>
      <c r="AY682" s="25">
        <v>1</v>
      </c>
      <c r="AZ682" s="25">
        <v>1</v>
      </c>
      <c r="BA682" s="25">
        <v>1</v>
      </c>
      <c r="BB682" s="25">
        <v>1</v>
      </c>
      <c r="BC682" s="25">
        <v>1</v>
      </c>
      <c r="BD682" s="25">
        <v>1</v>
      </c>
    </row>
    <row r="683" spans="27:56" x14ac:dyDescent="0.25">
      <c r="AA683" s="68" t="str">
        <f t="shared" si="41"/>
        <v>Fotos\\.jpg</v>
      </c>
      <c r="AB683" s="53">
        <f t="shared" si="42"/>
        <v>1.4641288433382138E-3</v>
      </c>
      <c r="AC683" s="25">
        <f t="shared" si="43"/>
        <v>683</v>
      </c>
      <c r="AD683" s="51">
        <f t="shared" si="44"/>
        <v>1</v>
      </c>
      <c r="AE683" s="25">
        <v>1</v>
      </c>
      <c r="AF683" s="25">
        <v>1</v>
      </c>
      <c r="AG683" s="25">
        <v>1</v>
      </c>
      <c r="AH683" s="25">
        <v>1</v>
      </c>
      <c r="AI683" s="25">
        <f>IF(OR(Apresentação!$E$3='Base de Dados e filtragem'!AI$2,Apresentação!$E$3='Base de Dados e filtragem'!E683),1,0)</f>
        <v>1</v>
      </c>
      <c r="AJ683" s="25">
        <f>IF(OR(Apresentação!$E$4='Base de Dados e filtragem'!AJ$2,Apresentação!$E$4='Base de Dados e filtragem'!F683),1,0)</f>
        <v>1</v>
      </c>
      <c r="AK683" s="25">
        <f>IF(OR(Apresentação!$E$5='Base de Dados e filtragem'!AK$2,Apresentação!$E$5='Base de Dados e filtragem'!G683),1,0)</f>
        <v>1</v>
      </c>
      <c r="AL683" s="25">
        <f>IF(OR(Apresentação!$E$6='Base de Dados e filtragem'!AL$2,Apresentação!$E$6='Base de Dados e filtragem'!H683),1,0)</f>
        <v>1</v>
      </c>
      <c r="AM683" s="25">
        <f>IF(OR(Apresentação!$I$2='Base de Dados e filtragem'!AM$2,Apresentação!$I$2='Base de Dados e filtragem'!I683),1,0)</f>
        <v>1</v>
      </c>
      <c r="AN683" s="25">
        <f>IF(OR(Apresentação!$I$3='Base de Dados e filtragem'!AN$2,Apresentação!$I$3='Base de Dados e filtragem'!J683),1,0)</f>
        <v>1</v>
      </c>
      <c r="AO683" s="25">
        <f>IF(OR(Apresentação!$I$4='Base de Dados e filtragem'!AO$2,Apresentação!$I$4='Base de Dados e filtragem'!K683),1,0)</f>
        <v>1</v>
      </c>
      <c r="AP683" s="25">
        <f>IF(OR(Apresentação!$I$5='Base de Dados e filtragem'!AP$2,Apresentação!$I$5='Base de Dados e filtragem'!L683),1,0)</f>
        <v>1</v>
      </c>
      <c r="AQ683" s="25">
        <f>IF(OR(Apresentação!$I$6='Base de Dados e filtragem'!AQ$2,Apresentação!$I$6='Base de Dados e filtragem'!M683),1,0)</f>
        <v>1</v>
      </c>
      <c r="AR683" s="25">
        <v>1</v>
      </c>
      <c r="AS683" s="25">
        <v>1</v>
      </c>
      <c r="AT683" s="25">
        <v>1</v>
      </c>
      <c r="AU683" s="25">
        <v>1</v>
      </c>
      <c r="AV683" s="25">
        <v>1</v>
      </c>
      <c r="AW683" s="25">
        <v>1</v>
      </c>
      <c r="AX683" s="25">
        <v>1</v>
      </c>
      <c r="AY683" s="25">
        <v>1</v>
      </c>
      <c r="AZ683" s="25">
        <v>1</v>
      </c>
      <c r="BA683" s="25">
        <v>1</v>
      </c>
      <c r="BB683" s="25">
        <v>1</v>
      </c>
      <c r="BC683" s="25">
        <v>1</v>
      </c>
      <c r="BD683" s="25">
        <v>1</v>
      </c>
    </row>
    <row r="684" spans="27:56" x14ac:dyDescent="0.25">
      <c r="AA684" s="68" t="str">
        <f t="shared" si="41"/>
        <v>Fotos\\.jpg</v>
      </c>
      <c r="AB684" s="53">
        <f t="shared" si="42"/>
        <v>1.4619883040935672E-3</v>
      </c>
      <c r="AC684" s="25">
        <f t="shared" si="43"/>
        <v>684</v>
      </c>
      <c r="AD684" s="51">
        <f t="shared" si="44"/>
        <v>1</v>
      </c>
      <c r="AE684" s="25">
        <v>1</v>
      </c>
      <c r="AF684" s="25">
        <v>1</v>
      </c>
      <c r="AG684" s="25">
        <v>1</v>
      </c>
      <c r="AH684" s="25">
        <v>1</v>
      </c>
      <c r="AI684" s="25">
        <f>IF(OR(Apresentação!$E$3='Base de Dados e filtragem'!AI$2,Apresentação!$E$3='Base de Dados e filtragem'!E684),1,0)</f>
        <v>1</v>
      </c>
      <c r="AJ684" s="25">
        <f>IF(OR(Apresentação!$E$4='Base de Dados e filtragem'!AJ$2,Apresentação!$E$4='Base de Dados e filtragem'!F684),1,0)</f>
        <v>1</v>
      </c>
      <c r="AK684" s="25">
        <f>IF(OR(Apresentação!$E$5='Base de Dados e filtragem'!AK$2,Apresentação!$E$5='Base de Dados e filtragem'!G684),1,0)</f>
        <v>1</v>
      </c>
      <c r="AL684" s="25">
        <f>IF(OR(Apresentação!$E$6='Base de Dados e filtragem'!AL$2,Apresentação!$E$6='Base de Dados e filtragem'!H684),1,0)</f>
        <v>1</v>
      </c>
      <c r="AM684" s="25">
        <f>IF(OR(Apresentação!$I$2='Base de Dados e filtragem'!AM$2,Apresentação!$I$2='Base de Dados e filtragem'!I684),1,0)</f>
        <v>1</v>
      </c>
      <c r="AN684" s="25">
        <f>IF(OR(Apresentação!$I$3='Base de Dados e filtragem'!AN$2,Apresentação!$I$3='Base de Dados e filtragem'!J684),1,0)</f>
        <v>1</v>
      </c>
      <c r="AO684" s="25">
        <f>IF(OR(Apresentação!$I$4='Base de Dados e filtragem'!AO$2,Apresentação!$I$4='Base de Dados e filtragem'!K684),1,0)</f>
        <v>1</v>
      </c>
      <c r="AP684" s="25">
        <f>IF(OR(Apresentação!$I$5='Base de Dados e filtragem'!AP$2,Apresentação!$I$5='Base de Dados e filtragem'!L684),1,0)</f>
        <v>1</v>
      </c>
      <c r="AQ684" s="25">
        <f>IF(OR(Apresentação!$I$6='Base de Dados e filtragem'!AQ$2,Apresentação!$I$6='Base de Dados e filtragem'!M684),1,0)</f>
        <v>1</v>
      </c>
      <c r="AR684" s="25">
        <v>1</v>
      </c>
      <c r="AS684" s="25">
        <v>1</v>
      </c>
      <c r="AT684" s="25">
        <v>1</v>
      </c>
      <c r="AU684" s="25">
        <v>1</v>
      </c>
      <c r="AV684" s="25">
        <v>1</v>
      </c>
      <c r="AW684" s="25">
        <v>1</v>
      </c>
      <c r="AX684" s="25">
        <v>1</v>
      </c>
      <c r="AY684" s="25">
        <v>1</v>
      </c>
      <c r="AZ684" s="25">
        <v>1</v>
      </c>
      <c r="BA684" s="25">
        <v>1</v>
      </c>
      <c r="BB684" s="25">
        <v>1</v>
      </c>
      <c r="BC684" s="25">
        <v>1</v>
      </c>
      <c r="BD684" s="25">
        <v>1</v>
      </c>
    </row>
    <row r="685" spans="27:56" x14ac:dyDescent="0.25">
      <c r="AA685" s="68" t="str">
        <f t="shared" si="41"/>
        <v>Fotos\\.jpg</v>
      </c>
      <c r="AB685" s="53">
        <f t="shared" si="42"/>
        <v>1.4598540145985401E-3</v>
      </c>
      <c r="AC685" s="25">
        <f t="shared" si="43"/>
        <v>685</v>
      </c>
      <c r="AD685" s="51">
        <f t="shared" si="44"/>
        <v>1</v>
      </c>
      <c r="AE685" s="25">
        <v>1</v>
      </c>
      <c r="AF685" s="25">
        <v>1</v>
      </c>
      <c r="AG685" s="25">
        <v>1</v>
      </c>
      <c r="AH685" s="25">
        <v>1</v>
      </c>
      <c r="AI685" s="25">
        <f>IF(OR(Apresentação!$E$3='Base de Dados e filtragem'!AI$2,Apresentação!$E$3='Base de Dados e filtragem'!E685),1,0)</f>
        <v>1</v>
      </c>
      <c r="AJ685" s="25">
        <f>IF(OR(Apresentação!$E$4='Base de Dados e filtragem'!AJ$2,Apresentação!$E$4='Base de Dados e filtragem'!F685),1,0)</f>
        <v>1</v>
      </c>
      <c r="AK685" s="25">
        <f>IF(OR(Apresentação!$E$5='Base de Dados e filtragem'!AK$2,Apresentação!$E$5='Base de Dados e filtragem'!G685),1,0)</f>
        <v>1</v>
      </c>
      <c r="AL685" s="25">
        <f>IF(OR(Apresentação!$E$6='Base de Dados e filtragem'!AL$2,Apresentação!$E$6='Base de Dados e filtragem'!H685),1,0)</f>
        <v>1</v>
      </c>
      <c r="AM685" s="25">
        <f>IF(OR(Apresentação!$I$2='Base de Dados e filtragem'!AM$2,Apresentação!$I$2='Base de Dados e filtragem'!I685),1,0)</f>
        <v>1</v>
      </c>
      <c r="AN685" s="25">
        <f>IF(OR(Apresentação!$I$3='Base de Dados e filtragem'!AN$2,Apresentação!$I$3='Base de Dados e filtragem'!J685),1,0)</f>
        <v>1</v>
      </c>
      <c r="AO685" s="25">
        <f>IF(OR(Apresentação!$I$4='Base de Dados e filtragem'!AO$2,Apresentação!$I$4='Base de Dados e filtragem'!K685),1,0)</f>
        <v>1</v>
      </c>
      <c r="AP685" s="25">
        <f>IF(OR(Apresentação!$I$5='Base de Dados e filtragem'!AP$2,Apresentação!$I$5='Base de Dados e filtragem'!L685),1,0)</f>
        <v>1</v>
      </c>
      <c r="AQ685" s="25">
        <f>IF(OR(Apresentação!$I$6='Base de Dados e filtragem'!AQ$2,Apresentação!$I$6='Base de Dados e filtragem'!M685),1,0)</f>
        <v>1</v>
      </c>
      <c r="AR685" s="25">
        <v>1</v>
      </c>
      <c r="AS685" s="25">
        <v>1</v>
      </c>
      <c r="AT685" s="25">
        <v>1</v>
      </c>
      <c r="AU685" s="25">
        <v>1</v>
      </c>
      <c r="AV685" s="25">
        <v>1</v>
      </c>
      <c r="AW685" s="25">
        <v>1</v>
      </c>
      <c r="AX685" s="25">
        <v>1</v>
      </c>
      <c r="AY685" s="25">
        <v>1</v>
      </c>
      <c r="AZ685" s="25">
        <v>1</v>
      </c>
      <c r="BA685" s="25">
        <v>1</v>
      </c>
      <c r="BB685" s="25">
        <v>1</v>
      </c>
      <c r="BC685" s="25">
        <v>1</v>
      </c>
      <c r="BD685" s="25">
        <v>1</v>
      </c>
    </row>
    <row r="686" spans="27:56" x14ac:dyDescent="0.25">
      <c r="AA686" s="68" t="str">
        <f t="shared" si="41"/>
        <v>Fotos\\.jpg</v>
      </c>
      <c r="AB686" s="53">
        <f t="shared" si="42"/>
        <v>1.4577259475218659E-3</v>
      </c>
      <c r="AC686" s="25">
        <f t="shared" si="43"/>
        <v>686</v>
      </c>
      <c r="AD686" s="51">
        <f t="shared" si="44"/>
        <v>1</v>
      </c>
      <c r="AE686" s="25">
        <v>1</v>
      </c>
      <c r="AF686" s="25">
        <v>1</v>
      </c>
      <c r="AG686" s="25">
        <v>1</v>
      </c>
      <c r="AH686" s="25">
        <v>1</v>
      </c>
      <c r="AI686" s="25">
        <f>IF(OR(Apresentação!$E$3='Base de Dados e filtragem'!AI$2,Apresentação!$E$3='Base de Dados e filtragem'!E686),1,0)</f>
        <v>1</v>
      </c>
      <c r="AJ686" s="25">
        <f>IF(OR(Apresentação!$E$4='Base de Dados e filtragem'!AJ$2,Apresentação!$E$4='Base de Dados e filtragem'!F686),1,0)</f>
        <v>1</v>
      </c>
      <c r="AK686" s="25">
        <f>IF(OR(Apresentação!$E$5='Base de Dados e filtragem'!AK$2,Apresentação!$E$5='Base de Dados e filtragem'!G686),1,0)</f>
        <v>1</v>
      </c>
      <c r="AL686" s="25">
        <f>IF(OR(Apresentação!$E$6='Base de Dados e filtragem'!AL$2,Apresentação!$E$6='Base de Dados e filtragem'!H686),1,0)</f>
        <v>1</v>
      </c>
      <c r="AM686" s="25">
        <f>IF(OR(Apresentação!$I$2='Base de Dados e filtragem'!AM$2,Apresentação!$I$2='Base de Dados e filtragem'!I686),1,0)</f>
        <v>1</v>
      </c>
      <c r="AN686" s="25">
        <f>IF(OR(Apresentação!$I$3='Base de Dados e filtragem'!AN$2,Apresentação!$I$3='Base de Dados e filtragem'!J686),1,0)</f>
        <v>1</v>
      </c>
      <c r="AO686" s="25">
        <f>IF(OR(Apresentação!$I$4='Base de Dados e filtragem'!AO$2,Apresentação!$I$4='Base de Dados e filtragem'!K686),1,0)</f>
        <v>1</v>
      </c>
      <c r="AP686" s="25">
        <f>IF(OR(Apresentação!$I$5='Base de Dados e filtragem'!AP$2,Apresentação!$I$5='Base de Dados e filtragem'!L686),1,0)</f>
        <v>1</v>
      </c>
      <c r="AQ686" s="25">
        <f>IF(OR(Apresentação!$I$6='Base de Dados e filtragem'!AQ$2,Apresentação!$I$6='Base de Dados e filtragem'!M686),1,0)</f>
        <v>1</v>
      </c>
      <c r="AR686" s="25">
        <v>1</v>
      </c>
      <c r="AS686" s="25">
        <v>1</v>
      </c>
      <c r="AT686" s="25">
        <v>1</v>
      </c>
      <c r="AU686" s="25">
        <v>1</v>
      </c>
      <c r="AV686" s="25">
        <v>1</v>
      </c>
      <c r="AW686" s="25">
        <v>1</v>
      </c>
      <c r="AX686" s="25">
        <v>1</v>
      </c>
      <c r="AY686" s="25">
        <v>1</v>
      </c>
      <c r="AZ686" s="25">
        <v>1</v>
      </c>
      <c r="BA686" s="25">
        <v>1</v>
      </c>
      <c r="BB686" s="25">
        <v>1</v>
      </c>
      <c r="BC686" s="25">
        <v>1</v>
      </c>
      <c r="BD686" s="25">
        <v>1</v>
      </c>
    </row>
    <row r="687" spans="27:56" x14ac:dyDescent="0.25">
      <c r="AA687" s="68" t="str">
        <f t="shared" si="41"/>
        <v>Fotos\\.jpg</v>
      </c>
      <c r="AB687" s="53">
        <f t="shared" si="42"/>
        <v>1.455604075691412E-3</v>
      </c>
      <c r="AC687" s="25">
        <f t="shared" si="43"/>
        <v>687</v>
      </c>
      <c r="AD687" s="51">
        <f t="shared" si="44"/>
        <v>1</v>
      </c>
      <c r="AE687" s="25">
        <v>1</v>
      </c>
      <c r="AF687" s="25">
        <v>1</v>
      </c>
      <c r="AG687" s="25">
        <v>1</v>
      </c>
      <c r="AH687" s="25">
        <v>1</v>
      </c>
      <c r="AI687" s="25">
        <f>IF(OR(Apresentação!$E$3='Base de Dados e filtragem'!AI$2,Apresentação!$E$3='Base de Dados e filtragem'!E687),1,0)</f>
        <v>1</v>
      </c>
      <c r="AJ687" s="25">
        <f>IF(OR(Apresentação!$E$4='Base de Dados e filtragem'!AJ$2,Apresentação!$E$4='Base de Dados e filtragem'!F687),1,0)</f>
        <v>1</v>
      </c>
      <c r="AK687" s="25">
        <f>IF(OR(Apresentação!$E$5='Base de Dados e filtragem'!AK$2,Apresentação!$E$5='Base de Dados e filtragem'!G687),1,0)</f>
        <v>1</v>
      </c>
      <c r="AL687" s="25">
        <f>IF(OR(Apresentação!$E$6='Base de Dados e filtragem'!AL$2,Apresentação!$E$6='Base de Dados e filtragem'!H687),1,0)</f>
        <v>1</v>
      </c>
      <c r="AM687" s="25">
        <f>IF(OR(Apresentação!$I$2='Base de Dados e filtragem'!AM$2,Apresentação!$I$2='Base de Dados e filtragem'!I687),1,0)</f>
        <v>1</v>
      </c>
      <c r="AN687" s="25">
        <f>IF(OR(Apresentação!$I$3='Base de Dados e filtragem'!AN$2,Apresentação!$I$3='Base de Dados e filtragem'!J687),1,0)</f>
        <v>1</v>
      </c>
      <c r="AO687" s="25">
        <f>IF(OR(Apresentação!$I$4='Base de Dados e filtragem'!AO$2,Apresentação!$I$4='Base de Dados e filtragem'!K687),1,0)</f>
        <v>1</v>
      </c>
      <c r="AP687" s="25">
        <f>IF(OR(Apresentação!$I$5='Base de Dados e filtragem'!AP$2,Apresentação!$I$5='Base de Dados e filtragem'!L687),1,0)</f>
        <v>1</v>
      </c>
      <c r="AQ687" s="25">
        <f>IF(OR(Apresentação!$I$6='Base de Dados e filtragem'!AQ$2,Apresentação!$I$6='Base de Dados e filtragem'!M687),1,0)</f>
        <v>1</v>
      </c>
      <c r="AR687" s="25">
        <v>1</v>
      </c>
      <c r="AS687" s="25">
        <v>1</v>
      </c>
      <c r="AT687" s="25">
        <v>1</v>
      </c>
      <c r="AU687" s="25">
        <v>1</v>
      </c>
      <c r="AV687" s="25">
        <v>1</v>
      </c>
      <c r="AW687" s="25">
        <v>1</v>
      </c>
      <c r="AX687" s="25">
        <v>1</v>
      </c>
      <c r="AY687" s="25">
        <v>1</v>
      </c>
      <c r="AZ687" s="25">
        <v>1</v>
      </c>
      <c r="BA687" s="25">
        <v>1</v>
      </c>
      <c r="BB687" s="25">
        <v>1</v>
      </c>
      <c r="BC687" s="25">
        <v>1</v>
      </c>
      <c r="BD687" s="25">
        <v>1</v>
      </c>
    </row>
    <row r="688" spans="27:56" x14ac:dyDescent="0.25">
      <c r="AA688" s="68" t="str">
        <f t="shared" si="41"/>
        <v>Fotos\\.jpg</v>
      </c>
      <c r="AB688" s="53">
        <f t="shared" si="42"/>
        <v>1.4534883720930232E-3</v>
      </c>
      <c r="AC688" s="25">
        <f t="shared" si="43"/>
        <v>688</v>
      </c>
      <c r="AD688" s="51">
        <f t="shared" si="44"/>
        <v>1</v>
      </c>
      <c r="AE688" s="25">
        <v>1</v>
      </c>
      <c r="AF688" s="25">
        <v>1</v>
      </c>
      <c r="AG688" s="25">
        <v>1</v>
      </c>
      <c r="AH688" s="25">
        <v>1</v>
      </c>
      <c r="AI688" s="25">
        <f>IF(OR(Apresentação!$E$3='Base de Dados e filtragem'!AI$2,Apresentação!$E$3='Base de Dados e filtragem'!E688),1,0)</f>
        <v>1</v>
      </c>
      <c r="AJ688" s="25">
        <f>IF(OR(Apresentação!$E$4='Base de Dados e filtragem'!AJ$2,Apresentação!$E$4='Base de Dados e filtragem'!F688),1,0)</f>
        <v>1</v>
      </c>
      <c r="AK688" s="25">
        <f>IF(OR(Apresentação!$E$5='Base de Dados e filtragem'!AK$2,Apresentação!$E$5='Base de Dados e filtragem'!G688),1,0)</f>
        <v>1</v>
      </c>
      <c r="AL688" s="25">
        <f>IF(OR(Apresentação!$E$6='Base de Dados e filtragem'!AL$2,Apresentação!$E$6='Base de Dados e filtragem'!H688),1,0)</f>
        <v>1</v>
      </c>
      <c r="AM688" s="25">
        <f>IF(OR(Apresentação!$I$2='Base de Dados e filtragem'!AM$2,Apresentação!$I$2='Base de Dados e filtragem'!I688),1,0)</f>
        <v>1</v>
      </c>
      <c r="AN688" s="25">
        <f>IF(OR(Apresentação!$I$3='Base de Dados e filtragem'!AN$2,Apresentação!$I$3='Base de Dados e filtragem'!J688),1,0)</f>
        <v>1</v>
      </c>
      <c r="AO688" s="25">
        <f>IF(OR(Apresentação!$I$4='Base de Dados e filtragem'!AO$2,Apresentação!$I$4='Base de Dados e filtragem'!K688),1,0)</f>
        <v>1</v>
      </c>
      <c r="AP688" s="25">
        <f>IF(OR(Apresentação!$I$5='Base de Dados e filtragem'!AP$2,Apresentação!$I$5='Base de Dados e filtragem'!L688),1,0)</f>
        <v>1</v>
      </c>
      <c r="AQ688" s="25">
        <f>IF(OR(Apresentação!$I$6='Base de Dados e filtragem'!AQ$2,Apresentação!$I$6='Base de Dados e filtragem'!M688),1,0)</f>
        <v>1</v>
      </c>
      <c r="AR688" s="25">
        <v>1</v>
      </c>
      <c r="AS688" s="25">
        <v>1</v>
      </c>
      <c r="AT688" s="25">
        <v>1</v>
      </c>
      <c r="AU688" s="25">
        <v>1</v>
      </c>
      <c r="AV688" s="25">
        <v>1</v>
      </c>
      <c r="AW688" s="25">
        <v>1</v>
      </c>
      <c r="AX688" s="25">
        <v>1</v>
      </c>
      <c r="AY688" s="25">
        <v>1</v>
      </c>
      <c r="AZ688" s="25">
        <v>1</v>
      </c>
      <c r="BA688" s="25">
        <v>1</v>
      </c>
      <c r="BB688" s="25">
        <v>1</v>
      </c>
      <c r="BC688" s="25">
        <v>1</v>
      </c>
      <c r="BD688" s="25">
        <v>1</v>
      </c>
    </row>
    <row r="689" spans="27:56" x14ac:dyDescent="0.25">
      <c r="AA689" s="68" t="str">
        <f t="shared" si="41"/>
        <v>Fotos\\.jpg</v>
      </c>
      <c r="AB689" s="53">
        <f t="shared" si="42"/>
        <v>1.4513788098693759E-3</v>
      </c>
      <c r="AC689" s="25">
        <f t="shared" si="43"/>
        <v>689</v>
      </c>
      <c r="AD689" s="51">
        <f t="shared" si="44"/>
        <v>1</v>
      </c>
      <c r="AE689" s="25">
        <v>1</v>
      </c>
      <c r="AF689" s="25">
        <v>1</v>
      </c>
      <c r="AG689" s="25">
        <v>1</v>
      </c>
      <c r="AH689" s="25">
        <v>1</v>
      </c>
      <c r="AI689" s="25">
        <f>IF(OR(Apresentação!$E$3='Base de Dados e filtragem'!AI$2,Apresentação!$E$3='Base de Dados e filtragem'!E689),1,0)</f>
        <v>1</v>
      </c>
      <c r="AJ689" s="25">
        <f>IF(OR(Apresentação!$E$4='Base de Dados e filtragem'!AJ$2,Apresentação!$E$4='Base de Dados e filtragem'!F689),1,0)</f>
        <v>1</v>
      </c>
      <c r="AK689" s="25">
        <f>IF(OR(Apresentação!$E$5='Base de Dados e filtragem'!AK$2,Apresentação!$E$5='Base de Dados e filtragem'!G689),1,0)</f>
        <v>1</v>
      </c>
      <c r="AL689" s="25">
        <f>IF(OR(Apresentação!$E$6='Base de Dados e filtragem'!AL$2,Apresentação!$E$6='Base de Dados e filtragem'!H689),1,0)</f>
        <v>1</v>
      </c>
      <c r="AM689" s="25">
        <f>IF(OR(Apresentação!$I$2='Base de Dados e filtragem'!AM$2,Apresentação!$I$2='Base de Dados e filtragem'!I689),1,0)</f>
        <v>1</v>
      </c>
      <c r="AN689" s="25">
        <f>IF(OR(Apresentação!$I$3='Base de Dados e filtragem'!AN$2,Apresentação!$I$3='Base de Dados e filtragem'!J689),1,0)</f>
        <v>1</v>
      </c>
      <c r="AO689" s="25">
        <f>IF(OR(Apresentação!$I$4='Base de Dados e filtragem'!AO$2,Apresentação!$I$4='Base de Dados e filtragem'!K689),1,0)</f>
        <v>1</v>
      </c>
      <c r="AP689" s="25">
        <f>IF(OR(Apresentação!$I$5='Base de Dados e filtragem'!AP$2,Apresentação!$I$5='Base de Dados e filtragem'!L689),1,0)</f>
        <v>1</v>
      </c>
      <c r="AQ689" s="25">
        <f>IF(OR(Apresentação!$I$6='Base de Dados e filtragem'!AQ$2,Apresentação!$I$6='Base de Dados e filtragem'!M689),1,0)</f>
        <v>1</v>
      </c>
      <c r="AR689" s="25">
        <v>1</v>
      </c>
      <c r="AS689" s="25">
        <v>1</v>
      </c>
      <c r="AT689" s="25">
        <v>1</v>
      </c>
      <c r="AU689" s="25">
        <v>1</v>
      </c>
      <c r="AV689" s="25">
        <v>1</v>
      </c>
      <c r="AW689" s="25">
        <v>1</v>
      </c>
      <c r="AX689" s="25">
        <v>1</v>
      </c>
      <c r="AY689" s="25">
        <v>1</v>
      </c>
      <c r="AZ689" s="25">
        <v>1</v>
      </c>
      <c r="BA689" s="25">
        <v>1</v>
      </c>
      <c r="BB689" s="25">
        <v>1</v>
      </c>
      <c r="BC689" s="25">
        <v>1</v>
      </c>
      <c r="BD689" s="25">
        <v>1</v>
      </c>
    </row>
    <row r="690" spans="27:56" x14ac:dyDescent="0.25">
      <c r="AA690" s="68" t="str">
        <f t="shared" si="41"/>
        <v>Fotos\\.jpg</v>
      </c>
      <c r="AB690" s="53">
        <f t="shared" si="42"/>
        <v>1.4492753623188406E-3</v>
      </c>
      <c r="AC690" s="25">
        <f t="shared" si="43"/>
        <v>690</v>
      </c>
      <c r="AD690" s="51">
        <f t="shared" si="44"/>
        <v>1</v>
      </c>
      <c r="AE690" s="25">
        <v>1</v>
      </c>
      <c r="AF690" s="25">
        <v>1</v>
      </c>
      <c r="AG690" s="25">
        <v>1</v>
      </c>
      <c r="AH690" s="25">
        <v>1</v>
      </c>
      <c r="AI690" s="25">
        <f>IF(OR(Apresentação!$E$3='Base de Dados e filtragem'!AI$2,Apresentação!$E$3='Base de Dados e filtragem'!E690),1,0)</f>
        <v>1</v>
      </c>
      <c r="AJ690" s="25">
        <f>IF(OR(Apresentação!$E$4='Base de Dados e filtragem'!AJ$2,Apresentação!$E$4='Base de Dados e filtragem'!F690),1,0)</f>
        <v>1</v>
      </c>
      <c r="AK690" s="25">
        <f>IF(OR(Apresentação!$E$5='Base de Dados e filtragem'!AK$2,Apresentação!$E$5='Base de Dados e filtragem'!G690),1,0)</f>
        <v>1</v>
      </c>
      <c r="AL690" s="25">
        <f>IF(OR(Apresentação!$E$6='Base de Dados e filtragem'!AL$2,Apresentação!$E$6='Base de Dados e filtragem'!H690),1,0)</f>
        <v>1</v>
      </c>
      <c r="AM690" s="25">
        <f>IF(OR(Apresentação!$I$2='Base de Dados e filtragem'!AM$2,Apresentação!$I$2='Base de Dados e filtragem'!I690),1,0)</f>
        <v>1</v>
      </c>
      <c r="AN690" s="25">
        <f>IF(OR(Apresentação!$I$3='Base de Dados e filtragem'!AN$2,Apresentação!$I$3='Base de Dados e filtragem'!J690),1,0)</f>
        <v>1</v>
      </c>
      <c r="AO690" s="25">
        <f>IF(OR(Apresentação!$I$4='Base de Dados e filtragem'!AO$2,Apresentação!$I$4='Base de Dados e filtragem'!K690),1,0)</f>
        <v>1</v>
      </c>
      <c r="AP690" s="25">
        <f>IF(OR(Apresentação!$I$5='Base de Dados e filtragem'!AP$2,Apresentação!$I$5='Base de Dados e filtragem'!L690),1,0)</f>
        <v>1</v>
      </c>
      <c r="AQ690" s="25">
        <f>IF(OR(Apresentação!$I$6='Base de Dados e filtragem'!AQ$2,Apresentação!$I$6='Base de Dados e filtragem'!M690),1,0)</f>
        <v>1</v>
      </c>
      <c r="AR690" s="25">
        <v>1</v>
      </c>
      <c r="AS690" s="25">
        <v>1</v>
      </c>
      <c r="AT690" s="25">
        <v>1</v>
      </c>
      <c r="AU690" s="25">
        <v>1</v>
      </c>
      <c r="AV690" s="25">
        <v>1</v>
      </c>
      <c r="AW690" s="25">
        <v>1</v>
      </c>
      <c r="AX690" s="25">
        <v>1</v>
      </c>
      <c r="AY690" s="25">
        <v>1</v>
      </c>
      <c r="AZ690" s="25">
        <v>1</v>
      </c>
      <c r="BA690" s="25">
        <v>1</v>
      </c>
      <c r="BB690" s="25">
        <v>1</v>
      </c>
      <c r="BC690" s="25">
        <v>1</v>
      </c>
      <c r="BD690" s="25">
        <v>1</v>
      </c>
    </row>
    <row r="691" spans="27:56" x14ac:dyDescent="0.25">
      <c r="AA691" s="68" t="str">
        <f t="shared" si="41"/>
        <v>Fotos\\.jpg</v>
      </c>
      <c r="AB691" s="53">
        <f t="shared" si="42"/>
        <v>1.4471780028943559E-3</v>
      </c>
      <c r="AC691" s="25">
        <f t="shared" si="43"/>
        <v>691</v>
      </c>
      <c r="AD691" s="51">
        <f t="shared" si="44"/>
        <v>1</v>
      </c>
      <c r="AE691" s="25">
        <v>1</v>
      </c>
      <c r="AF691" s="25">
        <v>1</v>
      </c>
      <c r="AG691" s="25">
        <v>1</v>
      </c>
      <c r="AH691" s="25">
        <v>1</v>
      </c>
      <c r="AI691" s="25">
        <f>IF(OR(Apresentação!$E$3='Base de Dados e filtragem'!AI$2,Apresentação!$E$3='Base de Dados e filtragem'!E691),1,0)</f>
        <v>1</v>
      </c>
      <c r="AJ691" s="25">
        <f>IF(OR(Apresentação!$E$4='Base de Dados e filtragem'!AJ$2,Apresentação!$E$4='Base de Dados e filtragem'!F691),1,0)</f>
        <v>1</v>
      </c>
      <c r="AK691" s="25">
        <f>IF(OR(Apresentação!$E$5='Base de Dados e filtragem'!AK$2,Apresentação!$E$5='Base de Dados e filtragem'!G691),1,0)</f>
        <v>1</v>
      </c>
      <c r="AL691" s="25">
        <f>IF(OR(Apresentação!$E$6='Base de Dados e filtragem'!AL$2,Apresentação!$E$6='Base de Dados e filtragem'!H691),1,0)</f>
        <v>1</v>
      </c>
      <c r="AM691" s="25">
        <f>IF(OR(Apresentação!$I$2='Base de Dados e filtragem'!AM$2,Apresentação!$I$2='Base de Dados e filtragem'!I691),1,0)</f>
        <v>1</v>
      </c>
      <c r="AN691" s="25">
        <f>IF(OR(Apresentação!$I$3='Base de Dados e filtragem'!AN$2,Apresentação!$I$3='Base de Dados e filtragem'!J691),1,0)</f>
        <v>1</v>
      </c>
      <c r="AO691" s="25">
        <f>IF(OR(Apresentação!$I$4='Base de Dados e filtragem'!AO$2,Apresentação!$I$4='Base de Dados e filtragem'!K691),1,0)</f>
        <v>1</v>
      </c>
      <c r="AP691" s="25">
        <f>IF(OR(Apresentação!$I$5='Base de Dados e filtragem'!AP$2,Apresentação!$I$5='Base de Dados e filtragem'!L691),1,0)</f>
        <v>1</v>
      </c>
      <c r="AQ691" s="25">
        <f>IF(OR(Apresentação!$I$6='Base de Dados e filtragem'!AQ$2,Apresentação!$I$6='Base de Dados e filtragem'!M691),1,0)</f>
        <v>1</v>
      </c>
      <c r="AR691" s="25">
        <v>1</v>
      </c>
      <c r="AS691" s="25">
        <v>1</v>
      </c>
      <c r="AT691" s="25">
        <v>1</v>
      </c>
      <c r="AU691" s="25">
        <v>1</v>
      </c>
      <c r="AV691" s="25">
        <v>1</v>
      </c>
      <c r="AW691" s="25">
        <v>1</v>
      </c>
      <c r="AX691" s="25">
        <v>1</v>
      </c>
      <c r="AY691" s="25">
        <v>1</v>
      </c>
      <c r="AZ691" s="25">
        <v>1</v>
      </c>
      <c r="BA691" s="25">
        <v>1</v>
      </c>
      <c r="BB691" s="25">
        <v>1</v>
      </c>
      <c r="BC691" s="25">
        <v>1</v>
      </c>
      <c r="BD691" s="25">
        <v>1</v>
      </c>
    </row>
    <row r="692" spans="27:56" x14ac:dyDescent="0.25">
      <c r="AA692" s="68" t="str">
        <f t="shared" si="41"/>
        <v>Fotos\\.jpg</v>
      </c>
      <c r="AB692" s="53">
        <f t="shared" si="42"/>
        <v>1.4450867052023121E-3</v>
      </c>
      <c r="AC692" s="25">
        <f t="shared" si="43"/>
        <v>692</v>
      </c>
      <c r="AD692" s="51">
        <f t="shared" si="44"/>
        <v>1</v>
      </c>
      <c r="AE692" s="25">
        <v>1</v>
      </c>
      <c r="AF692" s="25">
        <v>1</v>
      </c>
      <c r="AG692" s="25">
        <v>1</v>
      </c>
      <c r="AH692" s="25">
        <v>1</v>
      </c>
      <c r="AI692" s="25">
        <f>IF(OR(Apresentação!$E$3='Base de Dados e filtragem'!AI$2,Apresentação!$E$3='Base de Dados e filtragem'!E692),1,0)</f>
        <v>1</v>
      </c>
      <c r="AJ692" s="25">
        <f>IF(OR(Apresentação!$E$4='Base de Dados e filtragem'!AJ$2,Apresentação!$E$4='Base de Dados e filtragem'!F692),1,0)</f>
        <v>1</v>
      </c>
      <c r="AK692" s="25">
        <f>IF(OR(Apresentação!$E$5='Base de Dados e filtragem'!AK$2,Apresentação!$E$5='Base de Dados e filtragem'!G692),1,0)</f>
        <v>1</v>
      </c>
      <c r="AL692" s="25">
        <f>IF(OR(Apresentação!$E$6='Base de Dados e filtragem'!AL$2,Apresentação!$E$6='Base de Dados e filtragem'!H692),1,0)</f>
        <v>1</v>
      </c>
      <c r="AM692" s="25">
        <f>IF(OR(Apresentação!$I$2='Base de Dados e filtragem'!AM$2,Apresentação!$I$2='Base de Dados e filtragem'!I692),1,0)</f>
        <v>1</v>
      </c>
      <c r="AN692" s="25">
        <f>IF(OR(Apresentação!$I$3='Base de Dados e filtragem'!AN$2,Apresentação!$I$3='Base de Dados e filtragem'!J692),1,0)</f>
        <v>1</v>
      </c>
      <c r="AO692" s="25">
        <f>IF(OR(Apresentação!$I$4='Base de Dados e filtragem'!AO$2,Apresentação!$I$4='Base de Dados e filtragem'!K692),1,0)</f>
        <v>1</v>
      </c>
      <c r="AP692" s="25">
        <f>IF(OR(Apresentação!$I$5='Base de Dados e filtragem'!AP$2,Apresentação!$I$5='Base de Dados e filtragem'!L692),1,0)</f>
        <v>1</v>
      </c>
      <c r="AQ692" s="25">
        <f>IF(OR(Apresentação!$I$6='Base de Dados e filtragem'!AQ$2,Apresentação!$I$6='Base de Dados e filtragem'!M692),1,0)</f>
        <v>1</v>
      </c>
      <c r="AR692" s="25">
        <v>1</v>
      </c>
      <c r="AS692" s="25">
        <v>1</v>
      </c>
      <c r="AT692" s="25">
        <v>1</v>
      </c>
      <c r="AU692" s="25">
        <v>1</v>
      </c>
      <c r="AV692" s="25">
        <v>1</v>
      </c>
      <c r="AW692" s="25">
        <v>1</v>
      </c>
      <c r="AX692" s="25">
        <v>1</v>
      </c>
      <c r="AY692" s="25">
        <v>1</v>
      </c>
      <c r="AZ692" s="25">
        <v>1</v>
      </c>
      <c r="BA692" s="25">
        <v>1</v>
      </c>
      <c r="BB692" s="25">
        <v>1</v>
      </c>
      <c r="BC692" s="25">
        <v>1</v>
      </c>
      <c r="BD692" s="25">
        <v>1</v>
      </c>
    </row>
    <row r="693" spans="27:56" x14ac:dyDescent="0.25">
      <c r="AA693" s="68" t="str">
        <f t="shared" si="41"/>
        <v>Fotos\\.jpg</v>
      </c>
      <c r="AB693" s="53">
        <f t="shared" si="42"/>
        <v>1.443001443001443E-3</v>
      </c>
      <c r="AC693" s="25">
        <f t="shared" si="43"/>
        <v>693</v>
      </c>
      <c r="AD693" s="51">
        <f t="shared" si="44"/>
        <v>1</v>
      </c>
      <c r="AE693" s="25">
        <v>1</v>
      </c>
      <c r="AF693" s="25">
        <v>1</v>
      </c>
      <c r="AG693" s="25">
        <v>1</v>
      </c>
      <c r="AH693" s="25">
        <v>1</v>
      </c>
      <c r="AI693" s="25">
        <f>IF(OR(Apresentação!$E$3='Base de Dados e filtragem'!AI$2,Apresentação!$E$3='Base de Dados e filtragem'!E693),1,0)</f>
        <v>1</v>
      </c>
      <c r="AJ693" s="25">
        <f>IF(OR(Apresentação!$E$4='Base de Dados e filtragem'!AJ$2,Apresentação!$E$4='Base de Dados e filtragem'!F693),1,0)</f>
        <v>1</v>
      </c>
      <c r="AK693" s="25">
        <f>IF(OR(Apresentação!$E$5='Base de Dados e filtragem'!AK$2,Apresentação!$E$5='Base de Dados e filtragem'!G693),1,0)</f>
        <v>1</v>
      </c>
      <c r="AL693" s="25">
        <f>IF(OR(Apresentação!$E$6='Base de Dados e filtragem'!AL$2,Apresentação!$E$6='Base de Dados e filtragem'!H693),1,0)</f>
        <v>1</v>
      </c>
      <c r="AM693" s="25">
        <f>IF(OR(Apresentação!$I$2='Base de Dados e filtragem'!AM$2,Apresentação!$I$2='Base de Dados e filtragem'!I693),1,0)</f>
        <v>1</v>
      </c>
      <c r="AN693" s="25">
        <f>IF(OR(Apresentação!$I$3='Base de Dados e filtragem'!AN$2,Apresentação!$I$3='Base de Dados e filtragem'!J693),1,0)</f>
        <v>1</v>
      </c>
      <c r="AO693" s="25">
        <f>IF(OR(Apresentação!$I$4='Base de Dados e filtragem'!AO$2,Apresentação!$I$4='Base de Dados e filtragem'!K693),1,0)</f>
        <v>1</v>
      </c>
      <c r="AP693" s="25">
        <f>IF(OR(Apresentação!$I$5='Base de Dados e filtragem'!AP$2,Apresentação!$I$5='Base de Dados e filtragem'!L693),1,0)</f>
        <v>1</v>
      </c>
      <c r="AQ693" s="25">
        <f>IF(OR(Apresentação!$I$6='Base de Dados e filtragem'!AQ$2,Apresentação!$I$6='Base de Dados e filtragem'!M693),1,0)</f>
        <v>1</v>
      </c>
      <c r="AR693" s="25">
        <v>1</v>
      </c>
      <c r="AS693" s="25">
        <v>1</v>
      </c>
      <c r="AT693" s="25">
        <v>1</v>
      </c>
      <c r="AU693" s="25">
        <v>1</v>
      </c>
      <c r="AV693" s="25">
        <v>1</v>
      </c>
      <c r="AW693" s="25">
        <v>1</v>
      </c>
      <c r="AX693" s="25">
        <v>1</v>
      </c>
      <c r="AY693" s="25">
        <v>1</v>
      </c>
      <c r="AZ693" s="25">
        <v>1</v>
      </c>
      <c r="BA693" s="25">
        <v>1</v>
      </c>
      <c r="BB693" s="25">
        <v>1</v>
      </c>
      <c r="BC693" s="25">
        <v>1</v>
      </c>
      <c r="BD693" s="25">
        <v>1</v>
      </c>
    </row>
    <row r="694" spans="27:56" x14ac:dyDescent="0.25">
      <c r="AA694" s="68" t="str">
        <f t="shared" si="41"/>
        <v>Fotos\\.jpg</v>
      </c>
      <c r="AB694" s="53">
        <f t="shared" si="42"/>
        <v>1.440922190201729E-3</v>
      </c>
      <c r="AC694" s="25">
        <f t="shared" si="43"/>
        <v>694</v>
      </c>
      <c r="AD694" s="51">
        <f t="shared" si="44"/>
        <v>1</v>
      </c>
      <c r="AE694" s="25">
        <v>1</v>
      </c>
      <c r="AF694" s="25">
        <v>1</v>
      </c>
      <c r="AG694" s="25">
        <v>1</v>
      </c>
      <c r="AH694" s="25">
        <v>1</v>
      </c>
      <c r="AI694" s="25">
        <f>IF(OR(Apresentação!$E$3='Base de Dados e filtragem'!AI$2,Apresentação!$E$3='Base de Dados e filtragem'!E694),1,0)</f>
        <v>1</v>
      </c>
      <c r="AJ694" s="25">
        <f>IF(OR(Apresentação!$E$4='Base de Dados e filtragem'!AJ$2,Apresentação!$E$4='Base de Dados e filtragem'!F694),1,0)</f>
        <v>1</v>
      </c>
      <c r="AK694" s="25">
        <f>IF(OR(Apresentação!$E$5='Base de Dados e filtragem'!AK$2,Apresentação!$E$5='Base de Dados e filtragem'!G694),1,0)</f>
        <v>1</v>
      </c>
      <c r="AL694" s="25">
        <f>IF(OR(Apresentação!$E$6='Base de Dados e filtragem'!AL$2,Apresentação!$E$6='Base de Dados e filtragem'!H694),1,0)</f>
        <v>1</v>
      </c>
      <c r="AM694" s="25">
        <f>IF(OR(Apresentação!$I$2='Base de Dados e filtragem'!AM$2,Apresentação!$I$2='Base de Dados e filtragem'!I694),1,0)</f>
        <v>1</v>
      </c>
      <c r="AN694" s="25">
        <f>IF(OR(Apresentação!$I$3='Base de Dados e filtragem'!AN$2,Apresentação!$I$3='Base de Dados e filtragem'!J694),1,0)</f>
        <v>1</v>
      </c>
      <c r="AO694" s="25">
        <f>IF(OR(Apresentação!$I$4='Base de Dados e filtragem'!AO$2,Apresentação!$I$4='Base de Dados e filtragem'!K694),1,0)</f>
        <v>1</v>
      </c>
      <c r="AP694" s="25">
        <f>IF(OR(Apresentação!$I$5='Base de Dados e filtragem'!AP$2,Apresentação!$I$5='Base de Dados e filtragem'!L694),1,0)</f>
        <v>1</v>
      </c>
      <c r="AQ694" s="25">
        <f>IF(OR(Apresentação!$I$6='Base de Dados e filtragem'!AQ$2,Apresentação!$I$6='Base de Dados e filtragem'!M694),1,0)</f>
        <v>1</v>
      </c>
      <c r="AR694" s="25">
        <v>1</v>
      </c>
      <c r="AS694" s="25">
        <v>1</v>
      </c>
      <c r="AT694" s="25">
        <v>1</v>
      </c>
      <c r="AU694" s="25">
        <v>1</v>
      </c>
      <c r="AV694" s="25">
        <v>1</v>
      </c>
      <c r="AW694" s="25">
        <v>1</v>
      </c>
      <c r="AX694" s="25">
        <v>1</v>
      </c>
      <c r="AY694" s="25">
        <v>1</v>
      </c>
      <c r="AZ694" s="25">
        <v>1</v>
      </c>
      <c r="BA694" s="25">
        <v>1</v>
      </c>
      <c r="BB694" s="25">
        <v>1</v>
      </c>
      <c r="BC694" s="25">
        <v>1</v>
      </c>
      <c r="BD694" s="25">
        <v>1</v>
      </c>
    </row>
    <row r="695" spans="27:56" x14ac:dyDescent="0.25">
      <c r="AA695" s="68" t="str">
        <f t="shared" si="41"/>
        <v>Fotos\\.jpg</v>
      </c>
      <c r="AB695" s="53">
        <f t="shared" si="42"/>
        <v>1.4388489208633094E-3</v>
      </c>
      <c r="AC695" s="25">
        <f t="shared" si="43"/>
        <v>695</v>
      </c>
      <c r="AD695" s="51">
        <f t="shared" si="44"/>
        <v>1</v>
      </c>
      <c r="AE695" s="25">
        <v>1</v>
      </c>
      <c r="AF695" s="25">
        <v>1</v>
      </c>
      <c r="AG695" s="25">
        <v>1</v>
      </c>
      <c r="AH695" s="25">
        <v>1</v>
      </c>
      <c r="AI695" s="25">
        <f>IF(OR(Apresentação!$E$3='Base de Dados e filtragem'!AI$2,Apresentação!$E$3='Base de Dados e filtragem'!E695),1,0)</f>
        <v>1</v>
      </c>
      <c r="AJ695" s="25">
        <f>IF(OR(Apresentação!$E$4='Base de Dados e filtragem'!AJ$2,Apresentação!$E$4='Base de Dados e filtragem'!F695),1,0)</f>
        <v>1</v>
      </c>
      <c r="AK695" s="25">
        <f>IF(OR(Apresentação!$E$5='Base de Dados e filtragem'!AK$2,Apresentação!$E$5='Base de Dados e filtragem'!G695),1,0)</f>
        <v>1</v>
      </c>
      <c r="AL695" s="25">
        <f>IF(OR(Apresentação!$E$6='Base de Dados e filtragem'!AL$2,Apresentação!$E$6='Base de Dados e filtragem'!H695),1,0)</f>
        <v>1</v>
      </c>
      <c r="AM695" s="25">
        <f>IF(OR(Apresentação!$I$2='Base de Dados e filtragem'!AM$2,Apresentação!$I$2='Base de Dados e filtragem'!I695),1,0)</f>
        <v>1</v>
      </c>
      <c r="AN695" s="25">
        <f>IF(OR(Apresentação!$I$3='Base de Dados e filtragem'!AN$2,Apresentação!$I$3='Base de Dados e filtragem'!J695),1,0)</f>
        <v>1</v>
      </c>
      <c r="AO695" s="25">
        <f>IF(OR(Apresentação!$I$4='Base de Dados e filtragem'!AO$2,Apresentação!$I$4='Base de Dados e filtragem'!K695),1,0)</f>
        <v>1</v>
      </c>
      <c r="AP695" s="25">
        <f>IF(OR(Apresentação!$I$5='Base de Dados e filtragem'!AP$2,Apresentação!$I$5='Base de Dados e filtragem'!L695),1,0)</f>
        <v>1</v>
      </c>
      <c r="AQ695" s="25">
        <f>IF(OR(Apresentação!$I$6='Base de Dados e filtragem'!AQ$2,Apresentação!$I$6='Base de Dados e filtragem'!M695),1,0)</f>
        <v>1</v>
      </c>
      <c r="AR695" s="25">
        <v>1</v>
      </c>
      <c r="AS695" s="25">
        <v>1</v>
      </c>
      <c r="AT695" s="25">
        <v>1</v>
      </c>
      <c r="AU695" s="25">
        <v>1</v>
      </c>
      <c r="AV695" s="25">
        <v>1</v>
      </c>
      <c r="AW695" s="25">
        <v>1</v>
      </c>
      <c r="AX695" s="25">
        <v>1</v>
      </c>
      <c r="AY695" s="25">
        <v>1</v>
      </c>
      <c r="AZ695" s="25">
        <v>1</v>
      </c>
      <c r="BA695" s="25">
        <v>1</v>
      </c>
      <c r="BB695" s="25">
        <v>1</v>
      </c>
      <c r="BC695" s="25">
        <v>1</v>
      </c>
      <c r="BD695" s="25">
        <v>1</v>
      </c>
    </row>
    <row r="696" spans="27:56" x14ac:dyDescent="0.25">
      <c r="AA696" s="68" t="str">
        <f t="shared" si="41"/>
        <v>Fotos\\.jpg</v>
      </c>
      <c r="AB696" s="53">
        <f t="shared" si="42"/>
        <v>1.4367816091954023E-3</v>
      </c>
      <c r="AC696" s="25">
        <f t="shared" si="43"/>
        <v>696</v>
      </c>
      <c r="AD696" s="51">
        <f t="shared" si="44"/>
        <v>1</v>
      </c>
      <c r="AE696" s="25">
        <v>1</v>
      </c>
      <c r="AF696" s="25">
        <v>1</v>
      </c>
      <c r="AG696" s="25">
        <v>1</v>
      </c>
      <c r="AH696" s="25">
        <v>1</v>
      </c>
      <c r="AI696" s="25">
        <f>IF(OR(Apresentação!$E$3='Base de Dados e filtragem'!AI$2,Apresentação!$E$3='Base de Dados e filtragem'!E696),1,0)</f>
        <v>1</v>
      </c>
      <c r="AJ696" s="25">
        <f>IF(OR(Apresentação!$E$4='Base de Dados e filtragem'!AJ$2,Apresentação!$E$4='Base de Dados e filtragem'!F696),1,0)</f>
        <v>1</v>
      </c>
      <c r="AK696" s="25">
        <f>IF(OR(Apresentação!$E$5='Base de Dados e filtragem'!AK$2,Apresentação!$E$5='Base de Dados e filtragem'!G696),1,0)</f>
        <v>1</v>
      </c>
      <c r="AL696" s="25">
        <f>IF(OR(Apresentação!$E$6='Base de Dados e filtragem'!AL$2,Apresentação!$E$6='Base de Dados e filtragem'!H696),1,0)</f>
        <v>1</v>
      </c>
      <c r="AM696" s="25">
        <f>IF(OR(Apresentação!$I$2='Base de Dados e filtragem'!AM$2,Apresentação!$I$2='Base de Dados e filtragem'!I696),1,0)</f>
        <v>1</v>
      </c>
      <c r="AN696" s="25">
        <f>IF(OR(Apresentação!$I$3='Base de Dados e filtragem'!AN$2,Apresentação!$I$3='Base de Dados e filtragem'!J696),1,0)</f>
        <v>1</v>
      </c>
      <c r="AO696" s="25">
        <f>IF(OR(Apresentação!$I$4='Base de Dados e filtragem'!AO$2,Apresentação!$I$4='Base de Dados e filtragem'!K696),1,0)</f>
        <v>1</v>
      </c>
      <c r="AP696" s="25">
        <f>IF(OR(Apresentação!$I$5='Base de Dados e filtragem'!AP$2,Apresentação!$I$5='Base de Dados e filtragem'!L696),1,0)</f>
        <v>1</v>
      </c>
      <c r="AQ696" s="25">
        <f>IF(OR(Apresentação!$I$6='Base de Dados e filtragem'!AQ$2,Apresentação!$I$6='Base de Dados e filtragem'!M696),1,0)</f>
        <v>1</v>
      </c>
      <c r="AR696" s="25">
        <v>1</v>
      </c>
      <c r="AS696" s="25">
        <v>1</v>
      </c>
      <c r="AT696" s="25">
        <v>1</v>
      </c>
      <c r="AU696" s="25">
        <v>1</v>
      </c>
      <c r="AV696" s="25">
        <v>1</v>
      </c>
      <c r="AW696" s="25">
        <v>1</v>
      </c>
      <c r="AX696" s="25">
        <v>1</v>
      </c>
      <c r="AY696" s="25">
        <v>1</v>
      </c>
      <c r="AZ696" s="25">
        <v>1</v>
      </c>
      <c r="BA696" s="25">
        <v>1</v>
      </c>
      <c r="BB696" s="25">
        <v>1</v>
      </c>
      <c r="BC696" s="25">
        <v>1</v>
      </c>
      <c r="BD696" s="25">
        <v>1</v>
      </c>
    </row>
    <row r="697" spans="27:56" x14ac:dyDescent="0.25">
      <c r="AA697" s="68" t="str">
        <f t="shared" si="41"/>
        <v>Fotos\\.jpg</v>
      </c>
      <c r="AB697" s="53">
        <f t="shared" si="42"/>
        <v>1.4347202295552368E-3</v>
      </c>
      <c r="AC697" s="25">
        <f t="shared" si="43"/>
        <v>697</v>
      </c>
      <c r="AD697" s="51">
        <f t="shared" si="44"/>
        <v>1</v>
      </c>
      <c r="AE697" s="25">
        <v>1</v>
      </c>
      <c r="AF697" s="25">
        <v>1</v>
      </c>
      <c r="AG697" s="25">
        <v>1</v>
      </c>
      <c r="AH697" s="25">
        <v>1</v>
      </c>
      <c r="AI697" s="25">
        <f>IF(OR(Apresentação!$E$3='Base de Dados e filtragem'!AI$2,Apresentação!$E$3='Base de Dados e filtragem'!E697),1,0)</f>
        <v>1</v>
      </c>
      <c r="AJ697" s="25">
        <f>IF(OR(Apresentação!$E$4='Base de Dados e filtragem'!AJ$2,Apresentação!$E$4='Base de Dados e filtragem'!F697),1,0)</f>
        <v>1</v>
      </c>
      <c r="AK697" s="25">
        <f>IF(OR(Apresentação!$E$5='Base de Dados e filtragem'!AK$2,Apresentação!$E$5='Base de Dados e filtragem'!G697),1,0)</f>
        <v>1</v>
      </c>
      <c r="AL697" s="25">
        <f>IF(OR(Apresentação!$E$6='Base de Dados e filtragem'!AL$2,Apresentação!$E$6='Base de Dados e filtragem'!H697),1,0)</f>
        <v>1</v>
      </c>
      <c r="AM697" s="25">
        <f>IF(OR(Apresentação!$I$2='Base de Dados e filtragem'!AM$2,Apresentação!$I$2='Base de Dados e filtragem'!I697),1,0)</f>
        <v>1</v>
      </c>
      <c r="AN697" s="25">
        <f>IF(OR(Apresentação!$I$3='Base de Dados e filtragem'!AN$2,Apresentação!$I$3='Base de Dados e filtragem'!J697),1,0)</f>
        <v>1</v>
      </c>
      <c r="AO697" s="25">
        <f>IF(OR(Apresentação!$I$4='Base de Dados e filtragem'!AO$2,Apresentação!$I$4='Base de Dados e filtragem'!K697),1,0)</f>
        <v>1</v>
      </c>
      <c r="AP697" s="25">
        <f>IF(OR(Apresentação!$I$5='Base de Dados e filtragem'!AP$2,Apresentação!$I$5='Base de Dados e filtragem'!L697),1,0)</f>
        <v>1</v>
      </c>
      <c r="AQ697" s="25">
        <f>IF(OR(Apresentação!$I$6='Base de Dados e filtragem'!AQ$2,Apresentação!$I$6='Base de Dados e filtragem'!M697),1,0)</f>
        <v>1</v>
      </c>
      <c r="AR697" s="25">
        <v>1</v>
      </c>
      <c r="AS697" s="25">
        <v>1</v>
      </c>
      <c r="AT697" s="25">
        <v>1</v>
      </c>
      <c r="AU697" s="25">
        <v>1</v>
      </c>
      <c r="AV697" s="25">
        <v>1</v>
      </c>
      <c r="AW697" s="25">
        <v>1</v>
      </c>
      <c r="AX697" s="25">
        <v>1</v>
      </c>
      <c r="AY697" s="25">
        <v>1</v>
      </c>
      <c r="AZ697" s="25">
        <v>1</v>
      </c>
      <c r="BA697" s="25">
        <v>1</v>
      </c>
      <c r="BB697" s="25">
        <v>1</v>
      </c>
      <c r="BC697" s="25">
        <v>1</v>
      </c>
      <c r="BD697" s="25">
        <v>1</v>
      </c>
    </row>
    <row r="698" spans="27:56" x14ac:dyDescent="0.25">
      <c r="AA698" s="68" t="str">
        <f t="shared" si="41"/>
        <v>Fotos\\.jpg</v>
      </c>
      <c r="AB698" s="53">
        <f t="shared" si="42"/>
        <v>1.4326647564469914E-3</v>
      </c>
      <c r="AC698" s="25">
        <f t="shared" si="43"/>
        <v>698</v>
      </c>
      <c r="AD698" s="51">
        <f t="shared" si="44"/>
        <v>1</v>
      </c>
      <c r="AE698" s="25">
        <v>1</v>
      </c>
      <c r="AF698" s="25">
        <v>1</v>
      </c>
      <c r="AG698" s="25">
        <v>1</v>
      </c>
      <c r="AH698" s="25">
        <v>1</v>
      </c>
      <c r="AI698" s="25">
        <f>IF(OR(Apresentação!$E$3='Base de Dados e filtragem'!AI$2,Apresentação!$E$3='Base de Dados e filtragem'!E698),1,0)</f>
        <v>1</v>
      </c>
      <c r="AJ698" s="25">
        <f>IF(OR(Apresentação!$E$4='Base de Dados e filtragem'!AJ$2,Apresentação!$E$4='Base de Dados e filtragem'!F698),1,0)</f>
        <v>1</v>
      </c>
      <c r="AK698" s="25">
        <f>IF(OR(Apresentação!$E$5='Base de Dados e filtragem'!AK$2,Apresentação!$E$5='Base de Dados e filtragem'!G698),1,0)</f>
        <v>1</v>
      </c>
      <c r="AL698" s="25">
        <f>IF(OR(Apresentação!$E$6='Base de Dados e filtragem'!AL$2,Apresentação!$E$6='Base de Dados e filtragem'!H698),1,0)</f>
        <v>1</v>
      </c>
      <c r="AM698" s="25">
        <f>IF(OR(Apresentação!$I$2='Base de Dados e filtragem'!AM$2,Apresentação!$I$2='Base de Dados e filtragem'!I698),1,0)</f>
        <v>1</v>
      </c>
      <c r="AN698" s="25">
        <f>IF(OR(Apresentação!$I$3='Base de Dados e filtragem'!AN$2,Apresentação!$I$3='Base de Dados e filtragem'!J698),1,0)</f>
        <v>1</v>
      </c>
      <c r="AO698" s="25">
        <f>IF(OR(Apresentação!$I$4='Base de Dados e filtragem'!AO$2,Apresentação!$I$4='Base de Dados e filtragem'!K698),1,0)</f>
        <v>1</v>
      </c>
      <c r="AP698" s="25">
        <f>IF(OR(Apresentação!$I$5='Base de Dados e filtragem'!AP$2,Apresentação!$I$5='Base de Dados e filtragem'!L698),1,0)</f>
        <v>1</v>
      </c>
      <c r="AQ698" s="25">
        <f>IF(OR(Apresentação!$I$6='Base de Dados e filtragem'!AQ$2,Apresentação!$I$6='Base de Dados e filtragem'!M698),1,0)</f>
        <v>1</v>
      </c>
      <c r="AR698" s="25">
        <v>1</v>
      </c>
      <c r="AS698" s="25">
        <v>1</v>
      </c>
      <c r="AT698" s="25">
        <v>1</v>
      </c>
      <c r="AU698" s="25">
        <v>1</v>
      </c>
      <c r="AV698" s="25">
        <v>1</v>
      </c>
      <c r="AW698" s="25">
        <v>1</v>
      </c>
      <c r="AX698" s="25">
        <v>1</v>
      </c>
      <c r="AY698" s="25">
        <v>1</v>
      </c>
      <c r="AZ698" s="25">
        <v>1</v>
      </c>
      <c r="BA698" s="25">
        <v>1</v>
      </c>
      <c r="BB698" s="25">
        <v>1</v>
      </c>
      <c r="BC698" s="25">
        <v>1</v>
      </c>
      <c r="BD698" s="25">
        <v>1</v>
      </c>
    </row>
    <row r="699" spans="27:56" x14ac:dyDescent="0.25">
      <c r="AA699" s="68" t="str">
        <f t="shared" si="41"/>
        <v>Fotos\\.jpg</v>
      </c>
      <c r="AB699" s="53">
        <f t="shared" si="42"/>
        <v>1.4306151645207439E-3</v>
      </c>
      <c r="AC699" s="25">
        <f t="shared" si="43"/>
        <v>699</v>
      </c>
      <c r="AD699" s="51">
        <f t="shared" si="44"/>
        <v>1</v>
      </c>
      <c r="AE699" s="25">
        <v>1</v>
      </c>
      <c r="AF699" s="25">
        <v>1</v>
      </c>
      <c r="AG699" s="25">
        <v>1</v>
      </c>
      <c r="AH699" s="25">
        <v>1</v>
      </c>
      <c r="AI699" s="25">
        <f>IF(OR(Apresentação!$E$3='Base de Dados e filtragem'!AI$2,Apresentação!$E$3='Base de Dados e filtragem'!E699),1,0)</f>
        <v>1</v>
      </c>
      <c r="AJ699" s="25">
        <f>IF(OR(Apresentação!$E$4='Base de Dados e filtragem'!AJ$2,Apresentação!$E$4='Base de Dados e filtragem'!F699),1,0)</f>
        <v>1</v>
      </c>
      <c r="AK699" s="25">
        <f>IF(OR(Apresentação!$E$5='Base de Dados e filtragem'!AK$2,Apresentação!$E$5='Base de Dados e filtragem'!G699),1,0)</f>
        <v>1</v>
      </c>
      <c r="AL699" s="25">
        <f>IF(OR(Apresentação!$E$6='Base de Dados e filtragem'!AL$2,Apresentação!$E$6='Base de Dados e filtragem'!H699),1,0)</f>
        <v>1</v>
      </c>
      <c r="AM699" s="25">
        <f>IF(OR(Apresentação!$I$2='Base de Dados e filtragem'!AM$2,Apresentação!$I$2='Base de Dados e filtragem'!I699),1,0)</f>
        <v>1</v>
      </c>
      <c r="AN699" s="25">
        <f>IF(OR(Apresentação!$I$3='Base de Dados e filtragem'!AN$2,Apresentação!$I$3='Base de Dados e filtragem'!J699),1,0)</f>
        <v>1</v>
      </c>
      <c r="AO699" s="25">
        <f>IF(OR(Apresentação!$I$4='Base de Dados e filtragem'!AO$2,Apresentação!$I$4='Base de Dados e filtragem'!K699),1,0)</f>
        <v>1</v>
      </c>
      <c r="AP699" s="25">
        <f>IF(OR(Apresentação!$I$5='Base de Dados e filtragem'!AP$2,Apresentação!$I$5='Base de Dados e filtragem'!L699),1,0)</f>
        <v>1</v>
      </c>
      <c r="AQ699" s="25">
        <f>IF(OR(Apresentação!$I$6='Base de Dados e filtragem'!AQ$2,Apresentação!$I$6='Base de Dados e filtragem'!M699),1,0)</f>
        <v>1</v>
      </c>
      <c r="AR699" s="25">
        <v>1</v>
      </c>
      <c r="AS699" s="25">
        <v>1</v>
      </c>
      <c r="AT699" s="25">
        <v>1</v>
      </c>
      <c r="AU699" s="25">
        <v>1</v>
      </c>
      <c r="AV699" s="25">
        <v>1</v>
      </c>
      <c r="AW699" s="25">
        <v>1</v>
      </c>
      <c r="AX699" s="25">
        <v>1</v>
      </c>
      <c r="AY699" s="25">
        <v>1</v>
      </c>
      <c r="AZ699" s="25">
        <v>1</v>
      </c>
      <c r="BA699" s="25">
        <v>1</v>
      </c>
      <c r="BB699" s="25">
        <v>1</v>
      </c>
      <c r="BC699" s="25">
        <v>1</v>
      </c>
      <c r="BD699" s="25">
        <v>1</v>
      </c>
    </row>
    <row r="700" spans="27:56" x14ac:dyDescent="0.25">
      <c r="AA700" s="68" t="str">
        <f t="shared" si="41"/>
        <v>Fotos\\.jpg</v>
      </c>
      <c r="AB700" s="53">
        <f t="shared" si="42"/>
        <v>1.4285714285714286E-3</v>
      </c>
      <c r="AC700" s="25">
        <f t="shared" si="43"/>
        <v>700</v>
      </c>
      <c r="AD700" s="51">
        <f t="shared" si="44"/>
        <v>1</v>
      </c>
      <c r="AE700" s="25">
        <v>1</v>
      </c>
      <c r="AF700" s="25">
        <v>1</v>
      </c>
      <c r="AG700" s="25">
        <v>1</v>
      </c>
      <c r="AH700" s="25">
        <v>1</v>
      </c>
      <c r="AI700" s="25">
        <f>IF(OR(Apresentação!$E$3='Base de Dados e filtragem'!AI$2,Apresentação!$E$3='Base de Dados e filtragem'!E700),1,0)</f>
        <v>1</v>
      </c>
      <c r="AJ700" s="25">
        <f>IF(OR(Apresentação!$E$4='Base de Dados e filtragem'!AJ$2,Apresentação!$E$4='Base de Dados e filtragem'!F700),1,0)</f>
        <v>1</v>
      </c>
      <c r="AK700" s="25">
        <f>IF(OR(Apresentação!$E$5='Base de Dados e filtragem'!AK$2,Apresentação!$E$5='Base de Dados e filtragem'!G700),1,0)</f>
        <v>1</v>
      </c>
      <c r="AL700" s="25">
        <f>IF(OR(Apresentação!$E$6='Base de Dados e filtragem'!AL$2,Apresentação!$E$6='Base de Dados e filtragem'!H700),1,0)</f>
        <v>1</v>
      </c>
      <c r="AM700" s="25">
        <f>IF(OR(Apresentação!$I$2='Base de Dados e filtragem'!AM$2,Apresentação!$I$2='Base de Dados e filtragem'!I700),1,0)</f>
        <v>1</v>
      </c>
      <c r="AN700" s="25">
        <f>IF(OR(Apresentação!$I$3='Base de Dados e filtragem'!AN$2,Apresentação!$I$3='Base de Dados e filtragem'!J700),1,0)</f>
        <v>1</v>
      </c>
      <c r="AO700" s="25">
        <f>IF(OR(Apresentação!$I$4='Base de Dados e filtragem'!AO$2,Apresentação!$I$4='Base de Dados e filtragem'!K700),1,0)</f>
        <v>1</v>
      </c>
      <c r="AP700" s="25">
        <f>IF(OR(Apresentação!$I$5='Base de Dados e filtragem'!AP$2,Apresentação!$I$5='Base de Dados e filtragem'!L700),1,0)</f>
        <v>1</v>
      </c>
      <c r="AQ700" s="25">
        <f>IF(OR(Apresentação!$I$6='Base de Dados e filtragem'!AQ$2,Apresentação!$I$6='Base de Dados e filtragem'!M700),1,0)</f>
        <v>1</v>
      </c>
      <c r="AR700" s="25">
        <v>1</v>
      </c>
      <c r="AS700" s="25">
        <v>1</v>
      </c>
      <c r="AT700" s="25">
        <v>1</v>
      </c>
      <c r="AU700" s="25">
        <v>1</v>
      </c>
      <c r="AV700" s="25">
        <v>1</v>
      </c>
      <c r="AW700" s="25">
        <v>1</v>
      </c>
      <c r="AX700" s="25">
        <v>1</v>
      </c>
      <c r="AY700" s="25">
        <v>1</v>
      </c>
      <c r="AZ700" s="25">
        <v>1</v>
      </c>
      <c r="BA700" s="25">
        <v>1</v>
      </c>
      <c r="BB700" s="25">
        <v>1</v>
      </c>
      <c r="BC700" s="25">
        <v>1</v>
      </c>
      <c r="BD700" s="25">
        <v>1</v>
      </c>
    </row>
    <row r="701" spans="27:56" x14ac:dyDescent="0.25">
      <c r="AA701" s="68" t="str">
        <f t="shared" si="41"/>
        <v>Fotos\\.jpg</v>
      </c>
      <c r="AB701" s="53">
        <f t="shared" si="42"/>
        <v>1.4265335235378032E-3</v>
      </c>
      <c r="AC701" s="25">
        <f t="shared" si="43"/>
        <v>701</v>
      </c>
      <c r="AD701" s="51">
        <f t="shared" si="44"/>
        <v>1</v>
      </c>
      <c r="AE701" s="25">
        <v>1</v>
      </c>
      <c r="AF701" s="25">
        <v>1</v>
      </c>
      <c r="AG701" s="25">
        <v>1</v>
      </c>
      <c r="AH701" s="25">
        <v>1</v>
      </c>
      <c r="AI701" s="25">
        <f>IF(OR(Apresentação!$E$3='Base de Dados e filtragem'!AI$2,Apresentação!$E$3='Base de Dados e filtragem'!E701),1,0)</f>
        <v>1</v>
      </c>
      <c r="AJ701" s="25">
        <f>IF(OR(Apresentação!$E$4='Base de Dados e filtragem'!AJ$2,Apresentação!$E$4='Base de Dados e filtragem'!F701),1,0)</f>
        <v>1</v>
      </c>
      <c r="AK701" s="25">
        <f>IF(OR(Apresentação!$E$5='Base de Dados e filtragem'!AK$2,Apresentação!$E$5='Base de Dados e filtragem'!G701),1,0)</f>
        <v>1</v>
      </c>
      <c r="AL701" s="25">
        <f>IF(OR(Apresentação!$E$6='Base de Dados e filtragem'!AL$2,Apresentação!$E$6='Base de Dados e filtragem'!H701),1,0)</f>
        <v>1</v>
      </c>
      <c r="AM701" s="25">
        <f>IF(OR(Apresentação!$I$2='Base de Dados e filtragem'!AM$2,Apresentação!$I$2='Base de Dados e filtragem'!I701),1,0)</f>
        <v>1</v>
      </c>
      <c r="AN701" s="25">
        <f>IF(OR(Apresentação!$I$3='Base de Dados e filtragem'!AN$2,Apresentação!$I$3='Base de Dados e filtragem'!J701),1,0)</f>
        <v>1</v>
      </c>
      <c r="AO701" s="25">
        <f>IF(OR(Apresentação!$I$4='Base de Dados e filtragem'!AO$2,Apresentação!$I$4='Base de Dados e filtragem'!K701),1,0)</f>
        <v>1</v>
      </c>
      <c r="AP701" s="25">
        <f>IF(OR(Apresentação!$I$5='Base de Dados e filtragem'!AP$2,Apresentação!$I$5='Base de Dados e filtragem'!L701),1,0)</f>
        <v>1</v>
      </c>
      <c r="AQ701" s="25">
        <f>IF(OR(Apresentação!$I$6='Base de Dados e filtragem'!AQ$2,Apresentação!$I$6='Base de Dados e filtragem'!M701),1,0)</f>
        <v>1</v>
      </c>
      <c r="AR701" s="25">
        <v>1</v>
      </c>
      <c r="AS701" s="25">
        <v>1</v>
      </c>
      <c r="AT701" s="25">
        <v>1</v>
      </c>
      <c r="AU701" s="25">
        <v>1</v>
      </c>
      <c r="AV701" s="25">
        <v>1</v>
      </c>
      <c r="AW701" s="25">
        <v>1</v>
      </c>
      <c r="AX701" s="25">
        <v>1</v>
      </c>
      <c r="AY701" s="25">
        <v>1</v>
      </c>
      <c r="AZ701" s="25">
        <v>1</v>
      </c>
      <c r="BA701" s="25">
        <v>1</v>
      </c>
      <c r="BB701" s="25">
        <v>1</v>
      </c>
      <c r="BC701" s="25">
        <v>1</v>
      </c>
      <c r="BD701" s="25">
        <v>1</v>
      </c>
    </row>
    <row r="702" spans="27:56" x14ac:dyDescent="0.25">
      <c r="AA702" s="68" t="str">
        <f t="shared" si="41"/>
        <v>Fotos\\.jpg</v>
      </c>
      <c r="AB702" s="53">
        <f t="shared" si="42"/>
        <v>1.4245014245014246E-3</v>
      </c>
      <c r="AC702" s="25">
        <f t="shared" si="43"/>
        <v>702</v>
      </c>
      <c r="AD702" s="51">
        <f t="shared" si="44"/>
        <v>1</v>
      </c>
      <c r="AE702" s="25">
        <v>1</v>
      </c>
      <c r="AF702" s="25">
        <v>1</v>
      </c>
      <c r="AG702" s="25">
        <v>1</v>
      </c>
      <c r="AH702" s="25">
        <v>1</v>
      </c>
      <c r="AI702" s="25">
        <f>IF(OR(Apresentação!$E$3='Base de Dados e filtragem'!AI$2,Apresentação!$E$3='Base de Dados e filtragem'!E702),1,0)</f>
        <v>1</v>
      </c>
      <c r="AJ702" s="25">
        <f>IF(OR(Apresentação!$E$4='Base de Dados e filtragem'!AJ$2,Apresentação!$E$4='Base de Dados e filtragem'!F702),1,0)</f>
        <v>1</v>
      </c>
      <c r="AK702" s="25">
        <f>IF(OR(Apresentação!$E$5='Base de Dados e filtragem'!AK$2,Apresentação!$E$5='Base de Dados e filtragem'!G702),1,0)</f>
        <v>1</v>
      </c>
      <c r="AL702" s="25">
        <f>IF(OR(Apresentação!$E$6='Base de Dados e filtragem'!AL$2,Apresentação!$E$6='Base de Dados e filtragem'!H702),1,0)</f>
        <v>1</v>
      </c>
      <c r="AM702" s="25">
        <f>IF(OR(Apresentação!$I$2='Base de Dados e filtragem'!AM$2,Apresentação!$I$2='Base de Dados e filtragem'!I702),1,0)</f>
        <v>1</v>
      </c>
      <c r="AN702" s="25">
        <f>IF(OR(Apresentação!$I$3='Base de Dados e filtragem'!AN$2,Apresentação!$I$3='Base de Dados e filtragem'!J702),1,0)</f>
        <v>1</v>
      </c>
      <c r="AO702" s="25">
        <f>IF(OR(Apresentação!$I$4='Base de Dados e filtragem'!AO$2,Apresentação!$I$4='Base de Dados e filtragem'!K702),1,0)</f>
        <v>1</v>
      </c>
      <c r="AP702" s="25">
        <f>IF(OR(Apresentação!$I$5='Base de Dados e filtragem'!AP$2,Apresentação!$I$5='Base de Dados e filtragem'!L702),1,0)</f>
        <v>1</v>
      </c>
      <c r="AQ702" s="25">
        <f>IF(OR(Apresentação!$I$6='Base de Dados e filtragem'!AQ$2,Apresentação!$I$6='Base de Dados e filtragem'!M702),1,0)</f>
        <v>1</v>
      </c>
      <c r="AR702" s="25">
        <v>1</v>
      </c>
      <c r="AS702" s="25">
        <v>1</v>
      </c>
      <c r="AT702" s="25">
        <v>1</v>
      </c>
      <c r="AU702" s="25">
        <v>1</v>
      </c>
      <c r="AV702" s="25">
        <v>1</v>
      </c>
      <c r="AW702" s="25">
        <v>1</v>
      </c>
      <c r="AX702" s="25">
        <v>1</v>
      </c>
      <c r="AY702" s="25">
        <v>1</v>
      </c>
      <c r="AZ702" s="25">
        <v>1</v>
      </c>
      <c r="BA702" s="25">
        <v>1</v>
      </c>
      <c r="BB702" s="25">
        <v>1</v>
      </c>
      <c r="BC702" s="25">
        <v>1</v>
      </c>
      <c r="BD702" s="25">
        <v>1</v>
      </c>
    </row>
    <row r="703" spans="27:56" x14ac:dyDescent="0.25">
      <c r="AA703" s="68" t="str">
        <f t="shared" si="41"/>
        <v>Fotos\\.jpg</v>
      </c>
      <c r="AB703" s="53">
        <f t="shared" si="42"/>
        <v>1.4224751066856331E-3</v>
      </c>
      <c r="AC703" s="25">
        <f t="shared" si="43"/>
        <v>703</v>
      </c>
      <c r="AD703" s="51">
        <f t="shared" si="44"/>
        <v>1</v>
      </c>
      <c r="AE703" s="25">
        <v>1</v>
      </c>
      <c r="AF703" s="25">
        <v>1</v>
      </c>
      <c r="AG703" s="25">
        <v>1</v>
      </c>
      <c r="AH703" s="25">
        <v>1</v>
      </c>
      <c r="AI703" s="25">
        <f>IF(OR(Apresentação!$E$3='Base de Dados e filtragem'!AI$2,Apresentação!$E$3='Base de Dados e filtragem'!E703),1,0)</f>
        <v>1</v>
      </c>
      <c r="AJ703" s="25">
        <f>IF(OR(Apresentação!$E$4='Base de Dados e filtragem'!AJ$2,Apresentação!$E$4='Base de Dados e filtragem'!F703),1,0)</f>
        <v>1</v>
      </c>
      <c r="AK703" s="25">
        <f>IF(OR(Apresentação!$E$5='Base de Dados e filtragem'!AK$2,Apresentação!$E$5='Base de Dados e filtragem'!G703),1,0)</f>
        <v>1</v>
      </c>
      <c r="AL703" s="25">
        <f>IF(OR(Apresentação!$E$6='Base de Dados e filtragem'!AL$2,Apresentação!$E$6='Base de Dados e filtragem'!H703),1,0)</f>
        <v>1</v>
      </c>
      <c r="AM703" s="25">
        <f>IF(OR(Apresentação!$I$2='Base de Dados e filtragem'!AM$2,Apresentação!$I$2='Base de Dados e filtragem'!I703),1,0)</f>
        <v>1</v>
      </c>
      <c r="AN703" s="25">
        <f>IF(OR(Apresentação!$I$3='Base de Dados e filtragem'!AN$2,Apresentação!$I$3='Base de Dados e filtragem'!J703),1,0)</f>
        <v>1</v>
      </c>
      <c r="AO703" s="25">
        <f>IF(OR(Apresentação!$I$4='Base de Dados e filtragem'!AO$2,Apresentação!$I$4='Base de Dados e filtragem'!K703),1,0)</f>
        <v>1</v>
      </c>
      <c r="AP703" s="25">
        <f>IF(OR(Apresentação!$I$5='Base de Dados e filtragem'!AP$2,Apresentação!$I$5='Base de Dados e filtragem'!L703),1,0)</f>
        <v>1</v>
      </c>
      <c r="AQ703" s="25">
        <f>IF(OR(Apresentação!$I$6='Base de Dados e filtragem'!AQ$2,Apresentação!$I$6='Base de Dados e filtragem'!M703),1,0)</f>
        <v>1</v>
      </c>
      <c r="AR703" s="25">
        <v>1</v>
      </c>
      <c r="AS703" s="25">
        <v>1</v>
      </c>
      <c r="AT703" s="25">
        <v>1</v>
      </c>
      <c r="AU703" s="25">
        <v>1</v>
      </c>
      <c r="AV703" s="25">
        <v>1</v>
      </c>
      <c r="AW703" s="25">
        <v>1</v>
      </c>
      <c r="AX703" s="25">
        <v>1</v>
      </c>
      <c r="AY703" s="25">
        <v>1</v>
      </c>
      <c r="AZ703" s="25">
        <v>1</v>
      </c>
      <c r="BA703" s="25">
        <v>1</v>
      </c>
      <c r="BB703" s="25">
        <v>1</v>
      </c>
      <c r="BC703" s="25">
        <v>1</v>
      </c>
      <c r="BD703" s="25">
        <v>1</v>
      </c>
    </row>
    <row r="704" spans="27:56" x14ac:dyDescent="0.25">
      <c r="AA704" s="68" t="str">
        <f t="shared" si="41"/>
        <v>Fotos\\.jpg</v>
      </c>
      <c r="AB704" s="53">
        <f t="shared" si="42"/>
        <v>1.4204545454545455E-3</v>
      </c>
      <c r="AC704" s="25">
        <f t="shared" si="43"/>
        <v>704</v>
      </c>
      <c r="AD704" s="51">
        <f t="shared" si="44"/>
        <v>1</v>
      </c>
      <c r="AE704" s="25">
        <v>1</v>
      </c>
      <c r="AF704" s="25">
        <v>1</v>
      </c>
      <c r="AG704" s="25">
        <v>1</v>
      </c>
      <c r="AH704" s="25">
        <v>1</v>
      </c>
      <c r="AI704" s="25">
        <f>IF(OR(Apresentação!$E$3='Base de Dados e filtragem'!AI$2,Apresentação!$E$3='Base de Dados e filtragem'!E704),1,0)</f>
        <v>1</v>
      </c>
      <c r="AJ704" s="25">
        <f>IF(OR(Apresentação!$E$4='Base de Dados e filtragem'!AJ$2,Apresentação!$E$4='Base de Dados e filtragem'!F704),1,0)</f>
        <v>1</v>
      </c>
      <c r="AK704" s="25">
        <f>IF(OR(Apresentação!$E$5='Base de Dados e filtragem'!AK$2,Apresentação!$E$5='Base de Dados e filtragem'!G704),1,0)</f>
        <v>1</v>
      </c>
      <c r="AL704" s="25">
        <f>IF(OR(Apresentação!$E$6='Base de Dados e filtragem'!AL$2,Apresentação!$E$6='Base de Dados e filtragem'!H704),1,0)</f>
        <v>1</v>
      </c>
      <c r="AM704" s="25">
        <f>IF(OR(Apresentação!$I$2='Base de Dados e filtragem'!AM$2,Apresentação!$I$2='Base de Dados e filtragem'!I704),1,0)</f>
        <v>1</v>
      </c>
      <c r="AN704" s="25">
        <f>IF(OR(Apresentação!$I$3='Base de Dados e filtragem'!AN$2,Apresentação!$I$3='Base de Dados e filtragem'!J704),1,0)</f>
        <v>1</v>
      </c>
      <c r="AO704" s="25">
        <f>IF(OR(Apresentação!$I$4='Base de Dados e filtragem'!AO$2,Apresentação!$I$4='Base de Dados e filtragem'!K704),1,0)</f>
        <v>1</v>
      </c>
      <c r="AP704" s="25">
        <f>IF(OR(Apresentação!$I$5='Base de Dados e filtragem'!AP$2,Apresentação!$I$5='Base de Dados e filtragem'!L704),1,0)</f>
        <v>1</v>
      </c>
      <c r="AQ704" s="25">
        <f>IF(OR(Apresentação!$I$6='Base de Dados e filtragem'!AQ$2,Apresentação!$I$6='Base de Dados e filtragem'!M704),1,0)</f>
        <v>1</v>
      </c>
      <c r="AR704" s="25">
        <v>1</v>
      </c>
      <c r="AS704" s="25">
        <v>1</v>
      </c>
      <c r="AT704" s="25">
        <v>1</v>
      </c>
      <c r="AU704" s="25">
        <v>1</v>
      </c>
      <c r="AV704" s="25">
        <v>1</v>
      </c>
      <c r="AW704" s="25">
        <v>1</v>
      </c>
      <c r="AX704" s="25">
        <v>1</v>
      </c>
      <c r="AY704" s="25">
        <v>1</v>
      </c>
      <c r="AZ704" s="25">
        <v>1</v>
      </c>
      <c r="BA704" s="25">
        <v>1</v>
      </c>
      <c r="BB704" s="25">
        <v>1</v>
      </c>
      <c r="BC704" s="25">
        <v>1</v>
      </c>
      <c r="BD704" s="25">
        <v>1</v>
      </c>
    </row>
    <row r="705" spans="27:56" x14ac:dyDescent="0.25">
      <c r="AA705" s="68" t="str">
        <f t="shared" si="41"/>
        <v>Fotos\\.jpg</v>
      </c>
      <c r="AB705" s="53">
        <f t="shared" si="42"/>
        <v>1.4184397163120568E-3</v>
      </c>
      <c r="AC705" s="25">
        <f t="shared" si="43"/>
        <v>705</v>
      </c>
      <c r="AD705" s="51">
        <f t="shared" si="44"/>
        <v>1</v>
      </c>
      <c r="AE705" s="25">
        <v>1</v>
      </c>
      <c r="AF705" s="25">
        <v>1</v>
      </c>
      <c r="AG705" s="25">
        <v>1</v>
      </c>
      <c r="AH705" s="25">
        <v>1</v>
      </c>
      <c r="AI705" s="25">
        <f>IF(OR(Apresentação!$E$3='Base de Dados e filtragem'!AI$2,Apresentação!$E$3='Base de Dados e filtragem'!E705),1,0)</f>
        <v>1</v>
      </c>
      <c r="AJ705" s="25">
        <f>IF(OR(Apresentação!$E$4='Base de Dados e filtragem'!AJ$2,Apresentação!$E$4='Base de Dados e filtragem'!F705),1,0)</f>
        <v>1</v>
      </c>
      <c r="AK705" s="25">
        <f>IF(OR(Apresentação!$E$5='Base de Dados e filtragem'!AK$2,Apresentação!$E$5='Base de Dados e filtragem'!G705),1,0)</f>
        <v>1</v>
      </c>
      <c r="AL705" s="25">
        <f>IF(OR(Apresentação!$E$6='Base de Dados e filtragem'!AL$2,Apresentação!$E$6='Base de Dados e filtragem'!H705),1,0)</f>
        <v>1</v>
      </c>
      <c r="AM705" s="25">
        <f>IF(OR(Apresentação!$I$2='Base de Dados e filtragem'!AM$2,Apresentação!$I$2='Base de Dados e filtragem'!I705),1,0)</f>
        <v>1</v>
      </c>
      <c r="AN705" s="25">
        <f>IF(OR(Apresentação!$I$3='Base de Dados e filtragem'!AN$2,Apresentação!$I$3='Base de Dados e filtragem'!J705),1,0)</f>
        <v>1</v>
      </c>
      <c r="AO705" s="25">
        <f>IF(OR(Apresentação!$I$4='Base de Dados e filtragem'!AO$2,Apresentação!$I$4='Base de Dados e filtragem'!K705),1,0)</f>
        <v>1</v>
      </c>
      <c r="AP705" s="25">
        <f>IF(OR(Apresentação!$I$5='Base de Dados e filtragem'!AP$2,Apresentação!$I$5='Base de Dados e filtragem'!L705),1,0)</f>
        <v>1</v>
      </c>
      <c r="AQ705" s="25">
        <f>IF(OR(Apresentação!$I$6='Base de Dados e filtragem'!AQ$2,Apresentação!$I$6='Base de Dados e filtragem'!M705),1,0)</f>
        <v>1</v>
      </c>
      <c r="AR705" s="25">
        <v>1</v>
      </c>
      <c r="AS705" s="25">
        <v>1</v>
      </c>
      <c r="AT705" s="25">
        <v>1</v>
      </c>
      <c r="AU705" s="25">
        <v>1</v>
      </c>
      <c r="AV705" s="25">
        <v>1</v>
      </c>
      <c r="AW705" s="25">
        <v>1</v>
      </c>
      <c r="AX705" s="25">
        <v>1</v>
      </c>
      <c r="AY705" s="25">
        <v>1</v>
      </c>
      <c r="AZ705" s="25">
        <v>1</v>
      </c>
      <c r="BA705" s="25">
        <v>1</v>
      </c>
      <c r="BB705" s="25">
        <v>1</v>
      </c>
      <c r="BC705" s="25">
        <v>1</v>
      </c>
      <c r="BD705" s="25">
        <v>1</v>
      </c>
    </row>
    <row r="706" spans="27:56" x14ac:dyDescent="0.25">
      <c r="AA706" s="68" t="str">
        <f t="shared" si="41"/>
        <v>Fotos\\.jpg</v>
      </c>
      <c r="AB706" s="53">
        <f t="shared" si="42"/>
        <v>1.4164305949008499E-3</v>
      </c>
      <c r="AC706" s="25">
        <f t="shared" si="43"/>
        <v>706</v>
      </c>
      <c r="AD706" s="51">
        <f t="shared" si="44"/>
        <v>1</v>
      </c>
      <c r="AE706" s="25">
        <v>1</v>
      </c>
      <c r="AF706" s="25">
        <v>1</v>
      </c>
      <c r="AG706" s="25">
        <v>1</v>
      </c>
      <c r="AH706" s="25">
        <v>1</v>
      </c>
      <c r="AI706" s="25">
        <f>IF(OR(Apresentação!$E$3='Base de Dados e filtragem'!AI$2,Apresentação!$E$3='Base de Dados e filtragem'!E706),1,0)</f>
        <v>1</v>
      </c>
      <c r="AJ706" s="25">
        <f>IF(OR(Apresentação!$E$4='Base de Dados e filtragem'!AJ$2,Apresentação!$E$4='Base de Dados e filtragem'!F706),1,0)</f>
        <v>1</v>
      </c>
      <c r="AK706" s="25">
        <f>IF(OR(Apresentação!$E$5='Base de Dados e filtragem'!AK$2,Apresentação!$E$5='Base de Dados e filtragem'!G706),1,0)</f>
        <v>1</v>
      </c>
      <c r="AL706" s="25">
        <f>IF(OR(Apresentação!$E$6='Base de Dados e filtragem'!AL$2,Apresentação!$E$6='Base de Dados e filtragem'!H706),1,0)</f>
        <v>1</v>
      </c>
      <c r="AM706" s="25">
        <f>IF(OR(Apresentação!$I$2='Base de Dados e filtragem'!AM$2,Apresentação!$I$2='Base de Dados e filtragem'!I706),1,0)</f>
        <v>1</v>
      </c>
      <c r="AN706" s="25">
        <f>IF(OR(Apresentação!$I$3='Base de Dados e filtragem'!AN$2,Apresentação!$I$3='Base de Dados e filtragem'!J706),1,0)</f>
        <v>1</v>
      </c>
      <c r="AO706" s="25">
        <f>IF(OR(Apresentação!$I$4='Base de Dados e filtragem'!AO$2,Apresentação!$I$4='Base de Dados e filtragem'!K706),1,0)</f>
        <v>1</v>
      </c>
      <c r="AP706" s="25">
        <f>IF(OR(Apresentação!$I$5='Base de Dados e filtragem'!AP$2,Apresentação!$I$5='Base de Dados e filtragem'!L706),1,0)</f>
        <v>1</v>
      </c>
      <c r="AQ706" s="25">
        <f>IF(OR(Apresentação!$I$6='Base de Dados e filtragem'!AQ$2,Apresentação!$I$6='Base de Dados e filtragem'!M706),1,0)</f>
        <v>1</v>
      </c>
      <c r="AR706" s="25">
        <v>1</v>
      </c>
      <c r="AS706" s="25">
        <v>1</v>
      </c>
      <c r="AT706" s="25">
        <v>1</v>
      </c>
      <c r="AU706" s="25">
        <v>1</v>
      </c>
      <c r="AV706" s="25">
        <v>1</v>
      </c>
      <c r="AW706" s="25">
        <v>1</v>
      </c>
      <c r="AX706" s="25">
        <v>1</v>
      </c>
      <c r="AY706" s="25">
        <v>1</v>
      </c>
      <c r="AZ706" s="25">
        <v>1</v>
      </c>
      <c r="BA706" s="25">
        <v>1</v>
      </c>
      <c r="BB706" s="25">
        <v>1</v>
      </c>
      <c r="BC706" s="25">
        <v>1</v>
      </c>
      <c r="BD706" s="25">
        <v>1</v>
      </c>
    </row>
    <row r="707" spans="27:56" x14ac:dyDescent="0.25">
      <c r="AA707" s="68" t="str">
        <f t="shared" si="41"/>
        <v>Fotos\\.jpg</v>
      </c>
      <c r="AB707" s="53">
        <f t="shared" si="42"/>
        <v>1.4144271570014145E-3</v>
      </c>
      <c r="AC707" s="25">
        <f t="shared" si="43"/>
        <v>707</v>
      </c>
      <c r="AD707" s="51">
        <f t="shared" si="44"/>
        <v>1</v>
      </c>
      <c r="AE707" s="25">
        <v>1</v>
      </c>
      <c r="AF707" s="25">
        <v>1</v>
      </c>
      <c r="AG707" s="25">
        <v>1</v>
      </c>
      <c r="AH707" s="25">
        <v>1</v>
      </c>
      <c r="AI707" s="25">
        <f>IF(OR(Apresentação!$E$3='Base de Dados e filtragem'!AI$2,Apresentação!$E$3='Base de Dados e filtragem'!E707),1,0)</f>
        <v>1</v>
      </c>
      <c r="AJ707" s="25">
        <f>IF(OR(Apresentação!$E$4='Base de Dados e filtragem'!AJ$2,Apresentação!$E$4='Base de Dados e filtragem'!F707),1,0)</f>
        <v>1</v>
      </c>
      <c r="AK707" s="25">
        <f>IF(OR(Apresentação!$E$5='Base de Dados e filtragem'!AK$2,Apresentação!$E$5='Base de Dados e filtragem'!G707),1,0)</f>
        <v>1</v>
      </c>
      <c r="AL707" s="25">
        <f>IF(OR(Apresentação!$E$6='Base de Dados e filtragem'!AL$2,Apresentação!$E$6='Base de Dados e filtragem'!H707),1,0)</f>
        <v>1</v>
      </c>
      <c r="AM707" s="25">
        <f>IF(OR(Apresentação!$I$2='Base de Dados e filtragem'!AM$2,Apresentação!$I$2='Base de Dados e filtragem'!I707),1,0)</f>
        <v>1</v>
      </c>
      <c r="AN707" s="25">
        <f>IF(OR(Apresentação!$I$3='Base de Dados e filtragem'!AN$2,Apresentação!$I$3='Base de Dados e filtragem'!J707),1,0)</f>
        <v>1</v>
      </c>
      <c r="AO707" s="25">
        <f>IF(OR(Apresentação!$I$4='Base de Dados e filtragem'!AO$2,Apresentação!$I$4='Base de Dados e filtragem'!K707),1,0)</f>
        <v>1</v>
      </c>
      <c r="AP707" s="25">
        <f>IF(OR(Apresentação!$I$5='Base de Dados e filtragem'!AP$2,Apresentação!$I$5='Base de Dados e filtragem'!L707),1,0)</f>
        <v>1</v>
      </c>
      <c r="AQ707" s="25">
        <f>IF(OR(Apresentação!$I$6='Base de Dados e filtragem'!AQ$2,Apresentação!$I$6='Base de Dados e filtragem'!M707),1,0)</f>
        <v>1</v>
      </c>
      <c r="AR707" s="25">
        <v>1</v>
      </c>
      <c r="AS707" s="25">
        <v>1</v>
      </c>
      <c r="AT707" s="25">
        <v>1</v>
      </c>
      <c r="AU707" s="25">
        <v>1</v>
      </c>
      <c r="AV707" s="25">
        <v>1</v>
      </c>
      <c r="AW707" s="25">
        <v>1</v>
      </c>
      <c r="AX707" s="25">
        <v>1</v>
      </c>
      <c r="AY707" s="25">
        <v>1</v>
      </c>
      <c r="AZ707" s="25">
        <v>1</v>
      </c>
      <c r="BA707" s="25">
        <v>1</v>
      </c>
      <c r="BB707" s="25">
        <v>1</v>
      </c>
      <c r="BC707" s="25">
        <v>1</v>
      </c>
      <c r="BD707" s="25">
        <v>1</v>
      </c>
    </row>
    <row r="708" spans="27:56" x14ac:dyDescent="0.25">
      <c r="AA708" s="68" t="str">
        <f t="shared" ref="AA708:AA771" si="45">"Fotos\"&amp;I708&amp;"\"&amp;A708&amp;".jpg"</f>
        <v>Fotos\\.jpg</v>
      </c>
      <c r="AB708" s="53">
        <f t="shared" ref="AB708:AB771" si="46">AD708/AC708</f>
        <v>1.4124293785310734E-3</v>
      </c>
      <c r="AC708" s="25">
        <f t="shared" ref="AC708:AC771" si="47">AC707+1</f>
        <v>708</v>
      </c>
      <c r="AD708" s="51">
        <f t="shared" ref="AD708:AD771" si="48">PRODUCT(AE708:BD708)</f>
        <v>1</v>
      </c>
      <c r="AE708" s="25">
        <v>1</v>
      </c>
      <c r="AF708" s="25">
        <v>1</v>
      </c>
      <c r="AG708" s="25">
        <v>1</v>
      </c>
      <c r="AH708" s="25">
        <v>1</v>
      </c>
      <c r="AI708" s="25">
        <f>IF(OR(Apresentação!$E$3='Base de Dados e filtragem'!AI$2,Apresentação!$E$3='Base de Dados e filtragem'!E708),1,0)</f>
        <v>1</v>
      </c>
      <c r="AJ708" s="25">
        <f>IF(OR(Apresentação!$E$4='Base de Dados e filtragem'!AJ$2,Apresentação!$E$4='Base de Dados e filtragem'!F708),1,0)</f>
        <v>1</v>
      </c>
      <c r="AK708" s="25">
        <f>IF(OR(Apresentação!$E$5='Base de Dados e filtragem'!AK$2,Apresentação!$E$5='Base de Dados e filtragem'!G708),1,0)</f>
        <v>1</v>
      </c>
      <c r="AL708" s="25">
        <f>IF(OR(Apresentação!$E$6='Base de Dados e filtragem'!AL$2,Apresentação!$E$6='Base de Dados e filtragem'!H708),1,0)</f>
        <v>1</v>
      </c>
      <c r="AM708" s="25">
        <f>IF(OR(Apresentação!$I$2='Base de Dados e filtragem'!AM$2,Apresentação!$I$2='Base de Dados e filtragem'!I708),1,0)</f>
        <v>1</v>
      </c>
      <c r="AN708" s="25">
        <f>IF(OR(Apresentação!$I$3='Base de Dados e filtragem'!AN$2,Apresentação!$I$3='Base de Dados e filtragem'!J708),1,0)</f>
        <v>1</v>
      </c>
      <c r="AO708" s="25">
        <f>IF(OR(Apresentação!$I$4='Base de Dados e filtragem'!AO$2,Apresentação!$I$4='Base de Dados e filtragem'!K708),1,0)</f>
        <v>1</v>
      </c>
      <c r="AP708" s="25">
        <f>IF(OR(Apresentação!$I$5='Base de Dados e filtragem'!AP$2,Apresentação!$I$5='Base de Dados e filtragem'!L708),1,0)</f>
        <v>1</v>
      </c>
      <c r="AQ708" s="25">
        <f>IF(OR(Apresentação!$I$6='Base de Dados e filtragem'!AQ$2,Apresentação!$I$6='Base de Dados e filtragem'!M708),1,0)</f>
        <v>1</v>
      </c>
      <c r="AR708" s="25">
        <v>1</v>
      </c>
      <c r="AS708" s="25">
        <v>1</v>
      </c>
      <c r="AT708" s="25">
        <v>1</v>
      </c>
      <c r="AU708" s="25">
        <v>1</v>
      </c>
      <c r="AV708" s="25">
        <v>1</v>
      </c>
      <c r="AW708" s="25">
        <v>1</v>
      </c>
      <c r="AX708" s="25">
        <v>1</v>
      </c>
      <c r="AY708" s="25">
        <v>1</v>
      </c>
      <c r="AZ708" s="25">
        <v>1</v>
      </c>
      <c r="BA708" s="25">
        <v>1</v>
      </c>
      <c r="BB708" s="25">
        <v>1</v>
      </c>
      <c r="BC708" s="25">
        <v>1</v>
      </c>
      <c r="BD708" s="25">
        <v>1</v>
      </c>
    </row>
    <row r="709" spans="27:56" x14ac:dyDescent="0.25">
      <c r="AA709" s="68" t="str">
        <f t="shared" si="45"/>
        <v>Fotos\\.jpg</v>
      </c>
      <c r="AB709" s="53">
        <f t="shared" si="46"/>
        <v>1.4104372355430183E-3</v>
      </c>
      <c r="AC709" s="25">
        <f t="shared" si="47"/>
        <v>709</v>
      </c>
      <c r="AD709" s="51">
        <f t="shared" si="48"/>
        <v>1</v>
      </c>
      <c r="AE709" s="25">
        <v>1</v>
      </c>
      <c r="AF709" s="25">
        <v>1</v>
      </c>
      <c r="AG709" s="25">
        <v>1</v>
      </c>
      <c r="AH709" s="25">
        <v>1</v>
      </c>
      <c r="AI709" s="25">
        <f>IF(OR(Apresentação!$E$3='Base de Dados e filtragem'!AI$2,Apresentação!$E$3='Base de Dados e filtragem'!E709),1,0)</f>
        <v>1</v>
      </c>
      <c r="AJ709" s="25">
        <f>IF(OR(Apresentação!$E$4='Base de Dados e filtragem'!AJ$2,Apresentação!$E$4='Base de Dados e filtragem'!F709),1,0)</f>
        <v>1</v>
      </c>
      <c r="AK709" s="25">
        <f>IF(OR(Apresentação!$E$5='Base de Dados e filtragem'!AK$2,Apresentação!$E$5='Base de Dados e filtragem'!G709),1,0)</f>
        <v>1</v>
      </c>
      <c r="AL709" s="25">
        <f>IF(OR(Apresentação!$E$6='Base de Dados e filtragem'!AL$2,Apresentação!$E$6='Base de Dados e filtragem'!H709),1,0)</f>
        <v>1</v>
      </c>
      <c r="AM709" s="25">
        <f>IF(OR(Apresentação!$I$2='Base de Dados e filtragem'!AM$2,Apresentação!$I$2='Base de Dados e filtragem'!I709),1,0)</f>
        <v>1</v>
      </c>
      <c r="AN709" s="25">
        <f>IF(OR(Apresentação!$I$3='Base de Dados e filtragem'!AN$2,Apresentação!$I$3='Base de Dados e filtragem'!J709),1,0)</f>
        <v>1</v>
      </c>
      <c r="AO709" s="25">
        <f>IF(OR(Apresentação!$I$4='Base de Dados e filtragem'!AO$2,Apresentação!$I$4='Base de Dados e filtragem'!K709),1,0)</f>
        <v>1</v>
      </c>
      <c r="AP709" s="25">
        <f>IF(OR(Apresentação!$I$5='Base de Dados e filtragem'!AP$2,Apresentação!$I$5='Base de Dados e filtragem'!L709),1,0)</f>
        <v>1</v>
      </c>
      <c r="AQ709" s="25">
        <f>IF(OR(Apresentação!$I$6='Base de Dados e filtragem'!AQ$2,Apresentação!$I$6='Base de Dados e filtragem'!M709),1,0)</f>
        <v>1</v>
      </c>
      <c r="AR709" s="25">
        <v>1</v>
      </c>
      <c r="AS709" s="25">
        <v>1</v>
      </c>
      <c r="AT709" s="25">
        <v>1</v>
      </c>
      <c r="AU709" s="25">
        <v>1</v>
      </c>
      <c r="AV709" s="25">
        <v>1</v>
      </c>
      <c r="AW709" s="25">
        <v>1</v>
      </c>
      <c r="AX709" s="25">
        <v>1</v>
      </c>
      <c r="AY709" s="25">
        <v>1</v>
      </c>
      <c r="AZ709" s="25">
        <v>1</v>
      </c>
      <c r="BA709" s="25">
        <v>1</v>
      </c>
      <c r="BB709" s="25">
        <v>1</v>
      </c>
      <c r="BC709" s="25">
        <v>1</v>
      </c>
      <c r="BD709" s="25">
        <v>1</v>
      </c>
    </row>
    <row r="710" spans="27:56" x14ac:dyDescent="0.25">
      <c r="AA710" s="68" t="str">
        <f t="shared" si="45"/>
        <v>Fotos\\.jpg</v>
      </c>
      <c r="AB710" s="53">
        <f t="shared" si="46"/>
        <v>1.4084507042253522E-3</v>
      </c>
      <c r="AC710" s="25">
        <f t="shared" si="47"/>
        <v>710</v>
      </c>
      <c r="AD710" s="51">
        <f t="shared" si="48"/>
        <v>1</v>
      </c>
      <c r="AE710" s="25">
        <v>1</v>
      </c>
      <c r="AF710" s="25">
        <v>1</v>
      </c>
      <c r="AG710" s="25">
        <v>1</v>
      </c>
      <c r="AH710" s="25">
        <v>1</v>
      </c>
      <c r="AI710" s="25">
        <f>IF(OR(Apresentação!$E$3='Base de Dados e filtragem'!AI$2,Apresentação!$E$3='Base de Dados e filtragem'!E710),1,0)</f>
        <v>1</v>
      </c>
      <c r="AJ710" s="25">
        <f>IF(OR(Apresentação!$E$4='Base de Dados e filtragem'!AJ$2,Apresentação!$E$4='Base de Dados e filtragem'!F710),1,0)</f>
        <v>1</v>
      </c>
      <c r="AK710" s="25">
        <f>IF(OR(Apresentação!$E$5='Base de Dados e filtragem'!AK$2,Apresentação!$E$5='Base de Dados e filtragem'!G710),1,0)</f>
        <v>1</v>
      </c>
      <c r="AL710" s="25">
        <f>IF(OR(Apresentação!$E$6='Base de Dados e filtragem'!AL$2,Apresentação!$E$6='Base de Dados e filtragem'!H710),1,0)</f>
        <v>1</v>
      </c>
      <c r="AM710" s="25">
        <f>IF(OR(Apresentação!$I$2='Base de Dados e filtragem'!AM$2,Apresentação!$I$2='Base de Dados e filtragem'!I710),1,0)</f>
        <v>1</v>
      </c>
      <c r="AN710" s="25">
        <f>IF(OR(Apresentação!$I$3='Base de Dados e filtragem'!AN$2,Apresentação!$I$3='Base de Dados e filtragem'!J710),1,0)</f>
        <v>1</v>
      </c>
      <c r="AO710" s="25">
        <f>IF(OR(Apresentação!$I$4='Base de Dados e filtragem'!AO$2,Apresentação!$I$4='Base de Dados e filtragem'!K710),1,0)</f>
        <v>1</v>
      </c>
      <c r="AP710" s="25">
        <f>IF(OR(Apresentação!$I$5='Base de Dados e filtragem'!AP$2,Apresentação!$I$5='Base de Dados e filtragem'!L710),1,0)</f>
        <v>1</v>
      </c>
      <c r="AQ710" s="25">
        <f>IF(OR(Apresentação!$I$6='Base de Dados e filtragem'!AQ$2,Apresentação!$I$6='Base de Dados e filtragem'!M710),1,0)</f>
        <v>1</v>
      </c>
      <c r="AR710" s="25">
        <v>1</v>
      </c>
      <c r="AS710" s="25">
        <v>1</v>
      </c>
      <c r="AT710" s="25">
        <v>1</v>
      </c>
      <c r="AU710" s="25">
        <v>1</v>
      </c>
      <c r="AV710" s="25">
        <v>1</v>
      </c>
      <c r="AW710" s="25">
        <v>1</v>
      </c>
      <c r="AX710" s="25">
        <v>1</v>
      </c>
      <c r="AY710" s="25">
        <v>1</v>
      </c>
      <c r="AZ710" s="25">
        <v>1</v>
      </c>
      <c r="BA710" s="25">
        <v>1</v>
      </c>
      <c r="BB710" s="25">
        <v>1</v>
      </c>
      <c r="BC710" s="25">
        <v>1</v>
      </c>
      <c r="BD710" s="25">
        <v>1</v>
      </c>
    </row>
    <row r="711" spans="27:56" x14ac:dyDescent="0.25">
      <c r="AA711" s="68" t="str">
        <f t="shared" si="45"/>
        <v>Fotos\\.jpg</v>
      </c>
      <c r="AB711" s="53">
        <f t="shared" si="46"/>
        <v>1.4064697609001407E-3</v>
      </c>
      <c r="AC711" s="25">
        <f t="shared" si="47"/>
        <v>711</v>
      </c>
      <c r="AD711" s="51">
        <f t="shared" si="48"/>
        <v>1</v>
      </c>
      <c r="AE711" s="25">
        <v>1</v>
      </c>
      <c r="AF711" s="25">
        <v>1</v>
      </c>
      <c r="AG711" s="25">
        <v>1</v>
      </c>
      <c r="AH711" s="25">
        <v>1</v>
      </c>
      <c r="AI711" s="25">
        <f>IF(OR(Apresentação!$E$3='Base de Dados e filtragem'!AI$2,Apresentação!$E$3='Base de Dados e filtragem'!E711),1,0)</f>
        <v>1</v>
      </c>
      <c r="AJ711" s="25">
        <f>IF(OR(Apresentação!$E$4='Base de Dados e filtragem'!AJ$2,Apresentação!$E$4='Base de Dados e filtragem'!F711),1,0)</f>
        <v>1</v>
      </c>
      <c r="AK711" s="25">
        <f>IF(OR(Apresentação!$E$5='Base de Dados e filtragem'!AK$2,Apresentação!$E$5='Base de Dados e filtragem'!G711),1,0)</f>
        <v>1</v>
      </c>
      <c r="AL711" s="25">
        <f>IF(OR(Apresentação!$E$6='Base de Dados e filtragem'!AL$2,Apresentação!$E$6='Base de Dados e filtragem'!H711),1,0)</f>
        <v>1</v>
      </c>
      <c r="AM711" s="25">
        <f>IF(OR(Apresentação!$I$2='Base de Dados e filtragem'!AM$2,Apresentação!$I$2='Base de Dados e filtragem'!I711),1,0)</f>
        <v>1</v>
      </c>
      <c r="AN711" s="25">
        <f>IF(OR(Apresentação!$I$3='Base de Dados e filtragem'!AN$2,Apresentação!$I$3='Base de Dados e filtragem'!J711),1,0)</f>
        <v>1</v>
      </c>
      <c r="AO711" s="25">
        <f>IF(OR(Apresentação!$I$4='Base de Dados e filtragem'!AO$2,Apresentação!$I$4='Base de Dados e filtragem'!K711),1,0)</f>
        <v>1</v>
      </c>
      <c r="AP711" s="25">
        <f>IF(OR(Apresentação!$I$5='Base de Dados e filtragem'!AP$2,Apresentação!$I$5='Base de Dados e filtragem'!L711),1,0)</f>
        <v>1</v>
      </c>
      <c r="AQ711" s="25">
        <f>IF(OR(Apresentação!$I$6='Base de Dados e filtragem'!AQ$2,Apresentação!$I$6='Base de Dados e filtragem'!M711),1,0)</f>
        <v>1</v>
      </c>
      <c r="AR711" s="25">
        <v>1</v>
      </c>
      <c r="AS711" s="25">
        <v>1</v>
      </c>
      <c r="AT711" s="25">
        <v>1</v>
      </c>
      <c r="AU711" s="25">
        <v>1</v>
      </c>
      <c r="AV711" s="25">
        <v>1</v>
      </c>
      <c r="AW711" s="25">
        <v>1</v>
      </c>
      <c r="AX711" s="25">
        <v>1</v>
      </c>
      <c r="AY711" s="25">
        <v>1</v>
      </c>
      <c r="AZ711" s="25">
        <v>1</v>
      </c>
      <c r="BA711" s="25">
        <v>1</v>
      </c>
      <c r="BB711" s="25">
        <v>1</v>
      </c>
      <c r="BC711" s="25">
        <v>1</v>
      </c>
      <c r="BD711" s="25">
        <v>1</v>
      </c>
    </row>
    <row r="712" spans="27:56" x14ac:dyDescent="0.25">
      <c r="AA712" s="68" t="str">
        <f t="shared" si="45"/>
        <v>Fotos\\.jpg</v>
      </c>
      <c r="AB712" s="53">
        <f t="shared" si="46"/>
        <v>1.4044943820224719E-3</v>
      </c>
      <c r="AC712" s="25">
        <f t="shared" si="47"/>
        <v>712</v>
      </c>
      <c r="AD712" s="51">
        <f t="shared" si="48"/>
        <v>1</v>
      </c>
      <c r="AE712" s="25">
        <v>1</v>
      </c>
      <c r="AF712" s="25">
        <v>1</v>
      </c>
      <c r="AG712" s="25">
        <v>1</v>
      </c>
      <c r="AH712" s="25">
        <v>1</v>
      </c>
      <c r="AI712" s="25">
        <f>IF(OR(Apresentação!$E$3='Base de Dados e filtragem'!AI$2,Apresentação!$E$3='Base de Dados e filtragem'!E712),1,0)</f>
        <v>1</v>
      </c>
      <c r="AJ712" s="25">
        <f>IF(OR(Apresentação!$E$4='Base de Dados e filtragem'!AJ$2,Apresentação!$E$4='Base de Dados e filtragem'!F712),1,0)</f>
        <v>1</v>
      </c>
      <c r="AK712" s="25">
        <f>IF(OR(Apresentação!$E$5='Base de Dados e filtragem'!AK$2,Apresentação!$E$5='Base de Dados e filtragem'!G712),1,0)</f>
        <v>1</v>
      </c>
      <c r="AL712" s="25">
        <f>IF(OR(Apresentação!$E$6='Base de Dados e filtragem'!AL$2,Apresentação!$E$6='Base de Dados e filtragem'!H712),1,0)</f>
        <v>1</v>
      </c>
      <c r="AM712" s="25">
        <f>IF(OR(Apresentação!$I$2='Base de Dados e filtragem'!AM$2,Apresentação!$I$2='Base de Dados e filtragem'!I712),1,0)</f>
        <v>1</v>
      </c>
      <c r="AN712" s="25">
        <f>IF(OR(Apresentação!$I$3='Base de Dados e filtragem'!AN$2,Apresentação!$I$3='Base de Dados e filtragem'!J712),1,0)</f>
        <v>1</v>
      </c>
      <c r="AO712" s="25">
        <f>IF(OR(Apresentação!$I$4='Base de Dados e filtragem'!AO$2,Apresentação!$I$4='Base de Dados e filtragem'!K712),1,0)</f>
        <v>1</v>
      </c>
      <c r="AP712" s="25">
        <f>IF(OR(Apresentação!$I$5='Base de Dados e filtragem'!AP$2,Apresentação!$I$5='Base de Dados e filtragem'!L712),1,0)</f>
        <v>1</v>
      </c>
      <c r="AQ712" s="25">
        <f>IF(OR(Apresentação!$I$6='Base de Dados e filtragem'!AQ$2,Apresentação!$I$6='Base de Dados e filtragem'!M712),1,0)</f>
        <v>1</v>
      </c>
      <c r="AR712" s="25">
        <v>1</v>
      </c>
      <c r="AS712" s="25">
        <v>1</v>
      </c>
      <c r="AT712" s="25">
        <v>1</v>
      </c>
      <c r="AU712" s="25">
        <v>1</v>
      </c>
      <c r="AV712" s="25">
        <v>1</v>
      </c>
      <c r="AW712" s="25">
        <v>1</v>
      </c>
      <c r="AX712" s="25">
        <v>1</v>
      </c>
      <c r="AY712" s="25">
        <v>1</v>
      </c>
      <c r="AZ712" s="25">
        <v>1</v>
      </c>
      <c r="BA712" s="25">
        <v>1</v>
      </c>
      <c r="BB712" s="25">
        <v>1</v>
      </c>
      <c r="BC712" s="25">
        <v>1</v>
      </c>
      <c r="BD712" s="25">
        <v>1</v>
      </c>
    </row>
    <row r="713" spans="27:56" x14ac:dyDescent="0.25">
      <c r="AA713" s="68" t="str">
        <f t="shared" si="45"/>
        <v>Fotos\\.jpg</v>
      </c>
      <c r="AB713" s="53">
        <f t="shared" si="46"/>
        <v>1.4025245441795231E-3</v>
      </c>
      <c r="AC713" s="25">
        <f t="shared" si="47"/>
        <v>713</v>
      </c>
      <c r="AD713" s="51">
        <f t="shared" si="48"/>
        <v>1</v>
      </c>
      <c r="AE713" s="25">
        <v>1</v>
      </c>
      <c r="AF713" s="25">
        <v>1</v>
      </c>
      <c r="AG713" s="25">
        <v>1</v>
      </c>
      <c r="AH713" s="25">
        <v>1</v>
      </c>
      <c r="AI713" s="25">
        <f>IF(OR(Apresentação!$E$3='Base de Dados e filtragem'!AI$2,Apresentação!$E$3='Base de Dados e filtragem'!E713),1,0)</f>
        <v>1</v>
      </c>
      <c r="AJ713" s="25">
        <f>IF(OR(Apresentação!$E$4='Base de Dados e filtragem'!AJ$2,Apresentação!$E$4='Base de Dados e filtragem'!F713),1,0)</f>
        <v>1</v>
      </c>
      <c r="AK713" s="25">
        <f>IF(OR(Apresentação!$E$5='Base de Dados e filtragem'!AK$2,Apresentação!$E$5='Base de Dados e filtragem'!G713),1,0)</f>
        <v>1</v>
      </c>
      <c r="AL713" s="25">
        <f>IF(OR(Apresentação!$E$6='Base de Dados e filtragem'!AL$2,Apresentação!$E$6='Base de Dados e filtragem'!H713),1,0)</f>
        <v>1</v>
      </c>
      <c r="AM713" s="25">
        <f>IF(OR(Apresentação!$I$2='Base de Dados e filtragem'!AM$2,Apresentação!$I$2='Base de Dados e filtragem'!I713),1,0)</f>
        <v>1</v>
      </c>
      <c r="AN713" s="25">
        <f>IF(OR(Apresentação!$I$3='Base de Dados e filtragem'!AN$2,Apresentação!$I$3='Base de Dados e filtragem'!J713),1,0)</f>
        <v>1</v>
      </c>
      <c r="AO713" s="25">
        <f>IF(OR(Apresentação!$I$4='Base de Dados e filtragem'!AO$2,Apresentação!$I$4='Base de Dados e filtragem'!K713),1,0)</f>
        <v>1</v>
      </c>
      <c r="AP713" s="25">
        <f>IF(OR(Apresentação!$I$5='Base de Dados e filtragem'!AP$2,Apresentação!$I$5='Base de Dados e filtragem'!L713),1,0)</f>
        <v>1</v>
      </c>
      <c r="AQ713" s="25">
        <f>IF(OR(Apresentação!$I$6='Base de Dados e filtragem'!AQ$2,Apresentação!$I$6='Base de Dados e filtragem'!M713),1,0)</f>
        <v>1</v>
      </c>
      <c r="AR713" s="25">
        <v>1</v>
      </c>
      <c r="AS713" s="25">
        <v>1</v>
      </c>
      <c r="AT713" s="25">
        <v>1</v>
      </c>
      <c r="AU713" s="25">
        <v>1</v>
      </c>
      <c r="AV713" s="25">
        <v>1</v>
      </c>
      <c r="AW713" s="25">
        <v>1</v>
      </c>
      <c r="AX713" s="25">
        <v>1</v>
      </c>
      <c r="AY713" s="25">
        <v>1</v>
      </c>
      <c r="AZ713" s="25">
        <v>1</v>
      </c>
      <c r="BA713" s="25">
        <v>1</v>
      </c>
      <c r="BB713" s="25">
        <v>1</v>
      </c>
      <c r="BC713" s="25">
        <v>1</v>
      </c>
      <c r="BD713" s="25">
        <v>1</v>
      </c>
    </row>
    <row r="714" spans="27:56" x14ac:dyDescent="0.25">
      <c r="AA714" s="68" t="str">
        <f t="shared" si="45"/>
        <v>Fotos\\.jpg</v>
      </c>
      <c r="AB714" s="53">
        <f t="shared" si="46"/>
        <v>1.4005602240896359E-3</v>
      </c>
      <c r="AC714" s="25">
        <f t="shared" si="47"/>
        <v>714</v>
      </c>
      <c r="AD714" s="51">
        <f t="shared" si="48"/>
        <v>1</v>
      </c>
      <c r="AE714" s="25">
        <v>1</v>
      </c>
      <c r="AF714" s="25">
        <v>1</v>
      </c>
      <c r="AG714" s="25">
        <v>1</v>
      </c>
      <c r="AH714" s="25">
        <v>1</v>
      </c>
      <c r="AI714" s="25">
        <f>IF(OR(Apresentação!$E$3='Base de Dados e filtragem'!AI$2,Apresentação!$E$3='Base de Dados e filtragem'!E714),1,0)</f>
        <v>1</v>
      </c>
      <c r="AJ714" s="25">
        <f>IF(OR(Apresentação!$E$4='Base de Dados e filtragem'!AJ$2,Apresentação!$E$4='Base de Dados e filtragem'!F714),1,0)</f>
        <v>1</v>
      </c>
      <c r="AK714" s="25">
        <f>IF(OR(Apresentação!$E$5='Base de Dados e filtragem'!AK$2,Apresentação!$E$5='Base de Dados e filtragem'!G714),1,0)</f>
        <v>1</v>
      </c>
      <c r="AL714" s="25">
        <f>IF(OR(Apresentação!$E$6='Base de Dados e filtragem'!AL$2,Apresentação!$E$6='Base de Dados e filtragem'!H714),1,0)</f>
        <v>1</v>
      </c>
      <c r="AM714" s="25">
        <f>IF(OR(Apresentação!$I$2='Base de Dados e filtragem'!AM$2,Apresentação!$I$2='Base de Dados e filtragem'!I714),1,0)</f>
        <v>1</v>
      </c>
      <c r="AN714" s="25">
        <f>IF(OR(Apresentação!$I$3='Base de Dados e filtragem'!AN$2,Apresentação!$I$3='Base de Dados e filtragem'!J714),1,0)</f>
        <v>1</v>
      </c>
      <c r="AO714" s="25">
        <f>IF(OR(Apresentação!$I$4='Base de Dados e filtragem'!AO$2,Apresentação!$I$4='Base de Dados e filtragem'!K714),1,0)</f>
        <v>1</v>
      </c>
      <c r="AP714" s="25">
        <f>IF(OR(Apresentação!$I$5='Base de Dados e filtragem'!AP$2,Apresentação!$I$5='Base de Dados e filtragem'!L714),1,0)</f>
        <v>1</v>
      </c>
      <c r="AQ714" s="25">
        <f>IF(OR(Apresentação!$I$6='Base de Dados e filtragem'!AQ$2,Apresentação!$I$6='Base de Dados e filtragem'!M714),1,0)</f>
        <v>1</v>
      </c>
      <c r="AR714" s="25">
        <v>1</v>
      </c>
      <c r="AS714" s="25">
        <v>1</v>
      </c>
      <c r="AT714" s="25">
        <v>1</v>
      </c>
      <c r="AU714" s="25">
        <v>1</v>
      </c>
      <c r="AV714" s="25">
        <v>1</v>
      </c>
      <c r="AW714" s="25">
        <v>1</v>
      </c>
      <c r="AX714" s="25">
        <v>1</v>
      </c>
      <c r="AY714" s="25">
        <v>1</v>
      </c>
      <c r="AZ714" s="25">
        <v>1</v>
      </c>
      <c r="BA714" s="25">
        <v>1</v>
      </c>
      <c r="BB714" s="25">
        <v>1</v>
      </c>
      <c r="BC714" s="25">
        <v>1</v>
      </c>
      <c r="BD714" s="25">
        <v>1</v>
      </c>
    </row>
    <row r="715" spans="27:56" x14ac:dyDescent="0.25">
      <c r="AA715" s="68" t="str">
        <f t="shared" si="45"/>
        <v>Fotos\\.jpg</v>
      </c>
      <c r="AB715" s="53">
        <f t="shared" si="46"/>
        <v>1.3986013986013986E-3</v>
      </c>
      <c r="AC715" s="25">
        <f t="shared" si="47"/>
        <v>715</v>
      </c>
      <c r="AD715" s="51">
        <f t="shared" si="48"/>
        <v>1</v>
      </c>
      <c r="AE715" s="25">
        <v>1</v>
      </c>
      <c r="AF715" s="25">
        <v>1</v>
      </c>
      <c r="AG715" s="25">
        <v>1</v>
      </c>
      <c r="AH715" s="25">
        <v>1</v>
      </c>
      <c r="AI715" s="25">
        <f>IF(OR(Apresentação!$E$3='Base de Dados e filtragem'!AI$2,Apresentação!$E$3='Base de Dados e filtragem'!E715),1,0)</f>
        <v>1</v>
      </c>
      <c r="AJ715" s="25">
        <f>IF(OR(Apresentação!$E$4='Base de Dados e filtragem'!AJ$2,Apresentação!$E$4='Base de Dados e filtragem'!F715),1,0)</f>
        <v>1</v>
      </c>
      <c r="AK715" s="25">
        <f>IF(OR(Apresentação!$E$5='Base de Dados e filtragem'!AK$2,Apresentação!$E$5='Base de Dados e filtragem'!G715),1,0)</f>
        <v>1</v>
      </c>
      <c r="AL715" s="25">
        <f>IF(OR(Apresentação!$E$6='Base de Dados e filtragem'!AL$2,Apresentação!$E$6='Base de Dados e filtragem'!H715),1,0)</f>
        <v>1</v>
      </c>
      <c r="AM715" s="25">
        <f>IF(OR(Apresentação!$I$2='Base de Dados e filtragem'!AM$2,Apresentação!$I$2='Base de Dados e filtragem'!I715),1,0)</f>
        <v>1</v>
      </c>
      <c r="AN715" s="25">
        <f>IF(OR(Apresentação!$I$3='Base de Dados e filtragem'!AN$2,Apresentação!$I$3='Base de Dados e filtragem'!J715),1,0)</f>
        <v>1</v>
      </c>
      <c r="AO715" s="25">
        <f>IF(OR(Apresentação!$I$4='Base de Dados e filtragem'!AO$2,Apresentação!$I$4='Base de Dados e filtragem'!K715),1,0)</f>
        <v>1</v>
      </c>
      <c r="AP715" s="25">
        <f>IF(OR(Apresentação!$I$5='Base de Dados e filtragem'!AP$2,Apresentação!$I$5='Base de Dados e filtragem'!L715),1,0)</f>
        <v>1</v>
      </c>
      <c r="AQ715" s="25">
        <f>IF(OR(Apresentação!$I$6='Base de Dados e filtragem'!AQ$2,Apresentação!$I$6='Base de Dados e filtragem'!M715),1,0)</f>
        <v>1</v>
      </c>
      <c r="AR715" s="25">
        <v>1</v>
      </c>
      <c r="AS715" s="25">
        <v>1</v>
      </c>
      <c r="AT715" s="25">
        <v>1</v>
      </c>
      <c r="AU715" s="25">
        <v>1</v>
      </c>
      <c r="AV715" s="25">
        <v>1</v>
      </c>
      <c r="AW715" s="25">
        <v>1</v>
      </c>
      <c r="AX715" s="25">
        <v>1</v>
      </c>
      <c r="AY715" s="25">
        <v>1</v>
      </c>
      <c r="AZ715" s="25">
        <v>1</v>
      </c>
      <c r="BA715" s="25">
        <v>1</v>
      </c>
      <c r="BB715" s="25">
        <v>1</v>
      </c>
      <c r="BC715" s="25">
        <v>1</v>
      </c>
      <c r="BD715" s="25">
        <v>1</v>
      </c>
    </row>
    <row r="716" spans="27:56" x14ac:dyDescent="0.25">
      <c r="AA716" s="68" t="str">
        <f t="shared" si="45"/>
        <v>Fotos\\.jpg</v>
      </c>
      <c r="AB716" s="53">
        <f t="shared" si="46"/>
        <v>1.3966480446927375E-3</v>
      </c>
      <c r="AC716" s="25">
        <f t="shared" si="47"/>
        <v>716</v>
      </c>
      <c r="AD716" s="51">
        <f t="shared" si="48"/>
        <v>1</v>
      </c>
      <c r="AE716" s="25">
        <v>1</v>
      </c>
      <c r="AF716" s="25">
        <v>1</v>
      </c>
      <c r="AG716" s="25">
        <v>1</v>
      </c>
      <c r="AH716" s="25">
        <v>1</v>
      </c>
      <c r="AI716" s="25">
        <f>IF(OR(Apresentação!$E$3='Base de Dados e filtragem'!AI$2,Apresentação!$E$3='Base de Dados e filtragem'!E716),1,0)</f>
        <v>1</v>
      </c>
      <c r="AJ716" s="25">
        <f>IF(OR(Apresentação!$E$4='Base de Dados e filtragem'!AJ$2,Apresentação!$E$4='Base de Dados e filtragem'!F716),1,0)</f>
        <v>1</v>
      </c>
      <c r="AK716" s="25">
        <f>IF(OR(Apresentação!$E$5='Base de Dados e filtragem'!AK$2,Apresentação!$E$5='Base de Dados e filtragem'!G716),1,0)</f>
        <v>1</v>
      </c>
      <c r="AL716" s="25">
        <f>IF(OR(Apresentação!$E$6='Base de Dados e filtragem'!AL$2,Apresentação!$E$6='Base de Dados e filtragem'!H716),1,0)</f>
        <v>1</v>
      </c>
      <c r="AM716" s="25">
        <f>IF(OR(Apresentação!$I$2='Base de Dados e filtragem'!AM$2,Apresentação!$I$2='Base de Dados e filtragem'!I716),1,0)</f>
        <v>1</v>
      </c>
      <c r="AN716" s="25">
        <f>IF(OR(Apresentação!$I$3='Base de Dados e filtragem'!AN$2,Apresentação!$I$3='Base de Dados e filtragem'!J716),1,0)</f>
        <v>1</v>
      </c>
      <c r="AO716" s="25">
        <f>IF(OR(Apresentação!$I$4='Base de Dados e filtragem'!AO$2,Apresentação!$I$4='Base de Dados e filtragem'!K716),1,0)</f>
        <v>1</v>
      </c>
      <c r="AP716" s="25">
        <f>IF(OR(Apresentação!$I$5='Base de Dados e filtragem'!AP$2,Apresentação!$I$5='Base de Dados e filtragem'!L716),1,0)</f>
        <v>1</v>
      </c>
      <c r="AQ716" s="25">
        <f>IF(OR(Apresentação!$I$6='Base de Dados e filtragem'!AQ$2,Apresentação!$I$6='Base de Dados e filtragem'!M716),1,0)</f>
        <v>1</v>
      </c>
      <c r="AR716" s="25">
        <v>1</v>
      </c>
      <c r="AS716" s="25">
        <v>1</v>
      </c>
      <c r="AT716" s="25">
        <v>1</v>
      </c>
      <c r="AU716" s="25">
        <v>1</v>
      </c>
      <c r="AV716" s="25">
        <v>1</v>
      </c>
      <c r="AW716" s="25">
        <v>1</v>
      </c>
      <c r="AX716" s="25">
        <v>1</v>
      </c>
      <c r="AY716" s="25">
        <v>1</v>
      </c>
      <c r="AZ716" s="25">
        <v>1</v>
      </c>
      <c r="BA716" s="25">
        <v>1</v>
      </c>
      <c r="BB716" s="25">
        <v>1</v>
      </c>
      <c r="BC716" s="25">
        <v>1</v>
      </c>
      <c r="BD716" s="25">
        <v>1</v>
      </c>
    </row>
    <row r="717" spans="27:56" x14ac:dyDescent="0.25">
      <c r="AA717" s="68" t="str">
        <f t="shared" si="45"/>
        <v>Fotos\\.jpg</v>
      </c>
      <c r="AB717" s="53">
        <f t="shared" si="46"/>
        <v>1.3947001394700139E-3</v>
      </c>
      <c r="AC717" s="25">
        <f t="shared" si="47"/>
        <v>717</v>
      </c>
      <c r="AD717" s="51">
        <f t="shared" si="48"/>
        <v>1</v>
      </c>
      <c r="AE717" s="25">
        <v>1</v>
      </c>
      <c r="AF717" s="25">
        <v>1</v>
      </c>
      <c r="AG717" s="25">
        <v>1</v>
      </c>
      <c r="AH717" s="25">
        <v>1</v>
      </c>
      <c r="AI717" s="25">
        <f>IF(OR(Apresentação!$E$3='Base de Dados e filtragem'!AI$2,Apresentação!$E$3='Base de Dados e filtragem'!E717),1,0)</f>
        <v>1</v>
      </c>
      <c r="AJ717" s="25">
        <f>IF(OR(Apresentação!$E$4='Base de Dados e filtragem'!AJ$2,Apresentação!$E$4='Base de Dados e filtragem'!F717),1,0)</f>
        <v>1</v>
      </c>
      <c r="AK717" s="25">
        <f>IF(OR(Apresentação!$E$5='Base de Dados e filtragem'!AK$2,Apresentação!$E$5='Base de Dados e filtragem'!G717),1,0)</f>
        <v>1</v>
      </c>
      <c r="AL717" s="25">
        <f>IF(OR(Apresentação!$E$6='Base de Dados e filtragem'!AL$2,Apresentação!$E$6='Base de Dados e filtragem'!H717),1,0)</f>
        <v>1</v>
      </c>
      <c r="AM717" s="25">
        <f>IF(OR(Apresentação!$I$2='Base de Dados e filtragem'!AM$2,Apresentação!$I$2='Base de Dados e filtragem'!I717),1,0)</f>
        <v>1</v>
      </c>
      <c r="AN717" s="25">
        <f>IF(OR(Apresentação!$I$3='Base de Dados e filtragem'!AN$2,Apresentação!$I$3='Base de Dados e filtragem'!J717),1,0)</f>
        <v>1</v>
      </c>
      <c r="AO717" s="25">
        <f>IF(OR(Apresentação!$I$4='Base de Dados e filtragem'!AO$2,Apresentação!$I$4='Base de Dados e filtragem'!K717),1,0)</f>
        <v>1</v>
      </c>
      <c r="AP717" s="25">
        <f>IF(OR(Apresentação!$I$5='Base de Dados e filtragem'!AP$2,Apresentação!$I$5='Base de Dados e filtragem'!L717),1,0)</f>
        <v>1</v>
      </c>
      <c r="AQ717" s="25">
        <f>IF(OR(Apresentação!$I$6='Base de Dados e filtragem'!AQ$2,Apresentação!$I$6='Base de Dados e filtragem'!M717),1,0)</f>
        <v>1</v>
      </c>
      <c r="AR717" s="25">
        <v>1</v>
      </c>
      <c r="AS717" s="25">
        <v>1</v>
      </c>
      <c r="AT717" s="25">
        <v>1</v>
      </c>
      <c r="AU717" s="25">
        <v>1</v>
      </c>
      <c r="AV717" s="25">
        <v>1</v>
      </c>
      <c r="AW717" s="25">
        <v>1</v>
      </c>
      <c r="AX717" s="25">
        <v>1</v>
      </c>
      <c r="AY717" s="25">
        <v>1</v>
      </c>
      <c r="AZ717" s="25">
        <v>1</v>
      </c>
      <c r="BA717" s="25">
        <v>1</v>
      </c>
      <c r="BB717" s="25">
        <v>1</v>
      </c>
      <c r="BC717" s="25">
        <v>1</v>
      </c>
      <c r="BD717" s="25">
        <v>1</v>
      </c>
    </row>
    <row r="718" spans="27:56" x14ac:dyDescent="0.25">
      <c r="AA718" s="68" t="str">
        <f t="shared" si="45"/>
        <v>Fotos\\.jpg</v>
      </c>
      <c r="AB718" s="53">
        <f t="shared" si="46"/>
        <v>1.3927576601671309E-3</v>
      </c>
      <c r="AC718" s="25">
        <f t="shared" si="47"/>
        <v>718</v>
      </c>
      <c r="AD718" s="51">
        <f t="shared" si="48"/>
        <v>1</v>
      </c>
      <c r="AE718" s="25">
        <v>1</v>
      </c>
      <c r="AF718" s="25">
        <v>1</v>
      </c>
      <c r="AG718" s="25">
        <v>1</v>
      </c>
      <c r="AH718" s="25">
        <v>1</v>
      </c>
      <c r="AI718" s="25">
        <f>IF(OR(Apresentação!$E$3='Base de Dados e filtragem'!AI$2,Apresentação!$E$3='Base de Dados e filtragem'!E718),1,0)</f>
        <v>1</v>
      </c>
      <c r="AJ718" s="25">
        <f>IF(OR(Apresentação!$E$4='Base de Dados e filtragem'!AJ$2,Apresentação!$E$4='Base de Dados e filtragem'!F718),1,0)</f>
        <v>1</v>
      </c>
      <c r="AK718" s="25">
        <f>IF(OR(Apresentação!$E$5='Base de Dados e filtragem'!AK$2,Apresentação!$E$5='Base de Dados e filtragem'!G718),1,0)</f>
        <v>1</v>
      </c>
      <c r="AL718" s="25">
        <f>IF(OR(Apresentação!$E$6='Base de Dados e filtragem'!AL$2,Apresentação!$E$6='Base de Dados e filtragem'!H718),1,0)</f>
        <v>1</v>
      </c>
      <c r="AM718" s="25">
        <f>IF(OR(Apresentação!$I$2='Base de Dados e filtragem'!AM$2,Apresentação!$I$2='Base de Dados e filtragem'!I718),1,0)</f>
        <v>1</v>
      </c>
      <c r="AN718" s="25">
        <f>IF(OR(Apresentação!$I$3='Base de Dados e filtragem'!AN$2,Apresentação!$I$3='Base de Dados e filtragem'!J718),1,0)</f>
        <v>1</v>
      </c>
      <c r="AO718" s="25">
        <f>IF(OR(Apresentação!$I$4='Base de Dados e filtragem'!AO$2,Apresentação!$I$4='Base de Dados e filtragem'!K718),1,0)</f>
        <v>1</v>
      </c>
      <c r="AP718" s="25">
        <f>IF(OR(Apresentação!$I$5='Base de Dados e filtragem'!AP$2,Apresentação!$I$5='Base de Dados e filtragem'!L718),1,0)</f>
        <v>1</v>
      </c>
      <c r="AQ718" s="25">
        <f>IF(OR(Apresentação!$I$6='Base de Dados e filtragem'!AQ$2,Apresentação!$I$6='Base de Dados e filtragem'!M718),1,0)</f>
        <v>1</v>
      </c>
      <c r="AR718" s="25">
        <v>1</v>
      </c>
      <c r="AS718" s="25">
        <v>1</v>
      </c>
      <c r="AT718" s="25">
        <v>1</v>
      </c>
      <c r="AU718" s="25">
        <v>1</v>
      </c>
      <c r="AV718" s="25">
        <v>1</v>
      </c>
      <c r="AW718" s="25">
        <v>1</v>
      </c>
      <c r="AX718" s="25">
        <v>1</v>
      </c>
      <c r="AY718" s="25">
        <v>1</v>
      </c>
      <c r="AZ718" s="25">
        <v>1</v>
      </c>
      <c r="BA718" s="25">
        <v>1</v>
      </c>
      <c r="BB718" s="25">
        <v>1</v>
      </c>
      <c r="BC718" s="25">
        <v>1</v>
      </c>
      <c r="BD718" s="25">
        <v>1</v>
      </c>
    </row>
    <row r="719" spans="27:56" x14ac:dyDescent="0.25">
      <c r="AA719" s="68" t="str">
        <f t="shared" si="45"/>
        <v>Fotos\\.jpg</v>
      </c>
      <c r="AB719" s="53">
        <f t="shared" si="46"/>
        <v>1.3908205841446453E-3</v>
      </c>
      <c r="AC719" s="25">
        <f t="shared" si="47"/>
        <v>719</v>
      </c>
      <c r="AD719" s="51">
        <f t="shared" si="48"/>
        <v>1</v>
      </c>
      <c r="AE719" s="25">
        <v>1</v>
      </c>
      <c r="AF719" s="25">
        <v>1</v>
      </c>
      <c r="AG719" s="25">
        <v>1</v>
      </c>
      <c r="AH719" s="25">
        <v>1</v>
      </c>
      <c r="AI719" s="25">
        <f>IF(OR(Apresentação!$E$3='Base de Dados e filtragem'!AI$2,Apresentação!$E$3='Base de Dados e filtragem'!E719),1,0)</f>
        <v>1</v>
      </c>
      <c r="AJ719" s="25">
        <f>IF(OR(Apresentação!$E$4='Base de Dados e filtragem'!AJ$2,Apresentação!$E$4='Base de Dados e filtragem'!F719),1,0)</f>
        <v>1</v>
      </c>
      <c r="AK719" s="25">
        <f>IF(OR(Apresentação!$E$5='Base de Dados e filtragem'!AK$2,Apresentação!$E$5='Base de Dados e filtragem'!G719),1,0)</f>
        <v>1</v>
      </c>
      <c r="AL719" s="25">
        <f>IF(OR(Apresentação!$E$6='Base de Dados e filtragem'!AL$2,Apresentação!$E$6='Base de Dados e filtragem'!H719),1,0)</f>
        <v>1</v>
      </c>
      <c r="AM719" s="25">
        <f>IF(OR(Apresentação!$I$2='Base de Dados e filtragem'!AM$2,Apresentação!$I$2='Base de Dados e filtragem'!I719),1,0)</f>
        <v>1</v>
      </c>
      <c r="AN719" s="25">
        <f>IF(OR(Apresentação!$I$3='Base de Dados e filtragem'!AN$2,Apresentação!$I$3='Base de Dados e filtragem'!J719),1,0)</f>
        <v>1</v>
      </c>
      <c r="AO719" s="25">
        <f>IF(OR(Apresentação!$I$4='Base de Dados e filtragem'!AO$2,Apresentação!$I$4='Base de Dados e filtragem'!K719),1,0)</f>
        <v>1</v>
      </c>
      <c r="AP719" s="25">
        <f>IF(OR(Apresentação!$I$5='Base de Dados e filtragem'!AP$2,Apresentação!$I$5='Base de Dados e filtragem'!L719),1,0)</f>
        <v>1</v>
      </c>
      <c r="AQ719" s="25">
        <f>IF(OR(Apresentação!$I$6='Base de Dados e filtragem'!AQ$2,Apresentação!$I$6='Base de Dados e filtragem'!M719),1,0)</f>
        <v>1</v>
      </c>
      <c r="AR719" s="25">
        <v>1</v>
      </c>
      <c r="AS719" s="25">
        <v>1</v>
      </c>
      <c r="AT719" s="25">
        <v>1</v>
      </c>
      <c r="AU719" s="25">
        <v>1</v>
      </c>
      <c r="AV719" s="25">
        <v>1</v>
      </c>
      <c r="AW719" s="25">
        <v>1</v>
      </c>
      <c r="AX719" s="25">
        <v>1</v>
      </c>
      <c r="AY719" s="25">
        <v>1</v>
      </c>
      <c r="AZ719" s="25">
        <v>1</v>
      </c>
      <c r="BA719" s="25">
        <v>1</v>
      </c>
      <c r="BB719" s="25">
        <v>1</v>
      </c>
      <c r="BC719" s="25">
        <v>1</v>
      </c>
      <c r="BD719" s="25">
        <v>1</v>
      </c>
    </row>
    <row r="720" spans="27:56" x14ac:dyDescent="0.25">
      <c r="AA720" s="68" t="str">
        <f t="shared" si="45"/>
        <v>Fotos\\.jpg</v>
      </c>
      <c r="AB720" s="53">
        <f t="shared" si="46"/>
        <v>1.3888888888888889E-3</v>
      </c>
      <c r="AC720" s="25">
        <f t="shared" si="47"/>
        <v>720</v>
      </c>
      <c r="AD720" s="51">
        <f t="shared" si="48"/>
        <v>1</v>
      </c>
      <c r="AE720" s="25">
        <v>1</v>
      </c>
      <c r="AF720" s="25">
        <v>1</v>
      </c>
      <c r="AG720" s="25">
        <v>1</v>
      </c>
      <c r="AH720" s="25">
        <v>1</v>
      </c>
      <c r="AI720" s="25">
        <f>IF(OR(Apresentação!$E$3='Base de Dados e filtragem'!AI$2,Apresentação!$E$3='Base de Dados e filtragem'!E720),1,0)</f>
        <v>1</v>
      </c>
      <c r="AJ720" s="25">
        <f>IF(OR(Apresentação!$E$4='Base de Dados e filtragem'!AJ$2,Apresentação!$E$4='Base de Dados e filtragem'!F720),1,0)</f>
        <v>1</v>
      </c>
      <c r="AK720" s="25">
        <f>IF(OR(Apresentação!$E$5='Base de Dados e filtragem'!AK$2,Apresentação!$E$5='Base de Dados e filtragem'!G720),1,0)</f>
        <v>1</v>
      </c>
      <c r="AL720" s="25">
        <f>IF(OR(Apresentação!$E$6='Base de Dados e filtragem'!AL$2,Apresentação!$E$6='Base de Dados e filtragem'!H720),1,0)</f>
        <v>1</v>
      </c>
      <c r="AM720" s="25">
        <f>IF(OR(Apresentação!$I$2='Base de Dados e filtragem'!AM$2,Apresentação!$I$2='Base de Dados e filtragem'!I720),1,0)</f>
        <v>1</v>
      </c>
      <c r="AN720" s="25">
        <f>IF(OR(Apresentação!$I$3='Base de Dados e filtragem'!AN$2,Apresentação!$I$3='Base de Dados e filtragem'!J720),1,0)</f>
        <v>1</v>
      </c>
      <c r="AO720" s="25">
        <f>IF(OR(Apresentação!$I$4='Base de Dados e filtragem'!AO$2,Apresentação!$I$4='Base de Dados e filtragem'!K720),1,0)</f>
        <v>1</v>
      </c>
      <c r="AP720" s="25">
        <f>IF(OR(Apresentação!$I$5='Base de Dados e filtragem'!AP$2,Apresentação!$I$5='Base de Dados e filtragem'!L720),1,0)</f>
        <v>1</v>
      </c>
      <c r="AQ720" s="25">
        <f>IF(OR(Apresentação!$I$6='Base de Dados e filtragem'!AQ$2,Apresentação!$I$6='Base de Dados e filtragem'!M720),1,0)</f>
        <v>1</v>
      </c>
      <c r="AR720" s="25">
        <v>1</v>
      </c>
      <c r="AS720" s="25">
        <v>1</v>
      </c>
      <c r="AT720" s="25">
        <v>1</v>
      </c>
      <c r="AU720" s="25">
        <v>1</v>
      </c>
      <c r="AV720" s="25">
        <v>1</v>
      </c>
      <c r="AW720" s="25">
        <v>1</v>
      </c>
      <c r="AX720" s="25">
        <v>1</v>
      </c>
      <c r="AY720" s="25">
        <v>1</v>
      </c>
      <c r="AZ720" s="25">
        <v>1</v>
      </c>
      <c r="BA720" s="25">
        <v>1</v>
      </c>
      <c r="BB720" s="25">
        <v>1</v>
      </c>
      <c r="BC720" s="25">
        <v>1</v>
      </c>
      <c r="BD720" s="25">
        <v>1</v>
      </c>
    </row>
    <row r="721" spans="27:56" x14ac:dyDescent="0.25">
      <c r="AA721" s="68" t="str">
        <f t="shared" si="45"/>
        <v>Fotos\\.jpg</v>
      </c>
      <c r="AB721" s="53">
        <f t="shared" si="46"/>
        <v>1.3869625520110957E-3</v>
      </c>
      <c r="AC721" s="25">
        <f t="shared" si="47"/>
        <v>721</v>
      </c>
      <c r="AD721" s="51">
        <f t="shared" si="48"/>
        <v>1</v>
      </c>
      <c r="AE721" s="25">
        <v>1</v>
      </c>
      <c r="AF721" s="25">
        <v>1</v>
      </c>
      <c r="AG721" s="25">
        <v>1</v>
      </c>
      <c r="AH721" s="25">
        <v>1</v>
      </c>
      <c r="AI721" s="25">
        <f>IF(OR(Apresentação!$E$3='Base de Dados e filtragem'!AI$2,Apresentação!$E$3='Base de Dados e filtragem'!E721),1,0)</f>
        <v>1</v>
      </c>
      <c r="AJ721" s="25">
        <f>IF(OR(Apresentação!$E$4='Base de Dados e filtragem'!AJ$2,Apresentação!$E$4='Base de Dados e filtragem'!F721),1,0)</f>
        <v>1</v>
      </c>
      <c r="AK721" s="25">
        <f>IF(OR(Apresentação!$E$5='Base de Dados e filtragem'!AK$2,Apresentação!$E$5='Base de Dados e filtragem'!G721),1,0)</f>
        <v>1</v>
      </c>
      <c r="AL721" s="25">
        <f>IF(OR(Apresentação!$E$6='Base de Dados e filtragem'!AL$2,Apresentação!$E$6='Base de Dados e filtragem'!H721),1,0)</f>
        <v>1</v>
      </c>
      <c r="AM721" s="25">
        <f>IF(OR(Apresentação!$I$2='Base de Dados e filtragem'!AM$2,Apresentação!$I$2='Base de Dados e filtragem'!I721),1,0)</f>
        <v>1</v>
      </c>
      <c r="AN721" s="25">
        <f>IF(OR(Apresentação!$I$3='Base de Dados e filtragem'!AN$2,Apresentação!$I$3='Base de Dados e filtragem'!J721),1,0)</f>
        <v>1</v>
      </c>
      <c r="AO721" s="25">
        <f>IF(OR(Apresentação!$I$4='Base de Dados e filtragem'!AO$2,Apresentação!$I$4='Base de Dados e filtragem'!K721),1,0)</f>
        <v>1</v>
      </c>
      <c r="AP721" s="25">
        <f>IF(OR(Apresentação!$I$5='Base de Dados e filtragem'!AP$2,Apresentação!$I$5='Base de Dados e filtragem'!L721),1,0)</f>
        <v>1</v>
      </c>
      <c r="AQ721" s="25">
        <f>IF(OR(Apresentação!$I$6='Base de Dados e filtragem'!AQ$2,Apresentação!$I$6='Base de Dados e filtragem'!M721),1,0)</f>
        <v>1</v>
      </c>
      <c r="AR721" s="25">
        <v>1</v>
      </c>
      <c r="AS721" s="25">
        <v>1</v>
      </c>
      <c r="AT721" s="25">
        <v>1</v>
      </c>
      <c r="AU721" s="25">
        <v>1</v>
      </c>
      <c r="AV721" s="25">
        <v>1</v>
      </c>
      <c r="AW721" s="25">
        <v>1</v>
      </c>
      <c r="AX721" s="25">
        <v>1</v>
      </c>
      <c r="AY721" s="25">
        <v>1</v>
      </c>
      <c r="AZ721" s="25">
        <v>1</v>
      </c>
      <c r="BA721" s="25">
        <v>1</v>
      </c>
      <c r="BB721" s="25">
        <v>1</v>
      </c>
      <c r="BC721" s="25">
        <v>1</v>
      </c>
      <c r="BD721" s="25">
        <v>1</v>
      </c>
    </row>
    <row r="722" spans="27:56" x14ac:dyDescent="0.25">
      <c r="AA722" s="68" t="str">
        <f t="shared" si="45"/>
        <v>Fotos\\.jpg</v>
      </c>
      <c r="AB722" s="53">
        <f t="shared" si="46"/>
        <v>1.3850415512465374E-3</v>
      </c>
      <c r="AC722" s="25">
        <f t="shared" si="47"/>
        <v>722</v>
      </c>
      <c r="AD722" s="51">
        <f t="shared" si="48"/>
        <v>1</v>
      </c>
      <c r="AE722" s="25">
        <v>1</v>
      </c>
      <c r="AF722" s="25">
        <v>1</v>
      </c>
      <c r="AG722" s="25">
        <v>1</v>
      </c>
      <c r="AH722" s="25">
        <v>1</v>
      </c>
      <c r="AI722" s="25">
        <f>IF(OR(Apresentação!$E$3='Base de Dados e filtragem'!AI$2,Apresentação!$E$3='Base de Dados e filtragem'!E722),1,0)</f>
        <v>1</v>
      </c>
      <c r="AJ722" s="25">
        <f>IF(OR(Apresentação!$E$4='Base de Dados e filtragem'!AJ$2,Apresentação!$E$4='Base de Dados e filtragem'!F722),1,0)</f>
        <v>1</v>
      </c>
      <c r="AK722" s="25">
        <f>IF(OR(Apresentação!$E$5='Base de Dados e filtragem'!AK$2,Apresentação!$E$5='Base de Dados e filtragem'!G722),1,0)</f>
        <v>1</v>
      </c>
      <c r="AL722" s="25">
        <f>IF(OR(Apresentação!$E$6='Base de Dados e filtragem'!AL$2,Apresentação!$E$6='Base de Dados e filtragem'!H722),1,0)</f>
        <v>1</v>
      </c>
      <c r="AM722" s="25">
        <f>IF(OR(Apresentação!$I$2='Base de Dados e filtragem'!AM$2,Apresentação!$I$2='Base de Dados e filtragem'!I722),1,0)</f>
        <v>1</v>
      </c>
      <c r="AN722" s="25">
        <f>IF(OR(Apresentação!$I$3='Base de Dados e filtragem'!AN$2,Apresentação!$I$3='Base de Dados e filtragem'!J722),1,0)</f>
        <v>1</v>
      </c>
      <c r="AO722" s="25">
        <f>IF(OR(Apresentação!$I$4='Base de Dados e filtragem'!AO$2,Apresentação!$I$4='Base de Dados e filtragem'!K722),1,0)</f>
        <v>1</v>
      </c>
      <c r="AP722" s="25">
        <f>IF(OR(Apresentação!$I$5='Base de Dados e filtragem'!AP$2,Apresentação!$I$5='Base de Dados e filtragem'!L722),1,0)</f>
        <v>1</v>
      </c>
      <c r="AQ722" s="25">
        <f>IF(OR(Apresentação!$I$6='Base de Dados e filtragem'!AQ$2,Apresentação!$I$6='Base de Dados e filtragem'!M722),1,0)</f>
        <v>1</v>
      </c>
      <c r="AR722" s="25">
        <v>1</v>
      </c>
      <c r="AS722" s="25">
        <v>1</v>
      </c>
      <c r="AT722" s="25">
        <v>1</v>
      </c>
      <c r="AU722" s="25">
        <v>1</v>
      </c>
      <c r="AV722" s="25">
        <v>1</v>
      </c>
      <c r="AW722" s="25">
        <v>1</v>
      </c>
      <c r="AX722" s="25">
        <v>1</v>
      </c>
      <c r="AY722" s="25">
        <v>1</v>
      </c>
      <c r="AZ722" s="25">
        <v>1</v>
      </c>
      <c r="BA722" s="25">
        <v>1</v>
      </c>
      <c r="BB722" s="25">
        <v>1</v>
      </c>
      <c r="BC722" s="25">
        <v>1</v>
      </c>
      <c r="BD722" s="25">
        <v>1</v>
      </c>
    </row>
    <row r="723" spans="27:56" x14ac:dyDescent="0.25">
      <c r="AA723" s="68" t="str">
        <f t="shared" si="45"/>
        <v>Fotos\\.jpg</v>
      </c>
      <c r="AB723" s="53">
        <f t="shared" si="46"/>
        <v>1.3831258644536654E-3</v>
      </c>
      <c r="AC723" s="25">
        <f t="shared" si="47"/>
        <v>723</v>
      </c>
      <c r="AD723" s="51">
        <f t="shared" si="48"/>
        <v>1</v>
      </c>
      <c r="AE723" s="25">
        <v>1</v>
      </c>
      <c r="AF723" s="25">
        <v>1</v>
      </c>
      <c r="AG723" s="25">
        <v>1</v>
      </c>
      <c r="AH723" s="25">
        <v>1</v>
      </c>
      <c r="AI723" s="25">
        <f>IF(OR(Apresentação!$E$3='Base de Dados e filtragem'!AI$2,Apresentação!$E$3='Base de Dados e filtragem'!E723),1,0)</f>
        <v>1</v>
      </c>
      <c r="AJ723" s="25">
        <f>IF(OR(Apresentação!$E$4='Base de Dados e filtragem'!AJ$2,Apresentação!$E$4='Base de Dados e filtragem'!F723),1,0)</f>
        <v>1</v>
      </c>
      <c r="AK723" s="25">
        <f>IF(OR(Apresentação!$E$5='Base de Dados e filtragem'!AK$2,Apresentação!$E$5='Base de Dados e filtragem'!G723),1,0)</f>
        <v>1</v>
      </c>
      <c r="AL723" s="25">
        <f>IF(OR(Apresentação!$E$6='Base de Dados e filtragem'!AL$2,Apresentação!$E$6='Base de Dados e filtragem'!H723),1,0)</f>
        <v>1</v>
      </c>
      <c r="AM723" s="25">
        <f>IF(OR(Apresentação!$I$2='Base de Dados e filtragem'!AM$2,Apresentação!$I$2='Base de Dados e filtragem'!I723),1,0)</f>
        <v>1</v>
      </c>
      <c r="AN723" s="25">
        <f>IF(OR(Apresentação!$I$3='Base de Dados e filtragem'!AN$2,Apresentação!$I$3='Base de Dados e filtragem'!J723),1,0)</f>
        <v>1</v>
      </c>
      <c r="AO723" s="25">
        <f>IF(OR(Apresentação!$I$4='Base de Dados e filtragem'!AO$2,Apresentação!$I$4='Base de Dados e filtragem'!K723),1,0)</f>
        <v>1</v>
      </c>
      <c r="AP723" s="25">
        <f>IF(OR(Apresentação!$I$5='Base de Dados e filtragem'!AP$2,Apresentação!$I$5='Base de Dados e filtragem'!L723),1,0)</f>
        <v>1</v>
      </c>
      <c r="AQ723" s="25">
        <f>IF(OR(Apresentação!$I$6='Base de Dados e filtragem'!AQ$2,Apresentação!$I$6='Base de Dados e filtragem'!M723),1,0)</f>
        <v>1</v>
      </c>
      <c r="AR723" s="25">
        <v>1</v>
      </c>
      <c r="AS723" s="25">
        <v>1</v>
      </c>
      <c r="AT723" s="25">
        <v>1</v>
      </c>
      <c r="AU723" s="25">
        <v>1</v>
      </c>
      <c r="AV723" s="25">
        <v>1</v>
      </c>
      <c r="AW723" s="25">
        <v>1</v>
      </c>
      <c r="AX723" s="25">
        <v>1</v>
      </c>
      <c r="AY723" s="25">
        <v>1</v>
      </c>
      <c r="AZ723" s="25">
        <v>1</v>
      </c>
      <c r="BA723" s="25">
        <v>1</v>
      </c>
      <c r="BB723" s="25">
        <v>1</v>
      </c>
      <c r="BC723" s="25">
        <v>1</v>
      </c>
      <c r="BD723" s="25">
        <v>1</v>
      </c>
    </row>
    <row r="724" spans="27:56" x14ac:dyDescent="0.25">
      <c r="AA724" s="68" t="str">
        <f t="shared" si="45"/>
        <v>Fotos\\.jpg</v>
      </c>
      <c r="AB724" s="53">
        <f t="shared" si="46"/>
        <v>1.3812154696132596E-3</v>
      </c>
      <c r="AC724" s="25">
        <f t="shared" si="47"/>
        <v>724</v>
      </c>
      <c r="AD724" s="51">
        <f t="shared" si="48"/>
        <v>1</v>
      </c>
      <c r="AE724" s="25">
        <v>1</v>
      </c>
      <c r="AF724" s="25">
        <v>1</v>
      </c>
      <c r="AG724" s="25">
        <v>1</v>
      </c>
      <c r="AH724" s="25">
        <v>1</v>
      </c>
      <c r="AI724" s="25">
        <f>IF(OR(Apresentação!$E$3='Base de Dados e filtragem'!AI$2,Apresentação!$E$3='Base de Dados e filtragem'!E724),1,0)</f>
        <v>1</v>
      </c>
      <c r="AJ724" s="25">
        <f>IF(OR(Apresentação!$E$4='Base de Dados e filtragem'!AJ$2,Apresentação!$E$4='Base de Dados e filtragem'!F724),1,0)</f>
        <v>1</v>
      </c>
      <c r="AK724" s="25">
        <f>IF(OR(Apresentação!$E$5='Base de Dados e filtragem'!AK$2,Apresentação!$E$5='Base de Dados e filtragem'!G724),1,0)</f>
        <v>1</v>
      </c>
      <c r="AL724" s="25">
        <f>IF(OR(Apresentação!$E$6='Base de Dados e filtragem'!AL$2,Apresentação!$E$6='Base de Dados e filtragem'!H724),1,0)</f>
        <v>1</v>
      </c>
      <c r="AM724" s="25">
        <f>IF(OR(Apresentação!$I$2='Base de Dados e filtragem'!AM$2,Apresentação!$I$2='Base de Dados e filtragem'!I724),1,0)</f>
        <v>1</v>
      </c>
      <c r="AN724" s="25">
        <f>IF(OR(Apresentação!$I$3='Base de Dados e filtragem'!AN$2,Apresentação!$I$3='Base de Dados e filtragem'!J724),1,0)</f>
        <v>1</v>
      </c>
      <c r="AO724" s="25">
        <f>IF(OR(Apresentação!$I$4='Base de Dados e filtragem'!AO$2,Apresentação!$I$4='Base de Dados e filtragem'!K724),1,0)</f>
        <v>1</v>
      </c>
      <c r="AP724" s="25">
        <f>IF(OR(Apresentação!$I$5='Base de Dados e filtragem'!AP$2,Apresentação!$I$5='Base de Dados e filtragem'!L724),1,0)</f>
        <v>1</v>
      </c>
      <c r="AQ724" s="25">
        <f>IF(OR(Apresentação!$I$6='Base de Dados e filtragem'!AQ$2,Apresentação!$I$6='Base de Dados e filtragem'!M724),1,0)</f>
        <v>1</v>
      </c>
      <c r="AR724" s="25">
        <v>1</v>
      </c>
      <c r="AS724" s="25">
        <v>1</v>
      </c>
      <c r="AT724" s="25">
        <v>1</v>
      </c>
      <c r="AU724" s="25">
        <v>1</v>
      </c>
      <c r="AV724" s="25">
        <v>1</v>
      </c>
      <c r="AW724" s="25">
        <v>1</v>
      </c>
      <c r="AX724" s="25">
        <v>1</v>
      </c>
      <c r="AY724" s="25">
        <v>1</v>
      </c>
      <c r="AZ724" s="25">
        <v>1</v>
      </c>
      <c r="BA724" s="25">
        <v>1</v>
      </c>
      <c r="BB724" s="25">
        <v>1</v>
      </c>
      <c r="BC724" s="25">
        <v>1</v>
      </c>
      <c r="BD724" s="25">
        <v>1</v>
      </c>
    </row>
    <row r="725" spans="27:56" x14ac:dyDescent="0.25">
      <c r="AA725" s="68" t="str">
        <f t="shared" si="45"/>
        <v>Fotos\\.jpg</v>
      </c>
      <c r="AB725" s="53">
        <f t="shared" si="46"/>
        <v>1.3793103448275861E-3</v>
      </c>
      <c r="AC725" s="25">
        <f t="shared" si="47"/>
        <v>725</v>
      </c>
      <c r="AD725" s="51">
        <f t="shared" si="48"/>
        <v>1</v>
      </c>
      <c r="AE725" s="25">
        <v>1</v>
      </c>
      <c r="AF725" s="25">
        <v>1</v>
      </c>
      <c r="AG725" s="25">
        <v>1</v>
      </c>
      <c r="AH725" s="25">
        <v>1</v>
      </c>
      <c r="AI725" s="25">
        <f>IF(OR(Apresentação!$E$3='Base de Dados e filtragem'!AI$2,Apresentação!$E$3='Base de Dados e filtragem'!E725),1,0)</f>
        <v>1</v>
      </c>
      <c r="AJ725" s="25">
        <f>IF(OR(Apresentação!$E$4='Base de Dados e filtragem'!AJ$2,Apresentação!$E$4='Base de Dados e filtragem'!F725),1,0)</f>
        <v>1</v>
      </c>
      <c r="AK725" s="25">
        <f>IF(OR(Apresentação!$E$5='Base de Dados e filtragem'!AK$2,Apresentação!$E$5='Base de Dados e filtragem'!G725),1,0)</f>
        <v>1</v>
      </c>
      <c r="AL725" s="25">
        <f>IF(OR(Apresentação!$E$6='Base de Dados e filtragem'!AL$2,Apresentação!$E$6='Base de Dados e filtragem'!H725),1,0)</f>
        <v>1</v>
      </c>
      <c r="AM725" s="25">
        <f>IF(OR(Apresentação!$I$2='Base de Dados e filtragem'!AM$2,Apresentação!$I$2='Base de Dados e filtragem'!I725),1,0)</f>
        <v>1</v>
      </c>
      <c r="AN725" s="25">
        <f>IF(OR(Apresentação!$I$3='Base de Dados e filtragem'!AN$2,Apresentação!$I$3='Base de Dados e filtragem'!J725),1,0)</f>
        <v>1</v>
      </c>
      <c r="AO725" s="25">
        <f>IF(OR(Apresentação!$I$4='Base de Dados e filtragem'!AO$2,Apresentação!$I$4='Base de Dados e filtragem'!K725),1,0)</f>
        <v>1</v>
      </c>
      <c r="AP725" s="25">
        <f>IF(OR(Apresentação!$I$5='Base de Dados e filtragem'!AP$2,Apresentação!$I$5='Base de Dados e filtragem'!L725),1,0)</f>
        <v>1</v>
      </c>
      <c r="AQ725" s="25">
        <f>IF(OR(Apresentação!$I$6='Base de Dados e filtragem'!AQ$2,Apresentação!$I$6='Base de Dados e filtragem'!M725),1,0)</f>
        <v>1</v>
      </c>
      <c r="AR725" s="25">
        <v>1</v>
      </c>
      <c r="AS725" s="25">
        <v>1</v>
      </c>
      <c r="AT725" s="25">
        <v>1</v>
      </c>
      <c r="AU725" s="25">
        <v>1</v>
      </c>
      <c r="AV725" s="25">
        <v>1</v>
      </c>
      <c r="AW725" s="25">
        <v>1</v>
      </c>
      <c r="AX725" s="25">
        <v>1</v>
      </c>
      <c r="AY725" s="25">
        <v>1</v>
      </c>
      <c r="AZ725" s="25">
        <v>1</v>
      </c>
      <c r="BA725" s="25">
        <v>1</v>
      </c>
      <c r="BB725" s="25">
        <v>1</v>
      </c>
      <c r="BC725" s="25">
        <v>1</v>
      </c>
      <c r="BD725" s="25">
        <v>1</v>
      </c>
    </row>
    <row r="726" spans="27:56" x14ac:dyDescent="0.25">
      <c r="AA726" s="68" t="str">
        <f t="shared" si="45"/>
        <v>Fotos\\.jpg</v>
      </c>
      <c r="AB726" s="53">
        <f t="shared" si="46"/>
        <v>1.3774104683195593E-3</v>
      </c>
      <c r="AC726" s="25">
        <f t="shared" si="47"/>
        <v>726</v>
      </c>
      <c r="AD726" s="51">
        <f t="shared" si="48"/>
        <v>1</v>
      </c>
      <c r="AE726" s="25">
        <v>1</v>
      </c>
      <c r="AF726" s="25">
        <v>1</v>
      </c>
      <c r="AG726" s="25">
        <v>1</v>
      </c>
      <c r="AH726" s="25">
        <v>1</v>
      </c>
      <c r="AI726" s="25">
        <f>IF(OR(Apresentação!$E$3='Base de Dados e filtragem'!AI$2,Apresentação!$E$3='Base de Dados e filtragem'!E726),1,0)</f>
        <v>1</v>
      </c>
      <c r="AJ726" s="25">
        <f>IF(OR(Apresentação!$E$4='Base de Dados e filtragem'!AJ$2,Apresentação!$E$4='Base de Dados e filtragem'!F726),1,0)</f>
        <v>1</v>
      </c>
      <c r="AK726" s="25">
        <f>IF(OR(Apresentação!$E$5='Base de Dados e filtragem'!AK$2,Apresentação!$E$5='Base de Dados e filtragem'!G726),1,0)</f>
        <v>1</v>
      </c>
      <c r="AL726" s="25">
        <f>IF(OR(Apresentação!$E$6='Base de Dados e filtragem'!AL$2,Apresentação!$E$6='Base de Dados e filtragem'!H726),1,0)</f>
        <v>1</v>
      </c>
      <c r="AM726" s="25">
        <f>IF(OR(Apresentação!$I$2='Base de Dados e filtragem'!AM$2,Apresentação!$I$2='Base de Dados e filtragem'!I726),1,0)</f>
        <v>1</v>
      </c>
      <c r="AN726" s="25">
        <f>IF(OR(Apresentação!$I$3='Base de Dados e filtragem'!AN$2,Apresentação!$I$3='Base de Dados e filtragem'!J726),1,0)</f>
        <v>1</v>
      </c>
      <c r="AO726" s="25">
        <f>IF(OR(Apresentação!$I$4='Base de Dados e filtragem'!AO$2,Apresentação!$I$4='Base de Dados e filtragem'!K726),1,0)</f>
        <v>1</v>
      </c>
      <c r="AP726" s="25">
        <f>IF(OR(Apresentação!$I$5='Base de Dados e filtragem'!AP$2,Apresentação!$I$5='Base de Dados e filtragem'!L726),1,0)</f>
        <v>1</v>
      </c>
      <c r="AQ726" s="25">
        <f>IF(OR(Apresentação!$I$6='Base de Dados e filtragem'!AQ$2,Apresentação!$I$6='Base de Dados e filtragem'!M726),1,0)</f>
        <v>1</v>
      </c>
      <c r="AR726" s="25">
        <v>1</v>
      </c>
      <c r="AS726" s="25">
        <v>1</v>
      </c>
      <c r="AT726" s="25">
        <v>1</v>
      </c>
      <c r="AU726" s="25">
        <v>1</v>
      </c>
      <c r="AV726" s="25">
        <v>1</v>
      </c>
      <c r="AW726" s="25">
        <v>1</v>
      </c>
      <c r="AX726" s="25">
        <v>1</v>
      </c>
      <c r="AY726" s="25">
        <v>1</v>
      </c>
      <c r="AZ726" s="25">
        <v>1</v>
      </c>
      <c r="BA726" s="25">
        <v>1</v>
      </c>
      <c r="BB726" s="25">
        <v>1</v>
      </c>
      <c r="BC726" s="25">
        <v>1</v>
      </c>
      <c r="BD726" s="25">
        <v>1</v>
      </c>
    </row>
    <row r="727" spans="27:56" x14ac:dyDescent="0.25">
      <c r="AA727" s="68" t="str">
        <f t="shared" si="45"/>
        <v>Fotos\\.jpg</v>
      </c>
      <c r="AB727" s="53">
        <f t="shared" si="46"/>
        <v>1.375515818431912E-3</v>
      </c>
      <c r="AC727" s="25">
        <f t="shared" si="47"/>
        <v>727</v>
      </c>
      <c r="AD727" s="51">
        <f t="shared" si="48"/>
        <v>1</v>
      </c>
      <c r="AE727" s="25">
        <v>1</v>
      </c>
      <c r="AF727" s="25">
        <v>1</v>
      </c>
      <c r="AG727" s="25">
        <v>1</v>
      </c>
      <c r="AH727" s="25">
        <v>1</v>
      </c>
      <c r="AI727" s="25">
        <f>IF(OR(Apresentação!$E$3='Base de Dados e filtragem'!AI$2,Apresentação!$E$3='Base de Dados e filtragem'!E727),1,0)</f>
        <v>1</v>
      </c>
      <c r="AJ727" s="25">
        <f>IF(OR(Apresentação!$E$4='Base de Dados e filtragem'!AJ$2,Apresentação!$E$4='Base de Dados e filtragem'!F727),1,0)</f>
        <v>1</v>
      </c>
      <c r="AK727" s="25">
        <f>IF(OR(Apresentação!$E$5='Base de Dados e filtragem'!AK$2,Apresentação!$E$5='Base de Dados e filtragem'!G727),1,0)</f>
        <v>1</v>
      </c>
      <c r="AL727" s="25">
        <f>IF(OR(Apresentação!$E$6='Base de Dados e filtragem'!AL$2,Apresentação!$E$6='Base de Dados e filtragem'!H727),1,0)</f>
        <v>1</v>
      </c>
      <c r="AM727" s="25">
        <f>IF(OR(Apresentação!$I$2='Base de Dados e filtragem'!AM$2,Apresentação!$I$2='Base de Dados e filtragem'!I727),1,0)</f>
        <v>1</v>
      </c>
      <c r="AN727" s="25">
        <f>IF(OR(Apresentação!$I$3='Base de Dados e filtragem'!AN$2,Apresentação!$I$3='Base de Dados e filtragem'!J727),1,0)</f>
        <v>1</v>
      </c>
      <c r="AO727" s="25">
        <f>IF(OR(Apresentação!$I$4='Base de Dados e filtragem'!AO$2,Apresentação!$I$4='Base de Dados e filtragem'!K727),1,0)</f>
        <v>1</v>
      </c>
      <c r="AP727" s="25">
        <f>IF(OR(Apresentação!$I$5='Base de Dados e filtragem'!AP$2,Apresentação!$I$5='Base de Dados e filtragem'!L727),1,0)</f>
        <v>1</v>
      </c>
      <c r="AQ727" s="25">
        <f>IF(OR(Apresentação!$I$6='Base de Dados e filtragem'!AQ$2,Apresentação!$I$6='Base de Dados e filtragem'!M727),1,0)</f>
        <v>1</v>
      </c>
      <c r="AR727" s="25">
        <v>1</v>
      </c>
      <c r="AS727" s="25">
        <v>1</v>
      </c>
      <c r="AT727" s="25">
        <v>1</v>
      </c>
      <c r="AU727" s="25">
        <v>1</v>
      </c>
      <c r="AV727" s="25">
        <v>1</v>
      </c>
      <c r="AW727" s="25">
        <v>1</v>
      </c>
      <c r="AX727" s="25">
        <v>1</v>
      </c>
      <c r="AY727" s="25">
        <v>1</v>
      </c>
      <c r="AZ727" s="25">
        <v>1</v>
      </c>
      <c r="BA727" s="25">
        <v>1</v>
      </c>
      <c r="BB727" s="25">
        <v>1</v>
      </c>
      <c r="BC727" s="25">
        <v>1</v>
      </c>
      <c r="BD727" s="25">
        <v>1</v>
      </c>
    </row>
    <row r="728" spans="27:56" x14ac:dyDescent="0.25">
      <c r="AA728" s="68" t="str">
        <f t="shared" si="45"/>
        <v>Fotos\\.jpg</v>
      </c>
      <c r="AB728" s="53">
        <f t="shared" si="46"/>
        <v>1.3736263736263737E-3</v>
      </c>
      <c r="AC728" s="25">
        <f t="shared" si="47"/>
        <v>728</v>
      </c>
      <c r="AD728" s="51">
        <f t="shared" si="48"/>
        <v>1</v>
      </c>
      <c r="AE728" s="25">
        <v>1</v>
      </c>
      <c r="AF728" s="25">
        <v>1</v>
      </c>
      <c r="AG728" s="25">
        <v>1</v>
      </c>
      <c r="AH728" s="25">
        <v>1</v>
      </c>
      <c r="AI728" s="25">
        <f>IF(OR(Apresentação!$E$3='Base de Dados e filtragem'!AI$2,Apresentação!$E$3='Base de Dados e filtragem'!E728),1,0)</f>
        <v>1</v>
      </c>
      <c r="AJ728" s="25">
        <f>IF(OR(Apresentação!$E$4='Base de Dados e filtragem'!AJ$2,Apresentação!$E$4='Base de Dados e filtragem'!F728),1,0)</f>
        <v>1</v>
      </c>
      <c r="AK728" s="25">
        <f>IF(OR(Apresentação!$E$5='Base de Dados e filtragem'!AK$2,Apresentação!$E$5='Base de Dados e filtragem'!G728),1,0)</f>
        <v>1</v>
      </c>
      <c r="AL728" s="25">
        <f>IF(OR(Apresentação!$E$6='Base de Dados e filtragem'!AL$2,Apresentação!$E$6='Base de Dados e filtragem'!H728),1,0)</f>
        <v>1</v>
      </c>
      <c r="AM728" s="25">
        <f>IF(OR(Apresentação!$I$2='Base de Dados e filtragem'!AM$2,Apresentação!$I$2='Base de Dados e filtragem'!I728),1,0)</f>
        <v>1</v>
      </c>
      <c r="AN728" s="25">
        <f>IF(OR(Apresentação!$I$3='Base de Dados e filtragem'!AN$2,Apresentação!$I$3='Base de Dados e filtragem'!J728),1,0)</f>
        <v>1</v>
      </c>
      <c r="AO728" s="25">
        <f>IF(OR(Apresentação!$I$4='Base de Dados e filtragem'!AO$2,Apresentação!$I$4='Base de Dados e filtragem'!K728),1,0)</f>
        <v>1</v>
      </c>
      <c r="AP728" s="25">
        <f>IF(OR(Apresentação!$I$5='Base de Dados e filtragem'!AP$2,Apresentação!$I$5='Base de Dados e filtragem'!L728),1,0)</f>
        <v>1</v>
      </c>
      <c r="AQ728" s="25">
        <f>IF(OR(Apresentação!$I$6='Base de Dados e filtragem'!AQ$2,Apresentação!$I$6='Base de Dados e filtragem'!M728),1,0)</f>
        <v>1</v>
      </c>
      <c r="AR728" s="25">
        <v>1</v>
      </c>
      <c r="AS728" s="25">
        <v>1</v>
      </c>
      <c r="AT728" s="25">
        <v>1</v>
      </c>
      <c r="AU728" s="25">
        <v>1</v>
      </c>
      <c r="AV728" s="25">
        <v>1</v>
      </c>
      <c r="AW728" s="25">
        <v>1</v>
      </c>
      <c r="AX728" s="25">
        <v>1</v>
      </c>
      <c r="AY728" s="25">
        <v>1</v>
      </c>
      <c r="AZ728" s="25">
        <v>1</v>
      </c>
      <c r="BA728" s="25">
        <v>1</v>
      </c>
      <c r="BB728" s="25">
        <v>1</v>
      </c>
      <c r="BC728" s="25">
        <v>1</v>
      </c>
      <c r="BD728" s="25">
        <v>1</v>
      </c>
    </row>
    <row r="729" spans="27:56" x14ac:dyDescent="0.25">
      <c r="AA729" s="68" t="str">
        <f t="shared" si="45"/>
        <v>Fotos\\.jpg</v>
      </c>
      <c r="AB729" s="53">
        <f t="shared" si="46"/>
        <v>1.3717421124828531E-3</v>
      </c>
      <c r="AC729" s="25">
        <f t="shared" si="47"/>
        <v>729</v>
      </c>
      <c r="AD729" s="51">
        <f t="shared" si="48"/>
        <v>1</v>
      </c>
      <c r="AE729" s="25">
        <v>1</v>
      </c>
      <c r="AF729" s="25">
        <v>1</v>
      </c>
      <c r="AG729" s="25">
        <v>1</v>
      </c>
      <c r="AH729" s="25">
        <v>1</v>
      </c>
      <c r="AI729" s="25">
        <f>IF(OR(Apresentação!$E$3='Base de Dados e filtragem'!AI$2,Apresentação!$E$3='Base de Dados e filtragem'!E729),1,0)</f>
        <v>1</v>
      </c>
      <c r="AJ729" s="25">
        <f>IF(OR(Apresentação!$E$4='Base de Dados e filtragem'!AJ$2,Apresentação!$E$4='Base de Dados e filtragem'!F729),1,0)</f>
        <v>1</v>
      </c>
      <c r="AK729" s="25">
        <f>IF(OR(Apresentação!$E$5='Base de Dados e filtragem'!AK$2,Apresentação!$E$5='Base de Dados e filtragem'!G729),1,0)</f>
        <v>1</v>
      </c>
      <c r="AL729" s="25">
        <f>IF(OR(Apresentação!$E$6='Base de Dados e filtragem'!AL$2,Apresentação!$E$6='Base de Dados e filtragem'!H729),1,0)</f>
        <v>1</v>
      </c>
      <c r="AM729" s="25">
        <f>IF(OR(Apresentação!$I$2='Base de Dados e filtragem'!AM$2,Apresentação!$I$2='Base de Dados e filtragem'!I729),1,0)</f>
        <v>1</v>
      </c>
      <c r="AN729" s="25">
        <f>IF(OR(Apresentação!$I$3='Base de Dados e filtragem'!AN$2,Apresentação!$I$3='Base de Dados e filtragem'!J729),1,0)</f>
        <v>1</v>
      </c>
      <c r="AO729" s="25">
        <f>IF(OR(Apresentação!$I$4='Base de Dados e filtragem'!AO$2,Apresentação!$I$4='Base de Dados e filtragem'!K729),1,0)</f>
        <v>1</v>
      </c>
      <c r="AP729" s="25">
        <f>IF(OR(Apresentação!$I$5='Base de Dados e filtragem'!AP$2,Apresentação!$I$5='Base de Dados e filtragem'!L729),1,0)</f>
        <v>1</v>
      </c>
      <c r="AQ729" s="25">
        <f>IF(OR(Apresentação!$I$6='Base de Dados e filtragem'!AQ$2,Apresentação!$I$6='Base de Dados e filtragem'!M729),1,0)</f>
        <v>1</v>
      </c>
      <c r="AR729" s="25">
        <v>1</v>
      </c>
      <c r="AS729" s="25">
        <v>1</v>
      </c>
      <c r="AT729" s="25">
        <v>1</v>
      </c>
      <c r="AU729" s="25">
        <v>1</v>
      </c>
      <c r="AV729" s="25">
        <v>1</v>
      </c>
      <c r="AW729" s="25">
        <v>1</v>
      </c>
      <c r="AX729" s="25">
        <v>1</v>
      </c>
      <c r="AY729" s="25">
        <v>1</v>
      </c>
      <c r="AZ729" s="25">
        <v>1</v>
      </c>
      <c r="BA729" s="25">
        <v>1</v>
      </c>
      <c r="BB729" s="25">
        <v>1</v>
      </c>
      <c r="BC729" s="25">
        <v>1</v>
      </c>
      <c r="BD729" s="25">
        <v>1</v>
      </c>
    </row>
    <row r="730" spans="27:56" x14ac:dyDescent="0.25">
      <c r="AA730" s="68" t="str">
        <f t="shared" si="45"/>
        <v>Fotos\\.jpg</v>
      </c>
      <c r="AB730" s="53">
        <f t="shared" si="46"/>
        <v>1.3698630136986301E-3</v>
      </c>
      <c r="AC730" s="25">
        <f t="shared" si="47"/>
        <v>730</v>
      </c>
      <c r="AD730" s="51">
        <f t="shared" si="48"/>
        <v>1</v>
      </c>
      <c r="AE730" s="25">
        <v>1</v>
      </c>
      <c r="AF730" s="25">
        <v>1</v>
      </c>
      <c r="AG730" s="25">
        <v>1</v>
      </c>
      <c r="AH730" s="25">
        <v>1</v>
      </c>
      <c r="AI730" s="25">
        <f>IF(OR(Apresentação!$E$3='Base de Dados e filtragem'!AI$2,Apresentação!$E$3='Base de Dados e filtragem'!E730),1,0)</f>
        <v>1</v>
      </c>
      <c r="AJ730" s="25">
        <f>IF(OR(Apresentação!$E$4='Base de Dados e filtragem'!AJ$2,Apresentação!$E$4='Base de Dados e filtragem'!F730),1,0)</f>
        <v>1</v>
      </c>
      <c r="AK730" s="25">
        <f>IF(OR(Apresentação!$E$5='Base de Dados e filtragem'!AK$2,Apresentação!$E$5='Base de Dados e filtragem'!G730),1,0)</f>
        <v>1</v>
      </c>
      <c r="AL730" s="25">
        <f>IF(OR(Apresentação!$E$6='Base de Dados e filtragem'!AL$2,Apresentação!$E$6='Base de Dados e filtragem'!H730),1,0)</f>
        <v>1</v>
      </c>
      <c r="AM730" s="25">
        <f>IF(OR(Apresentação!$I$2='Base de Dados e filtragem'!AM$2,Apresentação!$I$2='Base de Dados e filtragem'!I730),1,0)</f>
        <v>1</v>
      </c>
      <c r="AN730" s="25">
        <f>IF(OR(Apresentação!$I$3='Base de Dados e filtragem'!AN$2,Apresentação!$I$3='Base de Dados e filtragem'!J730),1,0)</f>
        <v>1</v>
      </c>
      <c r="AO730" s="25">
        <f>IF(OR(Apresentação!$I$4='Base de Dados e filtragem'!AO$2,Apresentação!$I$4='Base de Dados e filtragem'!K730),1,0)</f>
        <v>1</v>
      </c>
      <c r="AP730" s="25">
        <f>IF(OR(Apresentação!$I$5='Base de Dados e filtragem'!AP$2,Apresentação!$I$5='Base de Dados e filtragem'!L730),1,0)</f>
        <v>1</v>
      </c>
      <c r="AQ730" s="25">
        <f>IF(OR(Apresentação!$I$6='Base de Dados e filtragem'!AQ$2,Apresentação!$I$6='Base de Dados e filtragem'!M730),1,0)</f>
        <v>1</v>
      </c>
      <c r="AR730" s="25">
        <v>1</v>
      </c>
      <c r="AS730" s="25">
        <v>1</v>
      </c>
      <c r="AT730" s="25">
        <v>1</v>
      </c>
      <c r="AU730" s="25">
        <v>1</v>
      </c>
      <c r="AV730" s="25">
        <v>1</v>
      </c>
      <c r="AW730" s="25">
        <v>1</v>
      </c>
      <c r="AX730" s="25">
        <v>1</v>
      </c>
      <c r="AY730" s="25">
        <v>1</v>
      </c>
      <c r="AZ730" s="25">
        <v>1</v>
      </c>
      <c r="BA730" s="25">
        <v>1</v>
      </c>
      <c r="BB730" s="25">
        <v>1</v>
      </c>
      <c r="BC730" s="25">
        <v>1</v>
      </c>
      <c r="BD730" s="25">
        <v>1</v>
      </c>
    </row>
    <row r="731" spans="27:56" x14ac:dyDescent="0.25">
      <c r="AA731" s="68" t="str">
        <f t="shared" si="45"/>
        <v>Fotos\\.jpg</v>
      </c>
      <c r="AB731" s="53">
        <f t="shared" si="46"/>
        <v>1.3679890560875513E-3</v>
      </c>
      <c r="AC731" s="25">
        <f t="shared" si="47"/>
        <v>731</v>
      </c>
      <c r="AD731" s="51">
        <f t="shared" si="48"/>
        <v>1</v>
      </c>
      <c r="AE731" s="25">
        <v>1</v>
      </c>
      <c r="AF731" s="25">
        <v>1</v>
      </c>
      <c r="AG731" s="25">
        <v>1</v>
      </c>
      <c r="AH731" s="25">
        <v>1</v>
      </c>
      <c r="AI731" s="25">
        <f>IF(OR(Apresentação!$E$3='Base de Dados e filtragem'!AI$2,Apresentação!$E$3='Base de Dados e filtragem'!E731),1,0)</f>
        <v>1</v>
      </c>
      <c r="AJ731" s="25">
        <f>IF(OR(Apresentação!$E$4='Base de Dados e filtragem'!AJ$2,Apresentação!$E$4='Base de Dados e filtragem'!F731),1,0)</f>
        <v>1</v>
      </c>
      <c r="AK731" s="25">
        <f>IF(OR(Apresentação!$E$5='Base de Dados e filtragem'!AK$2,Apresentação!$E$5='Base de Dados e filtragem'!G731),1,0)</f>
        <v>1</v>
      </c>
      <c r="AL731" s="25">
        <f>IF(OR(Apresentação!$E$6='Base de Dados e filtragem'!AL$2,Apresentação!$E$6='Base de Dados e filtragem'!H731),1,0)</f>
        <v>1</v>
      </c>
      <c r="AM731" s="25">
        <f>IF(OR(Apresentação!$I$2='Base de Dados e filtragem'!AM$2,Apresentação!$I$2='Base de Dados e filtragem'!I731),1,0)</f>
        <v>1</v>
      </c>
      <c r="AN731" s="25">
        <f>IF(OR(Apresentação!$I$3='Base de Dados e filtragem'!AN$2,Apresentação!$I$3='Base de Dados e filtragem'!J731),1,0)</f>
        <v>1</v>
      </c>
      <c r="AO731" s="25">
        <f>IF(OR(Apresentação!$I$4='Base de Dados e filtragem'!AO$2,Apresentação!$I$4='Base de Dados e filtragem'!K731),1,0)</f>
        <v>1</v>
      </c>
      <c r="AP731" s="25">
        <f>IF(OR(Apresentação!$I$5='Base de Dados e filtragem'!AP$2,Apresentação!$I$5='Base de Dados e filtragem'!L731),1,0)</f>
        <v>1</v>
      </c>
      <c r="AQ731" s="25">
        <f>IF(OR(Apresentação!$I$6='Base de Dados e filtragem'!AQ$2,Apresentação!$I$6='Base de Dados e filtragem'!M731),1,0)</f>
        <v>1</v>
      </c>
      <c r="AR731" s="25">
        <v>1</v>
      </c>
      <c r="AS731" s="25">
        <v>1</v>
      </c>
      <c r="AT731" s="25">
        <v>1</v>
      </c>
      <c r="AU731" s="25">
        <v>1</v>
      </c>
      <c r="AV731" s="25">
        <v>1</v>
      </c>
      <c r="AW731" s="25">
        <v>1</v>
      </c>
      <c r="AX731" s="25">
        <v>1</v>
      </c>
      <c r="AY731" s="25">
        <v>1</v>
      </c>
      <c r="AZ731" s="25">
        <v>1</v>
      </c>
      <c r="BA731" s="25">
        <v>1</v>
      </c>
      <c r="BB731" s="25">
        <v>1</v>
      </c>
      <c r="BC731" s="25">
        <v>1</v>
      </c>
      <c r="BD731" s="25">
        <v>1</v>
      </c>
    </row>
    <row r="732" spans="27:56" x14ac:dyDescent="0.25">
      <c r="AA732" s="68" t="str">
        <f t="shared" si="45"/>
        <v>Fotos\\.jpg</v>
      </c>
      <c r="AB732" s="53">
        <f t="shared" si="46"/>
        <v>1.366120218579235E-3</v>
      </c>
      <c r="AC732" s="25">
        <f t="shared" si="47"/>
        <v>732</v>
      </c>
      <c r="AD732" s="51">
        <f t="shared" si="48"/>
        <v>1</v>
      </c>
      <c r="AE732" s="25">
        <v>1</v>
      </c>
      <c r="AF732" s="25">
        <v>1</v>
      </c>
      <c r="AG732" s="25">
        <v>1</v>
      </c>
      <c r="AH732" s="25">
        <v>1</v>
      </c>
      <c r="AI732" s="25">
        <f>IF(OR(Apresentação!$E$3='Base de Dados e filtragem'!AI$2,Apresentação!$E$3='Base de Dados e filtragem'!E732),1,0)</f>
        <v>1</v>
      </c>
      <c r="AJ732" s="25">
        <f>IF(OR(Apresentação!$E$4='Base de Dados e filtragem'!AJ$2,Apresentação!$E$4='Base de Dados e filtragem'!F732),1,0)</f>
        <v>1</v>
      </c>
      <c r="AK732" s="25">
        <f>IF(OR(Apresentação!$E$5='Base de Dados e filtragem'!AK$2,Apresentação!$E$5='Base de Dados e filtragem'!G732),1,0)</f>
        <v>1</v>
      </c>
      <c r="AL732" s="25">
        <f>IF(OR(Apresentação!$E$6='Base de Dados e filtragem'!AL$2,Apresentação!$E$6='Base de Dados e filtragem'!H732),1,0)</f>
        <v>1</v>
      </c>
      <c r="AM732" s="25">
        <f>IF(OR(Apresentação!$I$2='Base de Dados e filtragem'!AM$2,Apresentação!$I$2='Base de Dados e filtragem'!I732),1,0)</f>
        <v>1</v>
      </c>
      <c r="AN732" s="25">
        <f>IF(OR(Apresentação!$I$3='Base de Dados e filtragem'!AN$2,Apresentação!$I$3='Base de Dados e filtragem'!J732),1,0)</f>
        <v>1</v>
      </c>
      <c r="AO732" s="25">
        <f>IF(OR(Apresentação!$I$4='Base de Dados e filtragem'!AO$2,Apresentação!$I$4='Base de Dados e filtragem'!K732),1,0)</f>
        <v>1</v>
      </c>
      <c r="AP732" s="25">
        <f>IF(OR(Apresentação!$I$5='Base de Dados e filtragem'!AP$2,Apresentação!$I$5='Base de Dados e filtragem'!L732),1,0)</f>
        <v>1</v>
      </c>
      <c r="AQ732" s="25">
        <f>IF(OR(Apresentação!$I$6='Base de Dados e filtragem'!AQ$2,Apresentação!$I$6='Base de Dados e filtragem'!M732),1,0)</f>
        <v>1</v>
      </c>
      <c r="AR732" s="25">
        <v>1</v>
      </c>
      <c r="AS732" s="25">
        <v>1</v>
      </c>
      <c r="AT732" s="25">
        <v>1</v>
      </c>
      <c r="AU732" s="25">
        <v>1</v>
      </c>
      <c r="AV732" s="25">
        <v>1</v>
      </c>
      <c r="AW732" s="25">
        <v>1</v>
      </c>
      <c r="AX732" s="25">
        <v>1</v>
      </c>
      <c r="AY732" s="25">
        <v>1</v>
      </c>
      <c r="AZ732" s="25">
        <v>1</v>
      </c>
      <c r="BA732" s="25">
        <v>1</v>
      </c>
      <c r="BB732" s="25">
        <v>1</v>
      </c>
      <c r="BC732" s="25">
        <v>1</v>
      </c>
      <c r="BD732" s="25">
        <v>1</v>
      </c>
    </row>
    <row r="733" spans="27:56" x14ac:dyDescent="0.25">
      <c r="AA733" s="68" t="str">
        <f t="shared" si="45"/>
        <v>Fotos\\.jpg</v>
      </c>
      <c r="AB733" s="53">
        <f t="shared" si="46"/>
        <v>1.364256480218281E-3</v>
      </c>
      <c r="AC733" s="25">
        <f t="shared" si="47"/>
        <v>733</v>
      </c>
      <c r="AD733" s="51">
        <f t="shared" si="48"/>
        <v>1</v>
      </c>
      <c r="AE733" s="25">
        <v>1</v>
      </c>
      <c r="AF733" s="25">
        <v>1</v>
      </c>
      <c r="AG733" s="25">
        <v>1</v>
      </c>
      <c r="AH733" s="25">
        <v>1</v>
      </c>
      <c r="AI733" s="25">
        <f>IF(OR(Apresentação!$E$3='Base de Dados e filtragem'!AI$2,Apresentação!$E$3='Base de Dados e filtragem'!E733),1,0)</f>
        <v>1</v>
      </c>
      <c r="AJ733" s="25">
        <f>IF(OR(Apresentação!$E$4='Base de Dados e filtragem'!AJ$2,Apresentação!$E$4='Base de Dados e filtragem'!F733),1,0)</f>
        <v>1</v>
      </c>
      <c r="AK733" s="25">
        <f>IF(OR(Apresentação!$E$5='Base de Dados e filtragem'!AK$2,Apresentação!$E$5='Base de Dados e filtragem'!G733),1,0)</f>
        <v>1</v>
      </c>
      <c r="AL733" s="25">
        <f>IF(OR(Apresentação!$E$6='Base de Dados e filtragem'!AL$2,Apresentação!$E$6='Base de Dados e filtragem'!H733),1,0)</f>
        <v>1</v>
      </c>
      <c r="AM733" s="25">
        <f>IF(OR(Apresentação!$I$2='Base de Dados e filtragem'!AM$2,Apresentação!$I$2='Base de Dados e filtragem'!I733),1,0)</f>
        <v>1</v>
      </c>
      <c r="AN733" s="25">
        <f>IF(OR(Apresentação!$I$3='Base de Dados e filtragem'!AN$2,Apresentação!$I$3='Base de Dados e filtragem'!J733),1,0)</f>
        <v>1</v>
      </c>
      <c r="AO733" s="25">
        <f>IF(OR(Apresentação!$I$4='Base de Dados e filtragem'!AO$2,Apresentação!$I$4='Base de Dados e filtragem'!K733),1,0)</f>
        <v>1</v>
      </c>
      <c r="AP733" s="25">
        <f>IF(OR(Apresentação!$I$5='Base de Dados e filtragem'!AP$2,Apresentação!$I$5='Base de Dados e filtragem'!L733),1,0)</f>
        <v>1</v>
      </c>
      <c r="AQ733" s="25">
        <f>IF(OR(Apresentação!$I$6='Base de Dados e filtragem'!AQ$2,Apresentação!$I$6='Base de Dados e filtragem'!M733),1,0)</f>
        <v>1</v>
      </c>
      <c r="AR733" s="25">
        <v>1</v>
      </c>
      <c r="AS733" s="25">
        <v>1</v>
      </c>
      <c r="AT733" s="25">
        <v>1</v>
      </c>
      <c r="AU733" s="25">
        <v>1</v>
      </c>
      <c r="AV733" s="25">
        <v>1</v>
      </c>
      <c r="AW733" s="25">
        <v>1</v>
      </c>
      <c r="AX733" s="25">
        <v>1</v>
      </c>
      <c r="AY733" s="25">
        <v>1</v>
      </c>
      <c r="AZ733" s="25">
        <v>1</v>
      </c>
      <c r="BA733" s="25">
        <v>1</v>
      </c>
      <c r="BB733" s="25">
        <v>1</v>
      </c>
      <c r="BC733" s="25">
        <v>1</v>
      </c>
      <c r="BD733" s="25">
        <v>1</v>
      </c>
    </row>
    <row r="734" spans="27:56" x14ac:dyDescent="0.25">
      <c r="AA734" s="68" t="str">
        <f t="shared" si="45"/>
        <v>Fotos\\.jpg</v>
      </c>
      <c r="AB734" s="53">
        <f t="shared" si="46"/>
        <v>1.3623978201634877E-3</v>
      </c>
      <c r="AC734" s="25">
        <f t="shared" si="47"/>
        <v>734</v>
      </c>
      <c r="AD734" s="51">
        <f t="shared" si="48"/>
        <v>1</v>
      </c>
      <c r="AE734" s="25">
        <v>1</v>
      </c>
      <c r="AF734" s="25">
        <v>1</v>
      </c>
      <c r="AG734" s="25">
        <v>1</v>
      </c>
      <c r="AH734" s="25">
        <v>1</v>
      </c>
      <c r="AI734" s="25">
        <f>IF(OR(Apresentação!$E$3='Base de Dados e filtragem'!AI$2,Apresentação!$E$3='Base de Dados e filtragem'!E734),1,0)</f>
        <v>1</v>
      </c>
      <c r="AJ734" s="25">
        <f>IF(OR(Apresentação!$E$4='Base de Dados e filtragem'!AJ$2,Apresentação!$E$4='Base de Dados e filtragem'!F734),1,0)</f>
        <v>1</v>
      </c>
      <c r="AK734" s="25">
        <f>IF(OR(Apresentação!$E$5='Base de Dados e filtragem'!AK$2,Apresentação!$E$5='Base de Dados e filtragem'!G734),1,0)</f>
        <v>1</v>
      </c>
      <c r="AL734" s="25">
        <f>IF(OR(Apresentação!$E$6='Base de Dados e filtragem'!AL$2,Apresentação!$E$6='Base de Dados e filtragem'!H734),1,0)</f>
        <v>1</v>
      </c>
      <c r="AM734" s="25">
        <f>IF(OR(Apresentação!$I$2='Base de Dados e filtragem'!AM$2,Apresentação!$I$2='Base de Dados e filtragem'!I734),1,0)</f>
        <v>1</v>
      </c>
      <c r="AN734" s="25">
        <f>IF(OR(Apresentação!$I$3='Base de Dados e filtragem'!AN$2,Apresentação!$I$3='Base de Dados e filtragem'!J734),1,0)</f>
        <v>1</v>
      </c>
      <c r="AO734" s="25">
        <f>IF(OR(Apresentação!$I$4='Base de Dados e filtragem'!AO$2,Apresentação!$I$4='Base de Dados e filtragem'!K734),1,0)</f>
        <v>1</v>
      </c>
      <c r="AP734" s="25">
        <f>IF(OR(Apresentação!$I$5='Base de Dados e filtragem'!AP$2,Apresentação!$I$5='Base de Dados e filtragem'!L734),1,0)</f>
        <v>1</v>
      </c>
      <c r="AQ734" s="25">
        <f>IF(OR(Apresentação!$I$6='Base de Dados e filtragem'!AQ$2,Apresentação!$I$6='Base de Dados e filtragem'!M734),1,0)</f>
        <v>1</v>
      </c>
      <c r="AR734" s="25">
        <v>1</v>
      </c>
      <c r="AS734" s="25">
        <v>1</v>
      </c>
      <c r="AT734" s="25">
        <v>1</v>
      </c>
      <c r="AU734" s="25">
        <v>1</v>
      </c>
      <c r="AV734" s="25">
        <v>1</v>
      </c>
      <c r="AW734" s="25">
        <v>1</v>
      </c>
      <c r="AX734" s="25">
        <v>1</v>
      </c>
      <c r="AY734" s="25">
        <v>1</v>
      </c>
      <c r="AZ734" s="25">
        <v>1</v>
      </c>
      <c r="BA734" s="25">
        <v>1</v>
      </c>
      <c r="BB734" s="25">
        <v>1</v>
      </c>
      <c r="BC734" s="25">
        <v>1</v>
      </c>
      <c r="BD734" s="25">
        <v>1</v>
      </c>
    </row>
    <row r="735" spans="27:56" x14ac:dyDescent="0.25">
      <c r="AA735" s="68" t="str">
        <f t="shared" si="45"/>
        <v>Fotos\\.jpg</v>
      </c>
      <c r="AB735" s="53">
        <f t="shared" si="46"/>
        <v>1.3605442176870747E-3</v>
      </c>
      <c r="AC735" s="25">
        <f t="shared" si="47"/>
        <v>735</v>
      </c>
      <c r="AD735" s="51">
        <f t="shared" si="48"/>
        <v>1</v>
      </c>
      <c r="AE735" s="25">
        <v>1</v>
      </c>
      <c r="AF735" s="25">
        <v>1</v>
      </c>
      <c r="AG735" s="25">
        <v>1</v>
      </c>
      <c r="AH735" s="25">
        <v>1</v>
      </c>
      <c r="AI735" s="25">
        <f>IF(OR(Apresentação!$E$3='Base de Dados e filtragem'!AI$2,Apresentação!$E$3='Base de Dados e filtragem'!E735),1,0)</f>
        <v>1</v>
      </c>
      <c r="AJ735" s="25">
        <f>IF(OR(Apresentação!$E$4='Base de Dados e filtragem'!AJ$2,Apresentação!$E$4='Base de Dados e filtragem'!F735),1,0)</f>
        <v>1</v>
      </c>
      <c r="AK735" s="25">
        <f>IF(OR(Apresentação!$E$5='Base de Dados e filtragem'!AK$2,Apresentação!$E$5='Base de Dados e filtragem'!G735),1,0)</f>
        <v>1</v>
      </c>
      <c r="AL735" s="25">
        <f>IF(OR(Apresentação!$E$6='Base de Dados e filtragem'!AL$2,Apresentação!$E$6='Base de Dados e filtragem'!H735),1,0)</f>
        <v>1</v>
      </c>
      <c r="AM735" s="25">
        <f>IF(OR(Apresentação!$I$2='Base de Dados e filtragem'!AM$2,Apresentação!$I$2='Base de Dados e filtragem'!I735),1,0)</f>
        <v>1</v>
      </c>
      <c r="AN735" s="25">
        <f>IF(OR(Apresentação!$I$3='Base de Dados e filtragem'!AN$2,Apresentação!$I$3='Base de Dados e filtragem'!J735),1,0)</f>
        <v>1</v>
      </c>
      <c r="AO735" s="25">
        <f>IF(OR(Apresentação!$I$4='Base de Dados e filtragem'!AO$2,Apresentação!$I$4='Base de Dados e filtragem'!K735),1,0)</f>
        <v>1</v>
      </c>
      <c r="AP735" s="25">
        <f>IF(OR(Apresentação!$I$5='Base de Dados e filtragem'!AP$2,Apresentação!$I$5='Base de Dados e filtragem'!L735),1,0)</f>
        <v>1</v>
      </c>
      <c r="AQ735" s="25">
        <f>IF(OR(Apresentação!$I$6='Base de Dados e filtragem'!AQ$2,Apresentação!$I$6='Base de Dados e filtragem'!M735),1,0)</f>
        <v>1</v>
      </c>
      <c r="AR735" s="25">
        <v>1</v>
      </c>
      <c r="AS735" s="25">
        <v>1</v>
      </c>
      <c r="AT735" s="25">
        <v>1</v>
      </c>
      <c r="AU735" s="25">
        <v>1</v>
      </c>
      <c r="AV735" s="25">
        <v>1</v>
      </c>
      <c r="AW735" s="25">
        <v>1</v>
      </c>
      <c r="AX735" s="25">
        <v>1</v>
      </c>
      <c r="AY735" s="25">
        <v>1</v>
      </c>
      <c r="AZ735" s="25">
        <v>1</v>
      </c>
      <c r="BA735" s="25">
        <v>1</v>
      </c>
      <c r="BB735" s="25">
        <v>1</v>
      </c>
      <c r="BC735" s="25">
        <v>1</v>
      </c>
      <c r="BD735" s="25">
        <v>1</v>
      </c>
    </row>
    <row r="736" spans="27:56" x14ac:dyDescent="0.25">
      <c r="AA736" s="68" t="str">
        <f t="shared" si="45"/>
        <v>Fotos\\.jpg</v>
      </c>
      <c r="AB736" s="53">
        <f t="shared" si="46"/>
        <v>1.358695652173913E-3</v>
      </c>
      <c r="AC736" s="25">
        <f t="shared" si="47"/>
        <v>736</v>
      </c>
      <c r="AD736" s="51">
        <f t="shared" si="48"/>
        <v>1</v>
      </c>
      <c r="AE736" s="25">
        <v>1</v>
      </c>
      <c r="AF736" s="25">
        <v>1</v>
      </c>
      <c r="AG736" s="25">
        <v>1</v>
      </c>
      <c r="AH736" s="25">
        <v>1</v>
      </c>
      <c r="AI736" s="25">
        <f>IF(OR(Apresentação!$E$3='Base de Dados e filtragem'!AI$2,Apresentação!$E$3='Base de Dados e filtragem'!E736),1,0)</f>
        <v>1</v>
      </c>
      <c r="AJ736" s="25">
        <f>IF(OR(Apresentação!$E$4='Base de Dados e filtragem'!AJ$2,Apresentação!$E$4='Base de Dados e filtragem'!F736),1,0)</f>
        <v>1</v>
      </c>
      <c r="AK736" s="25">
        <f>IF(OR(Apresentação!$E$5='Base de Dados e filtragem'!AK$2,Apresentação!$E$5='Base de Dados e filtragem'!G736),1,0)</f>
        <v>1</v>
      </c>
      <c r="AL736" s="25">
        <f>IF(OR(Apresentação!$E$6='Base de Dados e filtragem'!AL$2,Apresentação!$E$6='Base de Dados e filtragem'!H736),1,0)</f>
        <v>1</v>
      </c>
      <c r="AM736" s="25">
        <f>IF(OR(Apresentação!$I$2='Base de Dados e filtragem'!AM$2,Apresentação!$I$2='Base de Dados e filtragem'!I736),1,0)</f>
        <v>1</v>
      </c>
      <c r="AN736" s="25">
        <f>IF(OR(Apresentação!$I$3='Base de Dados e filtragem'!AN$2,Apresentação!$I$3='Base de Dados e filtragem'!J736),1,0)</f>
        <v>1</v>
      </c>
      <c r="AO736" s="25">
        <f>IF(OR(Apresentação!$I$4='Base de Dados e filtragem'!AO$2,Apresentação!$I$4='Base de Dados e filtragem'!K736),1,0)</f>
        <v>1</v>
      </c>
      <c r="AP736" s="25">
        <f>IF(OR(Apresentação!$I$5='Base de Dados e filtragem'!AP$2,Apresentação!$I$5='Base de Dados e filtragem'!L736),1,0)</f>
        <v>1</v>
      </c>
      <c r="AQ736" s="25">
        <f>IF(OR(Apresentação!$I$6='Base de Dados e filtragem'!AQ$2,Apresentação!$I$6='Base de Dados e filtragem'!M736),1,0)</f>
        <v>1</v>
      </c>
      <c r="AR736" s="25">
        <v>1</v>
      </c>
      <c r="AS736" s="25">
        <v>1</v>
      </c>
      <c r="AT736" s="25">
        <v>1</v>
      </c>
      <c r="AU736" s="25">
        <v>1</v>
      </c>
      <c r="AV736" s="25">
        <v>1</v>
      </c>
      <c r="AW736" s="25">
        <v>1</v>
      </c>
      <c r="AX736" s="25">
        <v>1</v>
      </c>
      <c r="AY736" s="25">
        <v>1</v>
      </c>
      <c r="AZ736" s="25">
        <v>1</v>
      </c>
      <c r="BA736" s="25">
        <v>1</v>
      </c>
      <c r="BB736" s="25">
        <v>1</v>
      </c>
      <c r="BC736" s="25">
        <v>1</v>
      </c>
      <c r="BD736" s="25">
        <v>1</v>
      </c>
    </row>
    <row r="737" spans="27:56" x14ac:dyDescent="0.25">
      <c r="AA737" s="68" t="str">
        <f t="shared" si="45"/>
        <v>Fotos\\.jpg</v>
      </c>
      <c r="AB737" s="53">
        <f t="shared" si="46"/>
        <v>1.3568521031207597E-3</v>
      </c>
      <c r="AC737" s="25">
        <f t="shared" si="47"/>
        <v>737</v>
      </c>
      <c r="AD737" s="51">
        <f t="shared" si="48"/>
        <v>1</v>
      </c>
      <c r="AE737" s="25">
        <v>1</v>
      </c>
      <c r="AF737" s="25">
        <v>1</v>
      </c>
      <c r="AG737" s="25">
        <v>1</v>
      </c>
      <c r="AH737" s="25">
        <v>1</v>
      </c>
      <c r="AI737" s="25">
        <f>IF(OR(Apresentação!$E$3='Base de Dados e filtragem'!AI$2,Apresentação!$E$3='Base de Dados e filtragem'!E737),1,0)</f>
        <v>1</v>
      </c>
      <c r="AJ737" s="25">
        <f>IF(OR(Apresentação!$E$4='Base de Dados e filtragem'!AJ$2,Apresentação!$E$4='Base de Dados e filtragem'!F737),1,0)</f>
        <v>1</v>
      </c>
      <c r="AK737" s="25">
        <f>IF(OR(Apresentação!$E$5='Base de Dados e filtragem'!AK$2,Apresentação!$E$5='Base de Dados e filtragem'!G737),1,0)</f>
        <v>1</v>
      </c>
      <c r="AL737" s="25">
        <f>IF(OR(Apresentação!$E$6='Base de Dados e filtragem'!AL$2,Apresentação!$E$6='Base de Dados e filtragem'!H737),1,0)</f>
        <v>1</v>
      </c>
      <c r="AM737" s="25">
        <f>IF(OR(Apresentação!$I$2='Base de Dados e filtragem'!AM$2,Apresentação!$I$2='Base de Dados e filtragem'!I737),1,0)</f>
        <v>1</v>
      </c>
      <c r="AN737" s="25">
        <f>IF(OR(Apresentação!$I$3='Base de Dados e filtragem'!AN$2,Apresentação!$I$3='Base de Dados e filtragem'!J737),1,0)</f>
        <v>1</v>
      </c>
      <c r="AO737" s="25">
        <f>IF(OR(Apresentação!$I$4='Base de Dados e filtragem'!AO$2,Apresentação!$I$4='Base de Dados e filtragem'!K737),1,0)</f>
        <v>1</v>
      </c>
      <c r="AP737" s="25">
        <f>IF(OR(Apresentação!$I$5='Base de Dados e filtragem'!AP$2,Apresentação!$I$5='Base de Dados e filtragem'!L737),1,0)</f>
        <v>1</v>
      </c>
      <c r="AQ737" s="25">
        <f>IF(OR(Apresentação!$I$6='Base de Dados e filtragem'!AQ$2,Apresentação!$I$6='Base de Dados e filtragem'!M737),1,0)</f>
        <v>1</v>
      </c>
      <c r="AR737" s="25">
        <v>1</v>
      </c>
      <c r="AS737" s="25">
        <v>1</v>
      </c>
      <c r="AT737" s="25">
        <v>1</v>
      </c>
      <c r="AU737" s="25">
        <v>1</v>
      </c>
      <c r="AV737" s="25">
        <v>1</v>
      </c>
      <c r="AW737" s="25">
        <v>1</v>
      </c>
      <c r="AX737" s="25">
        <v>1</v>
      </c>
      <c r="AY737" s="25">
        <v>1</v>
      </c>
      <c r="AZ737" s="25">
        <v>1</v>
      </c>
      <c r="BA737" s="25">
        <v>1</v>
      </c>
      <c r="BB737" s="25">
        <v>1</v>
      </c>
      <c r="BC737" s="25">
        <v>1</v>
      </c>
      <c r="BD737" s="25">
        <v>1</v>
      </c>
    </row>
    <row r="738" spans="27:56" x14ac:dyDescent="0.25">
      <c r="AA738" s="68" t="str">
        <f t="shared" si="45"/>
        <v>Fotos\\.jpg</v>
      </c>
      <c r="AB738" s="53">
        <f t="shared" si="46"/>
        <v>1.3550135501355014E-3</v>
      </c>
      <c r="AC738" s="25">
        <f t="shared" si="47"/>
        <v>738</v>
      </c>
      <c r="AD738" s="51">
        <f t="shared" si="48"/>
        <v>1</v>
      </c>
      <c r="AE738" s="25">
        <v>1</v>
      </c>
      <c r="AF738" s="25">
        <v>1</v>
      </c>
      <c r="AG738" s="25">
        <v>1</v>
      </c>
      <c r="AH738" s="25">
        <v>1</v>
      </c>
      <c r="AI738" s="25">
        <f>IF(OR(Apresentação!$E$3='Base de Dados e filtragem'!AI$2,Apresentação!$E$3='Base de Dados e filtragem'!E738),1,0)</f>
        <v>1</v>
      </c>
      <c r="AJ738" s="25">
        <f>IF(OR(Apresentação!$E$4='Base de Dados e filtragem'!AJ$2,Apresentação!$E$4='Base de Dados e filtragem'!F738),1,0)</f>
        <v>1</v>
      </c>
      <c r="AK738" s="25">
        <f>IF(OR(Apresentação!$E$5='Base de Dados e filtragem'!AK$2,Apresentação!$E$5='Base de Dados e filtragem'!G738),1,0)</f>
        <v>1</v>
      </c>
      <c r="AL738" s="25">
        <f>IF(OR(Apresentação!$E$6='Base de Dados e filtragem'!AL$2,Apresentação!$E$6='Base de Dados e filtragem'!H738),1,0)</f>
        <v>1</v>
      </c>
      <c r="AM738" s="25">
        <f>IF(OR(Apresentação!$I$2='Base de Dados e filtragem'!AM$2,Apresentação!$I$2='Base de Dados e filtragem'!I738),1,0)</f>
        <v>1</v>
      </c>
      <c r="AN738" s="25">
        <f>IF(OR(Apresentação!$I$3='Base de Dados e filtragem'!AN$2,Apresentação!$I$3='Base de Dados e filtragem'!J738),1,0)</f>
        <v>1</v>
      </c>
      <c r="AO738" s="25">
        <f>IF(OR(Apresentação!$I$4='Base de Dados e filtragem'!AO$2,Apresentação!$I$4='Base de Dados e filtragem'!K738),1,0)</f>
        <v>1</v>
      </c>
      <c r="AP738" s="25">
        <f>IF(OR(Apresentação!$I$5='Base de Dados e filtragem'!AP$2,Apresentação!$I$5='Base de Dados e filtragem'!L738),1,0)</f>
        <v>1</v>
      </c>
      <c r="AQ738" s="25">
        <f>IF(OR(Apresentação!$I$6='Base de Dados e filtragem'!AQ$2,Apresentação!$I$6='Base de Dados e filtragem'!M738),1,0)</f>
        <v>1</v>
      </c>
      <c r="AR738" s="25">
        <v>1</v>
      </c>
      <c r="AS738" s="25">
        <v>1</v>
      </c>
      <c r="AT738" s="25">
        <v>1</v>
      </c>
      <c r="AU738" s="25">
        <v>1</v>
      </c>
      <c r="AV738" s="25">
        <v>1</v>
      </c>
      <c r="AW738" s="25">
        <v>1</v>
      </c>
      <c r="AX738" s="25">
        <v>1</v>
      </c>
      <c r="AY738" s="25">
        <v>1</v>
      </c>
      <c r="AZ738" s="25">
        <v>1</v>
      </c>
      <c r="BA738" s="25">
        <v>1</v>
      </c>
      <c r="BB738" s="25">
        <v>1</v>
      </c>
      <c r="BC738" s="25">
        <v>1</v>
      </c>
      <c r="BD738" s="25">
        <v>1</v>
      </c>
    </row>
    <row r="739" spans="27:56" x14ac:dyDescent="0.25">
      <c r="AA739" s="68" t="str">
        <f t="shared" si="45"/>
        <v>Fotos\\.jpg</v>
      </c>
      <c r="AB739" s="53">
        <f t="shared" si="46"/>
        <v>1.3531799729364006E-3</v>
      </c>
      <c r="AC739" s="25">
        <f t="shared" si="47"/>
        <v>739</v>
      </c>
      <c r="AD739" s="51">
        <f t="shared" si="48"/>
        <v>1</v>
      </c>
      <c r="AE739" s="25">
        <v>1</v>
      </c>
      <c r="AF739" s="25">
        <v>1</v>
      </c>
      <c r="AG739" s="25">
        <v>1</v>
      </c>
      <c r="AH739" s="25">
        <v>1</v>
      </c>
      <c r="AI739" s="25">
        <f>IF(OR(Apresentação!$E$3='Base de Dados e filtragem'!AI$2,Apresentação!$E$3='Base de Dados e filtragem'!E739),1,0)</f>
        <v>1</v>
      </c>
      <c r="AJ739" s="25">
        <f>IF(OR(Apresentação!$E$4='Base de Dados e filtragem'!AJ$2,Apresentação!$E$4='Base de Dados e filtragem'!F739),1,0)</f>
        <v>1</v>
      </c>
      <c r="AK739" s="25">
        <f>IF(OR(Apresentação!$E$5='Base de Dados e filtragem'!AK$2,Apresentação!$E$5='Base de Dados e filtragem'!G739),1,0)</f>
        <v>1</v>
      </c>
      <c r="AL739" s="25">
        <f>IF(OR(Apresentação!$E$6='Base de Dados e filtragem'!AL$2,Apresentação!$E$6='Base de Dados e filtragem'!H739),1,0)</f>
        <v>1</v>
      </c>
      <c r="AM739" s="25">
        <f>IF(OR(Apresentação!$I$2='Base de Dados e filtragem'!AM$2,Apresentação!$I$2='Base de Dados e filtragem'!I739),1,0)</f>
        <v>1</v>
      </c>
      <c r="AN739" s="25">
        <f>IF(OR(Apresentação!$I$3='Base de Dados e filtragem'!AN$2,Apresentação!$I$3='Base de Dados e filtragem'!J739),1,0)</f>
        <v>1</v>
      </c>
      <c r="AO739" s="25">
        <f>IF(OR(Apresentação!$I$4='Base de Dados e filtragem'!AO$2,Apresentação!$I$4='Base de Dados e filtragem'!K739),1,0)</f>
        <v>1</v>
      </c>
      <c r="AP739" s="25">
        <f>IF(OR(Apresentação!$I$5='Base de Dados e filtragem'!AP$2,Apresentação!$I$5='Base de Dados e filtragem'!L739),1,0)</f>
        <v>1</v>
      </c>
      <c r="AQ739" s="25">
        <f>IF(OR(Apresentação!$I$6='Base de Dados e filtragem'!AQ$2,Apresentação!$I$6='Base de Dados e filtragem'!M739),1,0)</f>
        <v>1</v>
      </c>
      <c r="AR739" s="25">
        <v>1</v>
      </c>
      <c r="AS739" s="25">
        <v>1</v>
      </c>
      <c r="AT739" s="25">
        <v>1</v>
      </c>
      <c r="AU739" s="25">
        <v>1</v>
      </c>
      <c r="AV739" s="25">
        <v>1</v>
      </c>
      <c r="AW739" s="25">
        <v>1</v>
      </c>
      <c r="AX739" s="25">
        <v>1</v>
      </c>
      <c r="AY739" s="25">
        <v>1</v>
      </c>
      <c r="AZ739" s="25">
        <v>1</v>
      </c>
      <c r="BA739" s="25">
        <v>1</v>
      </c>
      <c r="BB739" s="25">
        <v>1</v>
      </c>
      <c r="BC739" s="25">
        <v>1</v>
      </c>
      <c r="BD739" s="25">
        <v>1</v>
      </c>
    </row>
    <row r="740" spans="27:56" x14ac:dyDescent="0.25">
      <c r="AA740" s="68" t="str">
        <f t="shared" si="45"/>
        <v>Fotos\\.jpg</v>
      </c>
      <c r="AB740" s="53">
        <f t="shared" si="46"/>
        <v>1.3513513513513514E-3</v>
      </c>
      <c r="AC740" s="25">
        <f t="shared" si="47"/>
        <v>740</v>
      </c>
      <c r="AD740" s="51">
        <f t="shared" si="48"/>
        <v>1</v>
      </c>
      <c r="AE740" s="25">
        <v>1</v>
      </c>
      <c r="AF740" s="25">
        <v>1</v>
      </c>
      <c r="AG740" s="25">
        <v>1</v>
      </c>
      <c r="AH740" s="25">
        <v>1</v>
      </c>
      <c r="AI740" s="25">
        <f>IF(OR(Apresentação!$E$3='Base de Dados e filtragem'!AI$2,Apresentação!$E$3='Base de Dados e filtragem'!E740),1,0)</f>
        <v>1</v>
      </c>
      <c r="AJ740" s="25">
        <f>IF(OR(Apresentação!$E$4='Base de Dados e filtragem'!AJ$2,Apresentação!$E$4='Base de Dados e filtragem'!F740),1,0)</f>
        <v>1</v>
      </c>
      <c r="AK740" s="25">
        <f>IF(OR(Apresentação!$E$5='Base de Dados e filtragem'!AK$2,Apresentação!$E$5='Base de Dados e filtragem'!G740),1,0)</f>
        <v>1</v>
      </c>
      <c r="AL740" s="25">
        <f>IF(OR(Apresentação!$E$6='Base de Dados e filtragem'!AL$2,Apresentação!$E$6='Base de Dados e filtragem'!H740),1,0)</f>
        <v>1</v>
      </c>
      <c r="AM740" s="25">
        <f>IF(OR(Apresentação!$I$2='Base de Dados e filtragem'!AM$2,Apresentação!$I$2='Base de Dados e filtragem'!I740),1,0)</f>
        <v>1</v>
      </c>
      <c r="AN740" s="25">
        <f>IF(OR(Apresentação!$I$3='Base de Dados e filtragem'!AN$2,Apresentação!$I$3='Base de Dados e filtragem'!J740),1,0)</f>
        <v>1</v>
      </c>
      <c r="AO740" s="25">
        <f>IF(OR(Apresentação!$I$4='Base de Dados e filtragem'!AO$2,Apresentação!$I$4='Base de Dados e filtragem'!K740),1,0)</f>
        <v>1</v>
      </c>
      <c r="AP740" s="25">
        <f>IF(OR(Apresentação!$I$5='Base de Dados e filtragem'!AP$2,Apresentação!$I$5='Base de Dados e filtragem'!L740),1,0)</f>
        <v>1</v>
      </c>
      <c r="AQ740" s="25">
        <f>IF(OR(Apresentação!$I$6='Base de Dados e filtragem'!AQ$2,Apresentação!$I$6='Base de Dados e filtragem'!M740),1,0)</f>
        <v>1</v>
      </c>
      <c r="AR740" s="25">
        <v>1</v>
      </c>
      <c r="AS740" s="25">
        <v>1</v>
      </c>
      <c r="AT740" s="25">
        <v>1</v>
      </c>
      <c r="AU740" s="25">
        <v>1</v>
      </c>
      <c r="AV740" s="25">
        <v>1</v>
      </c>
      <c r="AW740" s="25">
        <v>1</v>
      </c>
      <c r="AX740" s="25">
        <v>1</v>
      </c>
      <c r="AY740" s="25">
        <v>1</v>
      </c>
      <c r="AZ740" s="25">
        <v>1</v>
      </c>
      <c r="BA740" s="25">
        <v>1</v>
      </c>
      <c r="BB740" s="25">
        <v>1</v>
      </c>
      <c r="BC740" s="25">
        <v>1</v>
      </c>
      <c r="BD740" s="25">
        <v>1</v>
      </c>
    </row>
    <row r="741" spans="27:56" x14ac:dyDescent="0.25">
      <c r="AA741" s="68" t="str">
        <f t="shared" si="45"/>
        <v>Fotos\\.jpg</v>
      </c>
      <c r="AB741" s="53">
        <f t="shared" si="46"/>
        <v>1.3495276653171389E-3</v>
      </c>
      <c r="AC741" s="25">
        <f t="shared" si="47"/>
        <v>741</v>
      </c>
      <c r="AD741" s="51">
        <f t="shared" si="48"/>
        <v>1</v>
      </c>
      <c r="AE741" s="25">
        <v>1</v>
      </c>
      <c r="AF741" s="25">
        <v>1</v>
      </c>
      <c r="AG741" s="25">
        <v>1</v>
      </c>
      <c r="AH741" s="25">
        <v>1</v>
      </c>
      <c r="AI741" s="25">
        <f>IF(OR(Apresentação!$E$3='Base de Dados e filtragem'!AI$2,Apresentação!$E$3='Base de Dados e filtragem'!E741),1,0)</f>
        <v>1</v>
      </c>
      <c r="AJ741" s="25">
        <f>IF(OR(Apresentação!$E$4='Base de Dados e filtragem'!AJ$2,Apresentação!$E$4='Base de Dados e filtragem'!F741),1,0)</f>
        <v>1</v>
      </c>
      <c r="AK741" s="25">
        <f>IF(OR(Apresentação!$E$5='Base de Dados e filtragem'!AK$2,Apresentação!$E$5='Base de Dados e filtragem'!G741),1,0)</f>
        <v>1</v>
      </c>
      <c r="AL741" s="25">
        <f>IF(OR(Apresentação!$E$6='Base de Dados e filtragem'!AL$2,Apresentação!$E$6='Base de Dados e filtragem'!H741),1,0)</f>
        <v>1</v>
      </c>
      <c r="AM741" s="25">
        <f>IF(OR(Apresentação!$I$2='Base de Dados e filtragem'!AM$2,Apresentação!$I$2='Base de Dados e filtragem'!I741),1,0)</f>
        <v>1</v>
      </c>
      <c r="AN741" s="25">
        <f>IF(OR(Apresentação!$I$3='Base de Dados e filtragem'!AN$2,Apresentação!$I$3='Base de Dados e filtragem'!J741),1,0)</f>
        <v>1</v>
      </c>
      <c r="AO741" s="25">
        <f>IF(OR(Apresentação!$I$4='Base de Dados e filtragem'!AO$2,Apresentação!$I$4='Base de Dados e filtragem'!K741),1,0)</f>
        <v>1</v>
      </c>
      <c r="AP741" s="25">
        <f>IF(OR(Apresentação!$I$5='Base de Dados e filtragem'!AP$2,Apresentação!$I$5='Base de Dados e filtragem'!L741),1,0)</f>
        <v>1</v>
      </c>
      <c r="AQ741" s="25">
        <f>IF(OR(Apresentação!$I$6='Base de Dados e filtragem'!AQ$2,Apresentação!$I$6='Base de Dados e filtragem'!M741),1,0)</f>
        <v>1</v>
      </c>
      <c r="AR741" s="25">
        <v>1</v>
      </c>
      <c r="AS741" s="25">
        <v>1</v>
      </c>
      <c r="AT741" s="25">
        <v>1</v>
      </c>
      <c r="AU741" s="25">
        <v>1</v>
      </c>
      <c r="AV741" s="25">
        <v>1</v>
      </c>
      <c r="AW741" s="25">
        <v>1</v>
      </c>
      <c r="AX741" s="25">
        <v>1</v>
      </c>
      <c r="AY741" s="25">
        <v>1</v>
      </c>
      <c r="AZ741" s="25">
        <v>1</v>
      </c>
      <c r="BA741" s="25">
        <v>1</v>
      </c>
      <c r="BB741" s="25">
        <v>1</v>
      </c>
      <c r="BC741" s="25">
        <v>1</v>
      </c>
      <c r="BD741" s="25">
        <v>1</v>
      </c>
    </row>
    <row r="742" spans="27:56" x14ac:dyDescent="0.25">
      <c r="AA742" s="68" t="str">
        <f t="shared" si="45"/>
        <v>Fotos\\.jpg</v>
      </c>
      <c r="AB742" s="53">
        <f t="shared" si="46"/>
        <v>1.3477088948787063E-3</v>
      </c>
      <c r="AC742" s="25">
        <f t="shared" si="47"/>
        <v>742</v>
      </c>
      <c r="AD742" s="51">
        <f t="shared" si="48"/>
        <v>1</v>
      </c>
      <c r="AE742" s="25">
        <v>1</v>
      </c>
      <c r="AF742" s="25">
        <v>1</v>
      </c>
      <c r="AG742" s="25">
        <v>1</v>
      </c>
      <c r="AH742" s="25">
        <v>1</v>
      </c>
      <c r="AI742" s="25">
        <f>IF(OR(Apresentação!$E$3='Base de Dados e filtragem'!AI$2,Apresentação!$E$3='Base de Dados e filtragem'!E742),1,0)</f>
        <v>1</v>
      </c>
      <c r="AJ742" s="25">
        <f>IF(OR(Apresentação!$E$4='Base de Dados e filtragem'!AJ$2,Apresentação!$E$4='Base de Dados e filtragem'!F742),1,0)</f>
        <v>1</v>
      </c>
      <c r="AK742" s="25">
        <f>IF(OR(Apresentação!$E$5='Base de Dados e filtragem'!AK$2,Apresentação!$E$5='Base de Dados e filtragem'!G742),1,0)</f>
        <v>1</v>
      </c>
      <c r="AL742" s="25">
        <f>IF(OR(Apresentação!$E$6='Base de Dados e filtragem'!AL$2,Apresentação!$E$6='Base de Dados e filtragem'!H742),1,0)</f>
        <v>1</v>
      </c>
      <c r="AM742" s="25">
        <f>IF(OR(Apresentação!$I$2='Base de Dados e filtragem'!AM$2,Apresentação!$I$2='Base de Dados e filtragem'!I742),1,0)</f>
        <v>1</v>
      </c>
      <c r="AN742" s="25">
        <f>IF(OR(Apresentação!$I$3='Base de Dados e filtragem'!AN$2,Apresentação!$I$3='Base de Dados e filtragem'!J742),1,0)</f>
        <v>1</v>
      </c>
      <c r="AO742" s="25">
        <f>IF(OR(Apresentação!$I$4='Base de Dados e filtragem'!AO$2,Apresentação!$I$4='Base de Dados e filtragem'!K742),1,0)</f>
        <v>1</v>
      </c>
      <c r="AP742" s="25">
        <f>IF(OR(Apresentação!$I$5='Base de Dados e filtragem'!AP$2,Apresentação!$I$5='Base de Dados e filtragem'!L742),1,0)</f>
        <v>1</v>
      </c>
      <c r="AQ742" s="25">
        <f>IF(OR(Apresentação!$I$6='Base de Dados e filtragem'!AQ$2,Apresentação!$I$6='Base de Dados e filtragem'!M742),1,0)</f>
        <v>1</v>
      </c>
      <c r="AR742" s="25">
        <v>1</v>
      </c>
      <c r="AS742" s="25">
        <v>1</v>
      </c>
      <c r="AT742" s="25">
        <v>1</v>
      </c>
      <c r="AU742" s="25">
        <v>1</v>
      </c>
      <c r="AV742" s="25">
        <v>1</v>
      </c>
      <c r="AW742" s="25">
        <v>1</v>
      </c>
      <c r="AX742" s="25">
        <v>1</v>
      </c>
      <c r="AY742" s="25">
        <v>1</v>
      </c>
      <c r="AZ742" s="25">
        <v>1</v>
      </c>
      <c r="BA742" s="25">
        <v>1</v>
      </c>
      <c r="BB742" s="25">
        <v>1</v>
      </c>
      <c r="BC742" s="25">
        <v>1</v>
      </c>
      <c r="BD742" s="25">
        <v>1</v>
      </c>
    </row>
    <row r="743" spans="27:56" x14ac:dyDescent="0.25">
      <c r="AA743" s="68" t="str">
        <f t="shared" si="45"/>
        <v>Fotos\\.jpg</v>
      </c>
      <c r="AB743" s="53">
        <f t="shared" si="46"/>
        <v>1.3458950201884253E-3</v>
      </c>
      <c r="AC743" s="25">
        <f t="shared" si="47"/>
        <v>743</v>
      </c>
      <c r="AD743" s="51">
        <f t="shared" si="48"/>
        <v>1</v>
      </c>
      <c r="AE743" s="25">
        <v>1</v>
      </c>
      <c r="AF743" s="25">
        <v>1</v>
      </c>
      <c r="AG743" s="25">
        <v>1</v>
      </c>
      <c r="AH743" s="25">
        <v>1</v>
      </c>
      <c r="AI743" s="25">
        <f>IF(OR(Apresentação!$E$3='Base de Dados e filtragem'!AI$2,Apresentação!$E$3='Base de Dados e filtragem'!E743),1,0)</f>
        <v>1</v>
      </c>
      <c r="AJ743" s="25">
        <f>IF(OR(Apresentação!$E$4='Base de Dados e filtragem'!AJ$2,Apresentação!$E$4='Base de Dados e filtragem'!F743),1,0)</f>
        <v>1</v>
      </c>
      <c r="AK743" s="25">
        <f>IF(OR(Apresentação!$E$5='Base de Dados e filtragem'!AK$2,Apresentação!$E$5='Base de Dados e filtragem'!G743),1,0)</f>
        <v>1</v>
      </c>
      <c r="AL743" s="25">
        <f>IF(OR(Apresentação!$E$6='Base de Dados e filtragem'!AL$2,Apresentação!$E$6='Base de Dados e filtragem'!H743),1,0)</f>
        <v>1</v>
      </c>
      <c r="AM743" s="25">
        <f>IF(OR(Apresentação!$I$2='Base de Dados e filtragem'!AM$2,Apresentação!$I$2='Base de Dados e filtragem'!I743),1,0)</f>
        <v>1</v>
      </c>
      <c r="AN743" s="25">
        <f>IF(OR(Apresentação!$I$3='Base de Dados e filtragem'!AN$2,Apresentação!$I$3='Base de Dados e filtragem'!J743),1,0)</f>
        <v>1</v>
      </c>
      <c r="AO743" s="25">
        <f>IF(OR(Apresentação!$I$4='Base de Dados e filtragem'!AO$2,Apresentação!$I$4='Base de Dados e filtragem'!K743),1,0)</f>
        <v>1</v>
      </c>
      <c r="AP743" s="25">
        <f>IF(OR(Apresentação!$I$5='Base de Dados e filtragem'!AP$2,Apresentação!$I$5='Base de Dados e filtragem'!L743),1,0)</f>
        <v>1</v>
      </c>
      <c r="AQ743" s="25">
        <f>IF(OR(Apresentação!$I$6='Base de Dados e filtragem'!AQ$2,Apresentação!$I$6='Base de Dados e filtragem'!M743),1,0)</f>
        <v>1</v>
      </c>
      <c r="AR743" s="25">
        <v>1</v>
      </c>
      <c r="AS743" s="25">
        <v>1</v>
      </c>
      <c r="AT743" s="25">
        <v>1</v>
      </c>
      <c r="AU743" s="25">
        <v>1</v>
      </c>
      <c r="AV743" s="25">
        <v>1</v>
      </c>
      <c r="AW743" s="25">
        <v>1</v>
      </c>
      <c r="AX743" s="25">
        <v>1</v>
      </c>
      <c r="AY743" s="25">
        <v>1</v>
      </c>
      <c r="AZ743" s="25">
        <v>1</v>
      </c>
      <c r="BA743" s="25">
        <v>1</v>
      </c>
      <c r="BB743" s="25">
        <v>1</v>
      </c>
      <c r="BC743" s="25">
        <v>1</v>
      </c>
      <c r="BD743" s="25">
        <v>1</v>
      </c>
    </row>
    <row r="744" spans="27:56" x14ac:dyDescent="0.25">
      <c r="AA744" s="68" t="str">
        <f t="shared" si="45"/>
        <v>Fotos\\.jpg</v>
      </c>
      <c r="AB744" s="53">
        <f t="shared" si="46"/>
        <v>1.3440860215053765E-3</v>
      </c>
      <c r="AC744" s="25">
        <f t="shared" si="47"/>
        <v>744</v>
      </c>
      <c r="AD744" s="51">
        <f t="shared" si="48"/>
        <v>1</v>
      </c>
      <c r="AE744" s="25">
        <v>1</v>
      </c>
      <c r="AF744" s="25">
        <v>1</v>
      </c>
      <c r="AG744" s="25">
        <v>1</v>
      </c>
      <c r="AH744" s="25">
        <v>1</v>
      </c>
      <c r="AI744" s="25">
        <f>IF(OR(Apresentação!$E$3='Base de Dados e filtragem'!AI$2,Apresentação!$E$3='Base de Dados e filtragem'!E744),1,0)</f>
        <v>1</v>
      </c>
      <c r="AJ744" s="25">
        <f>IF(OR(Apresentação!$E$4='Base de Dados e filtragem'!AJ$2,Apresentação!$E$4='Base de Dados e filtragem'!F744),1,0)</f>
        <v>1</v>
      </c>
      <c r="AK744" s="25">
        <f>IF(OR(Apresentação!$E$5='Base de Dados e filtragem'!AK$2,Apresentação!$E$5='Base de Dados e filtragem'!G744),1,0)</f>
        <v>1</v>
      </c>
      <c r="AL744" s="25">
        <f>IF(OR(Apresentação!$E$6='Base de Dados e filtragem'!AL$2,Apresentação!$E$6='Base de Dados e filtragem'!H744),1,0)</f>
        <v>1</v>
      </c>
      <c r="AM744" s="25">
        <f>IF(OR(Apresentação!$I$2='Base de Dados e filtragem'!AM$2,Apresentação!$I$2='Base de Dados e filtragem'!I744),1,0)</f>
        <v>1</v>
      </c>
      <c r="AN744" s="25">
        <f>IF(OR(Apresentação!$I$3='Base de Dados e filtragem'!AN$2,Apresentação!$I$3='Base de Dados e filtragem'!J744),1,0)</f>
        <v>1</v>
      </c>
      <c r="AO744" s="25">
        <f>IF(OR(Apresentação!$I$4='Base de Dados e filtragem'!AO$2,Apresentação!$I$4='Base de Dados e filtragem'!K744),1,0)</f>
        <v>1</v>
      </c>
      <c r="AP744" s="25">
        <f>IF(OR(Apresentação!$I$5='Base de Dados e filtragem'!AP$2,Apresentação!$I$5='Base de Dados e filtragem'!L744),1,0)</f>
        <v>1</v>
      </c>
      <c r="AQ744" s="25">
        <f>IF(OR(Apresentação!$I$6='Base de Dados e filtragem'!AQ$2,Apresentação!$I$6='Base de Dados e filtragem'!M744),1,0)</f>
        <v>1</v>
      </c>
      <c r="AR744" s="25">
        <v>1</v>
      </c>
      <c r="AS744" s="25">
        <v>1</v>
      </c>
      <c r="AT744" s="25">
        <v>1</v>
      </c>
      <c r="AU744" s="25">
        <v>1</v>
      </c>
      <c r="AV744" s="25">
        <v>1</v>
      </c>
      <c r="AW744" s="25">
        <v>1</v>
      </c>
      <c r="AX744" s="25">
        <v>1</v>
      </c>
      <c r="AY744" s="25">
        <v>1</v>
      </c>
      <c r="AZ744" s="25">
        <v>1</v>
      </c>
      <c r="BA744" s="25">
        <v>1</v>
      </c>
      <c r="BB744" s="25">
        <v>1</v>
      </c>
      <c r="BC744" s="25">
        <v>1</v>
      </c>
      <c r="BD744" s="25">
        <v>1</v>
      </c>
    </row>
    <row r="745" spans="27:56" x14ac:dyDescent="0.25">
      <c r="AA745" s="68" t="str">
        <f t="shared" si="45"/>
        <v>Fotos\\.jpg</v>
      </c>
      <c r="AB745" s="53">
        <f t="shared" si="46"/>
        <v>1.3422818791946308E-3</v>
      </c>
      <c r="AC745" s="25">
        <f t="shared" si="47"/>
        <v>745</v>
      </c>
      <c r="AD745" s="51">
        <f t="shared" si="48"/>
        <v>1</v>
      </c>
      <c r="AE745" s="25">
        <v>1</v>
      </c>
      <c r="AF745" s="25">
        <v>1</v>
      </c>
      <c r="AG745" s="25">
        <v>1</v>
      </c>
      <c r="AH745" s="25">
        <v>1</v>
      </c>
      <c r="AI745" s="25">
        <f>IF(OR(Apresentação!$E$3='Base de Dados e filtragem'!AI$2,Apresentação!$E$3='Base de Dados e filtragem'!E745),1,0)</f>
        <v>1</v>
      </c>
      <c r="AJ745" s="25">
        <f>IF(OR(Apresentação!$E$4='Base de Dados e filtragem'!AJ$2,Apresentação!$E$4='Base de Dados e filtragem'!F745),1,0)</f>
        <v>1</v>
      </c>
      <c r="AK745" s="25">
        <f>IF(OR(Apresentação!$E$5='Base de Dados e filtragem'!AK$2,Apresentação!$E$5='Base de Dados e filtragem'!G745),1,0)</f>
        <v>1</v>
      </c>
      <c r="AL745" s="25">
        <f>IF(OR(Apresentação!$E$6='Base de Dados e filtragem'!AL$2,Apresentação!$E$6='Base de Dados e filtragem'!H745),1,0)</f>
        <v>1</v>
      </c>
      <c r="AM745" s="25">
        <f>IF(OR(Apresentação!$I$2='Base de Dados e filtragem'!AM$2,Apresentação!$I$2='Base de Dados e filtragem'!I745),1,0)</f>
        <v>1</v>
      </c>
      <c r="AN745" s="25">
        <f>IF(OR(Apresentação!$I$3='Base de Dados e filtragem'!AN$2,Apresentação!$I$3='Base de Dados e filtragem'!J745),1,0)</f>
        <v>1</v>
      </c>
      <c r="AO745" s="25">
        <f>IF(OR(Apresentação!$I$4='Base de Dados e filtragem'!AO$2,Apresentação!$I$4='Base de Dados e filtragem'!K745),1,0)</f>
        <v>1</v>
      </c>
      <c r="AP745" s="25">
        <f>IF(OR(Apresentação!$I$5='Base de Dados e filtragem'!AP$2,Apresentação!$I$5='Base de Dados e filtragem'!L745),1,0)</f>
        <v>1</v>
      </c>
      <c r="AQ745" s="25">
        <f>IF(OR(Apresentação!$I$6='Base de Dados e filtragem'!AQ$2,Apresentação!$I$6='Base de Dados e filtragem'!M745),1,0)</f>
        <v>1</v>
      </c>
      <c r="AR745" s="25">
        <v>1</v>
      </c>
      <c r="AS745" s="25">
        <v>1</v>
      </c>
      <c r="AT745" s="25">
        <v>1</v>
      </c>
      <c r="AU745" s="25">
        <v>1</v>
      </c>
      <c r="AV745" s="25">
        <v>1</v>
      </c>
      <c r="AW745" s="25">
        <v>1</v>
      </c>
      <c r="AX745" s="25">
        <v>1</v>
      </c>
      <c r="AY745" s="25">
        <v>1</v>
      </c>
      <c r="AZ745" s="25">
        <v>1</v>
      </c>
      <c r="BA745" s="25">
        <v>1</v>
      </c>
      <c r="BB745" s="25">
        <v>1</v>
      </c>
      <c r="BC745" s="25">
        <v>1</v>
      </c>
      <c r="BD745" s="25">
        <v>1</v>
      </c>
    </row>
    <row r="746" spans="27:56" x14ac:dyDescent="0.25">
      <c r="AA746" s="68" t="str">
        <f t="shared" si="45"/>
        <v>Fotos\\.jpg</v>
      </c>
      <c r="AB746" s="53">
        <f t="shared" si="46"/>
        <v>1.3404825737265416E-3</v>
      </c>
      <c r="AC746" s="25">
        <f t="shared" si="47"/>
        <v>746</v>
      </c>
      <c r="AD746" s="51">
        <f t="shared" si="48"/>
        <v>1</v>
      </c>
      <c r="AE746" s="25">
        <v>1</v>
      </c>
      <c r="AF746" s="25">
        <v>1</v>
      </c>
      <c r="AG746" s="25">
        <v>1</v>
      </c>
      <c r="AH746" s="25">
        <v>1</v>
      </c>
      <c r="AI746" s="25">
        <f>IF(OR(Apresentação!$E$3='Base de Dados e filtragem'!AI$2,Apresentação!$E$3='Base de Dados e filtragem'!E746),1,0)</f>
        <v>1</v>
      </c>
      <c r="AJ746" s="25">
        <f>IF(OR(Apresentação!$E$4='Base de Dados e filtragem'!AJ$2,Apresentação!$E$4='Base de Dados e filtragem'!F746),1,0)</f>
        <v>1</v>
      </c>
      <c r="AK746" s="25">
        <f>IF(OR(Apresentação!$E$5='Base de Dados e filtragem'!AK$2,Apresentação!$E$5='Base de Dados e filtragem'!G746),1,0)</f>
        <v>1</v>
      </c>
      <c r="AL746" s="25">
        <f>IF(OR(Apresentação!$E$6='Base de Dados e filtragem'!AL$2,Apresentação!$E$6='Base de Dados e filtragem'!H746),1,0)</f>
        <v>1</v>
      </c>
      <c r="AM746" s="25">
        <f>IF(OR(Apresentação!$I$2='Base de Dados e filtragem'!AM$2,Apresentação!$I$2='Base de Dados e filtragem'!I746),1,0)</f>
        <v>1</v>
      </c>
      <c r="AN746" s="25">
        <f>IF(OR(Apresentação!$I$3='Base de Dados e filtragem'!AN$2,Apresentação!$I$3='Base de Dados e filtragem'!J746),1,0)</f>
        <v>1</v>
      </c>
      <c r="AO746" s="25">
        <f>IF(OR(Apresentação!$I$4='Base de Dados e filtragem'!AO$2,Apresentação!$I$4='Base de Dados e filtragem'!K746),1,0)</f>
        <v>1</v>
      </c>
      <c r="AP746" s="25">
        <f>IF(OR(Apresentação!$I$5='Base de Dados e filtragem'!AP$2,Apresentação!$I$5='Base de Dados e filtragem'!L746),1,0)</f>
        <v>1</v>
      </c>
      <c r="AQ746" s="25">
        <f>IF(OR(Apresentação!$I$6='Base de Dados e filtragem'!AQ$2,Apresentação!$I$6='Base de Dados e filtragem'!M746),1,0)</f>
        <v>1</v>
      </c>
      <c r="AR746" s="25">
        <v>1</v>
      </c>
      <c r="AS746" s="25">
        <v>1</v>
      </c>
      <c r="AT746" s="25">
        <v>1</v>
      </c>
      <c r="AU746" s="25">
        <v>1</v>
      </c>
      <c r="AV746" s="25">
        <v>1</v>
      </c>
      <c r="AW746" s="25">
        <v>1</v>
      </c>
      <c r="AX746" s="25">
        <v>1</v>
      </c>
      <c r="AY746" s="25">
        <v>1</v>
      </c>
      <c r="AZ746" s="25">
        <v>1</v>
      </c>
      <c r="BA746" s="25">
        <v>1</v>
      </c>
      <c r="BB746" s="25">
        <v>1</v>
      </c>
      <c r="BC746" s="25">
        <v>1</v>
      </c>
      <c r="BD746" s="25">
        <v>1</v>
      </c>
    </row>
    <row r="747" spans="27:56" x14ac:dyDescent="0.25">
      <c r="AA747" s="68" t="str">
        <f t="shared" si="45"/>
        <v>Fotos\\.jpg</v>
      </c>
      <c r="AB747" s="53">
        <f t="shared" si="46"/>
        <v>1.3386880856760374E-3</v>
      </c>
      <c r="AC747" s="25">
        <f t="shared" si="47"/>
        <v>747</v>
      </c>
      <c r="AD747" s="51">
        <f t="shared" si="48"/>
        <v>1</v>
      </c>
      <c r="AE747" s="25">
        <v>1</v>
      </c>
      <c r="AF747" s="25">
        <v>1</v>
      </c>
      <c r="AG747" s="25">
        <v>1</v>
      </c>
      <c r="AH747" s="25">
        <v>1</v>
      </c>
      <c r="AI747" s="25">
        <f>IF(OR(Apresentação!$E$3='Base de Dados e filtragem'!AI$2,Apresentação!$E$3='Base de Dados e filtragem'!E747),1,0)</f>
        <v>1</v>
      </c>
      <c r="AJ747" s="25">
        <f>IF(OR(Apresentação!$E$4='Base de Dados e filtragem'!AJ$2,Apresentação!$E$4='Base de Dados e filtragem'!F747),1,0)</f>
        <v>1</v>
      </c>
      <c r="AK747" s="25">
        <f>IF(OR(Apresentação!$E$5='Base de Dados e filtragem'!AK$2,Apresentação!$E$5='Base de Dados e filtragem'!G747),1,0)</f>
        <v>1</v>
      </c>
      <c r="AL747" s="25">
        <f>IF(OR(Apresentação!$E$6='Base de Dados e filtragem'!AL$2,Apresentação!$E$6='Base de Dados e filtragem'!H747),1,0)</f>
        <v>1</v>
      </c>
      <c r="AM747" s="25">
        <f>IF(OR(Apresentação!$I$2='Base de Dados e filtragem'!AM$2,Apresentação!$I$2='Base de Dados e filtragem'!I747),1,0)</f>
        <v>1</v>
      </c>
      <c r="AN747" s="25">
        <f>IF(OR(Apresentação!$I$3='Base de Dados e filtragem'!AN$2,Apresentação!$I$3='Base de Dados e filtragem'!J747),1,0)</f>
        <v>1</v>
      </c>
      <c r="AO747" s="25">
        <f>IF(OR(Apresentação!$I$4='Base de Dados e filtragem'!AO$2,Apresentação!$I$4='Base de Dados e filtragem'!K747),1,0)</f>
        <v>1</v>
      </c>
      <c r="AP747" s="25">
        <f>IF(OR(Apresentação!$I$5='Base de Dados e filtragem'!AP$2,Apresentação!$I$5='Base de Dados e filtragem'!L747),1,0)</f>
        <v>1</v>
      </c>
      <c r="AQ747" s="25">
        <f>IF(OR(Apresentação!$I$6='Base de Dados e filtragem'!AQ$2,Apresentação!$I$6='Base de Dados e filtragem'!M747),1,0)</f>
        <v>1</v>
      </c>
      <c r="AR747" s="25">
        <v>1</v>
      </c>
      <c r="AS747" s="25">
        <v>1</v>
      </c>
      <c r="AT747" s="25">
        <v>1</v>
      </c>
      <c r="AU747" s="25">
        <v>1</v>
      </c>
      <c r="AV747" s="25">
        <v>1</v>
      </c>
      <c r="AW747" s="25">
        <v>1</v>
      </c>
      <c r="AX747" s="25">
        <v>1</v>
      </c>
      <c r="AY747" s="25">
        <v>1</v>
      </c>
      <c r="AZ747" s="25">
        <v>1</v>
      </c>
      <c r="BA747" s="25">
        <v>1</v>
      </c>
      <c r="BB747" s="25">
        <v>1</v>
      </c>
      <c r="BC747" s="25">
        <v>1</v>
      </c>
      <c r="BD747" s="25">
        <v>1</v>
      </c>
    </row>
    <row r="748" spans="27:56" x14ac:dyDescent="0.25">
      <c r="AA748" s="68" t="str">
        <f t="shared" si="45"/>
        <v>Fotos\\.jpg</v>
      </c>
      <c r="AB748" s="53">
        <f t="shared" si="46"/>
        <v>1.3368983957219251E-3</v>
      </c>
      <c r="AC748" s="25">
        <f t="shared" si="47"/>
        <v>748</v>
      </c>
      <c r="AD748" s="51">
        <f t="shared" si="48"/>
        <v>1</v>
      </c>
      <c r="AE748" s="25">
        <v>1</v>
      </c>
      <c r="AF748" s="25">
        <v>1</v>
      </c>
      <c r="AG748" s="25">
        <v>1</v>
      </c>
      <c r="AH748" s="25">
        <v>1</v>
      </c>
      <c r="AI748" s="25">
        <f>IF(OR(Apresentação!$E$3='Base de Dados e filtragem'!AI$2,Apresentação!$E$3='Base de Dados e filtragem'!E748),1,0)</f>
        <v>1</v>
      </c>
      <c r="AJ748" s="25">
        <f>IF(OR(Apresentação!$E$4='Base de Dados e filtragem'!AJ$2,Apresentação!$E$4='Base de Dados e filtragem'!F748),1,0)</f>
        <v>1</v>
      </c>
      <c r="AK748" s="25">
        <f>IF(OR(Apresentação!$E$5='Base de Dados e filtragem'!AK$2,Apresentação!$E$5='Base de Dados e filtragem'!G748),1,0)</f>
        <v>1</v>
      </c>
      <c r="AL748" s="25">
        <f>IF(OR(Apresentação!$E$6='Base de Dados e filtragem'!AL$2,Apresentação!$E$6='Base de Dados e filtragem'!H748),1,0)</f>
        <v>1</v>
      </c>
      <c r="AM748" s="25">
        <f>IF(OR(Apresentação!$I$2='Base de Dados e filtragem'!AM$2,Apresentação!$I$2='Base de Dados e filtragem'!I748),1,0)</f>
        <v>1</v>
      </c>
      <c r="AN748" s="25">
        <f>IF(OR(Apresentação!$I$3='Base de Dados e filtragem'!AN$2,Apresentação!$I$3='Base de Dados e filtragem'!J748),1,0)</f>
        <v>1</v>
      </c>
      <c r="AO748" s="25">
        <f>IF(OR(Apresentação!$I$4='Base de Dados e filtragem'!AO$2,Apresentação!$I$4='Base de Dados e filtragem'!K748),1,0)</f>
        <v>1</v>
      </c>
      <c r="AP748" s="25">
        <f>IF(OR(Apresentação!$I$5='Base de Dados e filtragem'!AP$2,Apresentação!$I$5='Base de Dados e filtragem'!L748),1,0)</f>
        <v>1</v>
      </c>
      <c r="AQ748" s="25">
        <f>IF(OR(Apresentação!$I$6='Base de Dados e filtragem'!AQ$2,Apresentação!$I$6='Base de Dados e filtragem'!M748),1,0)</f>
        <v>1</v>
      </c>
      <c r="AR748" s="25">
        <v>1</v>
      </c>
      <c r="AS748" s="25">
        <v>1</v>
      </c>
      <c r="AT748" s="25">
        <v>1</v>
      </c>
      <c r="AU748" s="25">
        <v>1</v>
      </c>
      <c r="AV748" s="25">
        <v>1</v>
      </c>
      <c r="AW748" s="25">
        <v>1</v>
      </c>
      <c r="AX748" s="25">
        <v>1</v>
      </c>
      <c r="AY748" s="25">
        <v>1</v>
      </c>
      <c r="AZ748" s="25">
        <v>1</v>
      </c>
      <c r="BA748" s="25">
        <v>1</v>
      </c>
      <c r="BB748" s="25">
        <v>1</v>
      </c>
      <c r="BC748" s="25">
        <v>1</v>
      </c>
      <c r="BD748" s="25">
        <v>1</v>
      </c>
    </row>
    <row r="749" spans="27:56" x14ac:dyDescent="0.25">
      <c r="AA749" s="68" t="str">
        <f t="shared" si="45"/>
        <v>Fotos\\.jpg</v>
      </c>
      <c r="AB749" s="53">
        <f t="shared" si="46"/>
        <v>1.3351134846461949E-3</v>
      </c>
      <c r="AC749" s="25">
        <f t="shared" si="47"/>
        <v>749</v>
      </c>
      <c r="AD749" s="51">
        <f t="shared" si="48"/>
        <v>1</v>
      </c>
      <c r="AE749" s="25">
        <v>1</v>
      </c>
      <c r="AF749" s="25">
        <v>1</v>
      </c>
      <c r="AG749" s="25">
        <v>1</v>
      </c>
      <c r="AH749" s="25">
        <v>1</v>
      </c>
      <c r="AI749" s="25">
        <f>IF(OR(Apresentação!$E$3='Base de Dados e filtragem'!AI$2,Apresentação!$E$3='Base de Dados e filtragem'!E749),1,0)</f>
        <v>1</v>
      </c>
      <c r="AJ749" s="25">
        <f>IF(OR(Apresentação!$E$4='Base de Dados e filtragem'!AJ$2,Apresentação!$E$4='Base de Dados e filtragem'!F749),1,0)</f>
        <v>1</v>
      </c>
      <c r="AK749" s="25">
        <f>IF(OR(Apresentação!$E$5='Base de Dados e filtragem'!AK$2,Apresentação!$E$5='Base de Dados e filtragem'!G749),1,0)</f>
        <v>1</v>
      </c>
      <c r="AL749" s="25">
        <f>IF(OR(Apresentação!$E$6='Base de Dados e filtragem'!AL$2,Apresentação!$E$6='Base de Dados e filtragem'!H749),1,0)</f>
        <v>1</v>
      </c>
      <c r="AM749" s="25">
        <f>IF(OR(Apresentação!$I$2='Base de Dados e filtragem'!AM$2,Apresentação!$I$2='Base de Dados e filtragem'!I749),1,0)</f>
        <v>1</v>
      </c>
      <c r="AN749" s="25">
        <f>IF(OR(Apresentação!$I$3='Base de Dados e filtragem'!AN$2,Apresentação!$I$3='Base de Dados e filtragem'!J749),1,0)</f>
        <v>1</v>
      </c>
      <c r="AO749" s="25">
        <f>IF(OR(Apresentação!$I$4='Base de Dados e filtragem'!AO$2,Apresentação!$I$4='Base de Dados e filtragem'!K749),1,0)</f>
        <v>1</v>
      </c>
      <c r="AP749" s="25">
        <f>IF(OR(Apresentação!$I$5='Base de Dados e filtragem'!AP$2,Apresentação!$I$5='Base de Dados e filtragem'!L749),1,0)</f>
        <v>1</v>
      </c>
      <c r="AQ749" s="25">
        <f>IF(OR(Apresentação!$I$6='Base de Dados e filtragem'!AQ$2,Apresentação!$I$6='Base de Dados e filtragem'!M749),1,0)</f>
        <v>1</v>
      </c>
      <c r="AR749" s="25">
        <v>1</v>
      </c>
      <c r="AS749" s="25">
        <v>1</v>
      </c>
      <c r="AT749" s="25">
        <v>1</v>
      </c>
      <c r="AU749" s="25">
        <v>1</v>
      </c>
      <c r="AV749" s="25">
        <v>1</v>
      </c>
      <c r="AW749" s="25">
        <v>1</v>
      </c>
      <c r="AX749" s="25">
        <v>1</v>
      </c>
      <c r="AY749" s="25">
        <v>1</v>
      </c>
      <c r="AZ749" s="25">
        <v>1</v>
      </c>
      <c r="BA749" s="25">
        <v>1</v>
      </c>
      <c r="BB749" s="25">
        <v>1</v>
      </c>
      <c r="BC749" s="25">
        <v>1</v>
      </c>
      <c r="BD749" s="25">
        <v>1</v>
      </c>
    </row>
    <row r="750" spans="27:56" x14ac:dyDescent="0.25">
      <c r="AA750" s="68" t="str">
        <f t="shared" si="45"/>
        <v>Fotos\\.jpg</v>
      </c>
      <c r="AB750" s="53">
        <f t="shared" si="46"/>
        <v>1.3333333333333333E-3</v>
      </c>
      <c r="AC750" s="25">
        <f t="shared" si="47"/>
        <v>750</v>
      </c>
      <c r="AD750" s="51">
        <f t="shared" si="48"/>
        <v>1</v>
      </c>
      <c r="AE750" s="25">
        <v>1</v>
      </c>
      <c r="AF750" s="25">
        <v>1</v>
      </c>
      <c r="AG750" s="25">
        <v>1</v>
      </c>
      <c r="AH750" s="25">
        <v>1</v>
      </c>
      <c r="AI750" s="25">
        <f>IF(OR(Apresentação!$E$3='Base de Dados e filtragem'!AI$2,Apresentação!$E$3='Base de Dados e filtragem'!E750),1,0)</f>
        <v>1</v>
      </c>
      <c r="AJ750" s="25">
        <f>IF(OR(Apresentação!$E$4='Base de Dados e filtragem'!AJ$2,Apresentação!$E$4='Base de Dados e filtragem'!F750),1,0)</f>
        <v>1</v>
      </c>
      <c r="AK750" s="25">
        <f>IF(OR(Apresentação!$E$5='Base de Dados e filtragem'!AK$2,Apresentação!$E$5='Base de Dados e filtragem'!G750),1,0)</f>
        <v>1</v>
      </c>
      <c r="AL750" s="25">
        <f>IF(OR(Apresentação!$E$6='Base de Dados e filtragem'!AL$2,Apresentação!$E$6='Base de Dados e filtragem'!H750),1,0)</f>
        <v>1</v>
      </c>
      <c r="AM750" s="25">
        <f>IF(OR(Apresentação!$I$2='Base de Dados e filtragem'!AM$2,Apresentação!$I$2='Base de Dados e filtragem'!I750),1,0)</f>
        <v>1</v>
      </c>
      <c r="AN750" s="25">
        <f>IF(OR(Apresentação!$I$3='Base de Dados e filtragem'!AN$2,Apresentação!$I$3='Base de Dados e filtragem'!J750),1,0)</f>
        <v>1</v>
      </c>
      <c r="AO750" s="25">
        <f>IF(OR(Apresentação!$I$4='Base de Dados e filtragem'!AO$2,Apresentação!$I$4='Base de Dados e filtragem'!K750),1,0)</f>
        <v>1</v>
      </c>
      <c r="AP750" s="25">
        <f>IF(OR(Apresentação!$I$5='Base de Dados e filtragem'!AP$2,Apresentação!$I$5='Base de Dados e filtragem'!L750),1,0)</f>
        <v>1</v>
      </c>
      <c r="AQ750" s="25">
        <f>IF(OR(Apresentação!$I$6='Base de Dados e filtragem'!AQ$2,Apresentação!$I$6='Base de Dados e filtragem'!M750),1,0)</f>
        <v>1</v>
      </c>
      <c r="AR750" s="25">
        <v>1</v>
      </c>
      <c r="AS750" s="25">
        <v>1</v>
      </c>
      <c r="AT750" s="25">
        <v>1</v>
      </c>
      <c r="AU750" s="25">
        <v>1</v>
      </c>
      <c r="AV750" s="25">
        <v>1</v>
      </c>
      <c r="AW750" s="25">
        <v>1</v>
      </c>
      <c r="AX750" s="25">
        <v>1</v>
      </c>
      <c r="AY750" s="25">
        <v>1</v>
      </c>
      <c r="AZ750" s="25">
        <v>1</v>
      </c>
      <c r="BA750" s="25">
        <v>1</v>
      </c>
      <c r="BB750" s="25">
        <v>1</v>
      </c>
      <c r="BC750" s="25">
        <v>1</v>
      </c>
      <c r="BD750" s="25">
        <v>1</v>
      </c>
    </row>
    <row r="751" spans="27:56" x14ac:dyDescent="0.25">
      <c r="AA751" s="68" t="str">
        <f t="shared" si="45"/>
        <v>Fotos\\.jpg</v>
      </c>
      <c r="AB751" s="53">
        <f t="shared" si="46"/>
        <v>1.3315579227696406E-3</v>
      </c>
      <c r="AC751" s="25">
        <f t="shared" si="47"/>
        <v>751</v>
      </c>
      <c r="AD751" s="51">
        <f t="shared" si="48"/>
        <v>1</v>
      </c>
      <c r="AE751" s="25">
        <v>1</v>
      </c>
      <c r="AF751" s="25">
        <v>1</v>
      </c>
      <c r="AG751" s="25">
        <v>1</v>
      </c>
      <c r="AH751" s="25">
        <v>1</v>
      </c>
      <c r="AI751" s="25">
        <f>IF(OR(Apresentação!$E$3='Base de Dados e filtragem'!AI$2,Apresentação!$E$3='Base de Dados e filtragem'!E751),1,0)</f>
        <v>1</v>
      </c>
      <c r="AJ751" s="25">
        <f>IF(OR(Apresentação!$E$4='Base de Dados e filtragem'!AJ$2,Apresentação!$E$4='Base de Dados e filtragem'!F751),1,0)</f>
        <v>1</v>
      </c>
      <c r="AK751" s="25">
        <f>IF(OR(Apresentação!$E$5='Base de Dados e filtragem'!AK$2,Apresentação!$E$5='Base de Dados e filtragem'!G751),1,0)</f>
        <v>1</v>
      </c>
      <c r="AL751" s="25">
        <f>IF(OR(Apresentação!$E$6='Base de Dados e filtragem'!AL$2,Apresentação!$E$6='Base de Dados e filtragem'!H751),1,0)</f>
        <v>1</v>
      </c>
      <c r="AM751" s="25">
        <f>IF(OR(Apresentação!$I$2='Base de Dados e filtragem'!AM$2,Apresentação!$I$2='Base de Dados e filtragem'!I751),1,0)</f>
        <v>1</v>
      </c>
      <c r="AN751" s="25">
        <f>IF(OR(Apresentação!$I$3='Base de Dados e filtragem'!AN$2,Apresentação!$I$3='Base de Dados e filtragem'!J751),1,0)</f>
        <v>1</v>
      </c>
      <c r="AO751" s="25">
        <f>IF(OR(Apresentação!$I$4='Base de Dados e filtragem'!AO$2,Apresentação!$I$4='Base de Dados e filtragem'!K751),1,0)</f>
        <v>1</v>
      </c>
      <c r="AP751" s="25">
        <f>IF(OR(Apresentação!$I$5='Base de Dados e filtragem'!AP$2,Apresentação!$I$5='Base de Dados e filtragem'!L751),1,0)</f>
        <v>1</v>
      </c>
      <c r="AQ751" s="25">
        <f>IF(OR(Apresentação!$I$6='Base de Dados e filtragem'!AQ$2,Apresentação!$I$6='Base de Dados e filtragem'!M751),1,0)</f>
        <v>1</v>
      </c>
      <c r="AR751" s="25">
        <v>1</v>
      </c>
      <c r="AS751" s="25">
        <v>1</v>
      </c>
      <c r="AT751" s="25">
        <v>1</v>
      </c>
      <c r="AU751" s="25">
        <v>1</v>
      </c>
      <c r="AV751" s="25">
        <v>1</v>
      </c>
      <c r="AW751" s="25">
        <v>1</v>
      </c>
      <c r="AX751" s="25">
        <v>1</v>
      </c>
      <c r="AY751" s="25">
        <v>1</v>
      </c>
      <c r="AZ751" s="25">
        <v>1</v>
      </c>
      <c r="BA751" s="25">
        <v>1</v>
      </c>
      <c r="BB751" s="25">
        <v>1</v>
      </c>
      <c r="BC751" s="25">
        <v>1</v>
      </c>
      <c r="BD751" s="25">
        <v>1</v>
      </c>
    </row>
    <row r="752" spans="27:56" x14ac:dyDescent="0.25">
      <c r="AA752" s="68" t="str">
        <f t="shared" si="45"/>
        <v>Fotos\\.jpg</v>
      </c>
      <c r="AB752" s="53">
        <f t="shared" si="46"/>
        <v>1.3297872340425532E-3</v>
      </c>
      <c r="AC752" s="25">
        <f t="shared" si="47"/>
        <v>752</v>
      </c>
      <c r="AD752" s="51">
        <f t="shared" si="48"/>
        <v>1</v>
      </c>
      <c r="AE752" s="25">
        <v>1</v>
      </c>
      <c r="AF752" s="25">
        <v>1</v>
      </c>
      <c r="AG752" s="25">
        <v>1</v>
      </c>
      <c r="AH752" s="25">
        <v>1</v>
      </c>
      <c r="AI752" s="25">
        <f>IF(OR(Apresentação!$E$3='Base de Dados e filtragem'!AI$2,Apresentação!$E$3='Base de Dados e filtragem'!E752),1,0)</f>
        <v>1</v>
      </c>
      <c r="AJ752" s="25">
        <f>IF(OR(Apresentação!$E$4='Base de Dados e filtragem'!AJ$2,Apresentação!$E$4='Base de Dados e filtragem'!F752),1,0)</f>
        <v>1</v>
      </c>
      <c r="AK752" s="25">
        <f>IF(OR(Apresentação!$E$5='Base de Dados e filtragem'!AK$2,Apresentação!$E$5='Base de Dados e filtragem'!G752),1,0)</f>
        <v>1</v>
      </c>
      <c r="AL752" s="25">
        <f>IF(OR(Apresentação!$E$6='Base de Dados e filtragem'!AL$2,Apresentação!$E$6='Base de Dados e filtragem'!H752),1,0)</f>
        <v>1</v>
      </c>
      <c r="AM752" s="25">
        <f>IF(OR(Apresentação!$I$2='Base de Dados e filtragem'!AM$2,Apresentação!$I$2='Base de Dados e filtragem'!I752),1,0)</f>
        <v>1</v>
      </c>
      <c r="AN752" s="25">
        <f>IF(OR(Apresentação!$I$3='Base de Dados e filtragem'!AN$2,Apresentação!$I$3='Base de Dados e filtragem'!J752),1,0)</f>
        <v>1</v>
      </c>
      <c r="AO752" s="25">
        <f>IF(OR(Apresentação!$I$4='Base de Dados e filtragem'!AO$2,Apresentação!$I$4='Base de Dados e filtragem'!K752),1,0)</f>
        <v>1</v>
      </c>
      <c r="AP752" s="25">
        <f>IF(OR(Apresentação!$I$5='Base de Dados e filtragem'!AP$2,Apresentação!$I$5='Base de Dados e filtragem'!L752),1,0)</f>
        <v>1</v>
      </c>
      <c r="AQ752" s="25">
        <f>IF(OR(Apresentação!$I$6='Base de Dados e filtragem'!AQ$2,Apresentação!$I$6='Base de Dados e filtragem'!M752),1,0)</f>
        <v>1</v>
      </c>
      <c r="AR752" s="25">
        <v>1</v>
      </c>
      <c r="AS752" s="25">
        <v>1</v>
      </c>
      <c r="AT752" s="25">
        <v>1</v>
      </c>
      <c r="AU752" s="25">
        <v>1</v>
      </c>
      <c r="AV752" s="25">
        <v>1</v>
      </c>
      <c r="AW752" s="25">
        <v>1</v>
      </c>
      <c r="AX752" s="25">
        <v>1</v>
      </c>
      <c r="AY752" s="25">
        <v>1</v>
      </c>
      <c r="AZ752" s="25">
        <v>1</v>
      </c>
      <c r="BA752" s="25">
        <v>1</v>
      </c>
      <c r="BB752" s="25">
        <v>1</v>
      </c>
      <c r="BC752" s="25">
        <v>1</v>
      </c>
      <c r="BD752" s="25">
        <v>1</v>
      </c>
    </row>
    <row r="753" spans="27:56" x14ac:dyDescent="0.25">
      <c r="AA753" s="68" t="str">
        <f t="shared" si="45"/>
        <v>Fotos\\.jpg</v>
      </c>
      <c r="AB753" s="53">
        <f t="shared" si="46"/>
        <v>1.3280212483399733E-3</v>
      </c>
      <c r="AC753" s="25">
        <f t="shared" si="47"/>
        <v>753</v>
      </c>
      <c r="AD753" s="51">
        <f t="shared" si="48"/>
        <v>1</v>
      </c>
      <c r="AE753" s="25">
        <v>1</v>
      </c>
      <c r="AF753" s="25">
        <v>1</v>
      </c>
      <c r="AG753" s="25">
        <v>1</v>
      </c>
      <c r="AH753" s="25">
        <v>1</v>
      </c>
      <c r="AI753" s="25">
        <f>IF(OR(Apresentação!$E$3='Base de Dados e filtragem'!AI$2,Apresentação!$E$3='Base de Dados e filtragem'!E753),1,0)</f>
        <v>1</v>
      </c>
      <c r="AJ753" s="25">
        <f>IF(OR(Apresentação!$E$4='Base de Dados e filtragem'!AJ$2,Apresentação!$E$4='Base de Dados e filtragem'!F753),1,0)</f>
        <v>1</v>
      </c>
      <c r="AK753" s="25">
        <f>IF(OR(Apresentação!$E$5='Base de Dados e filtragem'!AK$2,Apresentação!$E$5='Base de Dados e filtragem'!G753),1,0)</f>
        <v>1</v>
      </c>
      <c r="AL753" s="25">
        <f>IF(OR(Apresentação!$E$6='Base de Dados e filtragem'!AL$2,Apresentação!$E$6='Base de Dados e filtragem'!H753),1,0)</f>
        <v>1</v>
      </c>
      <c r="AM753" s="25">
        <f>IF(OR(Apresentação!$I$2='Base de Dados e filtragem'!AM$2,Apresentação!$I$2='Base de Dados e filtragem'!I753),1,0)</f>
        <v>1</v>
      </c>
      <c r="AN753" s="25">
        <f>IF(OR(Apresentação!$I$3='Base de Dados e filtragem'!AN$2,Apresentação!$I$3='Base de Dados e filtragem'!J753),1,0)</f>
        <v>1</v>
      </c>
      <c r="AO753" s="25">
        <f>IF(OR(Apresentação!$I$4='Base de Dados e filtragem'!AO$2,Apresentação!$I$4='Base de Dados e filtragem'!K753),1,0)</f>
        <v>1</v>
      </c>
      <c r="AP753" s="25">
        <f>IF(OR(Apresentação!$I$5='Base de Dados e filtragem'!AP$2,Apresentação!$I$5='Base de Dados e filtragem'!L753),1,0)</f>
        <v>1</v>
      </c>
      <c r="AQ753" s="25">
        <f>IF(OR(Apresentação!$I$6='Base de Dados e filtragem'!AQ$2,Apresentação!$I$6='Base de Dados e filtragem'!M753),1,0)</f>
        <v>1</v>
      </c>
      <c r="AR753" s="25">
        <v>1</v>
      </c>
      <c r="AS753" s="25">
        <v>1</v>
      </c>
      <c r="AT753" s="25">
        <v>1</v>
      </c>
      <c r="AU753" s="25">
        <v>1</v>
      </c>
      <c r="AV753" s="25">
        <v>1</v>
      </c>
      <c r="AW753" s="25">
        <v>1</v>
      </c>
      <c r="AX753" s="25">
        <v>1</v>
      </c>
      <c r="AY753" s="25">
        <v>1</v>
      </c>
      <c r="AZ753" s="25">
        <v>1</v>
      </c>
      <c r="BA753" s="25">
        <v>1</v>
      </c>
      <c r="BB753" s="25">
        <v>1</v>
      </c>
      <c r="BC753" s="25">
        <v>1</v>
      </c>
      <c r="BD753" s="25">
        <v>1</v>
      </c>
    </row>
    <row r="754" spans="27:56" x14ac:dyDescent="0.25">
      <c r="AA754" s="68" t="str">
        <f t="shared" si="45"/>
        <v>Fotos\\.jpg</v>
      </c>
      <c r="AB754" s="53">
        <f t="shared" si="46"/>
        <v>1.3262599469496021E-3</v>
      </c>
      <c r="AC754" s="25">
        <f t="shared" si="47"/>
        <v>754</v>
      </c>
      <c r="AD754" s="51">
        <f t="shared" si="48"/>
        <v>1</v>
      </c>
      <c r="AE754" s="25">
        <v>1</v>
      </c>
      <c r="AF754" s="25">
        <v>1</v>
      </c>
      <c r="AG754" s="25">
        <v>1</v>
      </c>
      <c r="AH754" s="25">
        <v>1</v>
      </c>
      <c r="AI754" s="25">
        <f>IF(OR(Apresentação!$E$3='Base de Dados e filtragem'!AI$2,Apresentação!$E$3='Base de Dados e filtragem'!E754),1,0)</f>
        <v>1</v>
      </c>
      <c r="AJ754" s="25">
        <f>IF(OR(Apresentação!$E$4='Base de Dados e filtragem'!AJ$2,Apresentação!$E$4='Base de Dados e filtragem'!F754),1,0)</f>
        <v>1</v>
      </c>
      <c r="AK754" s="25">
        <f>IF(OR(Apresentação!$E$5='Base de Dados e filtragem'!AK$2,Apresentação!$E$5='Base de Dados e filtragem'!G754),1,0)</f>
        <v>1</v>
      </c>
      <c r="AL754" s="25">
        <f>IF(OR(Apresentação!$E$6='Base de Dados e filtragem'!AL$2,Apresentação!$E$6='Base de Dados e filtragem'!H754),1,0)</f>
        <v>1</v>
      </c>
      <c r="AM754" s="25">
        <f>IF(OR(Apresentação!$I$2='Base de Dados e filtragem'!AM$2,Apresentação!$I$2='Base de Dados e filtragem'!I754),1,0)</f>
        <v>1</v>
      </c>
      <c r="AN754" s="25">
        <f>IF(OR(Apresentação!$I$3='Base de Dados e filtragem'!AN$2,Apresentação!$I$3='Base de Dados e filtragem'!J754),1,0)</f>
        <v>1</v>
      </c>
      <c r="AO754" s="25">
        <f>IF(OR(Apresentação!$I$4='Base de Dados e filtragem'!AO$2,Apresentação!$I$4='Base de Dados e filtragem'!K754),1,0)</f>
        <v>1</v>
      </c>
      <c r="AP754" s="25">
        <f>IF(OR(Apresentação!$I$5='Base de Dados e filtragem'!AP$2,Apresentação!$I$5='Base de Dados e filtragem'!L754),1,0)</f>
        <v>1</v>
      </c>
      <c r="AQ754" s="25">
        <f>IF(OR(Apresentação!$I$6='Base de Dados e filtragem'!AQ$2,Apresentação!$I$6='Base de Dados e filtragem'!M754),1,0)</f>
        <v>1</v>
      </c>
      <c r="AR754" s="25">
        <v>1</v>
      </c>
      <c r="AS754" s="25">
        <v>1</v>
      </c>
      <c r="AT754" s="25">
        <v>1</v>
      </c>
      <c r="AU754" s="25">
        <v>1</v>
      </c>
      <c r="AV754" s="25">
        <v>1</v>
      </c>
      <c r="AW754" s="25">
        <v>1</v>
      </c>
      <c r="AX754" s="25">
        <v>1</v>
      </c>
      <c r="AY754" s="25">
        <v>1</v>
      </c>
      <c r="AZ754" s="25">
        <v>1</v>
      </c>
      <c r="BA754" s="25">
        <v>1</v>
      </c>
      <c r="BB754" s="25">
        <v>1</v>
      </c>
      <c r="BC754" s="25">
        <v>1</v>
      </c>
      <c r="BD754" s="25">
        <v>1</v>
      </c>
    </row>
    <row r="755" spans="27:56" x14ac:dyDescent="0.25">
      <c r="AA755" s="68" t="str">
        <f t="shared" si="45"/>
        <v>Fotos\\.jpg</v>
      </c>
      <c r="AB755" s="53">
        <f t="shared" si="46"/>
        <v>1.3245033112582781E-3</v>
      </c>
      <c r="AC755" s="25">
        <f t="shared" si="47"/>
        <v>755</v>
      </c>
      <c r="AD755" s="51">
        <f t="shared" si="48"/>
        <v>1</v>
      </c>
      <c r="AE755" s="25">
        <v>1</v>
      </c>
      <c r="AF755" s="25">
        <v>1</v>
      </c>
      <c r="AG755" s="25">
        <v>1</v>
      </c>
      <c r="AH755" s="25">
        <v>1</v>
      </c>
      <c r="AI755" s="25">
        <f>IF(OR(Apresentação!$E$3='Base de Dados e filtragem'!AI$2,Apresentação!$E$3='Base de Dados e filtragem'!E755),1,0)</f>
        <v>1</v>
      </c>
      <c r="AJ755" s="25">
        <f>IF(OR(Apresentação!$E$4='Base de Dados e filtragem'!AJ$2,Apresentação!$E$4='Base de Dados e filtragem'!F755),1,0)</f>
        <v>1</v>
      </c>
      <c r="AK755" s="25">
        <f>IF(OR(Apresentação!$E$5='Base de Dados e filtragem'!AK$2,Apresentação!$E$5='Base de Dados e filtragem'!G755),1,0)</f>
        <v>1</v>
      </c>
      <c r="AL755" s="25">
        <f>IF(OR(Apresentação!$E$6='Base de Dados e filtragem'!AL$2,Apresentação!$E$6='Base de Dados e filtragem'!H755),1,0)</f>
        <v>1</v>
      </c>
      <c r="AM755" s="25">
        <f>IF(OR(Apresentação!$I$2='Base de Dados e filtragem'!AM$2,Apresentação!$I$2='Base de Dados e filtragem'!I755),1,0)</f>
        <v>1</v>
      </c>
      <c r="AN755" s="25">
        <f>IF(OR(Apresentação!$I$3='Base de Dados e filtragem'!AN$2,Apresentação!$I$3='Base de Dados e filtragem'!J755),1,0)</f>
        <v>1</v>
      </c>
      <c r="AO755" s="25">
        <f>IF(OR(Apresentação!$I$4='Base de Dados e filtragem'!AO$2,Apresentação!$I$4='Base de Dados e filtragem'!K755),1,0)</f>
        <v>1</v>
      </c>
      <c r="AP755" s="25">
        <f>IF(OR(Apresentação!$I$5='Base de Dados e filtragem'!AP$2,Apresentação!$I$5='Base de Dados e filtragem'!L755),1,0)</f>
        <v>1</v>
      </c>
      <c r="AQ755" s="25">
        <f>IF(OR(Apresentação!$I$6='Base de Dados e filtragem'!AQ$2,Apresentação!$I$6='Base de Dados e filtragem'!M755),1,0)</f>
        <v>1</v>
      </c>
      <c r="AR755" s="25">
        <v>1</v>
      </c>
      <c r="AS755" s="25">
        <v>1</v>
      </c>
      <c r="AT755" s="25">
        <v>1</v>
      </c>
      <c r="AU755" s="25">
        <v>1</v>
      </c>
      <c r="AV755" s="25">
        <v>1</v>
      </c>
      <c r="AW755" s="25">
        <v>1</v>
      </c>
      <c r="AX755" s="25">
        <v>1</v>
      </c>
      <c r="AY755" s="25">
        <v>1</v>
      </c>
      <c r="AZ755" s="25">
        <v>1</v>
      </c>
      <c r="BA755" s="25">
        <v>1</v>
      </c>
      <c r="BB755" s="25">
        <v>1</v>
      </c>
      <c r="BC755" s="25">
        <v>1</v>
      </c>
      <c r="BD755" s="25">
        <v>1</v>
      </c>
    </row>
    <row r="756" spans="27:56" x14ac:dyDescent="0.25">
      <c r="AA756" s="68" t="str">
        <f t="shared" si="45"/>
        <v>Fotos\\.jpg</v>
      </c>
      <c r="AB756" s="53">
        <f t="shared" si="46"/>
        <v>1.3227513227513227E-3</v>
      </c>
      <c r="AC756" s="25">
        <f t="shared" si="47"/>
        <v>756</v>
      </c>
      <c r="AD756" s="51">
        <f t="shared" si="48"/>
        <v>1</v>
      </c>
      <c r="AE756" s="25">
        <v>1</v>
      </c>
      <c r="AF756" s="25">
        <v>1</v>
      </c>
      <c r="AG756" s="25">
        <v>1</v>
      </c>
      <c r="AH756" s="25">
        <v>1</v>
      </c>
      <c r="AI756" s="25">
        <f>IF(OR(Apresentação!$E$3='Base de Dados e filtragem'!AI$2,Apresentação!$E$3='Base de Dados e filtragem'!E756),1,0)</f>
        <v>1</v>
      </c>
      <c r="AJ756" s="25">
        <f>IF(OR(Apresentação!$E$4='Base de Dados e filtragem'!AJ$2,Apresentação!$E$4='Base de Dados e filtragem'!F756),1,0)</f>
        <v>1</v>
      </c>
      <c r="AK756" s="25">
        <f>IF(OR(Apresentação!$E$5='Base de Dados e filtragem'!AK$2,Apresentação!$E$5='Base de Dados e filtragem'!G756),1,0)</f>
        <v>1</v>
      </c>
      <c r="AL756" s="25">
        <f>IF(OR(Apresentação!$E$6='Base de Dados e filtragem'!AL$2,Apresentação!$E$6='Base de Dados e filtragem'!H756),1,0)</f>
        <v>1</v>
      </c>
      <c r="AM756" s="25">
        <f>IF(OR(Apresentação!$I$2='Base de Dados e filtragem'!AM$2,Apresentação!$I$2='Base de Dados e filtragem'!I756),1,0)</f>
        <v>1</v>
      </c>
      <c r="AN756" s="25">
        <f>IF(OR(Apresentação!$I$3='Base de Dados e filtragem'!AN$2,Apresentação!$I$3='Base de Dados e filtragem'!J756),1,0)</f>
        <v>1</v>
      </c>
      <c r="AO756" s="25">
        <f>IF(OR(Apresentação!$I$4='Base de Dados e filtragem'!AO$2,Apresentação!$I$4='Base de Dados e filtragem'!K756),1,0)</f>
        <v>1</v>
      </c>
      <c r="AP756" s="25">
        <f>IF(OR(Apresentação!$I$5='Base de Dados e filtragem'!AP$2,Apresentação!$I$5='Base de Dados e filtragem'!L756),1,0)</f>
        <v>1</v>
      </c>
      <c r="AQ756" s="25">
        <f>IF(OR(Apresentação!$I$6='Base de Dados e filtragem'!AQ$2,Apresentação!$I$6='Base de Dados e filtragem'!M756),1,0)</f>
        <v>1</v>
      </c>
      <c r="AR756" s="25">
        <v>1</v>
      </c>
      <c r="AS756" s="25">
        <v>1</v>
      </c>
      <c r="AT756" s="25">
        <v>1</v>
      </c>
      <c r="AU756" s="25">
        <v>1</v>
      </c>
      <c r="AV756" s="25">
        <v>1</v>
      </c>
      <c r="AW756" s="25">
        <v>1</v>
      </c>
      <c r="AX756" s="25">
        <v>1</v>
      </c>
      <c r="AY756" s="25">
        <v>1</v>
      </c>
      <c r="AZ756" s="25">
        <v>1</v>
      </c>
      <c r="BA756" s="25">
        <v>1</v>
      </c>
      <c r="BB756" s="25">
        <v>1</v>
      </c>
      <c r="BC756" s="25">
        <v>1</v>
      </c>
      <c r="BD756" s="25">
        <v>1</v>
      </c>
    </row>
    <row r="757" spans="27:56" x14ac:dyDescent="0.25">
      <c r="AA757" s="68" t="str">
        <f t="shared" si="45"/>
        <v>Fotos\\.jpg</v>
      </c>
      <c r="AB757" s="53">
        <f t="shared" si="46"/>
        <v>1.321003963011889E-3</v>
      </c>
      <c r="AC757" s="25">
        <f t="shared" si="47"/>
        <v>757</v>
      </c>
      <c r="AD757" s="51">
        <f t="shared" si="48"/>
        <v>1</v>
      </c>
      <c r="AE757" s="25">
        <v>1</v>
      </c>
      <c r="AF757" s="25">
        <v>1</v>
      </c>
      <c r="AG757" s="25">
        <v>1</v>
      </c>
      <c r="AH757" s="25">
        <v>1</v>
      </c>
      <c r="AI757" s="25">
        <f>IF(OR(Apresentação!$E$3='Base de Dados e filtragem'!AI$2,Apresentação!$E$3='Base de Dados e filtragem'!E757),1,0)</f>
        <v>1</v>
      </c>
      <c r="AJ757" s="25">
        <f>IF(OR(Apresentação!$E$4='Base de Dados e filtragem'!AJ$2,Apresentação!$E$4='Base de Dados e filtragem'!F757),1,0)</f>
        <v>1</v>
      </c>
      <c r="AK757" s="25">
        <f>IF(OR(Apresentação!$E$5='Base de Dados e filtragem'!AK$2,Apresentação!$E$5='Base de Dados e filtragem'!G757),1,0)</f>
        <v>1</v>
      </c>
      <c r="AL757" s="25">
        <f>IF(OR(Apresentação!$E$6='Base de Dados e filtragem'!AL$2,Apresentação!$E$6='Base de Dados e filtragem'!H757),1,0)</f>
        <v>1</v>
      </c>
      <c r="AM757" s="25">
        <f>IF(OR(Apresentação!$I$2='Base de Dados e filtragem'!AM$2,Apresentação!$I$2='Base de Dados e filtragem'!I757),1,0)</f>
        <v>1</v>
      </c>
      <c r="AN757" s="25">
        <f>IF(OR(Apresentação!$I$3='Base de Dados e filtragem'!AN$2,Apresentação!$I$3='Base de Dados e filtragem'!J757),1,0)</f>
        <v>1</v>
      </c>
      <c r="AO757" s="25">
        <f>IF(OR(Apresentação!$I$4='Base de Dados e filtragem'!AO$2,Apresentação!$I$4='Base de Dados e filtragem'!K757),1,0)</f>
        <v>1</v>
      </c>
      <c r="AP757" s="25">
        <f>IF(OR(Apresentação!$I$5='Base de Dados e filtragem'!AP$2,Apresentação!$I$5='Base de Dados e filtragem'!L757),1,0)</f>
        <v>1</v>
      </c>
      <c r="AQ757" s="25">
        <f>IF(OR(Apresentação!$I$6='Base de Dados e filtragem'!AQ$2,Apresentação!$I$6='Base de Dados e filtragem'!M757),1,0)</f>
        <v>1</v>
      </c>
      <c r="AR757" s="25">
        <v>1</v>
      </c>
      <c r="AS757" s="25">
        <v>1</v>
      </c>
      <c r="AT757" s="25">
        <v>1</v>
      </c>
      <c r="AU757" s="25">
        <v>1</v>
      </c>
      <c r="AV757" s="25">
        <v>1</v>
      </c>
      <c r="AW757" s="25">
        <v>1</v>
      </c>
      <c r="AX757" s="25">
        <v>1</v>
      </c>
      <c r="AY757" s="25">
        <v>1</v>
      </c>
      <c r="AZ757" s="25">
        <v>1</v>
      </c>
      <c r="BA757" s="25">
        <v>1</v>
      </c>
      <c r="BB757" s="25">
        <v>1</v>
      </c>
      <c r="BC757" s="25">
        <v>1</v>
      </c>
      <c r="BD757" s="25">
        <v>1</v>
      </c>
    </row>
    <row r="758" spans="27:56" x14ac:dyDescent="0.25">
      <c r="AA758" s="68" t="str">
        <f t="shared" si="45"/>
        <v>Fotos\\.jpg</v>
      </c>
      <c r="AB758" s="53">
        <f t="shared" si="46"/>
        <v>1.3192612137203166E-3</v>
      </c>
      <c r="AC758" s="25">
        <f t="shared" si="47"/>
        <v>758</v>
      </c>
      <c r="AD758" s="51">
        <f t="shared" si="48"/>
        <v>1</v>
      </c>
      <c r="AE758" s="25">
        <v>1</v>
      </c>
      <c r="AF758" s="25">
        <v>1</v>
      </c>
      <c r="AG758" s="25">
        <v>1</v>
      </c>
      <c r="AH758" s="25">
        <v>1</v>
      </c>
      <c r="AI758" s="25">
        <f>IF(OR(Apresentação!$E$3='Base de Dados e filtragem'!AI$2,Apresentação!$E$3='Base de Dados e filtragem'!E758),1,0)</f>
        <v>1</v>
      </c>
      <c r="AJ758" s="25">
        <f>IF(OR(Apresentação!$E$4='Base de Dados e filtragem'!AJ$2,Apresentação!$E$4='Base de Dados e filtragem'!F758),1,0)</f>
        <v>1</v>
      </c>
      <c r="AK758" s="25">
        <f>IF(OR(Apresentação!$E$5='Base de Dados e filtragem'!AK$2,Apresentação!$E$5='Base de Dados e filtragem'!G758),1,0)</f>
        <v>1</v>
      </c>
      <c r="AL758" s="25">
        <f>IF(OR(Apresentação!$E$6='Base de Dados e filtragem'!AL$2,Apresentação!$E$6='Base de Dados e filtragem'!H758),1,0)</f>
        <v>1</v>
      </c>
      <c r="AM758" s="25">
        <f>IF(OR(Apresentação!$I$2='Base de Dados e filtragem'!AM$2,Apresentação!$I$2='Base de Dados e filtragem'!I758),1,0)</f>
        <v>1</v>
      </c>
      <c r="AN758" s="25">
        <f>IF(OR(Apresentação!$I$3='Base de Dados e filtragem'!AN$2,Apresentação!$I$3='Base de Dados e filtragem'!J758),1,0)</f>
        <v>1</v>
      </c>
      <c r="AO758" s="25">
        <f>IF(OR(Apresentação!$I$4='Base de Dados e filtragem'!AO$2,Apresentação!$I$4='Base de Dados e filtragem'!K758),1,0)</f>
        <v>1</v>
      </c>
      <c r="AP758" s="25">
        <f>IF(OR(Apresentação!$I$5='Base de Dados e filtragem'!AP$2,Apresentação!$I$5='Base de Dados e filtragem'!L758),1,0)</f>
        <v>1</v>
      </c>
      <c r="AQ758" s="25">
        <f>IF(OR(Apresentação!$I$6='Base de Dados e filtragem'!AQ$2,Apresentação!$I$6='Base de Dados e filtragem'!M758),1,0)</f>
        <v>1</v>
      </c>
      <c r="AR758" s="25">
        <v>1</v>
      </c>
      <c r="AS758" s="25">
        <v>1</v>
      </c>
      <c r="AT758" s="25">
        <v>1</v>
      </c>
      <c r="AU758" s="25">
        <v>1</v>
      </c>
      <c r="AV758" s="25">
        <v>1</v>
      </c>
      <c r="AW758" s="25">
        <v>1</v>
      </c>
      <c r="AX758" s="25">
        <v>1</v>
      </c>
      <c r="AY758" s="25">
        <v>1</v>
      </c>
      <c r="AZ758" s="25">
        <v>1</v>
      </c>
      <c r="BA758" s="25">
        <v>1</v>
      </c>
      <c r="BB758" s="25">
        <v>1</v>
      </c>
      <c r="BC758" s="25">
        <v>1</v>
      </c>
      <c r="BD758" s="25">
        <v>1</v>
      </c>
    </row>
    <row r="759" spans="27:56" x14ac:dyDescent="0.25">
      <c r="AA759" s="68" t="str">
        <f t="shared" si="45"/>
        <v>Fotos\\.jpg</v>
      </c>
      <c r="AB759" s="53">
        <f t="shared" si="46"/>
        <v>1.3175230566534915E-3</v>
      </c>
      <c r="AC759" s="25">
        <f t="shared" si="47"/>
        <v>759</v>
      </c>
      <c r="AD759" s="51">
        <f t="shared" si="48"/>
        <v>1</v>
      </c>
      <c r="AE759" s="25">
        <v>1</v>
      </c>
      <c r="AF759" s="25">
        <v>1</v>
      </c>
      <c r="AG759" s="25">
        <v>1</v>
      </c>
      <c r="AH759" s="25">
        <v>1</v>
      </c>
      <c r="AI759" s="25">
        <f>IF(OR(Apresentação!$E$3='Base de Dados e filtragem'!AI$2,Apresentação!$E$3='Base de Dados e filtragem'!E759),1,0)</f>
        <v>1</v>
      </c>
      <c r="AJ759" s="25">
        <f>IF(OR(Apresentação!$E$4='Base de Dados e filtragem'!AJ$2,Apresentação!$E$4='Base de Dados e filtragem'!F759),1,0)</f>
        <v>1</v>
      </c>
      <c r="AK759" s="25">
        <f>IF(OR(Apresentação!$E$5='Base de Dados e filtragem'!AK$2,Apresentação!$E$5='Base de Dados e filtragem'!G759),1,0)</f>
        <v>1</v>
      </c>
      <c r="AL759" s="25">
        <f>IF(OR(Apresentação!$E$6='Base de Dados e filtragem'!AL$2,Apresentação!$E$6='Base de Dados e filtragem'!H759),1,0)</f>
        <v>1</v>
      </c>
      <c r="AM759" s="25">
        <f>IF(OR(Apresentação!$I$2='Base de Dados e filtragem'!AM$2,Apresentação!$I$2='Base de Dados e filtragem'!I759),1,0)</f>
        <v>1</v>
      </c>
      <c r="AN759" s="25">
        <f>IF(OR(Apresentação!$I$3='Base de Dados e filtragem'!AN$2,Apresentação!$I$3='Base de Dados e filtragem'!J759),1,0)</f>
        <v>1</v>
      </c>
      <c r="AO759" s="25">
        <f>IF(OR(Apresentação!$I$4='Base de Dados e filtragem'!AO$2,Apresentação!$I$4='Base de Dados e filtragem'!K759),1,0)</f>
        <v>1</v>
      </c>
      <c r="AP759" s="25">
        <f>IF(OR(Apresentação!$I$5='Base de Dados e filtragem'!AP$2,Apresentação!$I$5='Base de Dados e filtragem'!L759),1,0)</f>
        <v>1</v>
      </c>
      <c r="AQ759" s="25">
        <f>IF(OR(Apresentação!$I$6='Base de Dados e filtragem'!AQ$2,Apresentação!$I$6='Base de Dados e filtragem'!M759),1,0)</f>
        <v>1</v>
      </c>
      <c r="AR759" s="25">
        <v>1</v>
      </c>
      <c r="AS759" s="25">
        <v>1</v>
      </c>
      <c r="AT759" s="25">
        <v>1</v>
      </c>
      <c r="AU759" s="25">
        <v>1</v>
      </c>
      <c r="AV759" s="25">
        <v>1</v>
      </c>
      <c r="AW759" s="25">
        <v>1</v>
      </c>
      <c r="AX759" s="25">
        <v>1</v>
      </c>
      <c r="AY759" s="25">
        <v>1</v>
      </c>
      <c r="AZ759" s="25">
        <v>1</v>
      </c>
      <c r="BA759" s="25">
        <v>1</v>
      </c>
      <c r="BB759" s="25">
        <v>1</v>
      </c>
      <c r="BC759" s="25">
        <v>1</v>
      </c>
      <c r="BD759" s="25">
        <v>1</v>
      </c>
    </row>
    <row r="760" spans="27:56" x14ac:dyDescent="0.25">
      <c r="AA760" s="68" t="str">
        <f t="shared" si="45"/>
        <v>Fotos\\.jpg</v>
      </c>
      <c r="AB760" s="53">
        <f t="shared" si="46"/>
        <v>1.3157894736842105E-3</v>
      </c>
      <c r="AC760" s="25">
        <f t="shared" si="47"/>
        <v>760</v>
      </c>
      <c r="AD760" s="51">
        <f t="shared" si="48"/>
        <v>1</v>
      </c>
      <c r="AE760" s="25">
        <v>1</v>
      </c>
      <c r="AF760" s="25">
        <v>1</v>
      </c>
      <c r="AG760" s="25">
        <v>1</v>
      </c>
      <c r="AH760" s="25">
        <v>1</v>
      </c>
      <c r="AI760" s="25">
        <f>IF(OR(Apresentação!$E$3='Base de Dados e filtragem'!AI$2,Apresentação!$E$3='Base de Dados e filtragem'!E760),1,0)</f>
        <v>1</v>
      </c>
      <c r="AJ760" s="25">
        <f>IF(OR(Apresentação!$E$4='Base de Dados e filtragem'!AJ$2,Apresentação!$E$4='Base de Dados e filtragem'!F760),1,0)</f>
        <v>1</v>
      </c>
      <c r="AK760" s="25">
        <f>IF(OR(Apresentação!$E$5='Base de Dados e filtragem'!AK$2,Apresentação!$E$5='Base de Dados e filtragem'!G760),1,0)</f>
        <v>1</v>
      </c>
      <c r="AL760" s="25">
        <f>IF(OR(Apresentação!$E$6='Base de Dados e filtragem'!AL$2,Apresentação!$E$6='Base de Dados e filtragem'!H760),1,0)</f>
        <v>1</v>
      </c>
      <c r="AM760" s="25">
        <f>IF(OR(Apresentação!$I$2='Base de Dados e filtragem'!AM$2,Apresentação!$I$2='Base de Dados e filtragem'!I760),1,0)</f>
        <v>1</v>
      </c>
      <c r="AN760" s="25">
        <f>IF(OR(Apresentação!$I$3='Base de Dados e filtragem'!AN$2,Apresentação!$I$3='Base de Dados e filtragem'!J760),1,0)</f>
        <v>1</v>
      </c>
      <c r="AO760" s="25">
        <f>IF(OR(Apresentação!$I$4='Base de Dados e filtragem'!AO$2,Apresentação!$I$4='Base de Dados e filtragem'!K760),1,0)</f>
        <v>1</v>
      </c>
      <c r="AP760" s="25">
        <f>IF(OR(Apresentação!$I$5='Base de Dados e filtragem'!AP$2,Apresentação!$I$5='Base de Dados e filtragem'!L760),1,0)</f>
        <v>1</v>
      </c>
      <c r="AQ760" s="25">
        <f>IF(OR(Apresentação!$I$6='Base de Dados e filtragem'!AQ$2,Apresentação!$I$6='Base de Dados e filtragem'!M760),1,0)</f>
        <v>1</v>
      </c>
      <c r="AR760" s="25">
        <v>1</v>
      </c>
      <c r="AS760" s="25">
        <v>1</v>
      </c>
      <c r="AT760" s="25">
        <v>1</v>
      </c>
      <c r="AU760" s="25">
        <v>1</v>
      </c>
      <c r="AV760" s="25">
        <v>1</v>
      </c>
      <c r="AW760" s="25">
        <v>1</v>
      </c>
      <c r="AX760" s="25">
        <v>1</v>
      </c>
      <c r="AY760" s="25">
        <v>1</v>
      </c>
      <c r="AZ760" s="25">
        <v>1</v>
      </c>
      <c r="BA760" s="25">
        <v>1</v>
      </c>
      <c r="BB760" s="25">
        <v>1</v>
      </c>
      <c r="BC760" s="25">
        <v>1</v>
      </c>
      <c r="BD760" s="25">
        <v>1</v>
      </c>
    </row>
    <row r="761" spans="27:56" x14ac:dyDescent="0.25">
      <c r="AA761" s="68" t="str">
        <f t="shared" si="45"/>
        <v>Fotos\\.jpg</v>
      </c>
      <c r="AB761" s="53">
        <f t="shared" si="46"/>
        <v>1.3140604467805519E-3</v>
      </c>
      <c r="AC761" s="25">
        <f t="shared" si="47"/>
        <v>761</v>
      </c>
      <c r="AD761" s="51">
        <f t="shared" si="48"/>
        <v>1</v>
      </c>
      <c r="AE761" s="25">
        <v>1</v>
      </c>
      <c r="AF761" s="25">
        <v>1</v>
      </c>
      <c r="AG761" s="25">
        <v>1</v>
      </c>
      <c r="AH761" s="25">
        <v>1</v>
      </c>
      <c r="AI761" s="25">
        <f>IF(OR(Apresentação!$E$3='Base de Dados e filtragem'!AI$2,Apresentação!$E$3='Base de Dados e filtragem'!E761),1,0)</f>
        <v>1</v>
      </c>
      <c r="AJ761" s="25">
        <f>IF(OR(Apresentação!$E$4='Base de Dados e filtragem'!AJ$2,Apresentação!$E$4='Base de Dados e filtragem'!F761),1,0)</f>
        <v>1</v>
      </c>
      <c r="AK761" s="25">
        <f>IF(OR(Apresentação!$E$5='Base de Dados e filtragem'!AK$2,Apresentação!$E$5='Base de Dados e filtragem'!G761),1,0)</f>
        <v>1</v>
      </c>
      <c r="AL761" s="25">
        <f>IF(OR(Apresentação!$E$6='Base de Dados e filtragem'!AL$2,Apresentação!$E$6='Base de Dados e filtragem'!H761),1,0)</f>
        <v>1</v>
      </c>
      <c r="AM761" s="25">
        <f>IF(OR(Apresentação!$I$2='Base de Dados e filtragem'!AM$2,Apresentação!$I$2='Base de Dados e filtragem'!I761),1,0)</f>
        <v>1</v>
      </c>
      <c r="AN761" s="25">
        <f>IF(OR(Apresentação!$I$3='Base de Dados e filtragem'!AN$2,Apresentação!$I$3='Base de Dados e filtragem'!J761),1,0)</f>
        <v>1</v>
      </c>
      <c r="AO761" s="25">
        <f>IF(OR(Apresentação!$I$4='Base de Dados e filtragem'!AO$2,Apresentação!$I$4='Base de Dados e filtragem'!K761),1,0)</f>
        <v>1</v>
      </c>
      <c r="AP761" s="25">
        <f>IF(OR(Apresentação!$I$5='Base de Dados e filtragem'!AP$2,Apresentação!$I$5='Base de Dados e filtragem'!L761),1,0)</f>
        <v>1</v>
      </c>
      <c r="AQ761" s="25">
        <f>IF(OR(Apresentação!$I$6='Base de Dados e filtragem'!AQ$2,Apresentação!$I$6='Base de Dados e filtragem'!M761),1,0)</f>
        <v>1</v>
      </c>
      <c r="AR761" s="25">
        <v>1</v>
      </c>
      <c r="AS761" s="25">
        <v>1</v>
      </c>
      <c r="AT761" s="25">
        <v>1</v>
      </c>
      <c r="AU761" s="25">
        <v>1</v>
      </c>
      <c r="AV761" s="25">
        <v>1</v>
      </c>
      <c r="AW761" s="25">
        <v>1</v>
      </c>
      <c r="AX761" s="25">
        <v>1</v>
      </c>
      <c r="AY761" s="25">
        <v>1</v>
      </c>
      <c r="AZ761" s="25">
        <v>1</v>
      </c>
      <c r="BA761" s="25">
        <v>1</v>
      </c>
      <c r="BB761" s="25">
        <v>1</v>
      </c>
      <c r="BC761" s="25">
        <v>1</v>
      </c>
      <c r="BD761" s="25">
        <v>1</v>
      </c>
    </row>
    <row r="762" spans="27:56" x14ac:dyDescent="0.25">
      <c r="AA762" s="68" t="str">
        <f t="shared" si="45"/>
        <v>Fotos\\.jpg</v>
      </c>
      <c r="AB762" s="53">
        <f t="shared" si="46"/>
        <v>1.3123359580052493E-3</v>
      </c>
      <c r="AC762" s="25">
        <f t="shared" si="47"/>
        <v>762</v>
      </c>
      <c r="AD762" s="51">
        <f t="shared" si="48"/>
        <v>1</v>
      </c>
      <c r="AE762" s="25">
        <v>1</v>
      </c>
      <c r="AF762" s="25">
        <v>1</v>
      </c>
      <c r="AG762" s="25">
        <v>1</v>
      </c>
      <c r="AH762" s="25">
        <v>1</v>
      </c>
      <c r="AI762" s="25">
        <f>IF(OR(Apresentação!$E$3='Base de Dados e filtragem'!AI$2,Apresentação!$E$3='Base de Dados e filtragem'!E762),1,0)</f>
        <v>1</v>
      </c>
      <c r="AJ762" s="25">
        <f>IF(OR(Apresentação!$E$4='Base de Dados e filtragem'!AJ$2,Apresentação!$E$4='Base de Dados e filtragem'!F762),1,0)</f>
        <v>1</v>
      </c>
      <c r="AK762" s="25">
        <f>IF(OR(Apresentação!$E$5='Base de Dados e filtragem'!AK$2,Apresentação!$E$5='Base de Dados e filtragem'!G762),1,0)</f>
        <v>1</v>
      </c>
      <c r="AL762" s="25">
        <f>IF(OR(Apresentação!$E$6='Base de Dados e filtragem'!AL$2,Apresentação!$E$6='Base de Dados e filtragem'!H762),1,0)</f>
        <v>1</v>
      </c>
      <c r="AM762" s="25">
        <f>IF(OR(Apresentação!$I$2='Base de Dados e filtragem'!AM$2,Apresentação!$I$2='Base de Dados e filtragem'!I762),1,0)</f>
        <v>1</v>
      </c>
      <c r="AN762" s="25">
        <f>IF(OR(Apresentação!$I$3='Base de Dados e filtragem'!AN$2,Apresentação!$I$3='Base de Dados e filtragem'!J762),1,0)</f>
        <v>1</v>
      </c>
      <c r="AO762" s="25">
        <f>IF(OR(Apresentação!$I$4='Base de Dados e filtragem'!AO$2,Apresentação!$I$4='Base de Dados e filtragem'!K762),1,0)</f>
        <v>1</v>
      </c>
      <c r="AP762" s="25">
        <f>IF(OR(Apresentação!$I$5='Base de Dados e filtragem'!AP$2,Apresentação!$I$5='Base de Dados e filtragem'!L762),1,0)</f>
        <v>1</v>
      </c>
      <c r="AQ762" s="25">
        <f>IF(OR(Apresentação!$I$6='Base de Dados e filtragem'!AQ$2,Apresentação!$I$6='Base de Dados e filtragem'!M762),1,0)</f>
        <v>1</v>
      </c>
      <c r="AR762" s="25">
        <v>1</v>
      </c>
      <c r="AS762" s="25">
        <v>1</v>
      </c>
      <c r="AT762" s="25">
        <v>1</v>
      </c>
      <c r="AU762" s="25">
        <v>1</v>
      </c>
      <c r="AV762" s="25">
        <v>1</v>
      </c>
      <c r="AW762" s="25">
        <v>1</v>
      </c>
      <c r="AX762" s="25">
        <v>1</v>
      </c>
      <c r="AY762" s="25">
        <v>1</v>
      </c>
      <c r="AZ762" s="25">
        <v>1</v>
      </c>
      <c r="BA762" s="25">
        <v>1</v>
      </c>
      <c r="BB762" s="25">
        <v>1</v>
      </c>
      <c r="BC762" s="25">
        <v>1</v>
      </c>
      <c r="BD762" s="25">
        <v>1</v>
      </c>
    </row>
    <row r="763" spans="27:56" x14ac:dyDescent="0.25">
      <c r="AA763" s="68" t="str">
        <f t="shared" si="45"/>
        <v>Fotos\\.jpg</v>
      </c>
      <c r="AB763" s="53">
        <f t="shared" si="46"/>
        <v>1.3106159895150721E-3</v>
      </c>
      <c r="AC763" s="25">
        <f t="shared" si="47"/>
        <v>763</v>
      </c>
      <c r="AD763" s="51">
        <f t="shared" si="48"/>
        <v>1</v>
      </c>
      <c r="AE763" s="25">
        <v>1</v>
      </c>
      <c r="AF763" s="25">
        <v>1</v>
      </c>
      <c r="AG763" s="25">
        <v>1</v>
      </c>
      <c r="AH763" s="25">
        <v>1</v>
      </c>
      <c r="AI763" s="25">
        <f>IF(OR(Apresentação!$E$3='Base de Dados e filtragem'!AI$2,Apresentação!$E$3='Base de Dados e filtragem'!E763),1,0)</f>
        <v>1</v>
      </c>
      <c r="AJ763" s="25">
        <f>IF(OR(Apresentação!$E$4='Base de Dados e filtragem'!AJ$2,Apresentação!$E$4='Base de Dados e filtragem'!F763),1,0)</f>
        <v>1</v>
      </c>
      <c r="AK763" s="25">
        <f>IF(OR(Apresentação!$E$5='Base de Dados e filtragem'!AK$2,Apresentação!$E$5='Base de Dados e filtragem'!G763),1,0)</f>
        <v>1</v>
      </c>
      <c r="AL763" s="25">
        <f>IF(OR(Apresentação!$E$6='Base de Dados e filtragem'!AL$2,Apresentação!$E$6='Base de Dados e filtragem'!H763),1,0)</f>
        <v>1</v>
      </c>
      <c r="AM763" s="25">
        <f>IF(OR(Apresentação!$I$2='Base de Dados e filtragem'!AM$2,Apresentação!$I$2='Base de Dados e filtragem'!I763),1,0)</f>
        <v>1</v>
      </c>
      <c r="AN763" s="25">
        <f>IF(OR(Apresentação!$I$3='Base de Dados e filtragem'!AN$2,Apresentação!$I$3='Base de Dados e filtragem'!J763),1,0)</f>
        <v>1</v>
      </c>
      <c r="AO763" s="25">
        <f>IF(OR(Apresentação!$I$4='Base de Dados e filtragem'!AO$2,Apresentação!$I$4='Base de Dados e filtragem'!K763),1,0)</f>
        <v>1</v>
      </c>
      <c r="AP763" s="25">
        <f>IF(OR(Apresentação!$I$5='Base de Dados e filtragem'!AP$2,Apresentação!$I$5='Base de Dados e filtragem'!L763),1,0)</f>
        <v>1</v>
      </c>
      <c r="AQ763" s="25">
        <f>IF(OR(Apresentação!$I$6='Base de Dados e filtragem'!AQ$2,Apresentação!$I$6='Base de Dados e filtragem'!M763),1,0)</f>
        <v>1</v>
      </c>
      <c r="AR763" s="25">
        <v>1</v>
      </c>
      <c r="AS763" s="25">
        <v>1</v>
      </c>
      <c r="AT763" s="25">
        <v>1</v>
      </c>
      <c r="AU763" s="25">
        <v>1</v>
      </c>
      <c r="AV763" s="25">
        <v>1</v>
      </c>
      <c r="AW763" s="25">
        <v>1</v>
      </c>
      <c r="AX763" s="25">
        <v>1</v>
      </c>
      <c r="AY763" s="25">
        <v>1</v>
      </c>
      <c r="AZ763" s="25">
        <v>1</v>
      </c>
      <c r="BA763" s="25">
        <v>1</v>
      </c>
      <c r="BB763" s="25">
        <v>1</v>
      </c>
      <c r="BC763" s="25">
        <v>1</v>
      </c>
      <c r="BD763" s="25">
        <v>1</v>
      </c>
    </row>
    <row r="764" spans="27:56" x14ac:dyDescent="0.25">
      <c r="AA764" s="68" t="str">
        <f t="shared" si="45"/>
        <v>Fotos\\.jpg</v>
      </c>
      <c r="AB764" s="53">
        <f t="shared" si="46"/>
        <v>1.3089005235602095E-3</v>
      </c>
      <c r="AC764" s="25">
        <f t="shared" si="47"/>
        <v>764</v>
      </c>
      <c r="AD764" s="51">
        <f t="shared" si="48"/>
        <v>1</v>
      </c>
      <c r="AE764" s="25">
        <v>1</v>
      </c>
      <c r="AF764" s="25">
        <v>1</v>
      </c>
      <c r="AG764" s="25">
        <v>1</v>
      </c>
      <c r="AH764" s="25">
        <v>1</v>
      </c>
      <c r="AI764" s="25">
        <f>IF(OR(Apresentação!$E$3='Base de Dados e filtragem'!AI$2,Apresentação!$E$3='Base de Dados e filtragem'!E764),1,0)</f>
        <v>1</v>
      </c>
      <c r="AJ764" s="25">
        <f>IF(OR(Apresentação!$E$4='Base de Dados e filtragem'!AJ$2,Apresentação!$E$4='Base de Dados e filtragem'!F764),1,0)</f>
        <v>1</v>
      </c>
      <c r="AK764" s="25">
        <f>IF(OR(Apresentação!$E$5='Base de Dados e filtragem'!AK$2,Apresentação!$E$5='Base de Dados e filtragem'!G764),1,0)</f>
        <v>1</v>
      </c>
      <c r="AL764" s="25">
        <f>IF(OR(Apresentação!$E$6='Base de Dados e filtragem'!AL$2,Apresentação!$E$6='Base de Dados e filtragem'!H764),1,0)</f>
        <v>1</v>
      </c>
      <c r="AM764" s="25">
        <f>IF(OR(Apresentação!$I$2='Base de Dados e filtragem'!AM$2,Apresentação!$I$2='Base de Dados e filtragem'!I764),1,0)</f>
        <v>1</v>
      </c>
      <c r="AN764" s="25">
        <f>IF(OR(Apresentação!$I$3='Base de Dados e filtragem'!AN$2,Apresentação!$I$3='Base de Dados e filtragem'!J764),1,0)</f>
        <v>1</v>
      </c>
      <c r="AO764" s="25">
        <f>IF(OR(Apresentação!$I$4='Base de Dados e filtragem'!AO$2,Apresentação!$I$4='Base de Dados e filtragem'!K764),1,0)</f>
        <v>1</v>
      </c>
      <c r="AP764" s="25">
        <f>IF(OR(Apresentação!$I$5='Base de Dados e filtragem'!AP$2,Apresentação!$I$5='Base de Dados e filtragem'!L764),1,0)</f>
        <v>1</v>
      </c>
      <c r="AQ764" s="25">
        <f>IF(OR(Apresentação!$I$6='Base de Dados e filtragem'!AQ$2,Apresentação!$I$6='Base de Dados e filtragem'!M764),1,0)</f>
        <v>1</v>
      </c>
      <c r="AR764" s="25">
        <v>1</v>
      </c>
      <c r="AS764" s="25">
        <v>1</v>
      </c>
      <c r="AT764" s="25">
        <v>1</v>
      </c>
      <c r="AU764" s="25">
        <v>1</v>
      </c>
      <c r="AV764" s="25">
        <v>1</v>
      </c>
      <c r="AW764" s="25">
        <v>1</v>
      </c>
      <c r="AX764" s="25">
        <v>1</v>
      </c>
      <c r="AY764" s="25">
        <v>1</v>
      </c>
      <c r="AZ764" s="25">
        <v>1</v>
      </c>
      <c r="BA764" s="25">
        <v>1</v>
      </c>
      <c r="BB764" s="25">
        <v>1</v>
      </c>
      <c r="BC764" s="25">
        <v>1</v>
      </c>
      <c r="BD764" s="25">
        <v>1</v>
      </c>
    </row>
    <row r="765" spans="27:56" x14ac:dyDescent="0.25">
      <c r="AA765" s="68" t="str">
        <f t="shared" si="45"/>
        <v>Fotos\\.jpg</v>
      </c>
      <c r="AB765" s="53">
        <f t="shared" si="46"/>
        <v>1.30718954248366E-3</v>
      </c>
      <c r="AC765" s="25">
        <f t="shared" si="47"/>
        <v>765</v>
      </c>
      <c r="AD765" s="51">
        <f t="shared" si="48"/>
        <v>1</v>
      </c>
      <c r="AE765" s="25">
        <v>1</v>
      </c>
      <c r="AF765" s="25">
        <v>1</v>
      </c>
      <c r="AG765" s="25">
        <v>1</v>
      </c>
      <c r="AH765" s="25">
        <v>1</v>
      </c>
      <c r="AI765" s="25">
        <f>IF(OR(Apresentação!$E$3='Base de Dados e filtragem'!AI$2,Apresentação!$E$3='Base de Dados e filtragem'!E765),1,0)</f>
        <v>1</v>
      </c>
      <c r="AJ765" s="25">
        <f>IF(OR(Apresentação!$E$4='Base de Dados e filtragem'!AJ$2,Apresentação!$E$4='Base de Dados e filtragem'!F765),1,0)</f>
        <v>1</v>
      </c>
      <c r="AK765" s="25">
        <f>IF(OR(Apresentação!$E$5='Base de Dados e filtragem'!AK$2,Apresentação!$E$5='Base de Dados e filtragem'!G765),1,0)</f>
        <v>1</v>
      </c>
      <c r="AL765" s="25">
        <f>IF(OR(Apresentação!$E$6='Base de Dados e filtragem'!AL$2,Apresentação!$E$6='Base de Dados e filtragem'!H765),1,0)</f>
        <v>1</v>
      </c>
      <c r="AM765" s="25">
        <f>IF(OR(Apresentação!$I$2='Base de Dados e filtragem'!AM$2,Apresentação!$I$2='Base de Dados e filtragem'!I765),1,0)</f>
        <v>1</v>
      </c>
      <c r="AN765" s="25">
        <f>IF(OR(Apresentação!$I$3='Base de Dados e filtragem'!AN$2,Apresentação!$I$3='Base de Dados e filtragem'!J765),1,0)</f>
        <v>1</v>
      </c>
      <c r="AO765" s="25">
        <f>IF(OR(Apresentação!$I$4='Base de Dados e filtragem'!AO$2,Apresentação!$I$4='Base de Dados e filtragem'!K765),1,0)</f>
        <v>1</v>
      </c>
      <c r="AP765" s="25">
        <f>IF(OR(Apresentação!$I$5='Base de Dados e filtragem'!AP$2,Apresentação!$I$5='Base de Dados e filtragem'!L765),1,0)</f>
        <v>1</v>
      </c>
      <c r="AQ765" s="25">
        <f>IF(OR(Apresentação!$I$6='Base de Dados e filtragem'!AQ$2,Apresentação!$I$6='Base de Dados e filtragem'!M765),1,0)</f>
        <v>1</v>
      </c>
      <c r="AR765" s="25">
        <v>1</v>
      </c>
      <c r="AS765" s="25">
        <v>1</v>
      </c>
      <c r="AT765" s="25">
        <v>1</v>
      </c>
      <c r="AU765" s="25">
        <v>1</v>
      </c>
      <c r="AV765" s="25">
        <v>1</v>
      </c>
      <c r="AW765" s="25">
        <v>1</v>
      </c>
      <c r="AX765" s="25">
        <v>1</v>
      </c>
      <c r="AY765" s="25">
        <v>1</v>
      </c>
      <c r="AZ765" s="25">
        <v>1</v>
      </c>
      <c r="BA765" s="25">
        <v>1</v>
      </c>
      <c r="BB765" s="25">
        <v>1</v>
      </c>
      <c r="BC765" s="25">
        <v>1</v>
      </c>
      <c r="BD765" s="25">
        <v>1</v>
      </c>
    </row>
    <row r="766" spans="27:56" x14ac:dyDescent="0.25">
      <c r="AA766" s="68" t="str">
        <f t="shared" si="45"/>
        <v>Fotos\\.jpg</v>
      </c>
      <c r="AB766" s="53">
        <f t="shared" si="46"/>
        <v>1.3054830287206266E-3</v>
      </c>
      <c r="AC766" s="25">
        <f t="shared" si="47"/>
        <v>766</v>
      </c>
      <c r="AD766" s="51">
        <f t="shared" si="48"/>
        <v>1</v>
      </c>
      <c r="AE766" s="25">
        <v>1</v>
      </c>
      <c r="AF766" s="25">
        <v>1</v>
      </c>
      <c r="AG766" s="25">
        <v>1</v>
      </c>
      <c r="AH766" s="25">
        <v>1</v>
      </c>
      <c r="AI766" s="25">
        <f>IF(OR(Apresentação!$E$3='Base de Dados e filtragem'!AI$2,Apresentação!$E$3='Base de Dados e filtragem'!E766),1,0)</f>
        <v>1</v>
      </c>
      <c r="AJ766" s="25">
        <f>IF(OR(Apresentação!$E$4='Base de Dados e filtragem'!AJ$2,Apresentação!$E$4='Base de Dados e filtragem'!F766),1,0)</f>
        <v>1</v>
      </c>
      <c r="AK766" s="25">
        <f>IF(OR(Apresentação!$E$5='Base de Dados e filtragem'!AK$2,Apresentação!$E$5='Base de Dados e filtragem'!G766),1,0)</f>
        <v>1</v>
      </c>
      <c r="AL766" s="25">
        <f>IF(OR(Apresentação!$E$6='Base de Dados e filtragem'!AL$2,Apresentação!$E$6='Base de Dados e filtragem'!H766),1,0)</f>
        <v>1</v>
      </c>
      <c r="AM766" s="25">
        <f>IF(OR(Apresentação!$I$2='Base de Dados e filtragem'!AM$2,Apresentação!$I$2='Base de Dados e filtragem'!I766),1,0)</f>
        <v>1</v>
      </c>
      <c r="AN766" s="25">
        <f>IF(OR(Apresentação!$I$3='Base de Dados e filtragem'!AN$2,Apresentação!$I$3='Base de Dados e filtragem'!J766),1,0)</f>
        <v>1</v>
      </c>
      <c r="AO766" s="25">
        <f>IF(OR(Apresentação!$I$4='Base de Dados e filtragem'!AO$2,Apresentação!$I$4='Base de Dados e filtragem'!K766),1,0)</f>
        <v>1</v>
      </c>
      <c r="AP766" s="25">
        <f>IF(OR(Apresentação!$I$5='Base de Dados e filtragem'!AP$2,Apresentação!$I$5='Base de Dados e filtragem'!L766),1,0)</f>
        <v>1</v>
      </c>
      <c r="AQ766" s="25">
        <f>IF(OR(Apresentação!$I$6='Base de Dados e filtragem'!AQ$2,Apresentação!$I$6='Base de Dados e filtragem'!M766),1,0)</f>
        <v>1</v>
      </c>
      <c r="AR766" s="25">
        <v>1</v>
      </c>
      <c r="AS766" s="25">
        <v>1</v>
      </c>
      <c r="AT766" s="25">
        <v>1</v>
      </c>
      <c r="AU766" s="25">
        <v>1</v>
      </c>
      <c r="AV766" s="25">
        <v>1</v>
      </c>
      <c r="AW766" s="25">
        <v>1</v>
      </c>
      <c r="AX766" s="25">
        <v>1</v>
      </c>
      <c r="AY766" s="25">
        <v>1</v>
      </c>
      <c r="AZ766" s="25">
        <v>1</v>
      </c>
      <c r="BA766" s="25">
        <v>1</v>
      </c>
      <c r="BB766" s="25">
        <v>1</v>
      </c>
      <c r="BC766" s="25">
        <v>1</v>
      </c>
      <c r="BD766" s="25">
        <v>1</v>
      </c>
    </row>
    <row r="767" spans="27:56" x14ac:dyDescent="0.25">
      <c r="AA767" s="68" t="str">
        <f t="shared" si="45"/>
        <v>Fotos\\.jpg</v>
      </c>
      <c r="AB767" s="53">
        <f t="shared" si="46"/>
        <v>1.3037809647979139E-3</v>
      </c>
      <c r="AC767" s="25">
        <f t="shared" si="47"/>
        <v>767</v>
      </c>
      <c r="AD767" s="51">
        <f t="shared" si="48"/>
        <v>1</v>
      </c>
      <c r="AE767" s="25">
        <v>1</v>
      </c>
      <c r="AF767" s="25">
        <v>1</v>
      </c>
      <c r="AG767" s="25">
        <v>1</v>
      </c>
      <c r="AH767" s="25">
        <v>1</v>
      </c>
      <c r="AI767" s="25">
        <f>IF(OR(Apresentação!$E$3='Base de Dados e filtragem'!AI$2,Apresentação!$E$3='Base de Dados e filtragem'!E767),1,0)</f>
        <v>1</v>
      </c>
      <c r="AJ767" s="25">
        <f>IF(OR(Apresentação!$E$4='Base de Dados e filtragem'!AJ$2,Apresentação!$E$4='Base de Dados e filtragem'!F767),1,0)</f>
        <v>1</v>
      </c>
      <c r="AK767" s="25">
        <f>IF(OR(Apresentação!$E$5='Base de Dados e filtragem'!AK$2,Apresentação!$E$5='Base de Dados e filtragem'!G767),1,0)</f>
        <v>1</v>
      </c>
      <c r="AL767" s="25">
        <f>IF(OR(Apresentação!$E$6='Base de Dados e filtragem'!AL$2,Apresentação!$E$6='Base de Dados e filtragem'!H767),1,0)</f>
        <v>1</v>
      </c>
      <c r="AM767" s="25">
        <f>IF(OR(Apresentação!$I$2='Base de Dados e filtragem'!AM$2,Apresentação!$I$2='Base de Dados e filtragem'!I767),1,0)</f>
        <v>1</v>
      </c>
      <c r="AN767" s="25">
        <f>IF(OR(Apresentação!$I$3='Base de Dados e filtragem'!AN$2,Apresentação!$I$3='Base de Dados e filtragem'!J767),1,0)</f>
        <v>1</v>
      </c>
      <c r="AO767" s="25">
        <f>IF(OR(Apresentação!$I$4='Base de Dados e filtragem'!AO$2,Apresentação!$I$4='Base de Dados e filtragem'!K767),1,0)</f>
        <v>1</v>
      </c>
      <c r="AP767" s="25">
        <f>IF(OR(Apresentação!$I$5='Base de Dados e filtragem'!AP$2,Apresentação!$I$5='Base de Dados e filtragem'!L767),1,0)</f>
        <v>1</v>
      </c>
      <c r="AQ767" s="25">
        <f>IF(OR(Apresentação!$I$6='Base de Dados e filtragem'!AQ$2,Apresentação!$I$6='Base de Dados e filtragem'!M767),1,0)</f>
        <v>1</v>
      </c>
      <c r="AR767" s="25">
        <v>1</v>
      </c>
      <c r="AS767" s="25">
        <v>1</v>
      </c>
      <c r="AT767" s="25">
        <v>1</v>
      </c>
      <c r="AU767" s="25">
        <v>1</v>
      </c>
      <c r="AV767" s="25">
        <v>1</v>
      </c>
      <c r="AW767" s="25">
        <v>1</v>
      </c>
      <c r="AX767" s="25">
        <v>1</v>
      </c>
      <c r="AY767" s="25">
        <v>1</v>
      </c>
      <c r="AZ767" s="25">
        <v>1</v>
      </c>
      <c r="BA767" s="25">
        <v>1</v>
      </c>
      <c r="BB767" s="25">
        <v>1</v>
      </c>
      <c r="BC767" s="25">
        <v>1</v>
      </c>
      <c r="BD767" s="25">
        <v>1</v>
      </c>
    </row>
    <row r="768" spans="27:56" x14ac:dyDescent="0.25">
      <c r="AA768" s="68" t="str">
        <f t="shared" si="45"/>
        <v>Fotos\\.jpg</v>
      </c>
      <c r="AB768" s="53">
        <f t="shared" si="46"/>
        <v>1.3020833333333333E-3</v>
      </c>
      <c r="AC768" s="25">
        <f t="shared" si="47"/>
        <v>768</v>
      </c>
      <c r="AD768" s="51">
        <f t="shared" si="48"/>
        <v>1</v>
      </c>
      <c r="AE768" s="25">
        <v>1</v>
      </c>
      <c r="AF768" s="25">
        <v>1</v>
      </c>
      <c r="AG768" s="25">
        <v>1</v>
      </c>
      <c r="AH768" s="25">
        <v>1</v>
      </c>
      <c r="AI768" s="25">
        <f>IF(OR(Apresentação!$E$3='Base de Dados e filtragem'!AI$2,Apresentação!$E$3='Base de Dados e filtragem'!E768),1,0)</f>
        <v>1</v>
      </c>
      <c r="AJ768" s="25">
        <f>IF(OR(Apresentação!$E$4='Base de Dados e filtragem'!AJ$2,Apresentação!$E$4='Base de Dados e filtragem'!F768),1,0)</f>
        <v>1</v>
      </c>
      <c r="AK768" s="25">
        <f>IF(OR(Apresentação!$E$5='Base de Dados e filtragem'!AK$2,Apresentação!$E$5='Base de Dados e filtragem'!G768),1,0)</f>
        <v>1</v>
      </c>
      <c r="AL768" s="25">
        <f>IF(OR(Apresentação!$E$6='Base de Dados e filtragem'!AL$2,Apresentação!$E$6='Base de Dados e filtragem'!H768),1,0)</f>
        <v>1</v>
      </c>
      <c r="AM768" s="25">
        <f>IF(OR(Apresentação!$I$2='Base de Dados e filtragem'!AM$2,Apresentação!$I$2='Base de Dados e filtragem'!I768),1,0)</f>
        <v>1</v>
      </c>
      <c r="AN768" s="25">
        <f>IF(OR(Apresentação!$I$3='Base de Dados e filtragem'!AN$2,Apresentação!$I$3='Base de Dados e filtragem'!J768),1,0)</f>
        <v>1</v>
      </c>
      <c r="AO768" s="25">
        <f>IF(OR(Apresentação!$I$4='Base de Dados e filtragem'!AO$2,Apresentação!$I$4='Base de Dados e filtragem'!K768),1,0)</f>
        <v>1</v>
      </c>
      <c r="AP768" s="25">
        <f>IF(OR(Apresentação!$I$5='Base de Dados e filtragem'!AP$2,Apresentação!$I$5='Base de Dados e filtragem'!L768),1,0)</f>
        <v>1</v>
      </c>
      <c r="AQ768" s="25">
        <f>IF(OR(Apresentação!$I$6='Base de Dados e filtragem'!AQ$2,Apresentação!$I$6='Base de Dados e filtragem'!M768),1,0)</f>
        <v>1</v>
      </c>
      <c r="AR768" s="25">
        <v>1</v>
      </c>
      <c r="AS768" s="25">
        <v>1</v>
      </c>
      <c r="AT768" s="25">
        <v>1</v>
      </c>
      <c r="AU768" s="25">
        <v>1</v>
      </c>
      <c r="AV768" s="25">
        <v>1</v>
      </c>
      <c r="AW768" s="25">
        <v>1</v>
      </c>
      <c r="AX768" s="25">
        <v>1</v>
      </c>
      <c r="AY768" s="25">
        <v>1</v>
      </c>
      <c r="AZ768" s="25">
        <v>1</v>
      </c>
      <c r="BA768" s="25">
        <v>1</v>
      </c>
      <c r="BB768" s="25">
        <v>1</v>
      </c>
      <c r="BC768" s="25">
        <v>1</v>
      </c>
      <c r="BD768" s="25">
        <v>1</v>
      </c>
    </row>
    <row r="769" spans="27:56" x14ac:dyDescent="0.25">
      <c r="AA769" s="68" t="str">
        <f t="shared" si="45"/>
        <v>Fotos\\.jpg</v>
      </c>
      <c r="AB769" s="53">
        <f t="shared" si="46"/>
        <v>1.3003901170351106E-3</v>
      </c>
      <c r="AC769" s="25">
        <f t="shared" si="47"/>
        <v>769</v>
      </c>
      <c r="AD769" s="51">
        <f t="shared" si="48"/>
        <v>1</v>
      </c>
      <c r="AE769" s="25">
        <v>1</v>
      </c>
      <c r="AF769" s="25">
        <v>1</v>
      </c>
      <c r="AG769" s="25">
        <v>1</v>
      </c>
      <c r="AH769" s="25">
        <v>1</v>
      </c>
      <c r="AI769" s="25">
        <f>IF(OR(Apresentação!$E$3='Base de Dados e filtragem'!AI$2,Apresentação!$E$3='Base de Dados e filtragem'!E769),1,0)</f>
        <v>1</v>
      </c>
      <c r="AJ769" s="25">
        <f>IF(OR(Apresentação!$E$4='Base de Dados e filtragem'!AJ$2,Apresentação!$E$4='Base de Dados e filtragem'!F769),1,0)</f>
        <v>1</v>
      </c>
      <c r="AK769" s="25">
        <f>IF(OR(Apresentação!$E$5='Base de Dados e filtragem'!AK$2,Apresentação!$E$5='Base de Dados e filtragem'!G769),1,0)</f>
        <v>1</v>
      </c>
      <c r="AL769" s="25">
        <f>IF(OR(Apresentação!$E$6='Base de Dados e filtragem'!AL$2,Apresentação!$E$6='Base de Dados e filtragem'!H769),1,0)</f>
        <v>1</v>
      </c>
      <c r="AM769" s="25">
        <f>IF(OR(Apresentação!$I$2='Base de Dados e filtragem'!AM$2,Apresentação!$I$2='Base de Dados e filtragem'!I769),1,0)</f>
        <v>1</v>
      </c>
      <c r="AN769" s="25">
        <f>IF(OR(Apresentação!$I$3='Base de Dados e filtragem'!AN$2,Apresentação!$I$3='Base de Dados e filtragem'!J769),1,0)</f>
        <v>1</v>
      </c>
      <c r="AO769" s="25">
        <f>IF(OR(Apresentação!$I$4='Base de Dados e filtragem'!AO$2,Apresentação!$I$4='Base de Dados e filtragem'!K769),1,0)</f>
        <v>1</v>
      </c>
      <c r="AP769" s="25">
        <f>IF(OR(Apresentação!$I$5='Base de Dados e filtragem'!AP$2,Apresentação!$I$5='Base de Dados e filtragem'!L769),1,0)</f>
        <v>1</v>
      </c>
      <c r="AQ769" s="25">
        <f>IF(OR(Apresentação!$I$6='Base de Dados e filtragem'!AQ$2,Apresentação!$I$6='Base de Dados e filtragem'!M769),1,0)</f>
        <v>1</v>
      </c>
      <c r="AR769" s="25">
        <v>1</v>
      </c>
      <c r="AS769" s="25">
        <v>1</v>
      </c>
      <c r="AT769" s="25">
        <v>1</v>
      </c>
      <c r="AU769" s="25">
        <v>1</v>
      </c>
      <c r="AV769" s="25">
        <v>1</v>
      </c>
      <c r="AW769" s="25">
        <v>1</v>
      </c>
      <c r="AX769" s="25">
        <v>1</v>
      </c>
      <c r="AY769" s="25">
        <v>1</v>
      </c>
      <c r="AZ769" s="25">
        <v>1</v>
      </c>
      <c r="BA769" s="25">
        <v>1</v>
      </c>
      <c r="BB769" s="25">
        <v>1</v>
      </c>
      <c r="BC769" s="25">
        <v>1</v>
      </c>
      <c r="BD769" s="25">
        <v>1</v>
      </c>
    </row>
    <row r="770" spans="27:56" x14ac:dyDescent="0.25">
      <c r="AA770" s="68" t="str">
        <f t="shared" si="45"/>
        <v>Fotos\\.jpg</v>
      </c>
      <c r="AB770" s="53">
        <f t="shared" si="46"/>
        <v>1.2987012987012987E-3</v>
      </c>
      <c r="AC770" s="25">
        <f t="shared" si="47"/>
        <v>770</v>
      </c>
      <c r="AD770" s="51">
        <f t="shared" si="48"/>
        <v>1</v>
      </c>
      <c r="AE770" s="25">
        <v>1</v>
      </c>
      <c r="AF770" s="25">
        <v>1</v>
      </c>
      <c r="AG770" s="25">
        <v>1</v>
      </c>
      <c r="AH770" s="25">
        <v>1</v>
      </c>
      <c r="AI770" s="25">
        <f>IF(OR(Apresentação!$E$3='Base de Dados e filtragem'!AI$2,Apresentação!$E$3='Base de Dados e filtragem'!E770),1,0)</f>
        <v>1</v>
      </c>
      <c r="AJ770" s="25">
        <f>IF(OR(Apresentação!$E$4='Base de Dados e filtragem'!AJ$2,Apresentação!$E$4='Base de Dados e filtragem'!F770),1,0)</f>
        <v>1</v>
      </c>
      <c r="AK770" s="25">
        <f>IF(OR(Apresentação!$E$5='Base de Dados e filtragem'!AK$2,Apresentação!$E$5='Base de Dados e filtragem'!G770),1,0)</f>
        <v>1</v>
      </c>
      <c r="AL770" s="25">
        <f>IF(OR(Apresentação!$E$6='Base de Dados e filtragem'!AL$2,Apresentação!$E$6='Base de Dados e filtragem'!H770),1,0)</f>
        <v>1</v>
      </c>
      <c r="AM770" s="25">
        <f>IF(OR(Apresentação!$I$2='Base de Dados e filtragem'!AM$2,Apresentação!$I$2='Base de Dados e filtragem'!I770),1,0)</f>
        <v>1</v>
      </c>
      <c r="AN770" s="25">
        <f>IF(OR(Apresentação!$I$3='Base de Dados e filtragem'!AN$2,Apresentação!$I$3='Base de Dados e filtragem'!J770),1,0)</f>
        <v>1</v>
      </c>
      <c r="AO770" s="25">
        <f>IF(OR(Apresentação!$I$4='Base de Dados e filtragem'!AO$2,Apresentação!$I$4='Base de Dados e filtragem'!K770),1,0)</f>
        <v>1</v>
      </c>
      <c r="AP770" s="25">
        <f>IF(OR(Apresentação!$I$5='Base de Dados e filtragem'!AP$2,Apresentação!$I$5='Base de Dados e filtragem'!L770),1,0)</f>
        <v>1</v>
      </c>
      <c r="AQ770" s="25">
        <f>IF(OR(Apresentação!$I$6='Base de Dados e filtragem'!AQ$2,Apresentação!$I$6='Base de Dados e filtragem'!M770),1,0)</f>
        <v>1</v>
      </c>
      <c r="AR770" s="25">
        <v>1</v>
      </c>
      <c r="AS770" s="25">
        <v>1</v>
      </c>
      <c r="AT770" s="25">
        <v>1</v>
      </c>
      <c r="AU770" s="25">
        <v>1</v>
      </c>
      <c r="AV770" s="25">
        <v>1</v>
      </c>
      <c r="AW770" s="25">
        <v>1</v>
      </c>
      <c r="AX770" s="25">
        <v>1</v>
      </c>
      <c r="AY770" s="25">
        <v>1</v>
      </c>
      <c r="AZ770" s="25">
        <v>1</v>
      </c>
      <c r="BA770" s="25">
        <v>1</v>
      </c>
      <c r="BB770" s="25">
        <v>1</v>
      </c>
      <c r="BC770" s="25">
        <v>1</v>
      </c>
      <c r="BD770" s="25">
        <v>1</v>
      </c>
    </row>
    <row r="771" spans="27:56" x14ac:dyDescent="0.25">
      <c r="AA771" s="68" t="str">
        <f t="shared" si="45"/>
        <v>Fotos\\.jpg</v>
      </c>
      <c r="AB771" s="53">
        <f t="shared" si="46"/>
        <v>1.2970168612191958E-3</v>
      </c>
      <c r="AC771" s="25">
        <f t="shared" si="47"/>
        <v>771</v>
      </c>
      <c r="AD771" s="51">
        <f t="shared" si="48"/>
        <v>1</v>
      </c>
      <c r="AE771" s="25">
        <v>1</v>
      </c>
      <c r="AF771" s="25">
        <v>1</v>
      </c>
      <c r="AG771" s="25">
        <v>1</v>
      </c>
      <c r="AH771" s="25">
        <v>1</v>
      </c>
      <c r="AI771" s="25">
        <f>IF(OR(Apresentação!$E$3='Base de Dados e filtragem'!AI$2,Apresentação!$E$3='Base de Dados e filtragem'!E771),1,0)</f>
        <v>1</v>
      </c>
      <c r="AJ771" s="25">
        <f>IF(OR(Apresentação!$E$4='Base de Dados e filtragem'!AJ$2,Apresentação!$E$4='Base de Dados e filtragem'!F771),1,0)</f>
        <v>1</v>
      </c>
      <c r="AK771" s="25">
        <f>IF(OR(Apresentação!$E$5='Base de Dados e filtragem'!AK$2,Apresentação!$E$5='Base de Dados e filtragem'!G771),1,0)</f>
        <v>1</v>
      </c>
      <c r="AL771" s="25">
        <f>IF(OR(Apresentação!$E$6='Base de Dados e filtragem'!AL$2,Apresentação!$E$6='Base de Dados e filtragem'!H771),1,0)</f>
        <v>1</v>
      </c>
      <c r="AM771" s="25">
        <f>IF(OR(Apresentação!$I$2='Base de Dados e filtragem'!AM$2,Apresentação!$I$2='Base de Dados e filtragem'!I771),1,0)</f>
        <v>1</v>
      </c>
      <c r="AN771" s="25">
        <f>IF(OR(Apresentação!$I$3='Base de Dados e filtragem'!AN$2,Apresentação!$I$3='Base de Dados e filtragem'!J771),1,0)</f>
        <v>1</v>
      </c>
      <c r="AO771" s="25">
        <f>IF(OR(Apresentação!$I$4='Base de Dados e filtragem'!AO$2,Apresentação!$I$4='Base de Dados e filtragem'!K771),1,0)</f>
        <v>1</v>
      </c>
      <c r="AP771" s="25">
        <f>IF(OR(Apresentação!$I$5='Base de Dados e filtragem'!AP$2,Apresentação!$I$5='Base de Dados e filtragem'!L771),1,0)</f>
        <v>1</v>
      </c>
      <c r="AQ771" s="25">
        <f>IF(OR(Apresentação!$I$6='Base de Dados e filtragem'!AQ$2,Apresentação!$I$6='Base de Dados e filtragem'!M771),1,0)</f>
        <v>1</v>
      </c>
      <c r="AR771" s="25">
        <v>1</v>
      </c>
      <c r="AS771" s="25">
        <v>1</v>
      </c>
      <c r="AT771" s="25">
        <v>1</v>
      </c>
      <c r="AU771" s="25">
        <v>1</v>
      </c>
      <c r="AV771" s="25">
        <v>1</v>
      </c>
      <c r="AW771" s="25">
        <v>1</v>
      </c>
      <c r="AX771" s="25">
        <v>1</v>
      </c>
      <c r="AY771" s="25">
        <v>1</v>
      </c>
      <c r="AZ771" s="25">
        <v>1</v>
      </c>
      <c r="BA771" s="25">
        <v>1</v>
      </c>
      <c r="BB771" s="25">
        <v>1</v>
      </c>
      <c r="BC771" s="25">
        <v>1</v>
      </c>
      <c r="BD771" s="25">
        <v>1</v>
      </c>
    </row>
    <row r="772" spans="27:56" x14ac:dyDescent="0.25">
      <c r="AA772" s="68" t="str">
        <f t="shared" ref="AA772:AA835" si="49">"Fotos\"&amp;I772&amp;"\"&amp;A772&amp;".jpg"</f>
        <v>Fotos\\.jpg</v>
      </c>
      <c r="AB772" s="53">
        <f t="shared" ref="AB772:AB835" si="50">AD772/AC772</f>
        <v>1.2953367875647669E-3</v>
      </c>
      <c r="AC772" s="25">
        <f t="shared" ref="AC772:AC835" si="51">AC771+1</f>
        <v>772</v>
      </c>
      <c r="AD772" s="51">
        <f t="shared" ref="AD772:AD835" si="52">PRODUCT(AE772:BD772)</f>
        <v>1</v>
      </c>
      <c r="AE772" s="25">
        <v>1</v>
      </c>
      <c r="AF772" s="25">
        <v>1</v>
      </c>
      <c r="AG772" s="25">
        <v>1</v>
      </c>
      <c r="AH772" s="25">
        <v>1</v>
      </c>
      <c r="AI772" s="25">
        <f>IF(OR(Apresentação!$E$3='Base de Dados e filtragem'!AI$2,Apresentação!$E$3='Base de Dados e filtragem'!E772),1,0)</f>
        <v>1</v>
      </c>
      <c r="AJ772" s="25">
        <f>IF(OR(Apresentação!$E$4='Base de Dados e filtragem'!AJ$2,Apresentação!$E$4='Base de Dados e filtragem'!F772),1,0)</f>
        <v>1</v>
      </c>
      <c r="AK772" s="25">
        <f>IF(OR(Apresentação!$E$5='Base de Dados e filtragem'!AK$2,Apresentação!$E$5='Base de Dados e filtragem'!G772),1,0)</f>
        <v>1</v>
      </c>
      <c r="AL772" s="25">
        <f>IF(OR(Apresentação!$E$6='Base de Dados e filtragem'!AL$2,Apresentação!$E$6='Base de Dados e filtragem'!H772),1,0)</f>
        <v>1</v>
      </c>
      <c r="AM772" s="25">
        <f>IF(OR(Apresentação!$I$2='Base de Dados e filtragem'!AM$2,Apresentação!$I$2='Base de Dados e filtragem'!I772),1,0)</f>
        <v>1</v>
      </c>
      <c r="AN772" s="25">
        <f>IF(OR(Apresentação!$I$3='Base de Dados e filtragem'!AN$2,Apresentação!$I$3='Base de Dados e filtragem'!J772),1,0)</f>
        <v>1</v>
      </c>
      <c r="AO772" s="25">
        <f>IF(OR(Apresentação!$I$4='Base de Dados e filtragem'!AO$2,Apresentação!$I$4='Base de Dados e filtragem'!K772),1,0)</f>
        <v>1</v>
      </c>
      <c r="AP772" s="25">
        <f>IF(OR(Apresentação!$I$5='Base de Dados e filtragem'!AP$2,Apresentação!$I$5='Base de Dados e filtragem'!L772),1,0)</f>
        <v>1</v>
      </c>
      <c r="AQ772" s="25">
        <f>IF(OR(Apresentação!$I$6='Base de Dados e filtragem'!AQ$2,Apresentação!$I$6='Base de Dados e filtragem'!M772),1,0)</f>
        <v>1</v>
      </c>
      <c r="AR772" s="25">
        <v>1</v>
      </c>
      <c r="AS772" s="25">
        <v>1</v>
      </c>
      <c r="AT772" s="25">
        <v>1</v>
      </c>
      <c r="AU772" s="25">
        <v>1</v>
      </c>
      <c r="AV772" s="25">
        <v>1</v>
      </c>
      <c r="AW772" s="25">
        <v>1</v>
      </c>
      <c r="AX772" s="25">
        <v>1</v>
      </c>
      <c r="AY772" s="25">
        <v>1</v>
      </c>
      <c r="AZ772" s="25">
        <v>1</v>
      </c>
      <c r="BA772" s="25">
        <v>1</v>
      </c>
      <c r="BB772" s="25">
        <v>1</v>
      </c>
      <c r="BC772" s="25">
        <v>1</v>
      </c>
      <c r="BD772" s="25">
        <v>1</v>
      </c>
    </row>
    <row r="773" spans="27:56" x14ac:dyDescent="0.25">
      <c r="AA773" s="68" t="str">
        <f t="shared" si="49"/>
        <v>Fotos\\.jpg</v>
      </c>
      <c r="AB773" s="53">
        <f t="shared" si="50"/>
        <v>1.29366106080207E-3</v>
      </c>
      <c r="AC773" s="25">
        <f t="shared" si="51"/>
        <v>773</v>
      </c>
      <c r="AD773" s="51">
        <f t="shared" si="52"/>
        <v>1</v>
      </c>
      <c r="AE773" s="25">
        <v>1</v>
      </c>
      <c r="AF773" s="25">
        <v>1</v>
      </c>
      <c r="AG773" s="25">
        <v>1</v>
      </c>
      <c r="AH773" s="25">
        <v>1</v>
      </c>
      <c r="AI773" s="25">
        <f>IF(OR(Apresentação!$E$3='Base de Dados e filtragem'!AI$2,Apresentação!$E$3='Base de Dados e filtragem'!E773),1,0)</f>
        <v>1</v>
      </c>
      <c r="AJ773" s="25">
        <f>IF(OR(Apresentação!$E$4='Base de Dados e filtragem'!AJ$2,Apresentação!$E$4='Base de Dados e filtragem'!F773),1,0)</f>
        <v>1</v>
      </c>
      <c r="AK773" s="25">
        <f>IF(OR(Apresentação!$E$5='Base de Dados e filtragem'!AK$2,Apresentação!$E$5='Base de Dados e filtragem'!G773),1,0)</f>
        <v>1</v>
      </c>
      <c r="AL773" s="25">
        <f>IF(OR(Apresentação!$E$6='Base de Dados e filtragem'!AL$2,Apresentação!$E$6='Base de Dados e filtragem'!H773),1,0)</f>
        <v>1</v>
      </c>
      <c r="AM773" s="25">
        <f>IF(OR(Apresentação!$I$2='Base de Dados e filtragem'!AM$2,Apresentação!$I$2='Base de Dados e filtragem'!I773),1,0)</f>
        <v>1</v>
      </c>
      <c r="AN773" s="25">
        <f>IF(OR(Apresentação!$I$3='Base de Dados e filtragem'!AN$2,Apresentação!$I$3='Base de Dados e filtragem'!J773),1,0)</f>
        <v>1</v>
      </c>
      <c r="AO773" s="25">
        <f>IF(OR(Apresentação!$I$4='Base de Dados e filtragem'!AO$2,Apresentação!$I$4='Base de Dados e filtragem'!K773),1,0)</f>
        <v>1</v>
      </c>
      <c r="AP773" s="25">
        <f>IF(OR(Apresentação!$I$5='Base de Dados e filtragem'!AP$2,Apresentação!$I$5='Base de Dados e filtragem'!L773),1,0)</f>
        <v>1</v>
      </c>
      <c r="AQ773" s="25">
        <f>IF(OR(Apresentação!$I$6='Base de Dados e filtragem'!AQ$2,Apresentação!$I$6='Base de Dados e filtragem'!M773),1,0)</f>
        <v>1</v>
      </c>
      <c r="AR773" s="25">
        <v>1</v>
      </c>
      <c r="AS773" s="25">
        <v>1</v>
      </c>
      <c r="AT773" s="25">
        <v>1</v>
      </c>
      <c r="AU773" s="25">
        <v>1</v>
      </c>
      <c r="AV773" s="25">
        <v>1</v>
      </c>
      <c r="AW773" s="25">
        <v>1</v>
      </c>
      <c r="AX773" s="25">
        <v>1</v>
      </c>
      <c r="AY773" s="25">
        <v>1</v>
      </c>
      <c r="AZ773" s="25">
        <v>1</v>
      </c>
      <c r="BA773" s="25">
        <v>1</v>
      </c>
      <c r="BB773" s="25">
        <v>1</v>
      </c>
      <c r="BC773" s="25">
        <v>1</v>
      </c>
      <c r="BD773" s="25">
        <v>1</v>
      </c>
    </row>
    <row r="774" spans="27:56" x14ac:dyDescent="0.25">
      <c r="AA774" s="68" t="str">
        <f t="shared" si="49"/>
        <v>Fotos\\.jpg</v>
      </c>
      <c r="AB774" s="53">
        <f t="shared" si="50"/>
        <v>1.2919896640826874E-3</v>
      </c>
      <c r="AC774" s="25">
        <f t="shared" si="51"/>
        <v>774</v>
      </c>
      <c r="AD774" s="51">
        <f t="shared" si="52"/>
        <v>1</v>
      </c>
      <c r="AE774" s="25">
        <v>1</v>
      </c>
      <c r="AF774" s="25">
        <v>1</v>
      </c>
      <c r="AG774" s="25">
        <v>1</v>
      </c>
      <c r="AH774" s="25">
        <v>1</v>
      </c>
      <c r="AI774" s="25">
        <f>IF(OR(Apresentação!$E$3='Base de Dados e filtragem'!AI$2,Apresentação!$E$3='Base de Dados e filtragem'!E774),1,0)</f>
        <v>1</v>
      </c>
      <c r="AJ774" s="25">
        <f>IF(OR(Apresentação!$E$4='Base de Dados e filtragem'!AJ$2,Apresentação!$E$4='Base de Dados e filtragem'!F774),1,0)</f>
        <v>1</v>
      </c>
      <c r="AK774" s="25">
        <f>IF(OR(Apresentação!$E$5='Base de Dados e filtragem'!AK$2,Apresentação!$E$5='Base de Dados e filtragem'!G774),1,0)</f>
        <v>1</v>
      </c>
      <c r="AL774" s="25">
        <f>IF(OR(Apresentação!$E$6='Base de Dados e filtragem'!AL$2,Apresentação!$E$6='Base de Dados e filtragem'!H774),1,0)</f>
        <v>1</v>
      </c>
      <c r="AM774" s="25">
        <f>IF(OR(Apresentação!$I$2='Base de Dados e filtragem'!AM$2,Apresentação!$I$2='Base de Dados e filtragem'!I774),1,0)</f>
        <v>1</v>
      </c>
      <c r="AN774" s="25">
        <f>IF(OR(Apresentação!$I$3='Base de Dados e filtragem'!AN$2,Apresentação!$I$3='Base de Dados e filtragem'!J774),1,0)</f>
        <v>1</v>
      </c>
      <c r="AO774" s="25">
        <f>IF(OR(Apresentação!$I$4='Base de Dados e filtragem'!AO$2,Apresentação!$I$4='Base de Dados e filtragem'!K774),1,0)</f>
        <v>1</v>
      </c>
      <c r="AP774" s="25">
        <f>IF(OR(Apresentação!$I$5='Base de Dados e filtragem'!AP$2,Apresentação!$I$5='Base de Dados e filtragem'!L774),1,0)</f>
        <v>1</v>
      </c>
      <c r="AQ774" s="25">
        <f>IF(OR(Apresentação!$I$6='Base de Dados e filtragem'!AQ$2,Apresentação!$I$6='Base de Dados e filtragem'!M774),1,0)</f>
        <v>1</v>
      </c>
      <c r="AR774" s="25">
        <v>1</v>
      </c>
      <c r="AS774" s="25">
        <v>1</v>
      </c>
      <c r="AT774" s="25">
        <v>1</v>
      </c>
      <c r="AU774" s="25">
        <v>1</v>
      </c>
      <c r="AV774" s="25">
        <v>1</v>
      </c>
      <c r="AW774" s="25">
        <v>1</v>
      </c>
      <c r="AX774" s="25">
        <v>1</v>
      </c>
      <c r="AY774" s="25">
        <v>1</v>
      </c>
      <c r="AZ774" s="25">
        <v>1</v>
      </c>
      <c r="BA774" s="25">
        <v>1</v>
      </c>
      <c r="BB774" s="25">
        <v>1</v>
      </c>
      <c r="BC774" s="25">
        <v>1</v>
      </c>
      <c r="BD774" s="25">
        <v>1</v>
      </c>
    </row>
    <row r="775" spans="27:56" x14ac:dyDescent="0.25">
      <c r="AA775" s="68" t="str">
        <f t="shared" si="49"/>
        <v>Fotos\\.jpg</v>
      </c>
      <c r="AB775" s="53">
        <f t="shared" si="50"/>
        <v>1.2903225806451613E-3</v>
      </c>
      <c r="AC775" s="25">
        <f t="shared" si="51"/>
        <v>775</v>
      </c>
      <c r="AD775" s="51">
        <f t="shared" si="52"/>
        <v>1</v>
      </c>
      <c r="AE775" s="25">
        <v>1</v>
      </c>
      <c r="AF775" s="25">
        <v>1</v>
      </c>
      <c r="AG775" s="25">
        <v>1</v>
      </c>
      <c r="AH775" s="25">
        <v>1</v>
      </c>
      <c r="AI775" s="25">
        <f>IF(OR(Apresentação!$E$3='Base de Dados e filtragem'!AI$2,Apresentação!$E$3='Base de Dados e filtragem'!E775),1,0)</f>
        <v>1</v>
      </c>
      <c r="AJ775" s="25">
        <f>IF(OR(Apresentação!$E$4='Base de Dados e filtragem'!AJ$2,Apresentação!$E$4='Base de Dados e filtragem'!F775),1,0)</f>
        <v>1</v>
      </c>
      <c r="AK775" s="25">
        <f>IF(OR(Apresentação!$E$5='Base de Dados e filtragem'!AK$2,Apresentação!$E$5='Base de Dados e filtragem'!G775),1,0)</f>
        <v>1</v>
      </c>
      <c r="AL775" s="25">
        <f>IF(OR(Apresentação!$E$6='Base de Dados e filtragem'!AL$2,Apresentação!$E$6='Base de Dados e filtragem'!H775),1,0)</f>
        <v>1</v>
      </c>
      <c r="AM775" s="25">
        <f>IF(OR(Apresentação!$I$2='Base de Dados e filtragem'!AM$2,Apresentação!$I$2='Base de Dados e filtragem'!I775),1,0)</f>
        <v>1</v>
      </c>
      <c r="AN775" s="25">
        <f>IF(OR(Apresentação!$I$3='Base de Dados e filtragem'!AN$2,Apresentação!$I$3='Base de Dados e filtragem'!J775),1,0)</f>
        <v>1</v>
      </c>
      <c r="AO775" s="25">
        <f>IF(OR(Apresentação!$I$4='Base de Dados e filtragem'!AO$2,Apresentação!$I$4='Base de Dados e filtragem'!K775),1,0)</f>
        <v>1</v>
      </c>
      <c r="AP775" s="25">
        <f>IF(OR(Apresentação!$I$5='Base de Dados e filtragem'!AP$2,Apresentação!$I$5='Base de Dados e filtragem'!L775),1,0)</f>
        <v>1</v>
      </c>
      <c r="AQ775" s="25">
        <f>IF(OR(Apresentação!$I$6='Base de Dados e filtragem'!AQ$2,Apresentação!$I$6='Base de Dados e filtragem'!M775),1,0)</f>
        <v>1</v>
      </c>
      <c r="AR775" s="25">
        <v>1</v>
      </c>
      <c r="AS775" s="25">
        <v>1</v>
      </c>
      <c r="AT775" s="25">
        <v>1</v>
      </c>
      <c r="AU775" s="25">
        <v>1</v>
      </c>
      <c r="AV775" s="25">
        <v>1</v>
      </c>
      <c r="AW775" s="25">
        <v>1</v>
      </c>
      <c r="AX775" s="25">
        <v>1</v>
      </c>
      <c r="AY775" s="25">
        <v>1</v>
      </c>
      <c r="AZ775" s="25">
        <v>1</v>
      </c>
      <c r="BA775" s="25">
        <v>1</v>
      </c>
      <c r="BB775" s="25">
        <v>1</v>
      </c>
      <c r="BC775" s="25">
        <v>1</v>
      </c>
      <c r="BD775" s="25">
        <v>1</v>
      </c>
    </row>
    <row r="776" spans="27:56" x14ac:dyDescent="0.25">
      <c r="AA776" s="68" t="str">
        <f t="shared" si="49"/>
        <v>Fotos\\.jpg</v>
      </c>
      <c r="AB776" s="53">
        <f t="shared" si="50"/>
        <v>1.288659793814433E-3</v>
      </c>
      <c r="AC776" s="25">
        <f t="shared" si="51"/>
        <v>776</v>
      </c>
      <c r="AD776" s="51">
        <f t="shared" si="52"/>
        <v>1</v>
      </c>
      <c r="AE776" s="25">
        <v>1</v>
      </c>
      <c r="AF776" s="25">
        <v>1</v>
      </c>
      <c r="AG776" s="25">
        <v>1</v>
      </c>
      <c r="AH776" s="25">
        <v>1</v>
      </c>
      <c r="AI776" s="25">
        <f>IF(OR(Apresentação!$E$3='Base de Dados e filtragem'!AI$2,Apresentação!$E$3='Base de Dados e filtragem'!E776),1,0)</f>
        <v>1</v>
      </c>
      <c r="AJ776" s="25">
        <f>IF(OR(Apresentação!$E$4='Base de Dados e filtragem'!AJ$2,Apresentação!$E$4='Base de Dados e filtragem'!F776),1,0)</f>
        <v>1</v>
      </c>
      <c r="AK776" s="25">
        <f>IF(OR(Apresentação!$E$5='Base de Dados e filtragem'!AK$2,Apresentação!$E$5='Base de Dados e filtragem'!G776),1,0)</f>
        <v>1</v>
      </c>
      <c r="AL776" s="25">
        <f>IF(OR(Apresentação!$E$6='Base de Dados e filtragem'!AL$2,Apresentação!$E$6='Base de Dados e filtragem'!H776),1,0)</f>
        <v>1</v>
      </c>
      <c r="AM776" s="25">
        <f>IF(OR(Apresentação!$I$2='Base de Dados e filtragem'!AM$2,Apresentação!$I$2='Base de Dados e filtragem'!I776),1,0)</f>
        <v>1</v>
      </c>
      <c r="AN776" s="25">
        <f>IF(OR(Apresentação!$I$3='Base de Dados e filtragem'!AN$2,Apresentação!$I$3='Base de Dados e filtragem'!J776),1,0)</f>
        <v>1</v>
      </c>
      <c r="AO776" s="25">
        <f>IF(OR(Apresentação!$I$4='Base de Dados e filtragem'!AO$2,Apresentação!$I$4='Base de Dados e filtragem'!K776),1,0)</f>
        <v>1</v>
      </c>
      <c r="AP776" s="25">
        <f>IF(OR(Apresentação!$I$5='Base de Dados e filtragem'!AP$2,Apresentação!$I$5='Base de Dados e filtragem'!L776),1,0)</f>
        <v>1</v>
      </c>
      <c r="AQ776" s="25">
        <f>IF(OR(Apresentação!$I$6='Base de Dados e filtragem'!AQ$2,Apresentação!$I$6='Base de Dados e filtragem'!M776),1,0)</f>
        <v>1</v>
      </c>
      <c r="AR776" s="25">
        <v>1</v>
      </c>
      <c r="AS776" s="25">
        <v>1</v>
      </c>
      <c r="AT776" s="25">
        <v>1</v>
      </c>
      <c r="AU776" s="25">
        <v>1</v>
      </c>
      <c r="AV776" s="25">
        <v>1</v>
      </c>
      <c r="AW776" s="25">
        <v>1</v>
      </c>
      <c r="AX776" s="25">
        <v>1</v>
      </c>
      <c r="AY776" s="25">
        <v>1</v>
      </c>
      <c r="AZ776" s="25">
        <v>1</v>
      </c>
      <c r="BA776" s="25">
        <v>1</v>
      </c>
      <c r="BB776" s="25">
        <v>1</v>
      </c>
      <c r="BC776" s="25">
        <v>1</v>
      </c>
      <c r="BD776" s="25">
        <v>1</v>
      </c>
    </row>
    <row r="777" spans="27:56" x14ac:dyDescent="0.25">
      <c r="AA777" s="68" t="str">
        <f t="shared" si="49"/>
        <v>Fotos\\.jpg</v>
      </c>
      <c r="AB777" s="53">
        <f t="shared" si="50"/>
        <v>1.287001287001287E-3</v>
      </c>
      <c r="AC777" s="25">
        <f t="shared" si="51"/>
        <v>777</v>
      </c>
      <c r="AD777" s="51">
        <f t="shared" si="52"/>
        <v>1</v>
      </c>
      <c r="AE777" s="25">
        <v>1</v>
      </c>
      <c r="AF777" s="25">
        <v>1</v>
      </c>
      <c r="AG777" s="25">
        <v>1</v>
      </c>
      <c r="AH777" s="25">
        <v>1</v>
      </c>
      <c r="AI777" s="25">
        <f>IF(OR(Apresentação!$E$3='Base de Dados e filtragem'!AI$2,Apresentação!$E$3='Base de Dados e filtragem'!E777),1,0)</f>
        <v>1</v>
      </c>
      <c r="AJ777" s="25">
        <f>IF(OR(Apresentação!$E$4='Base de Dados e filtragem'!AJ$2,Apresentação!$E$4='Base de Dados e filtragem'!F777),1,0)</f>
        <v>1</v>
      </c>
      <c r="AK777" s="25">
        <f>IF(OR(Apresentação!$E$5='Base de Dados e filtragem'!AK$2,Apresentação!$E$5='Base de Dados e filtragem'!G777),1,0)</f>
        <v>1</v>
      </c>
      <c r="AL777" s="25">
        <f>IF(OR(Apresentação!$E$6='Base de Dados e filtragem'!AL$2,Apresentação!$E$6='Base de Dados e filtragem'!H777),1,0)</f>
        <v>1</v>
      </c>
      <c r="AM777" s="25">
        <f>IF(OR(Apresentação!$I$2='Base de Dados e filtragem'!AM$2,Apresentação!$I$2='Base de Dados e filtragem'!I777),1,0)</f>
        <v>1</v>
      </c>
      <c r="AN777" s="25">
        <f>IF(OR(Apresentação!$I$3='Base de Dados e filtragem'!AN$2,Apresentação!$I$3='Base de Dados e filtragem'!J777),1,0)</f>
        <v>1</v>
      </c>
      <c r="AO777" s="25">
        <f>IF(OR(Apresentação!$I$4='Base de Dados e filtragem'!AO$2,Apresentação!$I$4='Base de Dados e filtragem'!K777),1,0)</f>
        <v>1</v>
      </c>
      <c r="AP777" s="25">
        <f>IF(OR(Apresentação!$I$5='Base de Dados e filtragem'!AP$2,Apresentação!$I$5='Base de Dados e filtragem'!L777),1,0)</f>
        <v>1</v>
      </c>
      <c r="AQ777" s="25">
        <f>IF(OR(Apresentação!$I$6='Base de Dados e filtragem'!AQ$2,Apresentação!$I$6='Base de Dados e filtragem'!M777),1,0)</f>
        <v>1</v>
      </c>
      <c r="AR777" s="25">
        <v>1</v>
      </c>
      <c r="AS777" s="25">
        <v>1</v>
      </c>
      <c r="AT777" s="25">
        <v>1</v>
      </c>
      <c r="AU777" s="25">
        <v>1</v>
      </c>
      <c r="AV777" s="25">
        <v>1</v>
      </c>
      <c r="AW777" s="25">
        <v>1</v>
      </c>
      <c r="AX777" s="25">
        <v>1</v>
      </c>
      <c r="AY777" s="25">
        <v>1</v>
      </c>
      <c r="AZ777" s="25">
        <v>1</v>
      </c>
      <c r="BA777" s="25">
        <v>1</v>
      </c>
      <c r="BB777" s="25">
        <v>1</v>
      </c>
      <c r="BC777" s="25">
        <v>1</v>
      </c>
      <c r="BD777" s="25">
        <v>1</v>
      </c>
    </row>
    <row r="778" spans="27:56" x14ac:dyDescent="0.25">
      <c r="AA778" s="68" t="str">
        <f t="shared" si="49"/>
        <v>Fotos\\.jpg</v>
      </c>
      <c r="AB778" s="53">
        <f t="shared" si="50"/>
        <v>1.2853470437017994E-3</v>
      </c>
      <c r="AC778" s="25">
        <f t="shared" si="51"/>
        <v>778</v>
      </c>
      <c r="AD778" s="51">
        <f t="shared" si="52"/>
        <v>1</v>
      </c>
      <c r="AE778" s="25">
        <v>1</v>
      </c>
      <c r="AF778" s="25">
        <v>1</v>
      </c>
      <c r="AG778" s="25">
        <v>1</v>
      </c>
      <c r="AH778" s="25">
        <v>1</v>
      </c>
      <c r="AI778" s="25">
        <f>IF(OR(Apresentação!$E$3='Base de Dados e filtragem'!AI$2,Apresentação!$E$3='Base de Dados e filtragem'!E778),1,0)</f>
        <v>1</v>
      </c>
      <c r="AJ778" s="25">
        <f>IF(OR(Apresentação!$E$4='Base de Dados e filtragem'!AJ$2,Apresentação!$E$4='Base de Dados e filtragem'!F778),1,0)</f>
        <v>1</v>
      </c>
      <c r="AK778" s="25">
        <f>IF(OR(Apresentação!$E$5='Base de Dados e filtragem'!AK$2,Apresentação!$E$5='Base de Dados e filtragem'!G778),1,0)</f>
        <v>1</v>
      </c>
      <c r="AL778" s="25">
        <f>IF(OR(Apresentação!$E$6='Base de Dados e filtragem'!AL$2,Apresentação!$E$6='Base de Dados e filtragem'!H778),1,0)</f>
        <v>1</v>
      </c>
      <c r="AM778" s="25">
        <f>IF(OR(Apresentação!$I$2='Base de Dados e filtragem'!AM$2,Apresentação!$I$2='Base de Dados e filtragem'!I778),1,0)</f>
        <v>1</v>
      </c>
      <c r="AN778" s="25">
        <f>IF(OR(Apresentação!$I$3='Base de Dados e filtragem'!AN$2,Apresentação!$I$3='Base de Dados e filtragem'!J778),1,0)</f>
        <v>1</v>
      </c>
      <c r="AO778" s="25">
        <f>IF(OR(Apresentação!$I$4='Base de Dados e filtragem'!AO$2,Apresentação!$I$4='Base de Dados e filtragem'!K778),1,0)</f>
        <v>1</v>
      </c>
      <c r="AP778" s="25">
        <f>IF(OR(Apresentação!$I$5='Base de Dados e filtragem'!AP$2,Apresentação!$I$5='Base de Dados e filtragem'!L778),1,0)</f>
        <v>1</v>
      </c>
      <c r="AQ778" s="25">
        <f>IF(OR(Apresentação!$I$6='Base de Dados e filtragem'!AQ$2,Apresentação!$I$6='Base de Dados e filtragem'!M778),1,0)</f>
        <v>1</v>
      </c>
      <c r="AR778" s="25">
        <v>1</v>
      </c>
      <c r="AS778" s="25">
        <v>1</v>
      </c>
      <c r="AT778" s="25">
        <v>1</v>
      </c>
      <c r="AU778" s="25">
        <v>1</v>
      </c>
      <c r="AV778" s="25">
        <v>1</v>
      </c>
      <c r="AW778" s="25">
        <v>1</v>
      </c>
      <c r="AX778" s="25">
        <v>1</v>
      </c>
      <c r="AY778" s="25">
        <v>1</v>
      </c>
      <c r="AZ778" s="25">
        <v>1</v>
      </c>
      <c r="BA778" s="25">
        <v>1</v>
      </c>
      <c r="BB778" s="25">
        <v>1</v>
      </c>
      <c r="BC778" s="25">
        <v>1</v>
      </c>
      <c r="BD778" s="25">
        <v>1</v>
      </c>
    </row>
    <row r="779" spans="27:56" x14ac:dyDescent="0.25">
      <c r="AA779" s="68" t="str">
        <f t="shared" si="49"/>
        <v>Fotos\\.jpg</v>
      </c>
      <c r="AB779" s="53">
        <f t="shared" si="50"/>
        <v>1.2836970474967907E-3</v>
      </c>
      <c r="AC779" s="25">
        <f t="shared" si="51"/>
        <v>779</v>
      </c>
      <c r="AD779" s="51">
        <f t="shared" si="52"/>
        <v>1</v>
      </c>
      <c r="AE779" s="25">
        <v>1</v>
      </c>
      <c r="AF779" s="25">
        <v>1</v>
      </c>
      <c r="AG779" s="25">
        <v>1</v>
      </c>
      <c r="AH779" s="25">
        <v>1</v>
      </c>
      <c r="AI779" s="25">
        <f>IF(OR(Apresentação!$E$3='Base de Dados e filtragem'!AI$2,Apresentação!$E$3='Base de Dados e filtragem'!E779),1,0)</f>
        <v>1</v>
      </c>
      <c r="AJ779" s="25">
        <f>IF(OR(Apresentação!$E$4='Base de Dados e filtragem'!AJ$2,Apresentação!$E$4='Base de Dados e filtragem'!F779),1,0)</f>
        <v>1</v>
      </c>
      <c r="AK779" s="25">
        <f>IF(OR(Apresentação!$E$5='Base de Dados e filtragem'!AK$2,Apresentação!$E$5='Base de Dados e filtragem'!G779),1,0)</f>
        <v>1</v>
      </c>
      <c r="AL779" s="25">
        <f>IF(OR(Apresentação!$E$6='Base de Dados e filtragem'!AL$2,Apresentação!$E$6='Base de Dados e filtragem'!H779),1,0)</f>
        <v>1</v>
      </c>
      <c r="AM779" s="25">
        <f>IF(OR(Apresentação!$I$2='Base de Dados e filtragem'!AM$2,Apresentação!$I$2='Base de Dados e filtragem'!I779),1,0)</f>
        <v>1</v>
      </c>
      <c r="AN779" s="25">
        <f>IF(OR(Apresentação!$I$3='Base de Dados e filtragem'!AN$2,Apresentação!$I$3='Base de Dados e filtragem'!J779),1,0)</f>
        <v>1</v>
      </c>
      <c r="AO779" s="25">
        <f>IF(OR(Apresentação!$I$4='Base de Dados e filtragem'!AO$2,Apresentação!$I$4='Base de Dados e filtragem'!K779),1,0)</f>
        <v>1</v>
      </c>
      <c r="AP779" s="25">
        <f>IF(OR(Apresentação!$I$5='Base de Dados e filtragem'!AP$2,Apresentação!$I$5='Base de Dados e filtragem'!L779),1,0)</f>
        <v>1</v>
      </c>
      <c r="AQ779" s="25">
        <f>IF(OR(Apresentação!$I$6='Base de Dados e filtragem'!AQ$2,Apresentação!$I$6='Base de Dados e filtragem'!M779),1,0)</f>
        <v>1</v>
      </c>
      <c r="AR779" s="25">
        <v>1</v>
      </c>
      <c r="AS779" s="25">
        <v>1</v>
      </c>
      <c r="AT779" s="25">
        <v>1</v>
      </c>
      <c r="AU779" s="25">
        <v>1</v>
      </c>
      <c r="AV779" s="25">
        <v>1</v>
      </c>
      <c r="AW779" s="25">
        <v>1</v>
      </c>
      <c r="AX779" s="25">
        <v>1</v>
      </c>
      <c r="AY779" s="25">
        <v>1</v>
      </c>
      <c r="AZ779" s="25">
        <v>1</v>
      </c>
      <c r="BA779" s="25">
        <v>1</v>
      </c>
      <c r="BB779" s="25">
        <v>1</v>
      </c>
      <c r="BC779" s="25">
        <v>1</v>
      </c>
      <c r="BD779" s="25">
        <v>1</v>
      </c>
    </row>
    <row r="780" spans="27:56" x14ac:dyDescent="0.25">
      <c r="AA780" s="68" t="str">
        <f t="shared" si="49"/>
        <v>Fotos\\.jpg</v>
      </c>
      <c r="AB780" s="53">
        <f t="shared" si="50"/>
        <v>1.2820512820512821E-3</v>
      </c>
      <c r="AC780" s="25">
        <f t="shared" si="51"/>
        <v>780</v>
      </c>
      <c r="AD780" s="51">
        <f t="shared" si="52"/>
        <v>1</v>
      </c>
      <c r="AE780" s="25">
        <v>1</v>
      </c>
      <c r="AF780" s="25">
        <v>1</v>
      </c>
      <c r="AG780" s="25">
        <v>1</v>
      </c>
      <c r="AH780" s="25">
        <v>1</v>
      </c>
      <c r="AI780" s="25">
        <f>IF(OR(Apresentação!$E$3='Base de Dados e filtragem'!AI$2,Apresentação!$E$3='Base de Dados e filtragem'!E780),1,0)</f>
        <v>1</v>
      </c>
      <c r="AJ780" s="25">
        <f>IF(OR(Apresentação!$E$4='Base de Dados e filtragem'!AJ$2,Apresentação!$E$4='Base de Dados e filtragem'!F780),1,0)</f>
        <v>1</v>
      </c>
      <c r="AK780" s="25">
        <f>IF(OR(Apresentação!$E$5='Base de Dados e filtragem'!AK$2,Apresentação!$E$5='Base de Dados e filtragem'!G780),1,0)</f>
        <v>1</v>
      </c>
      <c r="AL780" s="25">
        <f>IF(OR(Apresentação!$E$6='Base de Dados e filtragem'!AL$2,Apresentação!$E$6='Base de Dados e filtragem'!H780),1,0)</f>
        <v>1</v>
      </c>
      <c r="AM780" s="25">
        <f>IF(OR(Apresentação!$I$2='Base de Dados e filtragem'!AM$2,Apresentação!$I$2='Base de Dados e filtragem'!I780),1,0)</f>
        <v>1</v>
      </c>
      <c r="AN780" s="25">
        <f>IF(OR(Apresentação!$I$3='Base de Dados e filtragem'!AN$2,Apresentação!$I$3='Base de Dados e filtragem'!J780),1,0)</f>
        <v>1</v>
      </c>
      <c r="AO780" s="25">
        <f>IF(OR(Apresentação!$I$4='Base de Dados e filtragem'!AO$2,Apresentação!$I$4='Base de Dados e filtragem'!K780),1,0)</f>
        <v>1</v>
      </c>
      <c r="AP780" s="25">
        <f>IF(OR(Apresentação!$I$5='Base de Dados e filtragem'!AP$2,Apresentação!$I$5='Base de Dados e filtragem'!L780),1,0)</f>
        <v>1</v>
      </c>
      <c r="AQ780" s="25">
        <f>IF(OR(Apresentação!$I$6='Base de Dados e filtragem'!AQ$2,Apresentação!$I$6='Base de Dados e filtragem'!M780),1,0)</f>
        <v>1</v>
      </c>
      <c r="AR780" s="25">
        <v>1</v>
      </c>
      <c r="AS780" s="25">
        <v>1</v>
      </c>
      <c r="AT780" s="25">
        <v>1</v>
      </c>
      <c r="AU780" s="25">
        <v>1</v>
      </c>
      <c r="AV780" s="25">
        <v>1</v>
      </c>
      <c r="AW780" s="25">
        <v>1</v>
      </c>
      <c r="AX780" s="25">
        <v>1</v>
      </c>
      <c r="AY780" s="25">
        <v>1</v>
      </c>
      <c r="AZ780" s="25">
        <v>1</v>
      </c>
      <c r="BA780" s="25">
        <v>1</v>
      </c>
      <c r="BB780" s="25">
        <v>1</v>
      </c>
      <c r="BC780" s="25">
        <v>1</v>
      </c>
      <c r="BD780" s="25">
        <v>1</v>
      </c>
    </row>
    <row r="781" spans="27:56" x14ac:dyDescent="0.25">
      <c r="AA781" s="68" t="str">
        <f t="shared" si="49"/>
        <v>Fotos\\.jpg</v>
      </c>
      <c r="AB781" s="53">
        <f t="shared" si="50"/>
        <v>1.2804097311139564E-3</v>
      </c>
      <c r="AC781" s="25">
        <f t="shared" si="51"/>
        <v>781</v>
      </c>
      <c r="AD781" s="51">
        <f t="shared" si="52"/>
        <v>1</v>
      </c>
      <c r="AE781" s="25">
        <v>1</v>
      </c>
      <c r="AF781" s="25">
        <v>1</v>
      </c>
      <c r="AG781" s="25">
        <v>1</v>
      </c>
      <c r="AH781" s="25">
        <v>1</v>
      </c>
      <c r="AI781" s="25">
        <f>IF(OR(Apresentação!$E$3='Base de Dados e filtragem'!AI$2,Apresentação!$E$3='Base de Dados e filtragem'!E781),1,0)</f>
        <v>1</v>
      </c>
      <c r="AJ781" s="25">
        <f>IF(OR(Apresentação!$E$4='Base de Dados e filtragem'!AJ$2,Apresentação!$E$4='Base de Dados e filtragem'!F781),1,0)</f>
        <v>1</v>
      </c>
      <c r="AK781" s="25">
        <f>IF(OR(Apresentação!$E$5='Base de Dados e filtragem'!AK$2,Apresentação!$E$5='Base de Dados e filtragem'!G781),1,0)</f>
        <v>1</v>
      </c>
      <c r="AL781" s="25">
        <f>IF(OR(Apresentação!$E$6='Base de Dados e filtragem'!AL$2,Apresentação!$E$6='Base de Dados e filtragem'!H781),1,0)</f>
        <v>1</v>
      </c>
      <c r="AM781" s="25">
        <f>IF(OR(Apresentação!$I$2='Base de Dados e filtragem'!AM$2,Apresentação!$I$2='Base de Dados e filtragem'!I781),1,0)</f>
        <v>1</v>
      </c>
      <c r="AN781" s="25">
        <f>IF(OR(Apresentação!$I$3='Base de Dados e filtragem'!AN$2,Apresentação!$I$3='Base de Dados e filtragem'!J781),1,0)</f>
        <v>1</v>
      </c>
      <c r="AO781" s="25">
        <f>IF(OR(Apresentação!$I$4='Base de Dados e filtragem'!AO$2,Apresentação!$I$4='Base de Dados e filtragem'!K781),1,0)</f>
        <v>1</v>
      </c>
      <c r="AP781" s="25">
        <f>IF(OR(Apresentação!$I$5='Base de Dados e filtragem'!AP$2,Apresentação!$I$5='Base de Dados e filtragem'!L781),1,0)</f>
        <v>1</v>
      </c>
      <c r="AQ781" s="25">
        <f>IF(OR(Apresentação!$I$6='Base de Dados e filtragem'!AQ$2,Apresentação!$I$6='Base de Dados e filtragem'!M781),1,0)</f>
        <v>1</v>
      </c>
      <c r="AR781" s="25">
        <v>1</v>
      </c>
      <c r="AS781" s="25">
        <v>1</v>
      </c>
      <c r="AT781" s="25">
        <v>1</v>
      </c>
      <c r="AU781" s="25">
        <v>1</v>
      </c>
      <c r="AV781" s="25">
        <v>1</v>
      </c>
      <c r="AW781" s="25">
        <v>1</v>
      </c>
      <c r="AX781" s="25">
        <v>1</v>
      </c>
      <c r="AY781" s="25">
        <v>1</v>
      </c>
      <c r="AZ781" s="25">
        <v>1</v>
      </c>
      <c r="BA781" s="25">
        <v>1</v>
      </c>
      <c r="BB781" s="25">
        <v>1</v>
      </c>
      <c r="BC781" s="25">
        <v>1</v>
      </c>
      <c r="BD781" s="25">
        <v>1</v>
      </c>
    </row>
    <row r="782" spans="27:56" x14ac:dyDescent="0.25">
      <c r="AA782" s="68" t="str">
        <f t="shared" si="49"/>
        <v>Fotos\\.jpg</v>
      </c>
      <c r="AB782" s="53">
        <f t="shared" si="50"/>
        <v>1.2787723785166241E-3</v>
      </c>
      <c r="AC782" s="25">
        <f t="shared" si="51"/>
        <v>782</v>
      </c>
      <c r="AD782" s="51">
        <f t="shared" si="52"/>
        <v>1</v>
      </c>
      <c r="AE782" s="25">
        <v>1</v>
      </c>
      <c r="AF782" s="25">
        <v>1</v>
      </c>
      <c r="AG782" s="25">
        <v>1</v>
      </c>
      <c r="AH782" s="25">
        <v>1</v>
      </c>
      <c r="AI782" s="25">
        <f>IF(OR(Apresentação!$E$3='Base de Dados e filtragem'!AI$2,Apresentação!$E$3='Base de Dados e filtragem'!E782),1,0)</f>
        <v>1</v>
      </c>
      <c r="AJ782" s="25">
        <f>IF(OR(Apresentação!$E$4='Base de Dados e filtragem'!AJ$2,Apresentação!$E$4='Base de Dados e filtragem'!F782),1,0)</f>
        <v>1</v>
      </c>
      <c r="AK782" s="25">
        <f>IF(OR(Apresentação!$E$5='Base de Dados e filtragem'!AK$2,Apresentação!$E$5='Base de Dados e filtragem'!G782),1,0)</f>
        <v>1</v>
      </c>
      <c r="AL782" s="25">
        <f>IF(OR(Apresentação!$E$6='Base de Dados e filtragem'!AL$2,Apresentação!$E$6='Base de Dados e filtragem'!H782),1,0)</f>
        <v>1</v>
      </c>
      <c r="AM782" s="25">
        <f>IF(OR(Apresentação!$I$2='Base de Dados e filtragem'!AM$2,Apresentação!$I$2='Base de Dados e filtragem'!I782),1,0)</f>
        <v>1</v>
      </c>
      <c r="AN782" s="25">
        <f>IF(OR(Apresentação!$I$3='Base de Dados e filtragem'!AN$2,Apresentação!$I$3='Base de Dados e filtragem'!J782),1,0)</f>
        <v>1</v>
      </c>
      <c r="AO782" s="25">
        <f>IF(OR(Apresentação!$I$4='Base de Dados e filtragem'!AO$2,Apresentação!$I$4='Base de Dados e filtragem'!K782),1,0)</f>
        <v>1</v>
      </c>
      <c r="AP782" s="25">
        <f>IF(OR(Apresentação!$I$5='Base de Dados e filtragem'!AP$2,Apresentação!$I$5='Base de Dados e filtragem'!L782),1,0)</f>
        <v>1</v>
      </c>
      <c r="AQ782" s="25">
        <f>IF(OR(Apresentação!$I$6='Base de Dados e filtragem'!AQ$2,Apresentação!$I$6='Base de Dados e filtragem'!M782),1,0)</f>
        <v>1</v>
      </c>
      <c r="AR782" s="25">
        <v>1</v>
      </c>
      <c r="AS782" s="25">
        <v>1</v>
      </c>
      <c r="AT782" s="25">
        <v>1</v>
      </c>
      <c r="AU782" s="25">
        <v>1</v>
      </c>
      <c r="AV782" s="25">
        <v>1</v>
      </c>
      <c r="AW782" s="25">
        <v>1</v>
      </c>
      <c r="AX782" s="25">
        <v>1</v>
      </c>
      <c r="AY782" s="25">
        <v>1</v>
      </c>
      <c r="AZ782" s="25">
        <v>1</v>
      </c>
      <c r="BA782" s="25">
        <v>1</v>
      </c>
      <c r="BB782" s="25">
        <v>1</v>
      </c>
      <c r="BC782" s="25">
        <v>1</v>
      </c>
      <c r="BD782" s="25">
        <v>1</v>
      </c>
    </row>
    <row r="783" spans="27:56" x14ac:dyDescent="0.25">
      <c r="AA783" s="68" t="str">
        <f t="shared" si="49"/>
        <v>Fotos\\.jpg</v>
      </c>
      <c r="AB783" s="53">
        <f t="shared" si="50"/>
        <v>1.277139208173691E-3</v>
      </c>
      <c r="AC783" s="25">
        <f t="shared" si="51"/>
        <v>783</v>
      </c>
      <c r="AD783" s="51">
        <f t="shared" si="52"/>
        <v>1</v>
      </c>
      <c r="AE783" s="25">
        <v>1</v>
      </c>
      <c r="AF783" s="25">
        <v>1</v>
      </c>
      <c r="AG783" s="25">
        <v>1</v>
      </c>
      <c r="AH783" s="25">
        <v>1</v>
      </c>
      <c r="AI783" s="25">
        <f>IF(OR(Apresentação!$E$3='Base de Dados e filtragem'!AI$2,Apresentação!$E$3='Base de Dados e filtragem'!E783),1,0)</f>
        <v>1</v>
      </c>
      <c r="AJ783" s="25">
        <f>IF(OR(Apresentação!$E$4='Base de Dados e filtragem'!AJ$2,Apresentação!$E$4='Base de Dados e filtragem'!F783),1,0)</f>
        <v>1</v>
      </c>
      <c r="AK783" s="25">
        <f>IF(OR(Apresentação!$E$5='Base de Dados e filtragem'!AK$2,Apresentação!$E$5='Base de Dados e filtragem'!G783),1,0)</f>
        <v>1</v>
      </c>
      <c r="AL783" s="25">
        <f>IF(OR(Apresentação!$E$6='Base de Dados e filtragem'!AL$2,Apresentação!$E$6='Base de Dados e filtragem'!H783),1,0)</f>
        <v>1</v>
      </c>
      <c r="AM783" s="25">
        <f>IF(OR(Apresentação!$I$2='Base de Dados e filtragem'!AM$2,Apresentação!$I$2='Base de Dados e filtragem'!I783),1,0)</f>
        <v>1</v>
      </c>
      <c r="AN783" s="25">
        <f>IF(OR(Apresentação!$I$3='Base de Dados e filtragem'!AN$2,Apresentação!$I$3='Base de Dados e filtragem'!J783),1,0)</f>
        <v>1</v>
      </c>
      <c r="AO783" s="25">
        <f>IF(OR(Apresentação!$I$4='Base de Dados e filtragem'!AO$2,Apresentação!$I$4='Base de Dados e filtragem'!K783),1,0)</f>
        <v>1</v>
      </c>
      <c r="AP783" s="25">
        <f>IF(OR(Apresentação!$I$5='Base de Dados e filtragem'!AP$2,Apresentação!$I$5='Base de Dados e filtragem'!L783),1,0)</f>
        <v>1</v>
      </c>
      <c r="AQ783" s="25">
        <f>IF(OR(Apresentação!$I$6='Base de Dados e filtragem'!AQ$2,Apresentação!$I$6='Base de Dados e filtragem'!M783),1,0)</f>
        <v>1</v>
      </c>
      <c r="AR783" s="25">
        <v>1</v>
      </c>
      <c r="AS783" s="25">
        <v>1</v>
      </c>
      <c r="AT783" s="25">
        <v>1</v>
      </c>
      <c r="AU783" s="25">
        <v>1</v>
      </c>
      <c r="AV783" s="25">
        <v>1</v>
      </c>
      <c r="AW783" s="25">
        <v>1</v>
      </c>
      <c r="AX783" s="25">
        <v>1</v>
      </c>
      <c r="AY783" s="25">
        <v>1</v>
      </c>
      <c r="AZ783" s="25">
        <v>1</v>
      </c>
      <c r="BA783" s="25">
        <v>1</v>
      </c>
      <c r="BB783" s="25">
        <v>1</v>
      </c>
      <c r="BC783" s="25">
        <v>1</v>
      </c>
      <c r="BD783" s="25">
        <v>1</v>
      </c>
    </row>
    <row r="784" spans="27:56" x14ac:dyDescent="0.25">
      <c r="AA784" s="68" t="str">
        <f t="shared" si="49"/>
        <v>Fotos\\.jpg</v>
      </c>
      <c r="AB784" s="53">
        <f t="shared" si="50"/>
        <v>1.2755102040816326E-3</v>
      </c>
      <c r="AC784" s="25">
        <f t="shared" si="51"/>
        <v>784</v>
      </c>
      <c r="AD784" s="51">
        <f t="shared" si="52"/>
        <v>1</v>
      </c>
      <c r="AE784" s="25">
        <v>1</v>
      </c>
      <c r="AF784" s="25">
        <v>1</v>
      </c>
      <c r="AG784" s="25">
        <v>1</v>
      </c>
      <c r="AH784" s="25">
        <v>1</v>
      </c>
      <c r="AI784" s="25">
        <f>IF(OR(Apresentação!$E$3='Base de Dados e filtragem'!AI$2,Apresentação!$E$3='Base de Dados e filtragem'!E784),1,0)</f>
        <v>1</v>
      </c>
      <c r="AJ784" s="25">
        <f>IF(OR(Apresentação!$E$4='Base de Dados e filtragem'!AJ$2,Apresentação!$E$4='Base de Dados e filtragem'!F784),1,0)</f>
        <v>1</v>
      </c>
      <c r="AK784" s="25">
        <f>IF(OR(Apresentação!$E$5='Base de Dados e filtragem'!AK$2,Apresentação!$E$5='Base de Dados e filtragem'!G784),1,0)</f>
        <v>1</v>
      </c>
      <c r="AL784" s="25">
        <f>IF(OR(Apresentação!$E$6='Base de Dados e filtragem'!AL$2,Apresentação!$E$6='Base de Dados e filtragem'!H784),1,0)</f>
        <v>1</v>
      </c>
      <c r="AM784" s="25">
        <f>IF(OR(Apresentação!$I$2='Base de Dados e filtragem'!AM$2,Apresentação!$I$2='Base de Dados e filtragem'!I784),1,0)</f>
        <v>1</v>
      </c>
      <c r="AN784" s="25">
        <f>IF(OR(Apresentação!$I$3='Base de Dados e filtragem'!AN$2,Apresentação!$I$3='Base de Dados e filtragem'!J784),1,0)</f>
        <v>1</v>
      </c>
      <c r="AO784" s="25">
        <f>IF(OR(Apresentação!$I$4='Base de Dados e filtragem'!AO$2,Apresentação!$I$4='Base de Dados e filtragem'!K784),1,0)</f>
        <v>1</v>
      </c>
      <c r="AP784" s="25">
        <f>IF(OR(Apresentação!$I$5='Base de Dados e filtragem'!AP$2,Apresentação!$I$5='Base de Dados e filtragem'!L784),1,0)</f>
        <v>1</v>
      </c>
      <c r="AQ784" s="25">
        <f>IF(OR(Apresentação!$I$6='Base de Dados e filtragem'!AQ$2,Apresentação!$I$6='Base de Dados e filtragem'!M784),1,0)</f>
        <v>1</v>
      </c>
      <c r="AR784" s="25">
        <v>1</v>
      </c>
      <c r="AS784" s="25">
        <v>1</v>
      </c>
      <c r="AT784" s="25">
        <v>1</v>
      </c>
      <c r="AU784" s="25">
        <v>1</v>
      </c>
      <c r="AV784" s="25">
        <v>1</v>
      </c>
      <c r="AW784" s="25">
        <v>1</v>
      </c>
      <c r="AX784" s="25">
        <v>1</v>
      </c>
      <c r="AY784" s="25">
        <v>1</v>
      </c>
      <c r="AZ784" s="25">
        <v>1</v>
      </c>
      <c r="BA784" s="25">
        <v>1</v>
      </c>
      <c r="BB784" s="25">
        <v>1</v>
      </c>
      <c r="BC784" s="25">
        <v>1</v>
      </c>
      <c r="BD784" s="25">
        <v>1</v>
      </c>
    </row>
    <row r="785" spans="27:56" x14ac:dyDescent="0.25">
      <c r="AA785" s="68" t="str">
        <f t="shared" si="49"/>
        <v>Fotos\\.jpg</v>
      </c>
      <c r="AB785" s="53">
        <f t="shared" si="50"/>
        <v>1.2738853503184713E-3</v>
      </c>
      <c r="AC785" s="25">
        <f t="shared" si="51"/>
        <v>785</v>
      </c>
      <c r="AD785" s="51">
        <f t="shared" si="52"/>
        <v>1</v>
      </c>
      <c r="AE785" s="25">
        <v>1</v>
      </c>
      <c r="AF785" s="25">
        <v>1</v>
      </c>
      <c r="AG785" s="25">
        <v>1</v>
      </c>
      <c r="AH785" s="25">
        <v>1</v>
      </c>
      <c r="AI785" s="25">
        <f>IF(OR(Apresentação!$E$3='Base de Dados e filtragem'!AI$2,Apresentação!$E$3='Base de Dados e filtragem'!E785),1,0)</f>
        <v>1</v>
      </c>
      <c r="AJ785" s="25">
        <f>IF(OR(Apresentação!$E$4='Base de Dados e filtragem'!AJ$2,Apresentação!$E$4='Base de Dados e filtragem'!F785),1,0)</f>
        <v>1</v>
      </c>
      <c r="AK785" s="25">
        <f>IF(OR(Apresentação!$E$5='Base de Dados e filtragem'!AK$2,Apresentação!$E$5='Base de Dados e filtragem'!G785),1,0)</f>
        <v>1</v>
      </c>
      <c r="AL785" s="25">
        <f>IF(OR(Apresentação!$E$6='Base de Dados e filtragem'!AL$2,Apresentação!$E$6='Base de Dados e filtragem'!H785),1,0)</f>
        <v>1</v>
      </c>
      <c r="AM785" s="25">
        <f>IF(OR(Apresentação!$I$2='Base de Dados e filtragem'!AM$2,Apresentação!$I$2='Base de Dados e filtragem'!I785),1,0)</f>
        <v>1</v>
      </c>
      <c r="AN785" s="25">
        <f>IF(OR(Apresentação!$I$3='Base de Dados e filtragem'!AN$2,Apresentação!$I$3='Base de Dados e filtragem'!J785),1,0)</f>
        <v>1</v>
      </c>
      <c r="AO785" s="25">
        <f>IF(OR(Apresentação!$I$4='Base de Dados e filtragem'!AO$2,Apresentação!$I$4='Base de Dados e filtragem'!K785),1,0)</f>
        <v>1</v>
      </c>
      <c r="AP785" s="25">
        <f>IF(OR(Apresentação!$I$5='Base de Dados e filtragem'!AP$2,Apresentação!$I$5='Base de Dados e filtragem'!L785),1,0)</f>
        <v>1</v>
      </c>
      <c r="AQ785" s="25">
        <f>IF(OR(Apresentação!$I$6='Base de Dados e filtragem'!AQ$2,Apresentação!$I$6='Base de Dados e filtragem'!M785),1,0)</f>
        <v>1</v>
      </c>
      <c r="AR785" s="25">
        <v>1</v>
      </c>
      <c r="AS785" s="25">
        <v>1</v>
      </c>
      <c r="AT785" s="25">
        <v>1</v>
      </c>
      <c r="AU785" s="25">
        <v>1</v>
      </c>
      <c r="AV785" s="25">
        <v>1</v>
      </c>
      <c r="AW785" s="25">
        <v>1</v>
      </c>
      <c r="AX785" s="25">
        <v>1</v>
      </c>
      <c r="AY785" s="25">
        <v>1</v>
      </c>
      <c r="AZ785" s="25">
        <v>1</v>
      </c>
      <c r="BA785" s="25">
        <v>1</v>
      </c>
      <c r="BB785" s="25">
        <v>1</v>
      </c>
      <c r="BC785" s="25">
        <v>1</v>
      </c>
      <c r="BD785" s="25">
        <v>1</v>
      </c>
    </row>
    <row r="786" spans="27:56" x14ac:dyDescent="0.25">
      <c r="AA786" s="68" t="str">
        <f t="shared" si="49"/>
        <v>Fotos\\.jpg</v>
      </c>
      <c r="AB786" s="53">
        <f t="shared" si="50"/>
        <v>1.2722646310432571E-3</v>
      </c>
      <c r="AC786" s="25">
        <f t="shared" si="51"/>
        <v>786</v>
      </c>
      <c r="AD786" s="51">
        <f t="shared" si="52"/>
        <v>1</v>
      </c>
      <c r="AE786" s="25">
        <v>1</v>
      </c>
      <c r="AF786" s="25">
        <v>1</v>
      </c>
      <c r="AG786" s="25">
        <v>1</v>
      </c>
      <c r="AH786" s="25">
        <v>1</v>
      </c>
      <c r="AI786" s="25">
        <f>IF(OR(Apresentação!$E$3='Base de Dados e filtragem'!AI$2,Apresentação!$E$3='Base de Dados e filtragem'!E786),1,0)</f>
        <v>1</v>
      </c>
      <c r="AJ786" s="25">
        <f>IF(OR(Apresentação!$E$4='Base de Dados e filtragem'!AJ$2,Apresentação!$E$4='Base de Dados e filtragem'!F786),1,0)</f>
        <v>1</v>
      </c>
      <c r="AK786" s="25">
        <f>IF(OR(Apresentação!$E$5='Base de Dados e filtragem'!AK$2,Apresentação!$E$5='Base de Dados e filtragem'!G786),1,0)</f>
        <v>1</v>
      </c>
      <c r="AL786" s="25">
        <f>IF(OR(Apresentação!$E$6='Base de Dados e filtragem'!AL$2,Apresentação!$E$6='Base de Dados e filtragem'!H786),1,0)</f>
        <v>1</v>
      </c>
      <c r="AM786" s="25">
        <f>IF(OR(Apresentação!$I$2='Base de Dados e filtragem'!AM$2,Apresentação!$I$2='Base de Dados e filtragem'!I786),1,0)</f>
        <v>1</v>
      </c>
      <c r="AN786" s="25">
        <f>IF(OR(Apresentação!$I$3='Base de Dados e filtragem'!AN$2,Apresentação!$I$3='Base de Dados e filtragem'!J786),1,0)</f>
        <v>1</v>
      </c>
      <c r="AO786" s="25">
        <f>IF(OR(Apresentação!$I$4='Base de Dados e filtragem'!AO$2,Apresentação!$I$4='Base de Dados e filtragem'!K786),1,0)</f>
        <v>1</v>
      </c>
      <c r="AP786" s="25">
        <f>IF(OR(Apresentação!$I$5='Base de Dados e filtragem'!AP$2,Apresentação!$I$5='Base de Dados e filtragem'!L786),1,0)</f>
        <v>1</v>
      </c>
      <c r="AQ786" s="25">
        <f>IF(OR(Apresentação!$I$6='Base de Dados e filtragem'!AQ$2,Apresentação!$I$6='Base de Dados e filtragem'!M786),1,0)</f>
        <v>1</v>
      </c>
      <c r="AR786" s="25">
        <v>1</v>
      </c>
      <c r="AS786" s="25">
        <v>1</v>
      </c>
      <c r="AT786" s="25">
        <v>1</v>
      </c>
      <c r="AU786" s="25">
        <v>1</v>
      </c>
      <c r="AV786" s="25">
        <v>1</v>
      </c>
      <c r="AW786" s="25">
        <v>1</v>
      </c>
      <c r="AX786" s="25">
        <v>1</v>
      </c>
      <c r="AY786" s="25">
        <v>1</v>
      </c>
      <c r="AZ786" s="25">
        <v>1</v>
      </c>
      <c r="BA786" s="25">
        <v>1</v>
      </c>
      <c r="BB786" s="25">
        <v>1</v>
      </c>
      <c r="BC786" s="25">
        <v>1</v>
      </c>
      <c r="BD786" s="25">
        <v>1</v>
      </c>
    </row>
    <row r="787" spans="27:56" x14ac:dyDescent="0.25">
      <c r="AA787" s="68" t="str">
        <f t="shared" si="49"/>
        <v>Fotos\\.jpg</v>
      </c>
      <c r="AB787" s="53">
        <f t="shared" si="50"/>
        <v>1.2706480304955528E-3</v>
      </c>
      <c r="AC787" s="25">
        <f t="shared" si="51"/>
        <v>787</v>
      </c>
      <c r="AD787" s="51">
        <f t="shared" si="52"/>
        <v>1</v>
      </c>
      <c r="AE787" s="25">
        <v>1</v>
      </c>
      <c r="AF787" s="25">
        <v>1</v>
      </c>
      <c r="AG787" s="25">
        <v>1</v>
      </c>
      <c r="AH787" s="25">
        <v>1</v>
      </c>
      <c r="AI787" s="25">
        <f>IF(OR(Apresentação!$E$3='Base de Dados e filtragem'!AI$2,Apresentação!$E$3='Base de Dados e filtragem'!E787),1,0)</f>
        <v>1</v>
      </c>
      <c r="AJ787" s="25">
        <f>IF(OR(Apresentação!$E$4='Base de Dados e filtragem'!AJ$2,Apresentação!$E$4='Base de Dados e filtragem'!F787),1,0)</f>
        <v>1</v>
      </c>
      <c r="AK787" s="25">
        <f>IF(OR(Apresentação!$E$5='Base de Dados e filtragem'!AK$2,Apresentação!$E$5='Base de Dados e filtragem'!G787),1,0)</f>
        <v>1</v>
      </c>
      <c r="AL787" s="25">
        <f>IF(OR(Apresentação!$E$6='Base de Dados e filtragem'!AL$2,Apresentação!$E$6='Base de Dados e filtragem'!H787),1,0)</f>
        <v>1</v>
      </c>
      <c r="AM787" s="25">
        <f>IF(OR(Apresentação!$I$2='Base de Dados e filtragem'!AM$2,Apresentação!$I$2='Base de Dados e filtragem'!I787),1,0)</f>
        <v>1</v>
      </c>
      <c r="AN787" s="25">
        <f>IF(OR(Apresentação!$I$3='Base de Dados e filtragem'!AN$2,Apresentação!$I$3='Base de Dados e filtragem'!J787),1,0)</f>
        <v>1</v>
      </c>
      <c r="AO787" s="25">
        <f>IF(OR(Apresentação!$I$4='Base de Dados e filtragem'!AO$2,Apresentação!$I$4='Base de Dados e filtragem'!K787),1,0)</f>
        <v>1</v>
      </c>
      <c r="AP787" s="25">
        <f>IF(OR(Apresentação!$I$5='Base de Dados e filtragem'!AP$2,Apresentação!$I$5='Base de Dados e filtragem'!L787),1,0)</f>
        <v>1</v>
      </c>
      <c r="AQ787" s="25">
        <f>IF(OR(Apresentação!$I$6='Base de Dados e filtragem'!AQ$2,Apresentação!$I$6='Base de Dados e filtragem'!M787),1,0)</f>
        <v>1</v>
      </c>
      <c r="AR787" s="25">
        <v>1</v>
      </c>
      <c r="AS787" s="25">
        <v>1</v>
      </c>
      <c r="AT787" s="25">
        <v>1</v>
      </c>
      <c r="AU787" s="25">
        <v>1</v>
      </c>
      <c r="AV787" s="25">
        <v>1</v>
      </c>
      <c r="AW787" s="25">
        <v>1</v>
      </c>
      <c r="AX787" s="25">
        <v>1</v>
      </c>
      <c r="AY787" s="25">
        <v>1</v>
      </c>
      <c r="AZ787" s="25">
        <v>1</v>
      </c>
      <c r="BA787" s="25">
        <v>1</v>
      </c>
      <c r="BB787" s="25">
        <v>1</v>
      </c>
      <c r="BC787" s="25">
        <v>1</v>
      </c>
      <c r="BD787" s="25">
        <v>1</v>
      </c>
    </row>
    <row r="788" spans="27:56" x14ac:dyDescent="0.25">
      <c r="AA788" s="68" t="str">
        <f t="shared" si="49"/>
        <v>Fotos\\.jpg</v>
      </c>
      <c r="AB788" s="53">
        <f t="shared" si="50"/>
        <v>1.2690355329949238E-3</v>
      </c>
      <c r="AC788" s="25">
        <f t="shared" si="51"/>
        <v>788</v>
      </c>
      <c r="AD788" s="51">
        <f t="shared" si="52"/>
        <v>1</v>
      </c>
      <c r="AE788" s="25">
        <v>1</v>
      </c>
      <c r="AF788" s="25">
        <v>1</v>
      </c>
      <c r="AG788" s="25">
        <v>1</v>
      </c>
      <c r="AH788" s="25">
        <v>1</v>
      </c>
      <c r="AI788" s="25">
        <f>IF(OR(Apresentação!$E$3='Base de Dados e filtragem'!AI$2,Apresentação!$E$3='Base de Dados e filtragem'!E788),1,0)</f>
        <v>1</v>
      </c>
      <c r="AJ788" s="25">
        <f>IF(OR(Apresentação!$E$4='Base de Dados e filtragem'!AJ$2,Apresentação!$E$4='Base de Dados e filtragem'!F788),1,0)</f>
        <v>1</v>
      </c>
      <c r="AK788" s="25">
        <f>IF(OR(Apresentação!$E$5='Base de Dados e filtragem'!AK$2,Apresentação!$E$5='Base de Dados e filtragem'!G788),1,0)</f>
        <v>1</v>
      </c>
      <c r="AL788" s="25">
        <f>IF(OR(Apresentação!$E$6='Base de Dados e filtragem'!AL$2,Apresentação!$E$6='Base de Dados e filtragem'!H788),1,0)</f>
        <v>1</v>
      </c>
      <c r="AM788" s="25">
        <f>IF(OR(Apresentação!$I$2='Base de Dados e filtragem'!AM$2,Apresentação!$I$2='Base de Dados e filtragem'!I788),1,0)</f>
        <v>1</v>
      </c>
      <c r="AN788" s="25">
        <f>IF(OR(Apresentação!$I$3='Base de Dados e filtragem'!AN$2,Apresentação!$I$3='Base de Dados e filtragem'!J788),1,0)</f>
        <v>1</v>
      </c>
      <c r="AO788" s="25">
        <f>IF(OR(Apresentação!$I$4='Base de Dados e filtragem'!AO$2,Apresentação!$I$4='Base de Dados e filtragem'!K788),1,0)</f>
        <v>1</v>
      </c>
      <c r="AP788" s="25">
        <f>IF(OR(Apresentação!$I$5='Base de Dados e filtragem'!AP$2,Apresentação!$I$5='Base de Dados e filtragem'!L788),1,0)</f>
        <v>1</v>
      </c>
      <c r="AQ788" s="25">
        <f>IF(OR(Apresentação!$I$6='Base de Dados e filtragem'!AQ$2,Apresentação!$I$6='Base de Dados e filtragem'!M788),1,0)</f>
        <v>1</v>
      </c>
      <c r="AR788" s="25">
        <v>1</v>
      </c>
      <c r="AS788" s="25">
        <v>1</v>
      </c>
      <c r="AT788" s="25">
        <v>1</v>
      </c>
      <c r="AU788" s="25">
        <v>1</v>
      </c>
      <c r="AV788" s="25">
        <v>1</v>
      </c>
      <c r="AW788" s="25">
        <v>1</v>
      </c>
      <c r="AX788" s="25">
        <v>1</v>
      </c>
      <c r="AY788" s="25">
        <v>1</v>
      </c>
      <c r="AZ788" s="25">
        <v>1</v>
      </c>
      <c r="BA788" s="25">
        <v>1</v>
      </c>
      <c r="BB788" s="25">
        <v>1</v>
      </c>
      <c r="BC788" s="25">
        <v>1</v>
      </c>
      <c r="BD788" s="25">
        <v>1</v>
      </c>
    </row>
    <row r="789" spans="27:56" x14ac:dyDescent="0.25">
      <c r="AA789" s="68" t="str">
        <f t="shared" si="49"/>
        <v>Fotos\\.jpg</v>
      </c>
      <c r="AB789" s="53">
        <f t="shared" si="50"/>
        <v>1.2674271229404308E-3</v>
      </c>
      <c r="AC789" s="25">
        <f t="shared" si="51"/>
        <v>789</v>
      </c>
      <c r="AD789" s="51">
        <f t="shared" si="52"/>
        <v>1</v>
      </c>
      <c r="AE789" s="25">
        <v>1</v>
      </c>
      <c r="AF789" s="25">
        <v>1</v>
      </c>
      <c r="AG789" s="25">
        <v>1</v>
      </c>
      <c r="AH789" s="25">
        <v>1</v>
      </c>
      <c r="AI789" s="25">
        <f>IF(OR(Apresentação!$E$3='Base de Dados e filtragem'!AI$2,Apresentação!$E$3='Base de Dados e filtragem'!E789),1,0)</f>
        <v>1</v>
      </c>
      <c r="AJ789" s="25">
        <f>IF(OR(Apresentação!$E$4='Base de Dados e filtragem'!AJ$2,Apresentação!$E$4='Base de Dados e filtragem'!F789),1,0)</f>
        <v>1</v>
      </c>
      <c r="AK789" s="25">
        <f>IF(OR(Apresentação!$E$5='Base de Dados e filtragem'!AK$2,Apresentação!$E$5='Base de Dados e filtragem'!G789),1,0)</f>
        <v>1</v>
      </c>
      <c r="AL789" s="25">
        <f>IF(OR(Apresentação!$E$6='Base de Dados e filtragem'!AL$2,Apresentação!$E$6='Base de Dados e filtragem'!H789),1,0)</f>
        <v>1</v>
      </c>
      <c r="AM789" s="25">
        <f>IF(OR(Apresentação!$I$2='Base de Dados e filtragem'!AM$2,Apresentação!$I$2='Base de Dados e filtragem'!I789),1,0)</f>
        <v>1</v>
      </c>
      <c r="AN789" s="25">
        <f>IF(OR(Apresentação!$I$3='Base de Dados e filtragem'!AN$2,Apresentação!$I$3='Base de Dados e filtragem'!J789),1,0)</f>
        <v>1</v>
      </c>
      <c r="AO789" s="25">
        <f>IF(OR(Apresentação!$I$4='Base de Dados e filtragem'!AO$2,Apresentação!$I$4='Base de Dados e filtragem'!K789),1,0)</f>
        <v>1</v>
      </c>
      <c r="AP789" s="25">
        <f>IF(OR(Apresentação!$I$5='Base de Dados e filtragem'!AP$2,Apresentação!$I$5='Base de Dados e filtragem'!L789),1,0)</f>
        <v>1</v>
      </c>
      <c r="AQ789" s="25">
        <f>IF(OR(Apresentação!$I$6='Base de Dados e filtragem'!AQ$2,Apresentação!$I$6='Base de Dados e filtragem'!M789),1,0)</f>
        <v>1</v>
      </c>
      <c r="AR789" s="25">
        <v>1</v>
      </c>
      <c r="AS789" s="25">
        <v>1</v>
      </c>
      <c r="AT789" s="25">
        <v>1</v>
      </c>
      <c r="AU789" s="25">
        <v>1</v>
      </c>
      <c r="AV789" s="25">
        <v>1</v>
      </c>
      <c r="AW789" s="25">
        <v>1</v>
      </c>
      <c r="AX789" s="25">
        <v>1</v>
      </c>
      <c r="AY789" s="25">
        <v>1</v>
      </c>
      <c r="AZ789" s="25">
        <v>1</v>
      </c>
      <c r="BA789" s="25">
        <v>1</v>
      </c>
      <c r="BB789" s="25">
        <v>1</v>
      </c>
      <c r="BC789" s="25">
        <v>1</v>
      </c>
      <c r="BD789" s="25">
        <v>1</v>
      </c>
    </row>
    <row r="790" spans="27:56" x14ac:dyDescent="0.25">
      <c r="AA790" s="68" t="str">
        <f t="shared" si="49"/>
        <v>Fotos\\.jpg</v>
      </c>
      <c r="AB790" s="53">
        <f t="shared" si="50"/>
        <v>1.2658227848101266E-3</v>
      </c>
      <c r="AC790" s="25">
        <f t="shared" si="51"/>
        <v>790</v>
      </c>
      <c r="AD790" s="51">
        <f t="shared" si="52"/>
        <v>1</v>
      </c>
      <c r="AE790" s="25">
        <v>1</v>
      </c>
      <c r="AF790" s="25">
        <v>1</v>
      </c>
      <c r="AG790" s="25">
        <v>1</v>
      </c>
      <c r="AH790" s="25">
        <v>1</v>
      </c>
      <c r="AI790" s="25">
        <f>IF(OR(Apresentação!$E$3='Base de Dados e filtragem'!AI$2,Apresentação!$E$3='Base de Dados e filtragem'!E790),1,0)</f>
        <v>1</v>
      </c>
      <c r="AJ790" s="25">
        <f>IF(OR(Apresentação!$E$4='Base de Dados e filtragem'!AJ$2,Apresentação!$E$4='Base de Dados e filtragem'!F790),1,0)</f>
        <v>1</v>
      </c>
      <c r="AK790" s="25">
        <f>IF(OR(Apresentação!$E$5='Base de Dados e filtragem'!AK$2,Apresentação!$E$5='Base de Dados e filtragem'!G790),1,0)</f>
        <v>1</v>
      </c>
      <c r="AL790" s="25">
        <f>IF(OR(Apresentação!$E$6='Base de Dados e filtragem'!AL$2,Apresentação!$E$6='Base de Dados e filtragem'!H790),1,0)</f>
        <v>1</v>
      </c>
      <c r="AM790" s="25">
        <f>IF(OR(Apresentação!$I$2='Base de Dados e filtragem'!AM$2,Apresentação!$I$2='Base de Dados e filtragem'!I790),1,0)</f>
        <v>1</v>
      </c>
      <c r="AN790" s="25">
        <f>IF(OR(Apresentação!$I$3='Base de Dados e filtragem'!AN$2,Apresentação!$I$3='Base de Dados e filtragem'!J790),1,0)</f>
        <v>1</v>
      </c>
      <c r="AO790" s="25">
        <f>IF(OR(Apresentação!$I$4='Base de Dados e filtragem'!AO$2,Apresentação!$I$4='Base de Dados e filtragem'!K790),1,0)</f>
        <v>1</v>
      </c>
      <c r="AP790" s="25">
        <f>IF(OR(Apresentação!$I$5='Base de Dados e filtragem'!AP$2,Apresentação!$I$5='Base de Dados e filtragem'!L790),1,0)</f>
        <v>1</v>
      </c>
      <c r="AQ790" s="25">
        <f>IF(OR(Apresentação!$I$6='Base de Dados e filtragem'!AQ$2,Apresentação!$I$6='Base de Dados e filtragem'!M790),1,0)</f>
        <v>1</v>
      </c>
      <c r="AR790" s="25">
        <v>1</v>
      </c>
      <c r="AS790" s="25">
        <v>1</v>
      </c>
      <c r="AT790" s="25">
        <v>1</v>
      </c>
      <c r="AU790" s="25">
        <v>1</v>
      </c>
      <c r="AV790" s="25">
        <v>1</v>
      </c>
      <c r="AW790" s="25">
        <v>1</v>
      </c>
      <c r="AX790" s="25">
        <v>1</v>
      </c>
      <c r="AY790" s="25">
        <v>1</v>
      </c>
      <c r="AZ790" s="25">
        <v>1</v>
      </c>
      <c r="BA790" s="25">
        <v>1</v>
      </c>
      <c r="BB790" s="25">
        <v>1</v>
      </c>
      <c r="BC790" s="25">
        <v>1</v>
      </c>
      <c r="BD790" s="25">
        <v>1</v>
      </c>
    </row>
    <row r="791" spans="27:56" x14ac:dyDescent="0.25">
      <c r="AA791" s="68" t="str">
        <f t="shared" si="49"/>
        <v>Fotos\\.jpg</v>
      </c>
      <c r="AB791" s="53">
        <f t="shared" si="50"/>
        <v>1.2642225031605564E-3</v>
      </c>
      <c r="AC791" s="25">
        <f t="shared" si="51"/>
        <v>791</v>
      </c>
      <c r="AD791" s="51">
        <f t="shared" si="52"/>
        <v>1</v>
      </c>
      <c r="AE791" s="25">
        <v>1</v>
      </c>
      <c r="AF791" s="25">
        <v>1</v>
      </c>
      <c r="AG791" s="25">
        <v>1</v>
      </c>
      <c r="AH791" s="25">
        <v>1</v>
      </c>
      <c r="AI791" s="25">
        <f>IF(OR(Apresentação!$E$3='Base de Dados e filtragem'!AI$2,Apresentação!$E$3='Base de Dados e filtragem'!E791),1,0)</f>
        <v>1</v>
      </c>
      <c r="AJ791" s="25">
        <f>IF(OR(Apresentação!$E$4='Base de Dados e filtragem'!AJ$2,Apresentação!$E$4='Base de Dados e filtragem'!F791),1,0)</f>
        <v>1</v>
      </c>
      <c r="AK791" s="25">
        <f>IF(OR(Apresentação!$E$5='Base de Dados e filtragem'!AK$2,Apresentação!$E$5='Base de Dados e filtragem'!G791),1,0)</f>
        <v>1</v>
      </c>
      <c r="AL791" s="25">
        <f>IF(OR(Apresentação!$E$6='Base de Dados e filtragem'!AL$2,Apresentação!$E$6='Base de Dados e filtragem'!H791),1,0)</f>
        <v>1</v>
      </c>
      <c r="AM791" s="25">
        <f>IF(OR(Apresentação!$I$2='Base de Dados e filtragem'!AM$2,Apresentação!$I$2='Base de Dados e filtragem'!I791),1,0)</f>
        <v>1</v>
      </c>
      <c r="AN791" s="25">
        <f>IF(OR(Apresentação!$I$3='Base de Dados e filtragem'!AN$2,Apresentação!$I$3='Base de Dados e filtragem'!J791),1,0)</f>
        <v>1</v>
      </c>
      <c r="AO791" s="25">
        <f>IF(OR(Apresentação!$I$4='Base de Dados e filtragem'!AO$2,Apresentação!$I$4='Base de Dados e filtragem'!K791),1,0)</f>
        <v>1</v>
      </c>
      <c r="AP791" s="25">
        <f>IF(OR(Apresentação!$I$5='Base de Dados e filtragem'!AP$2,Apresentação!$I$5='Base de Dados e filtragem'!L791),1,0)</f>
        <v>1</v>
      </c>
      <c r="AQ791" s="25">
        <f>IF(OR(Apresentação!$I$6='Base de Dados e filtragem'!AQ$2,Apresentação!$I$6='Base de Dados e filtragem'!M791),1,0)</f>
        <v>1</v>
      </c>
      <c r="AR791" s="25">
        <v>1</v>
      </c>
      <c r="AS791" s="25">
        <v>1</v>
      </c>
      <c r="AT791" s="25">
        <v>1</v>
      </c>
      <c r="AU791" s="25">
        <v>1</v>
      </c>
      <c r="AV791" s="25">
        <v>1</v>
      </c>
      <c r="AW791" s="25">
        <v>1</v>
      </c>
      <c r="AX791" s="25">
        <v>1</v>
      </c>
      <c r="AY791" s="25">
        <v>1</v>
      </c>
      <c r="AZ791" s="25">
        <v>1</v>
      </c>
      <c r="BA791" s="25">
        <v>1</v>
      </c>
      <c r="BB791" s="25">
        <v>1</v>
      </c>
      <c r="BC791" s="25">
        <v>1</v>
      </c>
      <c r="BD791" s="25">
        <v>1</v>
      </c>
    </row>
    <row r="792" spans="27:56" x14ac:dyDescent="0.25">
      <c r="AA792" s="68" t="str">
        <f t="shared" si="49"/>
        <v>Fotos\\.jpg</v>
      </c>
      <c r="AB792" s="53">
        <f t="shared" si="50"/>
        <v>1.2626262626262627E-3</v>
      </c>
      <c r="AC792" s="25">
        <f t="shared" si="51"/>
        <v>792</v>
      </c>
      <c r="AD792" s="51">
        <f t="shared" si="52"/>
        <v>1</v>
      </c>
      <c r="AE792" s="25">
        <v>1</v>
      </c>
      <c r="AF792" s="25">
        <v>1</v>
      </c>
      <c r="AG792" s="25">
        <v>1</v>
      </c>
      <c r="AH792" s="25">
        <v>1</v>
      </c>
      <c r="AI792" s="25">
        <f>IF(OR(Apresentação!$E$3='Base de Dados e filtragem'!AI$2,Apresentação!$E$3='Base de Dados e filtragem'!E792),1,0)</f>
        <v>1</v>
      </c>
      <c r="AJ792" s="25">
        <f>IF(OR(Apresentação!$E$4='Base de Dados e filtragem'!AJ$2,Apresentação!$E$4='Base de Dados e filtragem'!F792),1,0)</f>
        <v>1</v>
      </c>
      <c r="AK792" s="25">
        <f>IF(OR(Apresentação!$E$5='Base de Dados e filtragem'!AK$2,Apresentação!$E$5='Base de Dados e filtragem'!G792),1,0)</f>
        <v>1</v>
      </c>
      <c r="AL792" s="25">
        <f>IF(OR(Apresentação!$E$6='Base de Dados e filtragem'!AL$2,Apresentação!$E$6='Base de Dados e filtragem'!H792),1,0)</f>
        <v>1</v>
      </c>
      <c r="AM792" s="25">
        <f>IF(OR(Apresentação!$I$2='Base de Dados e filtragem'!AM$2,Apresentação!$I$2='Base de Dados e filtragem'!I792),1,0)</f>
        <v>1</v>
      </c>
      <c r="AN792" s="25">
        <f>IF(OR(Apresentação!$I$3='Base de Dados e filtragem'!AN$2,Apresentação!$I$3='Base de Dados e filtragem'!J792),1,0)</f>
        <v>1</v>
      </c>
      <c r="AO792" s="25">
        <f>IF(OR(Apresentação!$I$4='Base de Dados e filtragem'!AO$2,Apresentação!$I$4='Base de Dados e filtragem'!K792),1,0)</f>
        <v>1</v>
      </c>
      <c r="AP792" s="25">
        <f>IF(OR(Apresentação!$I$5='Base de Dados e filtragem'!AP$2,Apresentação!$I$5='Base de Dados e filtragem'!L792),1,0)</f>
        <v>1</v>
      </c>
      <c r="AQ792" s="25">
        <f>IF(OR(Apresentação!$I$6='Base de Dados e filtragem'!AQ$2,Apresentação!$I$6='Base de Dados e filtragem'!M792),1,0)</f>
        <v>1</v>
      </c>
      <c r="AR792" s="25">
        <v>1</v>
      </c>
      <c r="AS792" s="25">
        <v>1</v>
      </c>
      <c r="AT792" s="25">
        <v>1</v>
      </c>
      <c r="AU792" s="25">
        <v>1</v>
      </c>
      <c r="AV792" s="25">
        <v>1</v>
      </c>
      <c r="AW792" s="25">
        <v>1</v>
      </c>
      <c r="AX792" s="25">
        <v>1</v>
      </c>
      <c r="AY792" s="25">
        <v>1</v>
      </c>
      <c r="AZ792" s="25">
        <v>1</v>
      </c>
      <c r="BA792" s="25">
        <v>1</v>
      </c>
      <c r="BB792" s="25">
        <v>1</v>
      </c>
      <c r="BC792" s="25">
        <v>1</v>
      </c>
      <c r="BD792" s="25">
        <v>1</v>
      </c>
    </row>
    <row r="793" spans="27:56" x14ac:dyDescent="0.25">
      <c r="AA793" s="68" t="str">
        <f t="shared" si="49"/>
        <v>Fotos\\.jpg</v>
      </c>
      <c r="AB793" s="53">
        <f t="shared" si="50"/>
        <v>1.2610340479192938E-3</v>
      </c>
      <c r="AC793" s="25">
        <f t="shared" si="51"/>
        <v>793</v>
      </c>
      <c r="AD793" s="51">
        <f t="shared" si="52"/>
        <v>1</v>
      </c>
      <c r="AE793" s="25">
        <v>1</v>
      </c>
      <c r="AF793" s="25">
        <v>1</v>
      </c>
      <c r="AG793" s="25">
        <v>1</v>
      </c>
      <c r="AH793" s="25">
        <v>1</v>
      </c>
      <c r="AI793" s="25">
        <f>IF(OR(Apresentação!$E$3='Base de Dados e filtragem'!AI$2,Apresentação!$E$3='Base de Dados e filtragem'!E793),1,0)</f>
        <v>1</v>
      </c>
      <c r="AJ793" s="25">
        <f>IF(OR(Apresentação!$E$4='Base de Dados e filtragem'!AJ$2,Apresentação!$E$4='Base de Dados e filtragem'!F793),1,0)</f>
        <v>1</v>
      </c>
      <c r="AK793" s="25">
        <f>IF(OR(Apresentação!$E$5='Base de Dados e filtragem'!AK$2,Apresentação!$E$5='Base de Dados e filtragem'!G793),1,0)</f>
        <v>1</v>
      </c>
      <c r="AL793" s="25">
        <f>IF(OR(Apresentação!$E$6='Base de Dados e filtragem'!AL$2,Apresentação!$E$6='Base de Dados e filtragem'!H793),1,0)</f>
        <v>1</v>
      </c>
      <c r="AM793" s="25">
        <f>IF(OR(Apresentação!$I$2='Base de Dados e filtragem'!AM$2,Apresentação!$I$2='Base de Dados e filtragem'!I793),1,0)</f>
        <v>1</v>
      </c>
      <c r="AN793" s="25">
        <f>IF(OR(Apresentação!$I$3='Base de Dados e filtragem'!AN$2,Apresentação!$I$3='Base de Dados e filtragem'!J793),1,0)</f>
        <v>1</v>
      </c>
      <c r="AO793" s="25">
        <f>IF(OR(Apresentação!$I$4='Base de Dados e filtragem'!AO$2,Apresentação!$I$4='Base de Dados e filtragem'!K793),1,0)</f>
        <v>1</v>
      </c>
      <c r="AP793" s="25">
        <f>IF(OR(Apresentação!$I$5='Base de Dados e filtragem'!AP$2,Apresentação!$I$5='Base de Dados e filtragem'!L793),1,0)</f>
        <v>1</v>
      </c>
      <c r="AQ793" s="25">
        <f>IF(OR(Apresentação!$I$6='Base de Dados e filtragem'!AQ$2,Apresentação!$I$6='Base de Dados e filtragem'!M793),1,0)</f>
        <v>1</v>
      </c>
      <c r="AR793" s="25">
        <v>1</v>
      </c>
      <c r="AS793" s="25">
        <v>1</v>
      </c>
      <c r="AT793" s="25">
        <v>1</v>
      </c>
      <c r="AU793" s="25">
        <v>1</v>
      </c>
      <c r="AV793" s="25">
        <v>1</v>
      </c>
      <c r="AW793" s="25">
        <v>1</v>
      </c>
      <c r="AX793" s="25">
        <v>1</v>
      </c>
      <c r="AY793" s="25">
        <v>1</v>
      </c>
      <c r="AZ793" s="25">
        <v>1</v>
      </c>
      <c r="BA793" s="25">
        <v>1</v>
      </c>
      <c r="BB793" s="25">
        <v>1</v>
      </c>
      <c r="BC793" s="25">
        <v>1</v>
      </c>
      <c r="BD793" s="25">
        <v>1</v>
      </c>
    </row>
    <row r="794" spans="27:56" x14ac:dyDescent="0.25">
      <c r="AA794" s="68" t="str">
        <f t="shared" si="49"/>
        <v>Fotos\\.jpg</v>
      </c>
      <c r="AB794" s="53">
        <f t="shared" si="50"/>
        <v>1.2594458438287153E-3</v>
      </c>
      <c r="AC794" s="25">
        <f t="shared" si="51"/>
        <v>794</v>
      </c>
      <c r="AD794" s="51">
        <f t="shared" si="52"/>
        <v>1</v>
      </c>
      <c r="AE794" s="25">
        <v>1</v>
      </c>
      <c r="AF794" s="25">
        <v>1</v>
      </c>
      <c r="AG794" s="25">
        <v>1</v>
      </c>
      <c r="AH794" s="25">
        <v>1</v>
      </c>
      <c r="AI794" s="25">
        <f>IF(OR(Apresentação!$E$3='Base de Dados e filtragem'!AI$2,Apresentação!$E$3='Base de Dados e filtragem'!E794),1,0)</f>
        <v>1</v>
      </c>
      <c r="AJ794" s="25">
        <f>IF(OR(Apresentação!$E$4='Base de Dados e filtragem'!AJ$2,Apresentação!$E$4='Base de Dados e filtragem'!F794),1,0)</f>
        <v>1</v>
      </c>
      <c r="AK794" s="25">
        <f>IF(OR(Apresentação!$E$5='Base de Dados e filtragem'!AK$2,Apresentação!$E$5='Base de Dados e filtragem'!G794),1,0)</f>
        <v>1</v>
      </c>
      <c r="AL794" s="25">
        <f>IF(OR(Apresentação!$E$6='Base de Dados e filtragem'!AL$2,Apresentação!$E$6='Base de Dados e filtragem'!H794),1,0)</f>
        <v>1</v>
      </c>
      <c r="AM794" s="25">
        <f>IF(OR(Apresentação!$I$2='Base de Dados e filtragem'!AM$2,Apresentação!$I$2='Base de Dados e filtragem'!I794),1,0)</f>
        <v>1</v>
      </c>
      <c r="AN794" s="25">
        <f>IF(OR(Apresentação!$I$3='Base de Dados e filtragem'!AN$2,Apresentação!$I$3='Base de Dados e filtragem'!J794),1,0)</f>
        <v>1</v>
      </c>
      <c r="AO794" s="25">
        <f>IF(OR(Apresentação!$I$4='Base de Dados e filtragem'!AO$2,Apresentação!$I$4='Base de Dados e filtragem'!K794),1,0)</f>
        <v>1</v>
      </c>
      <c r="AP794" s="25">
        <f>IF(OR(Apresentação!$I$5='Base de Dados e filtragem'!AP$2,Apresentação!$I$5='Base de Dados e filtragem'!L794),1,0)</f>
        <v>1</v>
      </c>
      <c r="AQ794" s="25">
        <f>IF(OR(Apresentação!$I$6='Base de Dados e filtragem'!AQ$2,Apresentação!$I$6='Base de Dados e filtragem'!M794),1,0)</f>
        <v>1</v>
      </c>
      <c r="AR794" s="25">
        <v>1</v>
      </c>
      <c r="AS794" s="25">
        <v>1</v>
      </c>
      <c r="AT794" s="25">
        <v>1</v>
      </c>
      <c r="AU794" s="25">
        <v>1</v>
      </c>
      <c r="AV794" s="25">
        <v>1</v>
      </c>
      <c r="AW794" s="25">
        <v>1</v>
      </c>
      <c r="AX794" s="25">
        <v>1</v>
      </c>
      <c r="AY794" s="25">
        <v>1</v>
      </c>
      <c r="AZ794" s="25">
        <v>1</v>
      </c>
      <c r="BA794" s="25">
        <v>1</v>
      </c>
      <c r="BB794" s="25">
        <v>1</v>
      </c>
      <c r="BC794" s="25">
        <v>1</v>
      </c>
      <c r="BD794" s="25">
        <v>1</v>
      </c>
    </row>
    <row r="795" spans="27:56" x14ac:dyDescent="0.25">
      <c r="AA795" s="68" t="str">
        <f t="shared" si="49"/>
        <v>Fotos\\.jpg</v>
      </c>
      <c r="AB795" s="53">
        <f t="shared" si="50"/>
        <v>1.2578616352201257E-3</v>
      </c>
      <c r="AC795" s="25">
        <f t="shared" si="51"/>
        <v>795</v>
      </c>
      <c r="AD795" s="51">
        <f t="shared" si="52"/>
        <v>1</v>
      </c>
      <c r="AE795" s="25">
        <v>1</v>
      </c>
      <c r="AF795" s="25">
        <v>1</v>
      </c>
      <c r="AG795" s="25">
        <v>1</v>
      </c>
      <c r="AH795" s="25">
        <v>1</v>
      </c>
      <c r="AI795" s="25">
        <f>IF(OR(Apresentação!$E$3='Base de Dados e filtragem'!AI$2,Apresentação!$E$3='Base de Dados e filtragem'!E795),1,0)</f>
        <v>1</v>
      </c>
      <c r="AJ795" s="25">
        <f>IF(OR(Apresentação!$E$4='Base de Dados e filtragem'!AJ$2,Apresentação!$E$4='Base de Dados e filtragem'!F795),1,0)</f>
        <v>1</v>
      </c>
      <c r="AK795" s="25">
        <f>IF(OR(Apresentação!$E$5='Base de Dados e filtragem'!AK$2,Apresentação!$E$5='Base de Dados e filtragem'!G795),1,0)</f>
        <v>1</v>
      </c>
      <c r="AL795" s="25">
        <f>IF(OR(Apresentação!$E$6='Base de Dados e filtragem'!AL$2,Apresentação!$E$6='Base de Dados e filtragem'!H795),1,0)</f>
        <v>1</v>
      </c>
      <c r="AM795" s="25">
        <f>IF(OR(Apresentação!$I$2='Base de Dados e filtragem'!AM$2,Apresentação!$I$2='Base de Dados e filtragem'!I795),1,0)</f>
        <v>1</v>
      </c>
      <c r="AN795" s="25">
        <f>IF(OR(Apresentação!$I$3='Base de Dados e filtragem'!AN$2,Apresentação!$I$3='Base de Dados e filtragem'!J795),1,0)</f>
        <v>1</v>
      </c>
      <c r="AO795" s="25">
        <f>IF(OR(Apresentação!$I$4='Base de Dados e filtragem'!AO$2,Apresentação!$I$4='Base de Dados e filtragem'!K795),1,0)</f>
        <v>1</v>
      </c>
      <c r="AP795" s="25">
        <f>IF(OR(Apresentação!$I$5='Base de Dados e filtragem'!AP$2,Apresentação!$I$5='Base de Dados e filtragem'!L795),1,0)</f>
        <v>1</v>
      </c>
      <c r="AQ795" s="25">
        <f>IF(OR(Apresentação!$I$6='Base de Dados e filtragem'!AQ$2,Apresentação!$I$6='Base de Dados e filtragem'!M795),1,0)</f>
        <v>1</v>
      </c>
      <c r="AR795" s="25">
        <v>1</v>
      </c>
      <c r="AS795" s="25">
        <v>1</v>
      </c>
      <c r="AT795" s="25">
        <v>1</v>
      </c>
      <c r="AU795" s="25">
        <v>1</v>
      </c>
      <c r="AV795" s="25">
        <v>1</v>
      </c>
      <c r="AW795" s="25">
        <v>1</v>
      </c>
      <c r="AX795" s="25">
        <v>1</v>
      </c>
      <c r="AY795" s="25">
        <v>1</v>
      </c>
      <c r="AZ795" s="25">
        <v>1</v>
      </c>
      <c r="BA795" s="25">
        <v>1</v>
      </c>
      <c r="BB795" s="25">
        <v>1</v>
      </c>
      <c r="BC795" s="25">
        <v>1</v>
      </c>
      <c r="BD795" s="25">
        <v>1</v>
      </c>
    </row>
    <row r="796" spans="27:56" x14ac:dyDescent="0.25">
      <c r="AA796" s="68" t="str">
        <f t="shared" si="49"/>
        <v>Fotos\\.jpg</v>
      </c>
      <c r="AB796" s="53">
        <f t="shared" si="50"/>
        <v>1.2562814070351759E-3</v>
      </c>
      <c r="AC796" s="25">
        <f t="shared" si="51"/>
        <v>796</v>
      </c>
      <c r="AD796" s="51">
        <f t="shared" si="52"/>
        <v>1</v>
      </c>
      <c r="AE796" s="25">
        <v>1</v>
      </c>
      <c r="AF796" s="25">
        <v>1</v>
      </c>
      <c r="AG796" s="25">
        <v>1</v>
      </c>
      <c r="AH796" s="25">
        <v>1</v>
      </c>
      <c r="AI796" s="25">
        <f>IF(OR(Apresentação!$E$3='Base de Dados e filtragem'!AI$2,Apresentação!$E$3='Base de Dados e filtragem'!E796),1,0)</f>
        <v>1</v>
      </c>
      <c r="AJ796" s="25">
        <f>IF(OR(Apresentação!$E$4='Base de Dados e filtragem'!AJ$2,Apresentação!$E$4='Base de Dados e filtragem'!F796),1,0)</f>
        <v>1</v>
      </c>
      <c r="AK796" s="25">
        <f>IF(OR(Apresentação!$E$5='Base de Dados e filtragem'!AK$2,Apresentação!$E$5='Base de Dados e filtragem'!G796),1,0)</f>
        <v>1</v>
      </c>
      <c r="AL796" s="25">
        <f>IF(OR(Apresentação!$E$6='Base de Dados e filtragem'!AL$2,Apresentação!$E$6='Base de Dados e filtragem'!H796),1,0)</f>
        <v>1</v>
      </c>
      <c r="AM796" s="25">
        <f>IF(OR(Apresentação!$I$2='Base de Dados e filtragem'!AM$2,Apresentação!$I$2='Base de Dados e filtragem'!I796),1,0)</f>
        <v>1</v>
      </c>
      <c r="AN796" s="25">
        <f>IF(OR(Apresentação!$I$3='Base de Dados e filtragem'!AN$2,Apresentação!$I$3='Base de Dados e filtragem'!J796),1,0)</f>
        <v>1</v>
      </c>
      <c r="AO796" s="25">
        <f>IF(OR(Apresentação!$I$4='Base de Dados e filtragem'!AO$2,Apresentação!$I$4='Base de Dados e filtragem'!K796),1,0)</f>
        <v>1</v>
      </c>
      <c r="AP796" s="25">
        <f>IF(OR(Apresentação!$I$5='Base de Dados e filtragem'!AP$2,Apresentação!$I$5='Base de Dados e filtragem'!L796),1,0)</f>
        <v>1</v>
      </c>
      <c r="AQ796" s="25">
        <f>IF(OR(Apresentação!$I$6='Base de Dados e filtragem'!AQ$2,Apresentação!$I$6='Base de Dados e filtragem'!M796),1,0)</f>
        <v>1</v>
      </c>
      <c r="AR796" s="25">
        <v>1</v>
      </c>
      <c r="AS796" s="25">
        <v>1</v>
      </c>
      <c r="AT796" s="25">
        <v>1</v>
      </c>
      <c r="AU796" s="25">
        <v>1</v>
      </c>
      <c r="AV796" s="25">
        <v>1</v>
      </c>
      <c r="AW796" s="25">
        <v>1</v>
      </c>
      <c r="AX796" s="25">
        <v>1</v>
      </c>
      <c r="AY796" s="25">
        <v>1</v>
      </c>
      <c r="AZ796" s="25">
        <v>1</v>
      </c>
      <c r="BA796" s="25">
        <v>1</v>
      </c>
      <c r="BB796" s="25">
        <v>1</v>
      </c>
      <c r="BC796" s="25">
        <v>1</v>
      </c>
      <c r="BD796" s="25">
        <v>1</v>
      </c>
    </row>
    <row r="797" spans="27:56" x14ac:dyDescent="0.25">
      <c r="AA797" s="68" t="str">
        <f t="shared" si="49"/>
        <v>Fotos\\.jpg</v>
      </c>
      <c r="AB797" s="53">
        <f t="shared" si="50"/>
        <v>1.2547051442910915E-3</v>
      </c>
      <c r="AC797" s="25">
        <f t="shared" si="51"/>
        <v>797</v>
      </c>
      <c r="AD797" s="51">
        <f t="shared" si="52"/>
        <v>1</v>
      </c>
      <c r="AE797" s="25">
        <v>1</v>
      </c>
      <c r="AF797" s="25">
        <v>1</v>
      </c>
      <c r="AG797" s="25">
        <v>1</v>
      </c>
      <c r="AH797" s="25">
        <v>1</v>
      </c>
      <c r="AI797" s="25">
        <f>IF(OR(Apresentação!$E$3='Base de Dados e filtragem'!AI$2,Apresentação!$E$3='Base de Dados e filtragem'!E797),1,0)</f>
        <v>1</v>
      </c>
      <c r="AJ797" s="25">
        <f>IF(OR(Apresentação!$E$4='Base de Dados e filtragem'!AJ$2,Apresentação!$E$4='Base de Dados e filtragem'!F797),1,0)</f>
        <v>1</v>
      </c>
      <c r="AK797" s="25">
        <f>IF(OR(Apresentação!$E$5='Base de Dados e filtragem'!AK$2,Apresentação!$E$5='Base de Dados e filtragem'!G797),1,0)</f>
        <v>1</v>
      </c>
      <c r="AL797" s="25">
        <f>IF(OR(Apresentação!$E$6='Base de Dados e filtragem'!AL$2,Apresentação!$E$6='Base de Dados e filtragem'!H797),1,0)</f>
        <v>1</v>
      </c>
      <c r="AM797" s="25">
        <f>IF(OR(Apresentação!$I$2='Base de Dados e filtragem'!AM$2,Apresentação!$I$2='Base de Dados e filtragem'!I797),1,0)</f>
        <v>1</v>
      </c>
      <c r="AN797" s="25">
        <f>IF(OR(Apresentação!$I$3='Base de Dados e filtragem'!AN$2,Apresentação!$I$3='Base de Dados e filtragem'!J797),1,0)</f>
        <v>1</v>
      </c>
      <c r="AO797" s="25">
        <f>IF(OR(Apresentação!$I$4='Base de Dados e filtragem'!AO$2,Apresentação!$I$4='Base de Dados e filtragem'!K797),1,0)</f>
        <v>1</v>
      </c>
      <c r="AP797" s="25">
        <f>IF(OR(Apresentação!$I$5='Base de Dados e filtragem'!AP$2,Apresentação!$I$5='Base de Dados e filtragem'!L797),1,0)</f>
        <v>1</v>
      </c>
      <c r="AQ797" s="25">
        <f>IF(OR(Apresentação!$I$6='Base de Dados e filtragem'!AQ$2,Apresentação!$I$6='Base de Dados e filtragem'!M797),1,0)</f>
        <v>1</v>
      </c>
      <c r="AR797" s="25">
        <v>1</v>
      </c>
      <c r="AS797" s="25">
        <v>1</v>
      </c>
      <c r="AT797" s="25">
        <v>1</v>
      </c>
      <c r="AU797" s="25">
        <v>1</v>
      </c>
      <c r="AV797" s="25">
        <v>1</v>
      </c>
      <c r="AW797" s="25">
        <v>1</v>
      </c>
      <c r="AX797" s="25">
        <v>1</v>
      </c>
      <c r="AY797" s="25">
        <v>1</v>
      </c>
      <c r="AZ797" s="25">
        <v>1</v>
      </c>
      <c r="BA797" s="25">
        <v>1</v>
      </c>
      <c r="BB797" s="25">
        <v>1</v>
      </c>
      <c r="BC797" s="25">
        <v>1</v>
      </c>
      <c r="BD797" s="25">
        <v>1</v>
      </c>
    </row>
    <row r="798" spans="27:56" x14ac:dyDescent="0.25">
      <c r="AA798" s="68" t="str">
        <f t="shared" si="49"/>
        <v>Fotos\\.jpg</v>
      </c>
      <c r="AB798" s="53">
        <f t="shared" si="50"/>
        <v>1.2531328320802004E-3</v>
      </c>
      <c r="AC798" s="25">
        <f t="shared" si="51"/>
        <v>798</v>
      </c>
      <c r="AD798" s="51">
        <f t="shared" si="52"/>
        <v>1</v>
      </c>
      <c r="AE798" s="25">
        <v>1</v>
      </c>
      <c r="AF798" s="25">
        <v>1</v>
      </c>
      <c r="AG798" s="25">
        <v>1</v>
      </c>
      <c r="AH798" s="25">
        <v>1</v>
      </c>
      <c r="AI798" s="25">
        <f>IF(OR(Apresentação!$E$3='Base de Dados e filtragem'!AI$2,Apresentação!$E$3='Base de Dados e filtragem'!E798),1,0)</f>
        <v>1</v>
      </c>
      <c r="AJ798" s="25">
        <f>IF(OR(Apresentação!$E$4='Base de Dados e filtragem'!AJ$2,Apresentação!$E$4='Base de Dados e filtragem'!F798),1,0)</f>
        <v>1</v>
      </c>
      <c r="AK798" s="25">
        <f>IF(OR(Apresentação!$E$5='Base de Dados e filtragem'!AK$2,Apresentação!$E$5='Base de Dados e filtragem'!G798),1,0)</f>
        <v>1</v>
      </c>
      <c r="AL798" s="25">
        <f>IF(OR(Apresentação!$E$6='Base de Dados e filtragem'!AL$2,Apresentação!$E$6='Base de Dados e filtragem'!H798),1,0)</f>
        <v>1</v>
      </c>
      <c r="AM798" s="25">
        <f>IF(OR(Apresentação!$I$2='Base de Dados e filtragem'!AM$2,Apresentação!$I$2='Base de Dados e filtragem'!I798),1,0)</f>
        <v>1</v>
      </c>
      <c r="AN798" s="25">
        <f>IF(OR(Apresentação!$I$3='Base de Dados e filtragem'!AN$2,Apresentação!$I$3='Base de Dados e filtragem'!J798),1,0)</f>
        <v>1</v>
      </c>
      <c r="AO798" s="25">
        <f>IF(OR(Apresentação!$I$4='Base de Dados e filtragem'!AO$2,Apresentação!$I$4='Base de Dados e filtragem'!K798),1,0)</f>
        <v>1</v>
      </c>
      <c r="AP798" s="25">
        <f>IF(OR(Apresentação!$I$5='Base de Dados e filtragem'!AP$2,Apresentação!$I$5='Base de Dados e filtragem'!L798),1,0)</f>
        <v>1</v>
      </c>
      <c r="AQ798" s="25">
        <f>IF(OR(Apresentação!$I$6='Base de Dados e filtragem'!AQ$2,Apresentação!$I$6='Base de Dados e filtragem'!M798),1,0)</f>
        <v>1</v>
      </c>
      <c r="AR798" s="25">
        <v>1</v>
      </c>
      <c r="AS798" s="25">
        <v>1</v>
      </c>
      <c r="AT798" s="25">
        <v>1</v>
      </c>
      <c r="AU798" s="25">
        <v>1</v>
      </c>
      <c r="AV798" s="25">
        <v>1</v>
      </c>
      <c r="AW798" s="25">
        <v>1</v>
      </c>
      <c r="AX798" s="25">
        <v>1</v>
      </c>
      <c r="AY798" s="25">
        <v>1</v>
      </c>
      <c r="AZ798" s="25">
        <v>1</v>
      </c>
      <c r="BA798" s="25">
        <v>1</v>
      </c>
      <c r="BB798" s="25">
        <v>1</v>
      </c>
      <c r="BC798" s="25">
        <v>1</v>
      </c>
      <c r="BD798" s="25">
        <v>1</v>
      </c>
    </row>
    <row r="799" spans="27:56" x14ac:dyDescent="0.25">
      <c r="AA799" s="68" t="str">
        <f t="shared" si="49"/>
        <v>Fotos\\.jpg</v>
      </c>
      <c r="AB799" s="53">
        <f t="shared" si="50"/>
        <v>1.2515644555694619E-3</v>
      </c>
      <c r="AC799" s="25">
        <f t="shared" si="51"/>
        <v>799</v>
      </c>
      <c r="AD799" s="51">
        <f t="shared" si="52"/>
        <v>1</v>
      </c>
      <c r="AE799" s="25">
        <v>1</v>
      </c>
      <c r="AF799" s="25">
        <v>1</v>
      </c>
      <c r="AG799" s="25">
        <v>1</v>
      </c>
      <c r="AH799" s="25">
        <v>1</v>
      </c>
      <c r="AI799" s="25">
        <f>IF(OR(Apresentação!$E$3='Base de Dados e filtragem'!AI$2,Apresentação!$E$3='Base de Dados e filtragem'!E799),1,0)</f>
        <v>1</v>
      </c>
      <c r="AJ799" s="25">
        <f>IF(OR(Apresentação!$E$4='Base de Dados e filtragem'!AJ$2,Apresentação!$E$4='Base de Dados e filtragem'!F799),1,0)</f>
        <v>1</v>
      </c>
      <c r="AK799" s="25">
        <f>IF(OR(Apresentação!$E$5='Base de Dados e filtragem'!AK$2,Apresentação!$E$5='Base de Dados e filtragem'!G799),1,0)</f>
        <v>1</v>
      </c>
      <c r="AL799" s="25">
        <f>IF(OR(Apresentação!$E$6='Base de Dados e filtragem'!AL$2,Apresentação!$E$6='Base de Dados e filtragem'!H799),1,0)</f>
        <v>1</v>
      </c>
      <c r="AM799" s="25">
        <f>IF(OR(Apresentação!$I$2='Base de Dados e filtragem'!AM$2,Apresentação!$I$2='Base de Dados e filtragem'!I799),1,0)</f>
        <v>1</v>
      </c>
      <c r="AN799" s="25">
        <f>IF(OR(Apresentação!$I$3='Base de Dados e filtragem'!AN$2,Apresentação!$I$3='Base de Dados e filtragem'!J799),1,0)</f>
        <v>1</v>
      </c>
      <c r="AO799" s="25">
        <f>IF(OR(Apresentação!$I$4='Base de Dados e filtragem'!AO$2,Apresentação!$I$4='Base de Dados e filtragem'!K799),1,0)</f>
        <v>1</v>
      </c>
      <c r="AP799" s="25">
        <f>IF(OR(Apresentação!$I$5='Base de Dados e filtragem'!AP$2,Apresentação!$I$5='Base de Dados e filtragem'!L799),1,0)</f>
        <v>1</v>
      </c>
      <c r="AQ799" s="25">
        <f>IF(OR(Apresentação!$I$6='Base de Dados e filtragem'!AQ$2,Apresentação!$I$6='Base de Dados e filtragem'!M799),1,0)</f>
        <v>1</v>
      </c>
      <c r="AR799" s="25">
        <v>1</v>
      </c>
      <c r="AS799" s="25">
        <v>1</v>
      </c>
      <c r="AT799" s="25">
        <v>1</v>
      </c>
      <c r="AU799" s="25">
        <v>1</v>
      </c>
      <c r="AV799" s="25">
        <v>1</v>
      </c>
      <c r="AW799" s="25">
        <v>1</v>
      </c>
      <c r="AX799" s="25">
        <v>1</v>
      </c>
      <c r="AY799" s="25">
        <v>1</v>
      </c>
      <c r="AZ799" s="25">
        <v>1</v>
      </c>
      <c r="BA799" s="25">
        <v>1</v>
      </c>
      <c r="BB799" s="25">
        <v>1</v>
      </c>
      <c r="BC799" s="25">
        <v>1</v>
      </c>
      <c r="BD799" s="25">
        <v>1</v>
      </c>
    </row>
    <row r="800" spans="27:56" x14ac:dyDescent="0.25">
      <c r="AA800" s="68" t="str">
        <f t="shared" si="49"/>
        <v>Fotos\\.jpg</v>
      </c>
      <c r="AB800" s="53">
        <f t="shared" si="50"/>
        <v>1.25E-3</v>
      </c>
      <c r="AC800" s="25">
        <f t="shared" si="51"/>
        <v>800</v>
      </c>
      <c r="AD800" s="51">
        <f t="shared" si="52"/>
        <v>1</v>
      </c>
      <c r="AE800" s="25">
        <v>1</v>
      </c>
      <c r="AF800" s="25">
        <v>1</v>
      </c>
      <c r="AG800" s="25">
        <v>1</v>
      </c>
      <c r="AH800" s="25">
        <v>1</v>
      </c>
      <c r="AI800" s="25">
        <f>IF(OR(Apresentação!$E$3='Base de Dados e filtragem'!AI$2,Apresentação!$E$3='Base de Dados e filtragem'!E800),1,0)</f>
        <v>1</v>
      </c>
      <c r="AJ800" s="25">
        <f>IF(OR(Apresentação!$E$4='Base de Dados e filtragem'!AJ$2,Apresentação!$E$4='Base de Dados e filtragem'!F800),1,0)</f>
        <v>1</v>
      </c>
      <c r="AK800" s="25">
        <f>IF(OR(Apresentação!$E$5='Base de Dados e filtragem'!AK$2,Apresentação!$E$5='Base de Dados e filtragem'!G800),1,0)</f>
        <v>1</v>
      </c>
      <c r="AL800" s="25">
        <f>IF(OR(Apresentação!$E$6='Base de Dados e filtragem'!AL$2,Apresentação!$E$6='Base de Dados e filtragem'!H800),1,0)</f>
        <v>1</v>
      </c>
      <c r="AM800" s="25">
        <f>IF(OR(Apresentação!$I$2='Base de Dados e filtragem'!AM$2,Apresentação!$I$2='Base de Dados e filtragem'!I800),1,0)</f>
        <v>1</v>
      </c>
      <c r="AN800" s="25">
        <f>IF(OR(Apresentação!$I$3='Base de Dados e filtragem'!AN$2,Apresentação!$I$3='Base de Dados e filtragem'!J800),1,0)</f>
        <v>1</v>
      </c>
      <c r="AO800" s="25">
        <f>IF(OR(Apresentação!$I$4='Base de Dados e filtragem'!AO$2,Apresentação!$I$4='Base de Dados e filtragem'!K800),1,0)</f>
        <v>1</v>
      </c>
      <c r="AP800" s="25">
        <f>IF(OR(Apresentação!$I$5='Base de Dados e filtragem'!AP$2,Apresentação!$I$5='Base de Dados e filtragem'!L800),1,0)</f>
        <v>1</v>
      </c>
      <c r="AQ800" s="25">
        <f>IF(OR(Apresentação!$I$6='Base de Dados e filtragem'!AQ$2,Apresentação!$I$6='Base de Dados e filtragem'!M800),1,0)</f>
        <v>1</v>
      </c>
      <c r="AR800" s="25">
        <v>1</v>
      </c>
      <c r="AS800" s="25">
        <v>1</v>
      </c>
      <c r="AT800" s="25">
        <v>1</v>
      </c>
      <c r="AU800" s="25">
        <v>1</v>
      </c>
      <c r="AV800" s="25">
        <v>1</v>
      </c>
      <c r="AW800" s="25">
        <v>1</v>
      </c>
      <c r="AX800" s="25">
        <v>1</v>
      </c>
      <c r="AY800" s="25">
        <v>1</v>
      </c>
      <c r="AZ800" s="25">
        <v>1</v>
      </c>
      <c r="BA800" s="25">
        <v>1</v>
      </c>
      <c r="BB800" s="25">
        <v>1</v>
      </c>
      <c r="BC800" s="25">
        <v>1</v>
      </c>
      <c r="BD800" s="25">
        <v>1</v>
      </c>
    </row>
    <row r="801" spans="27:56" x14ac:dyDescent="0.25">
      <c r="AA801" s="68" t="str">
        <f t="shared" si="49"/>
        <v>Fotos\\.jpg</v>
      </c>
      <c r="AB801" s="53">
        <f t="shared" si="50"/>
        <v>1.2484394506866417E-3</v>
      </c>
      <c r="AC801" s="25">
        <f t="shared" si="51"/>
        <v>801</v>
      </c>
      <c r="AD801" s="51">
        <f t="shared" si="52"/>
        <v>1</v>
      </c>
      <c r="AE801" s="25">
        <v>1</v>
      </c>
      <c r="AF801" s="25">
        <v>1</v>
      </c>
      <c r="AG801" s="25">
        <v>1</v>
      </c>
      <c r="AH801" s="25">
        <v>1</v>
      </c>
      <c r="AI801" s="25">
        <f>IF(OR(Apresentação!$E$3='Base de Dados e filtragem'!AI$2,Apresentação!$E$3='Base de Dados e filtragem'!E801),1,0)</f>
        <v>1</v>
      </c>
      <c r="AJ801" s="25">
        <f>IF(OR(Apresentação!$E$4='Base de Dados e filtragem'!AJ$2,Apresentação!$E$4='Base de Dados e filtragem'!F801),1,0)</f>
        <v>1</v>
      </c>
      <c r="AK801" s="25">
        <f>IF(OR(Apresentação!$E$5='Base de Dados e filtragem'!AK$2,Apresentação!$E$5='Base de Dados e filtragem'!G801),1,0)</f>
        <v>1</v>
      </c>
      <c r="AL801" s="25">
        <f>IF(OR(Apresentação!$E$6='Base de Dados e filtragem'!AL$2,Apresentação!$E$6='Base de Dados e filtragem'!H801),1,0)</f>
        <v>1</v>
      </c>
      <c r="AM801" s="25">
        <f>IF(OR(Apresentação!$I$2='Base de Dados e filtragem'!AM$2,Apresentação!$I$2='Base de Dados e filtragem'!I801),1,0)</f>
        <v>1</v>
      </c>
      <c r="AN801" s="25">
        <f>IF(OR(Apresentação!$I$3='Base de Dados e filtragem'!AN$2,Apresentação!$I$3='Base de Dados e filtragem'!J801),1,0)</f>
        <v>1</v>
      </c>
      <c r="AO801" s="25">
        <f>IF(OR(Apresentação!$I$4='Base de Dados e filtragem'!AO$2,Apresentação!$I$4='Base de Dados e filtragem'!K801),1,0)</f>
        <v>1</v>
      </c>
      <c r="AP801" s="25">
        <f>IF(OR(Apresentação!$I$5='Base de Dados e filtragem'!AP$2,Apresentação!$I$5='Base de Dados e filtragem'!L801),1,0)</f>
        <v>1</v>
      </c>
      <c r="AQ801" s="25">
        <f>IF(OR(Apresentação!$I$6='Base de Dados e filtragem'!AQ$2,Apresentação!$I$6='Base de Dados e filtragem'!M801),1,0)</f>
        <v>1</v>
      </c>
      <c r="AR801" s="25">
        <v>1</v>
      </c>
      <c r="AS801" s="25">
        <v>1</v>
      </c>
      <c r="AT801" s="25">
        <v>1</v>
      </c>
      <c r="AU801" s="25">
        <v>1</v>
      </c>
      <c r="AV801" s="25">
        <v>1</v>
      </c>
      <c r="AW801" s="25">
        <v>1</v>
      </c>
      <c r="AX801" s="25">
        <v>1</v>
      </c>
      <c r="AY801" s="25">
        <v>1</v>
      </c>
      <c r="AZ801" s="25">
        <v>1</v>
      </c>
      <c r="BA801" s="25">
        <v>1</v>
      </c>
      <c r="BB801" s="25">
        <v>1</v>
      </c>
      <c r="BC801" s="25">
        <v>1</v>
      </c>
      <c r="BD801" s="25">
        <v>1</v>
      </c>
    </row>
    <row r="802" spans="27:56" x14ac:dyDescent="0.25">
      <c r="AA802" s="68" t="str">
        <f t="shared" si="49"/>
        <v>Fotos\\.jpg</v>
      </c>
      <c r="AB802" s="53">
        <f t="shared" si="50"/>
        <v>1.2468827930174563E-3</v>
      </c>
      <c r="AC802" s="25">
        <f t="shared" si="51"/>
        <v>802</v>
      </c>
      <c r="AD802" s="51">
        <f t="shared" si="52"/>
        <v>1</v>
      </c>
      <c r="AE802" s="25">
        <v>1</v>
      </c>
      <c r="AF802" s="25">
        <v>1</v>
      </c>
      <c r="AG802" s="25">
        <v>1</v>
      </c>
      <c r="AH802" s="25">
        <v>1</v>
      </c>
      <c r="AI802" s="25">
        <f>IF(OR(Apresentação!$E$3='Base de Dados e filtragem'!AI$2,Apresentação!$E$3='Base de Dados e filtragem'!E802),1,0)</f>
        <v>1</v>
      </c>
      <c r="AJ802" s="25">
        <f>IF(OR(Apresentação!$E$4='Base de Dados e filtragem'!AJ$2,Apresentação!$E$4='Base de Dados e filtragem'!F802),1,0)</f>
        <v>1</v>
      </c>
      <c r="AK802" s="25">
        <f>IF(OR(Apresentação!$E$5='Base de Dados e filtragem'!AK$2,Apresentação!$E$5='Base de Dados e filtragem'!G802),1,0)</f>
        <v>1</v>
      </c>
      <c r="AL802" s="25">
        <f>IF(OR(Apresentação!$E$6='Base de Dados e filtragem'!AL$2,Apresentação!$E$6='Base de Dados e filtragem'!H802),1,0)</f>
        <v>1</v>
      </c>
      <c r="AM802" s="25">
        <f>IF(OR(Apresentação!$I$2='Base de Dados e filtragem'!AM$2,Apresentação!$I$2='Base de Dados e filtragem'!I802),1,0)</f>
        <v>1</v>
      </c>
      <c r="AN802" s="25">
        <f>IF(OR(Apresentação!$I$3='Base de Dados e filtragem'!AN$2,Apresentação!$I$3='Base de Dados e filtragem'!J802),1,0)</f>
        <v>1</v>
      </c>
      <c r="AO802" s="25">
        <f>IF(OR(Apresentação!$I$4='Base de Dados e filtragem'!AO$2,Apresentação!$I$4='Base de Dados e filtragem'!K802),1,0)</f>
        <v>1</v>
      </c>
      <c r="AP802" s="25">
        <f>IF(OR(Apresentação!$I$5='Base de Dados e filtragem'!AP$2,Apresentação!$I$5='Base de Dados e filtragem'!L802),1,0)</f>
        <v>1</v>
      </c>
      <c r="AQ802" s="25">
        <f>IF(OR(Apresentação!$I$6='Base de Dados e filtragem'!AQ$2,Apresentação!$I$6='Base de Dados e filtragem'!M802),1,0)</f>
        <v>1</v>
      </c>
      <c r="AR802" s="25">
        <v>1</v>
      </c>
      <c r="AS802" s="25">
        <v>1</v>
      </c>
      <c r="AT802" s="25">
        <v>1</v>
      </c>
      <c r="AU802" s="25">
        <v>1</v>
      </c>
      <c r="AV802" s="25">
        <v>1</v>
      </c>
      <c r="AW802" s="25">
        <v>1</v>
      </c>
      <c r="AX802" s="25">
        <v>1</v>
      </c>
      <c r="AY802" s="25">
        <v>1</v>
      </c>
      <c r="AZ802" s="25">
        <v>1</v>
      </c>
      <c r="BA802" s="25">
        <v>1</v>
      </c>
      <c r="BB802" s="25">
        <v>1</v>
      </c>
      <c r="BC802" s="25">
        <v>1</v>
      </c>
      <c r="BD802" s="25">
        <v>1</v>
      </c>
    </row>
    <row r="803" spans="27:56" x14ac:dyDescent="0.25">
      <c r="AA803" s="68" t="str">
        <f t="shared" si="49"/>
        <v>Fotos\\.jpg</v>
      </c>
      <c r="AB803" s="53">
        <f t="shared" si="50"/>
        <v>1.2453300124533001E-3</v>
      </c>
      <c r="AC803" s="25">
        <f t="shared" si="51"/>
        <v>803</v>
      </c>
      <c r="AD803" s="51">
        <f t="shared" si="52"/>
        <v>1</v>
      </c>
      <c r="AE803" s="25">
        <v>1</v>
      </c>
      <c r="AF803" s="25">
        <v>1</v>
      </c>
      <c r="AG803" s="25">
        <v>1</v>
      </c>
      <c r="AH803" s="25">
        <v>1</v>
      </c>
      <c r="AI803" s="25">
        <f>IF(OR(Apresentação!$E$3='Base de Dados e filtragem'!AI$2,Apresentação!$E$3='Base de Dados e filtragem'!E803),1,0)</f>
        <v>1</v>
      </c>
      <c r="AJ803" s="25">
        <f>IF(OR(Apresentação!$E$4='Base de Dados e filtragem'!AJ$2,Apresentação!$E$4='Base de Dados e filtragem'!F803),1,0)</f>
        <v>1</v>
      </c>
      <c r="AK803" s="25">
        <f>IF(OR(Apresentação!$E$5='Base de Dados e filtragem'!AK$2,Apresentação!$E$5='Base de Dados e filtragem'!G803),1,0)</f>
        <v>1</v>
      </c>
      <c r="AL803" s="25">
        <f>IF(OR(Apresentação!$E$6='Base de Dados e filtragem'!AL$2,Apresentação!$E$6='Base de Dados e filtragem'!H803),1,0)</f>
        <v>1</v>
      </c>
      <c r="AM803" s="25">
        <f>IF(OR(Apresentação!$I$2='Base de Dados e filtragem'!AM$2,Apresentação!$I$2='Base de Dados e filtragem'!I803),1,0)</f>
        <v>1</v>
      </c>
      <c r="AN803" s="25">
        <f>IF(OR(Apresentação!$I$3='Base de Dados e filtragem'!AN$2,Apresentação!$I$3='Base de Dados e filtragem'!J803),1,0)</f>
        <v>1</v>
      </c>
      <c r="AO803" s="25">
        <f>IF(OR(Apresentação!$I$4='Base de Dados e filtragem'!AO$2,Apresentação!$I$4='Base de Dados e filtragem'!K803),1,0)</f>
        <v>1</v>
      </c>
      <c r="AP803" s="25">
        <f>IF(OR(Apresentação!$I$5='Base de Dados e filtragem'!AP$2,Apresentação!$I$5='Base de Dados e filtragem'!L803),1,0)</f>
        <v>1</v>
      </c>
      <c r="AQ803" s="25">
        <f>IF(OR(Apresentação!$I$6='Base de Dados e filtragem'!AQ$2,Apresentação!$I$6='Base de Dados e filtragem'!M803),1,0)</f>
        <v>1</v>
      </c>
      <c r="AR803" s="25">
        <v>1</v>
      </c>
      <c r="AS803" s="25">
        <v>1</v>
      </c>
      <c r="AT803" s="25">
        <v>1</v>
      </c>
      <c r="AU803" s="25">
        <v>1</v>
      </c>
      <c r="AV803" s="25">
        <v>1</v>
      </c>
      <c r="AW803" s="25">
        <v>1</v>
      </c>
      <c r="AX803" s="25">
        <v>1</v>
      </c>
      <c r="AY803" s="25">
        <v>1</v>
      </c>
      <c r="AZ803" s="25">
        <v>1</v>
      </c>
      <c r="BA803" s="25">
        <v>1</v>
      </c>
      <c r="BB803" s="25">
        <v>1</v>
      </c>
      <c r="BC803" s="25">
        <v>1</v>
      </c>
      <c r="BD803" s="25">
        <v>1</v>
      </c>
    </row>
    <row r="804" spans="27:56" x14ac:dyDescent="0.25">
      <c r="AA804" s="68" t="str">
        <f t="shared" si="49"/>
        <v>Fotos\\.jpg</v>
      </c>
      <c r="AB804" s="53">
        <f t="shared" si="50"/>
        <v>1.2437810945273632E-3</v>
      </c>
      <c r="AC804" s="25">
        <f t="shared" si="51"/>
        <v>804</v>
      </c>
      <c r="AD804" s="51">
        <f t="shared" si="52"/>
        <v>1</v>
      </c>
      <c r="AE804" s="25">
        <v>1</v>
      </c>
      <c r="AF804" s="25">
        <v>1</v>
      </c>
      <c r="AG804" s="25">
        <v>1</v>
      </c>
      <c r="AH804" s="25">
        <v>1</v>
      </c>
      <c r="AI804" s="25">
        <f>IF(OR(Apresentação!$E$3='Base de Dados e filtragem'!AI$2,Apresentação!$E$3='Base de Dados e filtragem'!E804),1,0)</f>
        <v>1</v>
      </c>
      <c r="AJ804" s="25">
        <f>IF(OR(Apresentação!$E$4='Base de Dados e filtragem'!AJ$2,Apresentação!$E$4='Base de Dados e filtragem'!F804),1,0)</f>
        <v>1</v>
      </c>
      <c r="AK804" s="25">
        <f>IF(OR(Apresentação!$E$5='Base de Dados e filtragem'!AK$2,Apresentação!$E$5='Base de Dados e filtragem'!G804),1,0)</f>
        <v>1</v>
      </c>
      <c r="AL804" s="25">
        <f>IF(OR(Apresentação!$E$6='Base de Dados e filtragem'!AL$2,Apresentação!$E$6='Base de Dados e filtragem'!H804),1,0)</f>
        <v>1</v>
      </c>
      <c r="AM804" s="25">
        <f>IF(OR(Apresentação!$I$2='Base de Dados e filtragem'!AM$2,Apresentação!$I$2='Base de Dados e filtragem'!I804),1,0)</f>
        <v>1</v>
      </c>
      <c r="AN804" s="25">
        <f>IF(OR(Apresentação!$I$3='Base de Dados e filtragem'!AN$2,Apresentação!$I$3='Base de Dados e filtragem'!J804),1,0)</f>
        <v>1</v>
      </c>
      <c r="AO804" s="25">
        <f>IF(OR(Apresentação!$I$4='Base de Dados e filtragem'!AO$2,Apresentação!$I$4='Base de Dados e filtragem'!K804),1,0)</f>
        <v>1</v>
      </c>
      <c r="AP804" s="25">
        <f>IF(OR(Apresentação!$I$5='Base de Dados e filtragem'!AP$2,Apresentação!$I$5='Base de Dados e filtragem'!L804),1,0)</f>
        <v>1</v>
      </c>
      <c r="AQ804" s="25">
        <f>IF(OR(Apresentação!$I$6='Base de Dados e filtragem'!AQ$2,Apresentação!$I$6='Base de Dados e filtragem'!M804),1,0)</f>
        <v>1</v>
      </c>
      <c r="AR804" s="25">
        <v>1</v>
      </c>
      <c r="AS804" s="25">
        <v>1</v>
      </c>
      <c r="AT804" s="25">
        <v>1</v>
      </c>
      <c r="AU804" s="25">
        <v>1</v>
      </c>
      <c r="AV804" s="25">
        <v>1</v>
      </c>
      <c r="AW804" s="25">
        <v>1</v>
      </c>
      <c r="AX804" s="25">
        <v>1</v>
      </c>
      <c r="AY804" s="25">
        <v>1</v>
      </c>
      <c r="AZ804" s="25">
        <v>1</v>
      </c>
      <c r="BA804" s="25">
        <v>1</v>
      </c>
      <c r="BB804" s="25">
        <v>1</v>
      </c>
      <c r="BC804" s="25">
        <v>1</v>
      </c>
      <c r="BD804" s="25">
        <v>1</v>
      </c>
    </row>
    <row r="805" spans="27:56" x14ac:dyDescent="0.25">
      <c r="AA805" s="68" t="str">
        <f t="shared" si="49"/>
        <v>Fotos\\.jpg</v>
      </c>
      <c r="AB805" s="53">
        <f t="shared" si="50"/>
        <v>1.2422360248447205E-3</v>
      </c>
      <c r="AC805" s="25">
        <f t="shared" si="51"/>
        <v>805</v>
      </c>
      <c r="AD805" s="51">
        <f t="shared" si="52"/>
        <v>1</v>
      </c>
      <c r="AE805" s="25">
        <v>1</v>
      </c>
      <c r="AF805" s="25">
        <v>1</v>
      </c>
      <c r="AG805" s="25">
        <v>1</v>
      </c>
      <c r="AH805" s="25">
        <v>1</v>
      </c>
      <c r="AI805" s="25">
        <f>IF(OR(Apresentação!$E$3='Base de Dados e filtragem'!AI$2,Apresentação!$E$3='Base de Dados e filtragem'!E805),1,0)</f>
        <v>1</v>
      </c>
      <c r="AJ805" s="25">
        <f>IF(OR(Apresentação!$E$4='Base de Dados e filtragem'!AJ$2,Apresentação!$E$4='Base de Dados e filtragem'!F805),1,0)</f>
        <v>1</v>
      </c>
      <c r="AK805" s="25">
        <f>IF(OR(Apresentação!$E$5='Base de Dados e filtragem'!AK$2,Apresentação!$E$5='Base de Dados e filtragem'!G805),1,0)</f>
        <v>1</v>
      </c>
      <c r="AL805" s="25">
        <f>IF(OR(Apresentação!$E$6='Base de Dados e filtragem'!AL$2,Apresentação!$E$6='Base de Dados e filtragem'!H805),1,0)</f>
        <v>1</v>
      </c>
      <c r="AM805" s="25">
        <f>IF(OR(Apresentação!$I$2='Base de Dados e filtragem'!AM$2,Apresentação!$I$2='Base de Dados e filtragem'!I805),1,0)</f>
        <v>1</v>
      </c>
      <c r="AN805" s="25">
        <f>IF(OR(Apresentação!$I$3='Base de Dados e filtragem'!AN$2,Apresentação!$I$3='Base de Dados e filtragem'!J805),1,0)</f>
        <v>1</v>
      </c>
      <c r="AO805" s="25">
        <f>IF(OR(Apresentação!$I$4='Base de Dados e filtragem'!AO$2,Apresentação!$I$4='Base de Dados e filtragem'!K805),1,0)</f>
        <v>1</v>
      </c>
      <c r="AP805" s="25">
        <f>IF(OR(Apresentação!$I$5='Base de Dados e filtragem'!AP$2,Apresentação!$I$5='Base de Dados e filtragem'!L805),1,0)</f>
        <v>1</v>
      </c>
      <c r="AQ805" s="25">
        <f>IF(OR(Apresentação!$I$6='Base de Dados e filtragem'!AQ$2,Apresentação!$I$6='Base de Dados e filtragem'!M805),1,0)</f>
        <v>1</v>
      </c>
      <c r="AR805" s="25">
        <v>1</v>
      </c>
      <c r="AS805" s="25">
        <v>1</v>
      </c>
      <c r="AT805" s="25">
        <v>1</v>
      </c>
      <c r="AU805" s="25">
        <v>1</v>
      </c>
      <c r="AV805" s="25">
        <v>1</v>
      </c>
      <c r="AW805" s="25">
        <v>1</v>
      </c>
      <c r="AX805" s="25">
        <v>1</v>
      </c>
      <c r="AY805" s="25">
        <v>1</v>
      </c>
      <c r="AZ805" s="25">
        <v>1</v>
      </c>
      <c r="BA805" s="25">
        <v>1</v>
      </c>
      <c r="BB805" s="25">
        <v>1</v>
      </c>
      <c r="BC805" s="25">
        <v>1</v>
      </c>
      <c r="BD805" s="25">
        <v>1</v>
      </c>
    </row>
    <row r="806" spans="27:56" x14ac:dyDescent="0.25">
      <c r="AA806" s="68" t="str">
        <f t="shared" si="49"/>
        <v>Fotos\\.jpg</v>
      </c>
      <c r="AB806" s="53">
        <f t="shared" si="50"/>
        <v>1.2406947890818859E-3</v>
      </c>
      <c r="AC806" s="25">
        <f t="shared" si="51"/>
        <v>806</v>
      </c>
      <c r="AD806" s="51">
        <f t="shared" si="52"/>
        <v>1</v>
      </c>
      <c r="AE806" s="25">
        <v>1</v>
      </c>
      <c r="AF806" s="25">
        <v>1</v>
      </c>
      <c r="AG806" s="25">
        <v>1</v>
      </c>
      <c r="AH806" s="25">
        <v>1</v>
      </c>
      <c r="AI806" s="25">
        <f>IF(OR(Apresentação!$E$3='Base de Dados e filtragem'!AI$2,Apresentação!$E$3='Base de Dados e filtragem'!E806),1,0)</f>
        <v>1</v>
      </c>
      <c r="AJ806" s="25">
        <f>IF(OR(Apresentação!$E$4='Base de Dados e filtragem'!AJ$2,Apresentação!$E$4='Base de Dados e filtragem'!F806),1,0)</f>
        <v>1</v>
      </c>
      <c r="AK806" s="25">
        <f>IF(OR(Apresentação!$E$5='Base de Dados e filtragem'!AK$2,Apresentação!$E$5='Base de Dados e filtragem'!G806),1,0)</f>
        <v>1</v>
      </c>
      <c r="AL806" s="25">
        <f>IF(OR(Apresentação!$E$6='Base de Dados e filtragem'!AL$2,Apresentação!$E$6='Base de Dados e filtragem'!H806),1,0)</f>
        <v>1</v>
      </c>
      <c r="AM806" s="25">
        <f>IF(OR(Apresentação!$I$2='Base de Dados e filtragem'!AM$2,Apresentação!$I$2='Base de Dados e filtragem'!I806),1,0)</f>
        <v>1</v>
      </c>
      <c r="AN806" s="25">
        <f>IF(OR(Apresentação!$I$3='Base de Dados e filtragem'!AN$2,Apresentação!$I$3='Base de Dados e filtragem'!J806),1,0)</f>
        <v>1</v>
      </c>
      <c r="AO806" s="25">
        <f>IF(OR(Apresentação!$I$4='Base de Dados e filtragem'!AO$2,Apresentação!$I$4='Base de Dados e filtragem'!K806),1,0)</f>
        <v>1</v>
      </c>
      <c r="AP806" s="25">
        <f>IF(OR(Apresentação!$I$5='Base de Dados e filtragem'!AP$2,Apresentação!$I$5='Base de Dados e filtragem'!L806),1,0)</f>
        <v>1</v>
      </c>
      <c r="AQ806" s="25">
        <f>IF(OR(Apresentação!$I$6='Base de Dados e filtragem'!AQ$2,Apresentação!$I$6='Base de Dados e filtragem'!M806),1,0)</f>
        <v>1</v>
      </c>
      <c r="AR806" s="25">
        <v>1</v>
      </c>
      <c r="AS806" s="25">
        <v>1</v>
      </c>
      <c r="AT806" s="25">
        <v>1</v>
      </c>
      <c r="AU806" s="25">
        <v>1</v>
      </c>
      <c r="AV806" s="25">
        <v>1</v>
      </c>
      <c r="AW806" s="25">
        <v>1</v>
      </c>
      <c r="AX806" s="25">
        <v>1</v>
      </c>
      <c r="AY806" s="25">
        <v>1</v>
      </c>
      <c r="AZ806" s="25">
        <v>1</v>
      </c>
      <c r="BA806" s="25">
        <v>1</v>
      </c>
      <c r="BB806" s="25">
        <v>1</v>
      </c>
      <c r="BC806" s="25">
        <v>1</v>
      </c>
      <c r="BD806" s="25">
        <v>1</v>
      </c>
    </row>
    <row r="807" spans="27:56" x14ac:dyDescent="0.25">
      <c r="AA807" s="68" t="str">
        <f t="shared" si="49"/>
        <v>Fotos\\.jpg</v>
      </c>
      <c r="AB807" s="53">
        <f t="shared" si="50"/>
        <v>1.2391573729863693E-3</v>
      </c>
      <c r="AC807" s="25">
        <f t="shared" si="51"/>
        <v>807</v>
      </c>
      <c r="AD807" s="51">
        <f t="shared" si="52"/>
        <v>1</v>
      </c>
      <c r="AE807" s="25">
        <v>1</v>
      </c>
      <c r="AF807" s="25">
        <v>1</v>
      </c>
      <c r="AG807" s="25">
        <v>1</v>
      </c>
      <c r="AH807" s="25">
        <v>1</v>
      </c>
      <c r="AI807" s="25">
        <f>IF(OR(Apresentação!$E$3='Base de Dados e filtragem'!AI$2,Apresentação!$E$3='Base de Dados e filtragem'!E807),1,0)</f>
        <v>1</v>
      </c>
      <c r="AJ807" s="25">
        <f>IF(OR(Apresentação!$E$4='Base de Dados e filtragem'!AJ$2,Apresentação!$E$4='Base de Dados e filtragem'!F807),1,0)</f>
        <v>1</v>
      </c>
      <c r="AK807" s="25">
        <f>IF(OR(Apresentação!$E$5='Base de Dados e filtragem'!AK$2,Apresentação!$E$5='Base de Dados e filtragem'!G807),1,0)</f>
        <v>1</v>
      </c>
      <c r="AL807" s="25">
        <f>IF(OR(Apresentação!$E$6='Base de Dados e filtragem'!AL$2,Apresentação!$E$6='Base de Dados e filtragem'!H807),1,0)</f>
        <v>1</v>
      </c>
      <c r="AM807" s="25">
        <f>IF(OR(Apresentação!$I$2='Base de Dados e filtragem'!AM$2,Apresentação!$I$2='Base de Dados e filtragem'!I807),1,0)</f>
        <v>1</v>
      </c>
      <c r="AN807" s="25">
        <f>IF(OR(Apresentação!$I$3='Base de Dados e filtragem'!AN$2,Apresentação!$I$3='Base de Dados e filtragem'!J807),1,0)</f>
        <v>1</v>
      </c>
      <c r="AO807" s="25">
        <f>IF(OR(Apresentação!$I$4='Base de Dados e filtragem'!AO$2,Apresentação!$I$4='Base de Dados e filtragem'!K807),1,0)</f>
        <v>1</v>
      </c>
      <c r="AP807" s="25">
        <f>IF(OR(Apresentação!$I$5='Base de Dados e filtragem'!AP$2,Apresentação!$I$5='Base de Dados e filtragem'!L807),1,0)</f>
        <v>1</v>
      </c>
      <c r="AQ807" s="25">
        <f>IF(OR(Apresentação!$I$6='Base de Dados e filtragem'!AQ$2,Apresentação!$I$6='Base de Dados e filtragem'!M807),1,0)</f>
        <v>1</v>
      </c>
      <c r="AR807" s="25">
        <v>1</v>
      </c>
      <c r="AS807" s="25">
        <v>1</v>
      </c>
      <c r="AT807" s="25">
        <v>1</v>
      </c>
      <c r="AU807" s="25">
        <v>1</v>
      </c>
      <c r="AV807" s="25">
        <v>1</v>
      </c>
      <c r="AW807" s="25">
        <v>1</v>
      </c>
      <c r="AX807" s="25">
        <v>1</v>
      </c>
      <c r="AY807" s="25">
        <v>1</v>
      </c>
      <c r="AZ807" s="25">
        <v>1</v>
      </c>
      <c r="BA807" s="25">
        <v>1</v>
      </c>
      <c r="BB807" s="25">
        <v>1</v>
      </c>
      <c r="BC807" s="25">
        <v>1</v>
      </c>
      <c r="BD807" s="25">
        <v>1</v>
      </c>
    </row>
    <row r="808" spans="27:56" x14ac:dyDescent="0.25">
      <c r="AA808" s="68" t="str">
        <f t="shared" si="49"/>
        <v>Fotos\\.jpg</v>
      </c>
      <c r="AB808" s="53">
        <f t="shared" si="50"/>
        <v>1.2376237623762376E-3</v>
      </c>
      <c r="AC808" s="25">
        <f t="shared" si="51"/>
        <v>808</v>
      </c>
      <c r="AD808" s="51">
        <f t="shared" si="52"/>
        <v>1</v>
      </c>
      <c r="AE808" s="25">
        <v>1</v>
      </c>
      <c r="AF808" s="25">
        <v>1</v>
      </c>
      <c r="AG808" s="25">
        <v>1</v>
      </c>
      <c r="AH808" s="25">
        <v>1</v>
      </c>
      <c r="AI808" s="25">
        <f>IF(OR(Apresentação!$E$3='Base de Dados e filtragem'!AI$2,Apresentação!$E$3='Base de Dados e filtragem'!E808),1,0)</f>
        <v>1</v>
      </c>
      <c r="AJ808" s="25">
        <f>IF(OR(Apresentação!$E$4='Base de Dados e filtragem'!AJ$2,Apresentação!$E$4='Base de Dados e filtragem'!F808),1,0)</f>
        <v>1</v>
      </c>
      <c r="AK808" s="25">
        <f>IF(OR(Apresentação!$E$5='Base de Dados e filtragem'!AK$2,Apresentação!$E$5='Base de Dados e filtragem'!G808),1,0)</f>
        <v>1</v>
      </c>
      <c r="AL808" s="25">
        <f>IF(OR(Apresentação!$E$6='Base de Dados e filtragem'!AL$2,Apresentação!$E$6='Base de Dados e filtragem'!H808),1,0)</f>
        <v>1</v>
      </c>
      <c r="AM808" s="25">
        <f>IF(OR(Apresentação!$I$2='Base de Dados e filtragem'!AM$2,Apresentação!$I$2='Base de Dados e filtragem'!I808),1,0)</f>
        <v>1</v>
      </c>
      <c r="AN808" s="25">
        <f>IF(OR(Apresentação!$I$3='Base de Dados e filtragem'!AN$2,Apresentação!$I$3='Base de Dados e filtragem'!J808),1,0)</f>
        <v>1</v>
      </c>
      <c r="AO808" s="25">
        <f>IF(OR(Apresentação!$I$4='Base de Dados e filtragem'!AO$2,Apresentação!$I$4='Base de Dados e filtragem'!K808),1,0)</f>
        <v>1</v>
      </c>
      <c r="AP808" s="25">
        <f>IF(OR(Apresentação!$I$5='Base de Dados e filtragem'!AP$2,Apresentação!$I$5='Base de Dados e filtragem'!L808),1,0)</f>
        <v>1</v>
      </c>
      <c r="AQ808" s="25">
        <f>IF(OR(Apresentação!$I$6='Base de Dados e filtragem'!AQ$2,Apresentação!$I$6='Base de Dados e filtragem'!M808),1,0)</f>
        <v>1</v>
      </c>
      <c r="AR808" s="25">
        <v>1</v>
      </c>
      <c r="AS808" s="25">
        <v>1</v>
      </c>
      <c r="AT808" s="25">
        <v>1</v>
      </c>
      <c r="AU808" s="25">
        <v>1</v>
      </c>
      <c r="AV808" s="25">
        <v>1</v>
      </c>
      <c r="AW808" s="25">
        <v>1</v>
      </c>
      <c r="AX808" s="25">
        <v>1</v>
      </c>
      <c r="AY808" s="25">
        <v>1</v>
      </c>
      <c r="AZ808" s="25">
        <v>1</v>
      </c>
      <c r="BA808" s="25">
        <v>1</v>
      </c>
      <c r="BB808" s="25">
        <v>1</v>
      </c>
      <c r="BC808" s="25">
        <v>1</v>
      </c>
      <c r="BD808" s="25">
        <v>1</v>
      </c>
    </row>
    <row r="809" spans="27:56" x14ac:dyDescent="0.25">
      <c r="AA809" s="68" t="str">
        <f t="shared" si="49"/>
        <v>Fotos\\.jpg</v>
      </c>
      <c r="AB809" s="53">
        <f t="shared" si="50"/>
        <v>1.2360939431396785E-3</v>
      </c>
      <c r="AC809" s="25">
        <f t="shared" si="51"/>
        <v>809</v>
      </c>
      <c r="AD809" s="51">
        <f t="shared" si="52"/>
        <v>1</v>
      </c>
      <c r="AE809" s="25">
        <v>1</v>
      </c>
      <c r="AF809" s="25">
        <v>1</v>
      </c>
      <c r="AG809" s="25">
        <v>1</v>
      </c>
      <c r="AH809" s="25">
        <v>1</v>
      </c>
      <c r="AI809" s="25">
        <f>IF(OR(Apresentação!$E$3='Base de Dados e filtragem'!AI$2,Apresentação!$E$3='Base de Dados e filtragem'!E809),1,0)</f>
        <v>1</v>
      </c>
      <c r="AJ809" s="25">
        <f>IF(OR(Apresentação!$E$4='Base de Dados e filtragem'!AJ$2,Apresentação!$E$4='Base de Dados e filtragem'!F809),1,0)</f>
        <v>1</v>
      </c>
      <c r="AK809" s="25">
        <f>IF(OR(Apresentação!$E$5='Base de Dados e filtragem'!AK$2,Apresentação!$E$5='Base de Dados e filtragem'!G809),1,0)</f>
        <v>1</v>
      </c>
      <c r="AL809" s="25">
        <f>IF(OR(Apresentação!$E$6='Base de Dados e filtragem'!AL$2,Apresentação!$E$6='Base de Dados e filtragem'!H809),1,0)</f>
        <v>1</v>
      </c>
      <c r="AM809" s="25">
        <f>IF(OR(Apresentação!$I$2='Base de Dados e filtragem'!AM$2,Apresentação!$I$2='Base de Dados e filtragem'!I809),1,0)</f>
        <v>1</v>
      </c>
      <c r="AN809" s="25">
        <f>IF(OR(Apresentação!$I$3='Base de Dados e filtragem'!AN$2,Apresentação!$I$3='Base de Dados e filtragem'!J809),1,0)</f>
        <v>1</v>
      </c>
      <c r="AO809" s="25">
        <f>IF(OR(Apresentação!$I$4='Base de Dados e filtragem'!AO$2,Apresentação!$I$4='Base de Dados e filtragem'!K809),1,0)</f>
        <v>1</v>
      </c>
      <c r="AP809" s="25">
        <f>IF(OR(Apresentação!$I$5='Base de Dados e filtragem'!AP$2,Apresentação!$I$5='Base de Dados e filtragem'!L809),1,0)</f>
        <v>1</v>
      </c>
      <c r="AQ809" s="25">
        <f>IF(OR(Apresentação!$I$6='Base de Dados e filtragem'!AQ$2,Apresentação!$I$6='Base de Dados e filtragem'!M809),1,0)</f>
        <v>1</v>
      </c>
      <c r="AR809" s="25">
        <v>1</v>
      </c>
      <c r="AS809" s="25">
        <v>1</v>
      </c>
      <c r="AT809" s="25">
        <v>1</v>
      </c>
      <c r="AU809" s="25">
        <v>1</v>
      </c>
      <c r="AV809" s="25">
        <v>1</v>
      </c>
      <c r="AW809" s="25">
        <v>1</v>
      </c>
      <c r="AX809" s="25">
        <v>1</v>
      </c>
      <c r="AY809" s="25">
        <v>1</v>
      </c>
      <c r="AZ809" s="25">
        <v>1</v>
      </c>
      <c r="BA809" s="25">
        <v>1</v>
      </c>
      <c r="BB809" s="25">
        <v>1</v>
      </c>
      <c r="BC809" s="25">
        <v>1</v>
      </c>
      <c r="BD809" s="25">
        <v>1</v>
      </c>
    </row>
    <row r="810" spans="27:56" x14ac:dyDescent="0.25">
      <c r="AA810" s="68" t="str">
        <f t="shared" si="49"/>
        <v>Fotos\\.jpg</v>
      </c>
      <c r="AB810" s="53">
        <f t="shared" si="50"/>
        <v>1.2345679012345679E-3</v>
      </c>
      <c r="AC810" s="25">
        <f t="shared" si="51"/>
        <v>810</v>
      </c>
      <c r="AD810" s="51">
        <f t="shared" si="52"/>
        <v>1</v>
      </c>
      <c r="AE810" s="25">
        <v>1</v>
      </c>
      <c r="AF810" s="25">
        <v>1</v>
      </c>
      <c r="AG810" s="25">
        <v>1</v>
      </c>
      <c r="AH810" s="25">
        <v>1</v>
      </c>
      <c r="AI810" s="25">
        <f>IF(OR(Apresentação!$E$3='Base de Dados e filtragem'!AI$2,Apresentação!$E$3='Base de Dados e filtragem'!E810),1,0)</f>
        <v>1</v>
      </c>
      <c r="AJ810" s="25">
        <f>IF(OR(Apresentação!$E$4='Base de Dados e filtragem'!AJ$2,Apresentação!$E$4='Base de Dados e filtragem'!F810),1,0)</f>
        <v>1</v>
      </c>
      <c r="AK810" s="25">
        <f>IF(OR(Apresentação!$E$5='Base de Dados e filtragem'!AK$2,Apresentação!$E$5='Base de Dados e filtragem'!G810),1,0)</f>
        <v>1</v>
      </c>
      <c r="AL810" s="25">
        <f>IF(OR(Apresentação!$E$6='Base de Dados e filtragem'!AL$2,Apresentação!$E$6='Base de Dados e filtragem'!H810),1,0)</f>
        <v>1</v>
      </c>
      <c r="AM810" s="25">
        <f>IF(OR(Apresentação!$I$2='Base de Dados e filtragem'!AM$2,Apresentação!$I$2='Base de Dados e filtragem'!I810),1,0)</f>
        <v>1</v>
      </c>
      <c r="AN810" s="25">
        <f>IF(OR(Apresentação!$I$3='Base de Dados e filtragem'!AN$2,Apresentação!$I$3='Base de Dados e filtragem'!J810),1,0)</f>
        <v>1</v>
      </c>
      <c r="AO810" s="25">
        <f>IF(OR(Apresentação!$I$4='Base de Dados e filtragem'!AO$2,Apresentação!$I$4='Base de Dados e filtragem'!K810),1,0)</f>
        <v>1</v>
      </c>
      <c r="AP810" s="25">
        <f>IF(OR(Apresentação!$I$5='Base de Dados e filtragem'!AP$2,Apresentação!$I$5='Base de Dados e filtragem'!L810),1,0)</f>
        <v>1</v>
      </c>
      <c r="AQ810" s="25">
        <f>IF(OR(Apresentação!$I$6='Base de Dados e filtragem'!AQ$2,Apresentação!$I$6='Base de Dados e filtragem'!M810),1,0)</f>
        <v>1</v>
      </c>
      <c r="AR810" s="25">
        <v>1</v>
      </c>
      <c r="AS810" s="25">
        <v>1</v>
      </c>
      <c r="AT810" s="25">
        <v>1</v>
      </c>
      <c r="AU810" s="25">
        <v>1</v>
      </c>
      <c r="AV810" s="25">
        <v>1</v>
      </c>
      <c r="AW810" s="25">
        <v>1</v>
      </c>
      <c r="AX810" s="25">
        <v>1</v>
      </c>
      <c r="AY810" s="25">
        <v>1</v>
      </c>
      <c r="AZ810" s="25">
        <v>1</v>
      </c>
      <c r="BA810" s="25">
        <v>1</v>
      </c>
      <c r="BB810" s="25">
        <v>1</v>
      </c>
      <c r="BC810" s="25">
        <v>1</v>
      </c>
      <c r="BD810" s="25">
        <v>1</v>
      </c>
    </row>
    <row r="811" spans="27:56" x14ac:dyDescent="0.25">
      <c r="AA811" s="68" t="str">
        <f t="shared" si="49"/>
        <v>Fotos\\.jpg</v>
      </c>
      <c r="AB811" s="53">
        <f t="shared" si="50"/>
        <v>1.2330456226880395E-3</v>
      </c>
      <c r="AC811" s="25">
        <f t="shared" si="51"/>
        <v>811</v>
      </c>
      <c r="AD811" s="51">
        <f t="shared" si="52"/>
        <v>1</v>
      </c>
      <c r="AE811" s="25">
        <v>1</v>
      </c>
      <c r="AF811" s="25">
        <v>1</v>
      </c>
      <c r="AG811" s="25">
        <v>1</v>
      </c>
      <c r="AH811" s="25">
        <v>1</v>
      </c>
      <c r="AI811" s="25">
        <f>IF(OR(Apresentação!$E$3='Base de Dados e filtragem'!AI$2,Apresentação!$E$3='Base de Dados e filtragem'!E811),1,0)</f>
        <v>1</v>
      </c>
      <c r="AJ811" s="25">
        <f>IF(OR(Apresentação!$E$4='Base de Dados e filtragem'!AJ$2,Apresentação!$E$4='Base de Dados e filtragem'!F811),1,0)</f>
        <v>1</v>
      </c>
      <c r="AK811" s="25">
        <f>IF(OR(Apresentação!$E$5='Base de Dados e filtragem'!AK$2,Apresentação!$E$5='Base de Dados e filtragem'!G811),1,0)</f>
        <v>1</v>
      </c>
      <c r="AL811" s="25">
        <f>IF(OR(Apresentação!$E$6='Base de Dados e filtragem'!AL$2,Apresentação!$E$6='Base de Dados e filtragem'!H811),1,0)</f>
        <v>1</v>
      </c>
      <c r="AM811" s="25">
        <f>IF(OR(Apresentação!$I$2='Base de Dados e filtragem'!AM$2,Apresentação!$I$2='Base de Dados e filtragem'!I811),1,0)</f>
        <v>1</v>
      </c>
      <c r="AN811" s="25">
        <f>IF(OR(Apresentação!$I$3='Base de Dados e filtragem'!AN$2,Apresentação!$I$3='Base de Dados e filtragem'!J811),1,0)</f>
        <v>1</v>
      </c>
      <c r="AO811" s="25">
        <f>IF(OR(Apresentação!$I$4='Base de Dados e filtragem'!AO$2,Apresentação!$I$4='Base de Dados e filtragem'!K811),1,0)</f>
        <v>1</v>
      </c>
      <c r="AP811" s="25">
        <f>IF(OR(Apresentação!$I$5='Base de Dados e filtragem'!AP$2,Apresentação!$I$5='Base de Dados e filtragem'!L811),1,0)</f>
        <v>1</v>
      </c>
      <c r="AQ811" s="25">
        <f>IF(OR(Apresentação!$I$6='Base de Dados e filtragem'!AQ$2,Apresentação!$I$6='Base de Dados e filtragem'!M811),1,0)</f>
        <v>1</v>
      </c>
      <c r="AR811" s="25">
        <v>1</v>
      </c>
      <c r="AS811" s="25">
        <v>1</v>
      </c>
      <c r="AT811" s="25">
        <v>1</v>
      </c>
      <c r="AU811" s="25">
        <v>1</v>
      </c>
      <c r="AV811" s="25">
        <v>1</v>
      </c>
      <c r="AW811" s="25">
        <v>1</v>
      </c>
      <c r="AX811" s="25">
        <v>1</v>
      </c>
      <c r="AY811" s="25">
        <v>1</v>
      </c>
      <c r="AZ811" s="25">
        <v>1</v>
      </c>
      <c r="BA811" s="25">
        <v>1</v>
      </c>
      <c r="BB811" s="25">
        <v>1</v>
      </c>
      <c r="BC811" s="25">
        <v>1</v>
      </c>
      <c r="BD811" s="25">
        <v>1</v>
      </c>
    </row>
    <row r="812" spans="27:56" x14ac:dyDescent="0.25">
      <c r="AA812" s="68" t="str">
        <f t="shared" si="49"/>
        <v>Fotos\\.jpg</v>
      </c>
      <c r="AB812" s="53">
        <f t="shared" si="50"/>
        <v>1.2315270935960591E-3</v>
      </c>
      <c r="AC812" s="25">
        <f t="shared" si="51"/>
        <v>812</v>
      </c>
      <c r="AD812" s="51">
        <f t="shared" si="52"/>
        <v>1</v>
      </c>
      <c r="AE812" s="25">
        <v>1</v>
      </c>
      <c r="AF812" s="25">
        <v>1</v>
      </c>
      <c r="AG812" s="25">
        <v>1</v>
      </c>
      <c r="AH812" s="25">
        <v>1</v>
      </c>
      <c r="AI812" s="25">
        <f>IF(OR(Apresentação!$E$3='Base de Dados e filtragem'!AI$2,Apresentação!$E$3='Base de Dados e filtragem'!E812),1,0)</f>
        <v>1</v>
      </c>
      <c r="AJ812" s="25">
        <f>IF(OR(Apresentação!$E$4='Base de Dados e filtragem'!AJ$2,Apresentação!$E$4='Base de Dados e filtragem'!F812),1,0)</f>
        <v>1</v>
      </c>
      <c r="AK812" s="25">
        <f>IF(OR(Apresentação!$E$5='Base de Dados e filtragem'!AK$2,Apresentação!$E$5='Base de Dados e filtragem'!G812),1,0)</f>
        <v>1</v>
      </c>
      <c r="AL812" s="25">
        <f>IF(OR(Apresentação!$E$6='Base de Dados e filtragem'!AL$2,Apresentação!$E$6='Base de Dados e filtragem'!H812),1,0)</f>
        <v>1</v>
      </c>
      <c r="AM812" s="25">
        <f>IF(OR(Apresentação!$I$2='Base de Dados e filtragem'!AM$2,Apresentação!$I$2='Base de Dados e filtragem'!I812),1,0)</f>
        <v>1</v>
      </c>
      <c r="AN812" s="25">
        <f>IF(OR(Apresentação!$I$3='Base de Dados e filtragem'!AN$2,Apresentação!$I$3='Base de Dados e filtragem'!J812),1,0)</f>
        <v>1</v>
      </c>
      <c r="AO812" s="25">
        <f>IF(OR(Apresentação!$I$4='Base de Dados e filtragem'!AO$2,Apresentação!$I$4='Base de Dados e filtragem'!K812),1,0)</f>
        <v>1</v>
      </c>
      <c r="AP812" s="25">
        <f>IF(OR(Apresentação!$I$5='Base de Dados e filtragem'!AP$2,Apresentação!$I$5='Base de Dados e filtragem'!L812),1,0)</f>
        <v>1</v>
      </c>
      <c r="AQ812" s="25">
        <f>IF(OR(Apresentação!$I$6='Base de Dados e filtragem'!AQ$2,Apresentação!$I$6='Base de Dados e filtragem'!M812),1,0)</f>
        <v>1</v>
      </c>
      <c r="AR812" s="25">
        <v>1</v>
      </c>
      <c r="AS812" s="25">
        <v>1</v>
      </c>
      <c r="AT812" s="25">
        <v>1</v>
      </c>
      <c r="AU812" s="25">
        <v>1</v>
      </c>
      <c r="AV812" s="25">
        <v>1</v>
      </c>
      <c r="AW812" s="25">
        <v>1</v>
      </c>
      <c r="AX812" s="25">
        <v>1</v>
      </c>
      <c r="AY812" s="25">
        <v>1</v>
      </c>
      <c r="AZ812" s="25">
        <v>1</v>
      </c>
      <c r="BA812" s="25">
        <v>1</v>
      </c>
      <c r="BB812" s="25">
        <v>1</v>
      </c>
      <c r="BC812" s="25">
        <v>1</v>
      </c>
      <c r="BD812" s="25">
        <v>1</v>
      </c>
    </row>
    <row r="813" spans="27:56" x14ac:dyDescent="0.25">
      <c r="AA813" s="68" t="str">
        <f t="shared" si="49"/>
        <v>Fotos\\.jpg</v>
      </c>
      <c r="AB813" s="53">
        <f t="shared" si="50"/>
        <v>1.2300123001230013E-3</v>
      </c>
      <c r="AC813" s="25">
        <f t="shared" si="51"/>
        <v>813</v>
      </c>
      <c r="AD813" s="51">
        <f t="shared" si="52"/>
        <v>1</v>
      </c>
      <c r="AE813" s="25">
        <v>1</v>
      </c>
      <c r="AF813" s="25">
        <v>1</v>
      </c>
      <c r="AG813" s="25">
        <v>1</v>
      </c>
      <c r="AH813" s="25">
        <v>1</v>
      </c>
      <c r="AI813" s="25">
        <f>IF(OR(Apresentação!$E$3='Base de Dados e filtragem'!AI$2,Apresentação!$E$3='Base de Dados e filtragem'!E813),1,0)</f>
        <v>1</v>
      </c>
      <c r="AJ813" s="25">
        <f>IF(OR(Apresentação!$E$4='Base de Dados e filtragem'!AJ$2,Apresentação!$E$4='Base de Dados e filtragem'!F813),1,0)</f>
        <v>1</v>
      </c>
      <c r="AK813" s="25">
        <f>IF(OR(Apresentação!$E$5='Base de Dados e filtragem'!AK$2,Apresentação!$E$5='Base de Dados e filtragem'!G813),1,0)</f>
        <v>1</v>
      </c>
      <c r="AL813" s="25">
        <f>IF(OR(Apresentação!$E$6='Base de Dados e filtragem'!AL$2,Apresentação!$E$6='Base de Dados e filtragem'!H813),1,0)</f>
        <v>1</v>
      </c>
      <c r="AM813" s="25">
        <f>IF(OR(Apresentação!$I$2='Base de Dados e filtragem'!AM$2,Apresentação!$I$2='Base de Dados e filtragem'!I813),1,0)</f>
        <v>1</v>
      </c>
      <c r="AN813" s="25">
        <f>IF(OR(Apresentação!$I$3='Base de Dados e filtragem'!AN$2,Apresentação!$I$3='Base de Dados e filtragem'!J813),1,0)</f>
        <v>1</v>
      </c>
      <c r="AO813" s="25">
        <f>IF(OR(Apresentação!$I$4='Base de Dados e filtragem'!AO$2,Apresentação!$I$4='Base de Dados e filtragem'!K813),1,0)</f>
        <v>1</v>
      </c>
      <c r="AP813" s="25">
        <f>IF(OR(Apresentação!$I$5='Base de Dados e filtragem'!AP$2,Apresentação!$I$5='Base de Dados e filtragem'!L813),1,0)</f>
        <v>1</v>
      </c>
      <c r="AQ813" s="25">
        <f>IF(OR(Apresentação!$I$6='Base de Dados e filtragem'!AQ$2,Apresentação!$I$6='Base de Dados e filtragem'!M813),1,0)</f>
        <v>1</v>
      </c>
      <c r="AR813" s="25">
        <v>1</v>
      </c>
      <c r="AS813" s="25">
        <v>1</v>
      </c>
      <c r="AT813" s="25">
        <v>1</v>
      </c>
      <c r="AU813" s="25">
        <v>1</v>
      </c>
      <c r="AV813" s="25">
        <v>1</v>
      </c>
      <c r="AW813" s="25">
        <v>1</v>
      </c>
      <c r="AX813" s="25">
        <v>1</v>
      </c>
      <c r="AY813" s="25">
        <v>1</v>
      </c>
      <c r="AZ813" s="25">
        <v>1</v>
      </c>
      <c r="BA813" s="25">
        <v>1</v>
      </c>
      <c r="BB813" s="25">
        <v>1</v>
      </c>
      <c r="BC813" s="25">
        <v>1</v>
      </c>
      <c r="BD813" s="25">
        <v>1</v>
      </c>
    </row>
    <row r="814" spans="27:56" x14ac:dyDescent="0.25">
      <c r="AA814" s="68" t="str">
        <f t="shared" si="49"/>
        <v>Fotos\\.jpg</v>
      </c>
      <c r="AB814" s="53">
        <f t="shared" si="50"/>
        <v>1.2285012285012285E-3</v>
      </c>
      <c r="AC814" s="25">
        <f t="shared" si="51"/>
        <v>814</v>
      </c>
      <c r="AD814" s="51">
        <f t="shared" si="52"/>
        <v>1</v>
      </c>
      <c r="AE814" s="25">
        <v>1</v>
      </c>
      <c r="AF814" s="25">
        <v>1</v>
      </c>
      <c r="AG814" s="25">
        <v>1</v>
      </c>
      <c r="AH814" s="25">
        <v>1</v>
      </c>
      <c r="AI814" s="25">
        <f>IF(OR(Apresentação!$E$3='Base de Dados e filtragem'!AI$2,Apresentação!$E$3='Base de Dados e filtragem'!E814),1,0)</f>
        <v>1</v>
      </c>
      <c r="AJ814" s="25">
        <f>IF(OR(Apresentação!$E$4='Base de Dados e filtragem'!AJ$2,Apresentação!$E$4='Base de Dados e filtragem'!F814),1,0)</f>
        <v>1</v>
      </c>
      <c r="AK814" s="25">
        <f>IF(OR(Apresentação!$E$5='Base de Dados e filtragem'!AK$2,Apresentação!$E$5='Base de Dados e filtragem'!G814),1,0)</f>
        <v>1</v>
      </c>
      <c r="AL814" s="25">
        <f>IF(OR(Apresentação!$E$6='Base de Dados e filtragem'!AL$2,Apresentação!$E$6='Base de Dados e filtragem'!H814),1,0)</f>
        <v>1</v>
      </c>
      <c r="AM814" s="25">
        <f>IF(OR(Apresentação!$I$2='Base de Dados e filtragem'!AM$2,Apresentação!$I$2='Base de Dados e filtragem'!I814),1,0)</f>
        <v>1</v>
      </c>
      <c r="AN814" s="25">
        <f>IF(OR(Apresentação!$I$3='Base de Dados e filtragem'!AN$2,Apresentação!$I$3='Base de Dados e filtragem'!J814),1,0)</f>
        <v>1</v>
      </c>
      <c r="AO814" s="25">
        <f>IF(OR(Apresentação!$I$4='Base de Dados e filtragem'!AO$2,Apresentação!$I$4='Base de Dados e filtragem'!K814),1,0)</f>
        <v>1</v>
      </c>
      <c r="AP814" s="25">
        <f>IF(OR(Apresentação!$I$5='Base de Dados e filtragem'!AP$2,Apresentação!$I$5='Base de Dados e filtragem'!L814),1,0)</f>
        <v>1</v>
      </c>
      <c r="AQ814" s="25">
        <f>IF(OR(Apresentação!$I$6='Base de Dados e filtragem'!AQ$2,Apresentação!$I$6='Base de Dados e filtragem'!M814),1,0)</f>
        <v>1</v>
      </c>
      <c r="AR814" s="25">
        <v>1</v>
      </c>
      <c r="AS814" s="25">
        <v>1</v>
      </c>
      <c r="AT814" s="25">
        <v>1</v>
      </c>
      <c r="AU814" s="25">
        <v>1</v>
      </c>
      <c r="AV814" s="25">
        <v>1</v>
      </c>
      <c r="AW814" s="25">
        <v>1</v>
      </c>
      <c r="AX814" s="25">
        <v>1</v>
      </c>
      <c r="AY814" s="25">
        <v>1</v>
      </c>
      <c r="AZ814" s="25">
        <v>1</v>
      </c>
      <c r="BA814" s="25">
        <v>1</v>
      </c>
      <c r="BB814" s="25">
        <v>1</v>
      </c>
      <c r="BC814" s="25">
        <v>1</v>
      </c>
      <c r="BD814" s="25">
        <v>1</v>
      </c>
    </row>
    <row r="815" spans="27:56" x14ac:dyDescent="0.25">
      <c r="AA815" s="68" t="str">
        <f t="shared" si="49"/>
        <v>Fotos\\.jpg</v>
      </c>
      <c r="AB815" s="53">
        <f t="shared" si="50"/>
        <v>1.2269938650306749E-3</v>
      </c>
      <c r="AC815" s="25">
        <f t="shared" si="51"/>
        <v>815</v>
      </c>
      <c r="AD815" s="51">
        <f t="shared" si="52"/>
        <v>1</v>
      </c>
      <c r="AE815" s="25">
        <v>1</v>
      </c>
      <c r="AF815" s="25">
        <v>1</v>
      </c>
      <c r="AG815" s="25">
        <v>1</v>
      </c>
      <c r="AH815" s="25">
        <v>1</v>
      </c>
      <c r="AI815" s="25">
        <f>IF(OR(Apresentação!$E$3='Base de Dados e filtragem'!AI$2,Apresentação!$E$3='Base de Dados e filtragem'!E815),1,0)</f>
        <v>1</v>
      </c>
      <c r="AJ815" s="25">
        <f>IF(OR(Apresentação!$E$4='Base de Dados e filtragem'!AJ$2,Apresentação!$E$4='Base de Dados e filtragem'!F815),1,0)</f>
        <v>1</v>
      </c>
      <c r="AK815" s="25">
        <f>IF(OR(Apresentação!$E$5='Base de Dados e filtragem'!AK$2,Apresentação!$E$5='Base de Dados e filtragem'!G815),1,0)</f>
        <v>1</v>
      </c>
      <c r="AL815" s="25">
        <f>IF(OR(Apresentação!$E$6='Base de Dados e filtragem'!AL$2,Apresentação!$E$6='Base de Dados e filtragem'!H815),1,0)</f>
        <v>1</v>
      </c>
      <c r="AM815" s="25">
        <f>IF(OR(Apresentação!$I$2='Base de Dados e filtragem'!AM$2,Apresentação!$I$2='Base de Dados e filtragem'!I815),1,0)</f>
        <v>1</v>
      </c>
      <c r="AN815" s="25">
        <f>IF(OR(Apresentação!$I$3='Base de Dados e filtragem'!AN$2,Apresentação!$I$3='Base de Dados e filtragem'!J815),1,0)</f>
        <v>1</v>
      </c>
      <c r="AO815" s="25">
        <f>IF(OR(Apresentação!$I$4='Base de Dados e filtragem'!AO$2,Apresentação!$I$4='Base de Dados e filtragem'!K815),1,0)</f>
        <v>1</v>
      </c>
      <c r="AP815" s="25">
        <f>IF(OR(Apresentação!$I$5='Base de Dados e filtragem'!AP$2,Apresentação!$I$5='Base de Dados e filtragem'!L815),1,0)</f>
        <v>1</v>
      </c>
      <c r="AQ815" s="25">
        <f>IF(OR(Apresentação!$I$6='Base de Dados e filtragem'!AQ$2,Apresentação!$I$6='Base de Dados e filtragem'!M815),1,0)</f>
        <v>1</v>
      </c>
      <c r="AR815" s="25">
        <v>1</v>
      </c>
      <c r="AS815" s="25">
        <v>1</v>
      </c>
      <c r="AT815" s="25">
        <v>1</v>
      </c>
      <c r="AU815" s="25">
        <v>1</v>
      </c>
      <c r="AV815" s="25">
        <v>1</v>
      </c>
      <c r="AW815" s="25">
        <v>1</v>
      </c>
      <c r="AX815" s="25">
        <v>1</v>
      </c>
      <c r="AY815" s="25">
        <v>1</v>
      </c>
      <c r="AZ815" s="25">
        <v>1</v>
      </c>
      <c r="BA815" s="25">
        <v>1</v>
      </c>
      <c r="BB815" s="25">
        <v>1</v>
      </c>
      <c r="BC815" s="25">
        <v>1</v>
      </c>
      <c r="BD815" s="25">
        <v>1</v>
      </c>
    </row>
    <row r="816" spans="27:56" x14ac:dyDescent="0.25">
      <c r="AA816" s="68" t="str">
        <f t="shared" si="49"/>
        <v>Fotos\\.jpg</v>
      </c>
      <c r="AB816" s="53">
        <f t="shared" si="50"/>
        <v>1.2254901960784314E-3</v>
      </c>
      <c r="AC816" s="25">
        <f t="shared" si="51"/>
        <v>816</v>
      </c>
      <c r="AD816" s="51">
        <f t="shared" si="52"/>
        <v>1</v>
      </c>
      <c r="AE816" s="25">
        <v>1</v>
      </c>
      <c r="AF816" s="25">
        <v>1</v>
      </c>
      <c r="AG816" s="25">
        <v>1</v>
      </c>
      <c r="AH816" s="25">
        <v>1</v>
      </c>
      <c r="AI816" s="25">
        <f>IF(OR(Apresentação!$E$3='Base de Dados e filtragem'!AI$2,Apresentação!$E$3='Base de Dados e filtragem'!E816),1,0)</f>
        <v>1</v>
      </c>
      <c r="AJ816" s="25">
        <f>IF(OR(Apresentação!$E$4='Base de Dados e filtragem'!AJ$2,Apresentação!$E$4='Base de Dados e filtragem'!F816),1,0)</f>
        <v>1</v>
      </c>
      <c r="AK816" s="25">
        <f>IF(OR(Apresentação!$E$5='Base de Dados e filtragem'!AK$2,Apresentação!$E$5='Base de Dados e filtragem'!G816),1,0)</f>
        <v>1</v>
      </c>
      <c r="AL816" s="25">
        <f>IF(OR(Apresentação!$E$6='Base de Dados e filtragem'!AL$2,Apresentação!$E$6='Base de Dados e filtragem'!H816),1,0)</f>
        <v>1</v>
      </c>
      <c r="AM816" s="25">
        <f>IF(OR(Apresentação!$I$2='Base de Dados e filtragem'!AM$2,Apresentação!$I$2='Base de Dados e filtragem'!I816),1,0)</f>
        <v>1</v>
      </c>
      <c r="AN816" s="25">
        <f>IF(OR(Apresentação!$I$3='Base de Dados e filtragem'!AN$2,Apresentação!$I$3='Base de Dados e filtragem'!J816),1,0)</f>
        <v>1</v>
      </c>
      <c r="AO816" s="25">
        <f>IF(OR(Apresentação!$I$4='Base de Dados e filtragem'!AO$2,Apresentação!$I$4='Base de Dados e filtragem'!K816),1,0)</f>
        <v>1</v>
      </c>
      <c r="AP816" s="25">
        <f>IF(OR(Apresentação!$I$5='Base de Dados e filtragem'!AP$2,Apresentação!$I$5='Base de Dados e filtragem'!L816),1,0)</f>
        <v>1</v>
      </c>
      <c r="AQ816" s="25">
        <f>IF(OR(Apresentação!$I$6='Base de Dados e filtragem'!AQ$2,Apresentação!$I$6='Base de Dados e filtragem'!M816),1,0)</f>
        <v>1</v>
      </c>
      <c r="AR816" s="25">
        <v>1</v>
      </c>
      <c r="AS816" s="25">
        <v>1</v>
      </c>
      <c r="AT816" s="25">
        <v>1</v>
      </c>
      <c r="AU816" s="25">
        <v>1</v>
      </c>
      <c r="AV816" s="25">
        <v>1</v>
      </c>
      <c r="AW816" s="25">
        <v>1</v>
      </c>
      <c r="AX816" s="25">
        <v>1</v>
      </c>
      <c r="AY816" s="25">
        <v>1</v>
      </c>
      <c r="AZ816" s="25">
        <v>1</v>
      </c>
      <c r="BA816" s="25">
        <v>1</v>
      </c>
      <c r="BB816" s="25">
        <v>1</v>
      </c>
      <c r="BC816" s="25">
        <v>1</v>
      </c>
      <c r="BD816" s="25">
        <v>1</v>
      </c>
    </row>
    <row r="817" spans="27:56" x14ac:dyDescent="0.25">
      <c r="AA817" s="68" t="str">
        <f t="shared" si="49"/>
        <v>Fotos\\.jpg</v>
      </c>
      <c r="AB817" s="53">
        <f t="shared" si="50"/>
        <v>1.2239902080783353E-3</v>
      </c>
      <c r="AC817" s="25">
        <f t="shared" si="51"/>
        <v>817</v>
      </c>
      <c r="AD817" s="51">
        <f t="shared" si="52"/>
        <v>1</v>
      </c>
      <c r="AE817" s="25">
        <v>1</v>
      </c>
      <c r="AF817" s="25">
        <v>1</v>
      </c>
      <c r="AG817" s="25">
        <v>1</v>
      </c>
      <c r="AH817" s="25">
        <v>1</v>
      </c>
      <c r="AI817" s="25">
        <f>IF(OR(Apresentação!$E$3='Base de Dados e filtragem'!AI$2,Apresentação!$E$3='Base de Dados e filtragem'!E817),1,0)</f>
        <v>1</v>
      </c>
      <c r="AJ817" s="25">
        <f>IF(OR(Apresentação!$E$4='Base de Dados e filtragem'!AJ$2,Apresentação!$E$4='Base de Dados e filtragem'!F817),1,0)</f>
        <v>1</v>
      </c>
      <c r="AK817" s="25">
        <f>IF(OR(Apresentação!$E$5='Base de Dados e filtragem'!AK$2,Apresentação!$E$5='Base de Dados e filtragem'!G817),1,0)</f>
        <v>1</v>
      </c>
      <c r="AL817" s="25">
        <f>IF(OR(Apresentação!$E$6='Base de Dados e filtragem'!AL$2,Apresentação!$E$6='Base de Dados e filtragem'!H817),1,0)</f>
        <v>1</v>
      </c>
      <c r="AM817" s="25">
        <f>IF(OR(Apresentação!$I$2='Base de Dados e filtragem'!AM$2,Apresentação!$I$2='Base de Dados e filtragem'!I817),1,0)</f>
        <v>1</v>
      </c>
      <c r="AN817" s="25">
        <f>IF(OR(Apresentação!$I$3='Base de Dados e filtragem'!AN$2,Apresentação!$I$3='Base de Dados e filtragem'!J817),1,0)</f>
        <v>1</v>
      </c>
      <c r="AO817" s="25">
        <f>IF(OR(Apresentação!$I$4='Base de Dados e filtragem'!AO$2,Apresentação!$I$4='Base de Dados e filtragem'!K817),1,0)</f>
        <v>1</v>
      </c>
      <c r="AP817" s="25">
        <f>IF(OR(Apresentação!$I$5='Base de Dados e filtragem'!AP$2,Apresentação!$I$5='Base de Dados e filtragem'!L817),1,0)</f>
        <v>1</v>
      </c>
      <c r="AQ817" s="25">
        <f>IF(OR(Apresentação!$I$6='Base de Dados e filtragem'!AQ$2,Apresentação!$I$6='Base de Dados e filtragem'!M817),1,0)</f>
        <v>1</v>
      </c>
      <c r="AR817" s="25">
        <v>1</v>
      </c>
      <c r="AS817" s="25">
        <v>1</v>
      </c>
      <c r="AT817" s="25">
        <v>1</v>
      </c>
      <c r="AU817" s="25">
        <v>1</v>
      </c>
      <c r="AV817" s="25">
        <v>1</v>
      </c>
      <c r="AW817" s="25">
        <v>1</v>
      </c>
      <c r="AX817" s="25">
        <v>1</v>
      </c>
      <c r="AY817" s="25">
        <v>1</v>
      </c>
      <c r="AZ817" s="25">
        <v>1</v>
      </c>
      <c r="BA817" s="25">
        <v>1</v>
      </c>
      <c r="BB817" s="25">
        <v>1</v>
      </c>
      <c r="BC817" s="25">
        <v>1</v>
      </c>
      <c r="BD817" s="25">
        <v>1</v>
      </c>
    </row>
    <row r="818" spans="27:56" x14ac:dyDescent="0.25">
      <c r="AA818" s="68" t="str">
        <f t="shared" si="49"/>
        <v>Fotos\\.jpg</v>
      </c>
      <c r="AB818" s="53">
        <f t="shared" si="50"/>
        <v>1.2224938875305623E-3</v>
      </c>
      <c r="AC818" s="25">
        <f t="shared" si="51"/>
        <v>818</v>
      </c>
      <c r="AD818" s="51">
        <f t="shared" si="52"/>
        <v>1</v>
      </c>
      <c r="AE818" s="25">
        <v>1</v>
      </c>
      <c r="AF818" s="25">
        <v>1</v>
      </c>
      <c r="AG818" s="25">
        <v>1</v>
      </c>
      <c r="AH818" s="25">
        <v>1</v>
      </c>
      <c r="AI818" s="25">
        <f>IF(OR(Apresentação!$E$3='Base de Dados e filtragem'!AI$2,Apresentação!$E$3='Base de Dados e filtragem'!E818),1,0)</f>
        <v>1</v>
      </c>
      <c r="AJ818" s="25">
        <f>IF(OR(Apresentação!$E$4='Base de Dados e filtragem'!AJ$2,Apresentação!$E$4='Base de Dados e filtragem'!F818),1,0)</f>
        <v>1</v>
      </c>
      <c r="AK818" s="25">
        <f>IF(OR(Apresentação!$E$5='Base de Dados e filtragem'!AK$2,Apresentação!$E$5='Base de Dados e filtragem'!G818),1,0)</f>
        <v>1</v>
      </c>
      <c r="AL818" s="25">
        <f>IF(OR(Apresentação!$E$6='Base de Dados e filtragem'!AL$2,Apresentação!$E$6='Base de Dados e filtragem'!H818),1,0)</f>
        <v>1</v>
      </c>
      <c r="AM818" s="25">
        <f>IF(OR(Apresentação!$I$2='Base de Dados e filtragem'!AM$2,Apresentação!$I$2='Base de Dados e filtragem'!I818),1,0)</f>
        <v>1</v>
      </c>
      <c r="AN818" s="25">
        <f>IF(OR(Apresentação!$I$3='Base de Dados e filtragem'!AN$2,Apresentação!$I$3='Base de Dados e filtragem'!J818),1,0)</f>
        <v>1</v>
      </c>
      <c r="AO818" s="25">
        <f>IF(OR(Apresentação!$I$4='Base de Dados e filtragem'!AO$2,Apresentação!$I$4='Base de Dados e filtragem'!K818),1,0)</f>
        <v>1</v>
      </c>
      <c r="AP818" s="25">
        <f>IF(OR(Apresentação!$I$5='Base de Dados e filtragem'!AP$2,Apresentação!$I$5='Base de Dados e filtragem'!L818),1,0)</f>
        <v>1</v>
      </c>
      <c r="AQ818" s="25">
        <f>IF(OR(Apresentação!$I$6='Base de Dados e filtragem'!AQ$2,Apresentação!$I$6='Base de Dados e filtragem'!M818),1,0)</f>
        <v>1</v>
      </c>
      <c r="AR818" s="25">
        <v>1</v>
      </c>
      <c r="AS818" s="25">
        <v>1</v>
      </c>
      <c r="AT818" s="25">
        <v>1</v>
      </c>
      <c r="AU818" s="25">
        <v>1</v>
      </c>
      <c r="AV818" s="25">
        <v>1</v>
      </c>
      <c r="AW818" s="25">
        <v>1</v>
      </c>
      <c r="AX818" s="25">
        <v>1</v>
      </c>
      <c r="AY818" s="25">
        <v>1</v>
      </c>
      <c r="AZ818" s="25">
        <v>1</v>
      </c>
      <c r="BA818" s="25">
        <v>1</v>
      </c>
      <c r="BB818" s="25">
        <v>1</v>
      </c>
      <c r="BC818" s="25">
        <v>1</v>
      </c>
      <c r="BD818" s="25">
        <v>1</v>
      </c>
    </row>
    <row r="819" spans="27:56" x14ac:dyDescent="0.25">
      <c r="AA819" s="68" t="str">
        <f t="shared" si="49"/>
        <v>Fotos\\.jpg</v>
      </c>
      <c r="AB819" s="53">
        <f t="shared" si="50"/>
        <v>1.221001221001221E-3</v>
      </c>
      <c r="AC819" s="25">
        <f t="shared" si="51"/>
        <v>819</v>
      </c>
      <c r="AD819" s="51">
        <f t="shared" si="52"/>
        <v>1</v>
      </c>
      <c r="AE819" s="25">
        <v>1</v>
      </c>
      <c r="AF819" s="25">
        <v>1</v>
      </c>
      <c r="AG819" s="25">
        <v>1</v>
      </c>
      <c r="AH819" s="25">
        <v>1</v>
      </c>
      <c r="AI819" s="25">
        <f>IF(OR(Apresentação!$E$3='Base de Dados e filtragem'!AI$2,Apresentação!$E$3='Base de Dados e filtragem'!E819),1,0)</f>
        <v>1</v>
      </c>
      <c r="AJ819" s="25">
        <f>IF(OR(Apresentação!$E$4='Base de Dados e filtragem'!AJ$2,Apresentação!$E$4='Base de Dados e filtragem'!F819),1,0)</f>
        <v>1</v>
      </c>
      <c r="AK819" s="25">
        <f>IF(OR(Apresentação!$E$5='Base de Dados e filtragem'!AK$2,Apresentação!$E$5='Base de Dados e filtragem'!G819),1,0)</f>
        <v>1</v>
      </c>
      <c r="AL819" s="25">
        <f>IF(OR(Apresentação!$E$6='Base de Dados e filtragem'!AL$2,Apresentação!$E$6='Base de Dados e filtragem'!H819),1,0)</f>
        <v>1</v>
      </c>
      <c r="AM819" s="25">
        <f>IF(OR(Apresentação!$I$2='Base de Dados e filtragem'!AM$2,Apresentação!$I$2='Base de Dados e filtragem'!I819),1,0)</f>
        <v>1</v>
      </c>
      <c r="AN819" s="25">
        <f>IF(OR(Apresentação!$I$3='Base de Dados e filtragem'!AN$2,Apresentação!$I$3='Base de Dados e filtragem'!J819),1,0)</f>
        <v>1</v>
      </c>
      <c r="AO819" s="25">
        <f>IF(OR(Apresentação!$I$4='Base de Dados e filtragem'!AO$2,Apresentação!$I$4='Base de Dados e filtragem'!K819),1,0)</f>
        <v>1</v>
      </c>
      <c r="AP819" s="25">
        <f>IF(OR(Apresentação!$I$5='Base de Dados e filtragem'!AP$2,Apresentação!$I$5='Base de Dados e filtragem'!L819),1,0)</f>
        <v>1</v>
      </c>
      <c r="AQ819" s="25">
        <f>IF(OR(Apresentação!$I$6='Base de Dados e filtragem'!AQ$2,Apresentação!$I$6='Base de Dados e filtragem'!M819),1,0)</f>
        <v>1</v>
      </c>
      <c r="AR819" s="25">
        <v>1</v>
      </c>
      <c r="AS819" s="25">
        <v>1</v>
      </c>
      <c r="AT819" s="25">
        <v>1</v>
      </c>
      <c r="AU819" s="25">
        <v>1</v>
      </c>
      <c r="AV819" s="25">
        <v>1</v>
      </c>
      <c r="AW819" s="25">
        <v>1</v>
      </c>
      <c r="AX819" s="25">
        <v>1</v>
      </c>
      <c r="AY819" s="25">
        <v>1</v>
      </c>
      <c r="AZ819" s="25">
        <v>1</v>
      </c>
      <c r="BA819" s="25">
        <v>1</v>
      </c>
      <c r="BB819" s="25">
        <v>1</v>
      </c>
      <c r="BC819" s="25">
        <v>1</v>
      </c>
      <c r="BD819" s="25">
        <v>1</v>
      </c>
    </row>
    <row r="820" spans="27:56" x14ac:dyDescent="0.25">
      <c r="AA820" s="68" t="str">
        <f t="shared" si="49"/>
        <v>Fotos\\.jpg</v>
      </c>
      <c r="AB820" s="53">
        <f t="shared" si="50"/>
        <v>1.2195121951219512E-3</v>
      </c>
      <c r="AC820" s="25">
        <f t="shared" si="51"/>
        <v>820</v>
      </c>
      <c r="AD820" s="51">
        <f t="shared" si="52"/>
        <v>1</v>
      </c>
      <c r="AE820" s="25">
        <v>1</v>
      </c>
      <c r="AF820" s="25">
        <v>1</v>
      </c>
      <c r="AG820" s="25">
        <v>1</v>
      </c>
      <c r="AH820" s="25">
        <v>1</v>
      </c>
      <c r="AI820" s="25">
        <f>IF(OR(Apresentação!$E$3='Base de Dados e filtragem'!AI$2,Apresentação!$E$3='Base de Dados e filtragem'!E820),1,0)</f>
        <v>1</v>
      </c>
      <c r="AJ820" s="25">
        <f>IF(OR(Apresentação!$E$4='Base de Dados e filtragem'!AJ$2,Apresentação!$E$4='Base de Dados e filtragem'!F820),1,0)</f>
        <v>1</v>
      </c>
      <c r="AK820" s="25">
        <f>IF(OR(Apresentação!$E$5='Base de Dados e filtragem'!AK$2,Apresentação!$E$5='Base de Dados e filtragem'!G820),1,0)</f>
        <v>1</v>
      </c>
      <c r="AL820" s="25">
        <f>IF(OR(Apresentação!$E$6='Base de Dados e filtragem'!AL$2,Apresentação!$E$6='Base de Dados e filtragem'!H820),1,0)</f>
        <v>1</v>
      </c>
      <c r="AM820" s="25">
        <f>IF(OR(Apresentação!$I$2='Base de Dados e filtragem'!AM$2,Apresentação!$I$2='Base de Dados e filtragem'!I820),1,0)</f>
        <v>1</v>
      </c>
      <c r="AN820" s="25">
        <f>IF(OR(Apresentação!$I$3='Base de Dados e filtragem'!AN$2,Apresentação!$I$3='Base de Dados e filtragem'!J820),1,0)</f>
        <v>1</v>
      </c>
      <c r="AO820" s="25">
        <f>IF(OR(Apresentação!$I$4='Base de Dados e filtragem'!AO$2,Apresentação!$I$4='Base de Dados e filtragem'!K820),1,0)</f>
        <v>1</v>
      </c>
      <c r="AP820" s="25">
        <f>IF(OR(Apresentação!$I$5='Base de Dados e filtragem'!AP$2,Apresentação!$I$5='Base de Dados e filtragem'!L820),1,0)</f>
        <v>1</v>
      </c>
      <c r="AQ820" s="25">
        <f>IF(OR(Apresentação!$I$6='Base de Dados e filtragem'!AQ$2,Apresentação!$I$6='Base de Dados e filtragem'!M820),1,0)</f>
        <v>1</v>
      </c>
      <c r="AR820" s="25">
        <v>1</v>
      </c>
      <c r="AS820" s="25">
        <v>1</v>
      </c>
      <c r="AT820" s="25">
        <v>1</v>
      </c>
      <c r="AU820" s="25">
        <v>1</v>
      </c>
      <c r="AV820" s="25">
        <v>1</v>
      </c>
      <c r="AW820" s="25">
        <v>1</v>
      </c>
      <c r="AX820" s="25">
        <v>1</v>
      </c>
      <c r="AY820" s="25">
        <v>1</v>
      </c>
      <c r="AZ820" s="25">
        <v>1</v>
      </c>
      <c r="BA820" s="25">
        <v>1</v>
      </c>
      <c r="BB820" s="25">
        <v>1</v>
      </c>
      <c r="BC820" s="25">
        <v>1</v>
      </c>
      <c r="BD820" s="25">
        <v>1</v>
      </c>
    </row>
    <row r="821" spans="27:56" x14ac:dyDescent="0.25">
      <c r="AA821" s="68" t="str">
        <f t="shared" si="49"/>
        <v>Fotos\\.jpg</v>
      </c>
      <c r="AB821" s="53">
        <f t="shared" si="50"/>
        <v>1.2180267965895249E-3</v>
      </c>
      <c r="AC821" s="25">
        <f t="shared" si="51"/>
        <v>821</v>
      </c>
      <c r="AD821" s="51">
        <f t="shared" si="52"/>
        <v>1</v>
      </c>
      <c r="AE821" s="25">
        <v>1</v>
      </c>
      <c r="AF821" s="25">
        <v>1</v>
      </c>
      <c r="AG821" s="25">
        <v>1</v>
      </c>
      <c r="AH821" s="25">
        <v>1</v>
      </c>
      <c r="AI821" s="25">
        <f>IF(OR(Apresentação!$E$3='Base de Dados e filtragem'!AI$2,Apresentação!$E$3='Base de Dados e filtragem'!E821),1,0)</f>
        <v>1</v>
      </c>
      <c r="AJ821" s="25">
        <f>IF(OR(Apresentação!$E$4='Base de Dados e filtragem'!AJ$2,Apresentação!$E$4='Base de Dados e filtragem'!F821),1,0)</f>
        <v>1</v>
      </c>
      <c r="AK821" s="25">
        <f>IF(OR(Apresentação!$E$5='Base de Dados e filtragem'!AK$2,Apresentação!$E$5='Base de Dados e filtragem'!G821),1,0)</f>
        <v>1</v>
      </c>
      <c r="AL821" s="25">
        <f>IF(OR(Apresentação!$E$6='Base de Dados e filtragem'!AL$2,Apresentação!$E$6='Base de Dados e filtragem'!H821),1,0)</f>
        <v>1</v>
      </c>
      <c r="AM821" s="25">
        <f>IF(OR(Apresentação!$I$2='Base de Dados e filtragem'!AM$2,Apresentação!$I$2='Base de Dados e filtragem'!I821),1,0)</f>
        <v>1</v>
      </c>
      <c r="AN821" s="25">
        <f>IF(OR(Apresentação!$I$3='Base de Dados e filtragem'!AN$2,Apresentação!$I$3='Base de Dados e filtragem'!J821),1,0)</f>
        <v>1</v>
      </c>
      <c r="AO821" s="25">
        <f>IF(OR(Apresentação!$I$4='Base de Dados e filtragem'!AO$2,Apresentação!$I$4='Base de Dados e filtragem'!K821),1,0)</f>
        <v>1</v>
      </c>
      <c r="AP821" s="25">
        <f>IF(OR(Apresentação!$I$5='Base de Dados e filtragem'!AP$2,Apresentação!$I$5='Base de Dados e filtragem'!L821),1,0)</f>
        <v>1</v>
      </c>
      <c r="AQ821" s="25">
        <f>IF(OR(Apresentação!$I$6='Base de Dados e filtragem'!AQ$2,Apresentação!$I$6='Base de Dados e filtragem'!M821),1,0)</f>
        <v>1</v>
      </c>
      <c r="AR821" s="25">
        <v>1</v>
      </c>
      <c r="AS821" s="25">
        <v>1</v>
      </c>
      <c r="AT821" s="25">
        <v>1</v>
      </c>
      <c r="AU821" s="25">
        <v>1</v>
      </c>
      <c r="AV821" s="25">
        <v>1</v>
      </c>
      <c r="AW821" s="25">
        <v>1</v>
      </c>
      <c r="AX821" s="25">
        <v>1</v>
      </c>
      <c r="AY821" s="25">
        <v>1</v>
      </c>
      <c r="AZ821" s="25">
        <v>1</v>
      </c>
      <c r="BA821" s="25">
        <v>1</v>
      </c>
      <c r="BB821" s="25">
        <v>1</v>
      </c>
      <c r="BC821" s="25">
        <v>1</v>
      </c>
      <c r="BD821" s="25">
        <v>1</v>
      </c>
    </row>
    <row r="822" spans="27:56" x14ac:dyDescent="0.25">
      <c r="AA822" s="68" t="str">
        <f t="shared" si="49"/>
        <v>Fotos\\.jpg</v>
      </c>
      <c r="AB822" s="53">
        <f t="shared" si="50"/>
        <v>1.2165450121654502E-3</v>
      </c>
      <c r="AC822" s="25">
        <f t="shared" si="51"/>
        <v>822</v>
      </c>
      <c r="AD822" s="51">
        <f t="shared" si="52"/>
        <v>1</v>
      </c>
      <c r="AE822" s="25">
        <v>1</v>
      </c>
      <c r="AF822" s="25">
        <v>1</v>
      </c>
      <c r="AG822" s="25">
        <v>1</v>
      </c>
      <c r="AH822" s="25">
        <v>1</v>
      </c>
      <c r="AI822" s="25">
        <f>IF(OR(Apresentação!$E$3='Base de Dados e filtragem'!AI$2,Apresentação!$E$3='Base de Dados e filtragem'!E822),1,0)</f>
        <v>1</v>
      </c>
      <c r="AJ822" s="25">
        <f>IF(OR(Apresentação!$E$4='Base de Dados e filtragem'!AJ$2,Apresentação!$E$4='Base de Dados e filtragem'!F822),1,0)</f>
        <v>1</v>
      </c>
      <c r="AK822" s="25">
        <f>IF(OR(Apresentação!$E$5='Base de Dados e filtragem'!AK$2,Apresentação!$E$5='Base de Dados e filtragem'!G822),1,0)</f>
        <v>1</v>
      </c>
      <c r="AL822" s="25">
        <f>IF(OR(Apresentação!$E$6='Base de Dados e filtragem'!AL$2,Apresentação!$E$6='Base de Dados e filtragem'!H822),1,0)</f>
        <v>1</v>
      </c>
      <c r="AM822" s="25">
        <f>IF(OR(Apresentação!$I$2='Base de Dados e filtragem'!AM$2,Apresentação!$I$2='Base de Dados e filtragem'!I822),1,0)</f>
        <v>1</v>
      </c>
      <c r="AN822" s="25">
        <f>IF(OR(Apresentação!$I$3='Base de Dados e filtragem'!AN$2,Apresentação!$I$3='Base de Dados e filtragem'!J822),1,0)</f>
        <v>1</v>
      </c>
      <c r="AO822" s="25">
        <f>IF(OR(Apresentação!$I$4='Base de Dados e filtragem'!AO$2,Apresentação!$I$4='Base de Dados e filtragem'!K822),1,0)</f>
        <v>1</v>
      </c>
      <c r="AP822" s="25">
        <f>IF(OR(Apresentação!$I$5='Base de Dados e filtragem'!AP$2,Apresentação!$I$5='Base de Dados e filtragem'!L822),1,0)</f>
        <v>1</v>
      </c>
      <c r="AQ822" s="25">
        <f>IF(OR(Apresentação!$I$6='Base de Dados e filtragem'!AQ$2,Apresentação!$I$6='Base de Dados e filtragem'!M822),1,0)</f>
        <v>1</v>
      </c>
      <c r="AR822" s="25">
        <v>1</v>
      </c>
      <c r="AS822" s="25">
        <v>1</v>
      </c>
      <c r="AT822" s="25">
        <v>1</v>
      </c>
      <c r="AU822" s="25">
        <v>1</v>
      </c>
      <c r="AV822" s="25">
        <v>1</v>
      </c>
      <c r="AW822" s="25">
        <v>1</v>
      </c>
      <c r="AX822" s="25">
        <v>1</v>
      </c>
      <c r="AY822" s="25">
        <v>1</v>
      </c>
      <c r="AZ822" s="25">
        <v>1</v>
      </c>
      <c r="BA822" s="25">
        <v>1</v>
      </c>
      <c r="BB822" s="25">
        <v>1</v>
      </c>
      <c r="BC822" s="25">
        <v>1</v>
      </c>
      <c r="BD822" s="25">
        <v>1</v>
      </c>
    </row>
    <row r="823" spans="27:56" x14ac:dyDescent="0.25">
      <c r="AA823" s="68" t="str">
        <f t="shared" si="49"/>
        <v>Fotos\\.jpg</v>
      </c>
      <c r="AB823" s="53">
        <f t="shared" si="50"/>
        <v>1.215066828675577E-3</v>
      </c>
      <c r="AC823" s="25">
        <f t="shared" si="51"/>
        <v>823</v>
      </c>
      <c r="AD823" s="51">
        <f t="shared" si="52"/>
        <v>1</v>
      </c>
      <c r="AE823" s="25">
        <v>1</v>
      </c>
      <c r="AF823" s="25">
        <v>1</v>
      </c>
      <c r="AG823" s="25">
        <v>1</v>
      </c>
      <c r="AH823" s="25">
        <v>1</v>
      </c>
      <c r="AI823" s="25">
        <f>IF(OR(Apresentação!$E$3='Base de Dados e filtragem'!AI$2,Apresentação!$E$3='Base de Dados e filtragem'!E823),1,0)</f>
        <v>1</v>
      </c>
      <c r="AJ823" s="25">
        <f>IF(OR(Apresentação!$E$4='Base de Dados e filtragem'!AJ$2,Apresentação!$E$4='Base de Dados e filtragem'!F823),1,0)</f>
        <v>1</v>
      </c>
      <c r="AK823" s="25">
        <f>IF(OR(Apresentação!$E$5='Base de Dados e filtragem'!AK$2,Apresentação!$E$5='Base de Dados e filtragem'!G823),1,0)</f>
        <v>1</v>
      </c>
      <c r="AL823" s="25">
        <f>IF(OR(Apresentação!$E$6='Base de Dados e filtragem'!AL$2,Apresentação!$E$6='Base de Dados e filtragem'!H823),1,0)</f>
        <v>1</v>
      </c>
      <c r="AM823" s="25">
        <f>IF(OR(Apresentação!$I$2='Base de Dados e filtragem'!AM$2,Apresentação!$I$2='Base de Dados e filtragem'!I823),1,0)</f>
        <v>1</v>
      </c>
      <c r="AN823" s="25">
        <f>IF(OR(Apresentação!$I$3='Base de Dados e filtragem'!AN$2,Apresentação!$I$3='Base de Dados e filtragem'!J823),1,0)</f>
        <v>1</v>
      </c>
      <c r="AO823" s="25">
        <f>IF(OR(Apresentação!$I$4='Base de Dados e filtragem'!AO$2,Apresentação!$I$4='Base de Dados e filtragem'!K823),1,0)</f>
        <v>1</v>
      </c>
      <c r="AP823" s="25">
        <f>IF(OR(Apresentação!$I$5='Base de Dados e filtragem'!AP$2,Apresentação!$I$5='Base de Dados e filtragem'!L823),1,0)</f>
        <v>1</v>
      </c>
      <c r="AQ823" s="25">
        <f>IF(OR(Apresentação!$I$6='Base de Dados e filtragem'!AQ$2,Apresentação!$I$6='Base de Dados e filtragem'!M823),1,0)</f>
        <v>1</v>
      </c>
      <c r="AR823" s="25">
        <v>1</v>
      </c>
      <c r="AS823" s="25">
        <v>1</v>
      </c>
      <c r="AT823" s="25">
        <v>1</v>
      </c>
      <c r="AU823" s="25">
        <v>1</v>
      </c>
      <c r="AV823" s="25">
        <v>1</v>
      </c>
      <c r="AW823" s="25">
        <v>1</v>
      </c>
      <c r="AX823" s="25">
        <v>1</v>
      </c>
      <c r="AY823" s="25">
        <v>1</v>
      </c>
      <c r="AZ823" s="25">
        <v>1</v>
      </c>
      <c r="BA823" s="25">
        <v>1</v>
      </c>
      <c r="BB823" s="25">
        <v>1</v>
      </c>
      <c r="BC823" s="25">
        <v>1</v>
      </c>
      <c r="BD823" s="25">
        <v>1</v>
      </c>
    </row>
    <row r="824" spans="27:56" x14ac:dyDescent="0.25">
      <c r="AA824" s="68" t="str">
        <f t="shared" si="49"/>
        <v>Fotos\\.jpg</v>
      </c>
      <c r="AB824" s="53">
        <f t="shared" si="50"/>
        <v>1.2135922330097086E-3</v>
      </c>
      <c r="AC824" s="25">
        <f t="shared" si="51"/>
        <v>824</v>
      </c>
      <c r="AD824" s="51">
        <f t="shared" si="52"/>
        <v>1</v>
      </c>
      <c r="AE824" s="25">
        <v>1</v>
      </c>
      <c r="AF824" s="25">
        <v>1</v>
      </c>
      <c r="AG824" s="25">
        <v>1</v>
      </c>
      <c r="AH824" s="25">
        <v>1</v>
      </c>
      <c r="AI824" s="25">
        <f>IF(OR(Apresentação!$E$3='Base de Dados e filtragem'!AI$2,Apresentação!$E$3='Base de Dados e filtragem'!E824),1,0)</f>
        <v>1</v>
      </c>
      <c r="AJ824" s="25">
        <f>IF(OR(Apresentação!$E$4='Base de Dados e filtragem'!AJ$2,Apresentação!$E$4='Base de Dados e filtragem'!F824),1,0)</f>
        <v>1</v>
      </c>
      <c r="AK824" s="25">
        <f>IF(OR(Apresentação!$E$5='Base de Dados e filtragem'!AK$2,Apresentação!$E$5='Base de Dados e filtragem'!G824),1,0)</f>
        <v>1</v>
      </c>
      <c r="AL824" s="25">
        <f>IF(OR(Apresentação!$E$6='Base de Dados e filtragem'!AL$2,Apresentação!$E$6='Base de Dados e filtragem'!H824),1,0)</f>
        <v>1</v>
      </c>
      <c r="AM824" s="25">
        <f>IF(OR(Apresentação!$I$2='Base de Dados e filtragem'!AM$2,Apresentação!$I$2='Base de Dados e filtragem'!I824),1,0)</f>
        <v>1</v>
      </c>
      <c r="AN824" s="25">
        <f>IF(OR(Apresentação!$I$3='Base de Dados e filtragem'!AN$2,Apresentação!$I$3='Base de Dados e filtragem'!J824),1,0)</f>
        <v>1</v>
      </c>
      <c r="AO824" s="25">
        <f>IF(OR(Apresentação!$I$4='Base de Dados e filtragem'!AO$2,Apresentação!$I$4='Base de Dados e filtragem'!K824),1,0)</f>
        <v>1</v>
      </c>
      <c r="AP824" s="25">
        <f>IF(OR(Apresentação!$I$5='Base de Dados e filtragem'!AP$2,Apresentação!$I$5='Base de Dados e filtragem'!L824),1,0)</f>
        <v>1</v>
      </c>
      <c r="AQ824" s="25">
        <f>IF(OR(Apresentação!$I$6='Base de Dados e filtragem'!AQ$2,Apresentação!$I$6='Base de Dados e filtragem'!M824),1,0)</f>
        <v>1</v>
      </c>
      <c r="AR824" s="25">
        <v>1</v>
      </c>
      <c r="AS824" s="25">
        <v>1</v>
      </c>
      <c r="AT824" s="25">
        <v>1</v>
      </c>
      <c r="AU824" s="25">
        <v>1</v>
      </c>
      <c r="AV824" s="25">
        <v>1</v>
      </c>
      <c r="AW824" s="25">
        <v>1</v>
      </c>
      <c r="AX824" s="25">
        <v>1</v>
      </c>
      <c r="AY824" s="25">
        <v>1</v>
      </c>
      <c r="AZ824" s="25">
        <v>1</v>
      </c>
      <c r="BA824" s="25">
        <v>1</v>
      </c>
      <c r="BB824" s="25">
        <v>1</v>
      </c>
      <c r="BC824" s="25">
        <v>1</v>
      </c>
      <c r="BD824" s="25">
        <v>1</v>
      </c>
    </row>
    <row r="825" spans="27:56" x14ac:dyDescent="0.25">
      <c r="AA825" s="68" t="str">
        <f t="shared" si="49"/>
        <v>Fotos\\.jpg</v>
      </c>
      <c r="AB825" s="53">
        <f t="shared" si="50"/>
        <v>1.2121212121212121E-3</v>
      </c>
      <c r="AC825" s="25">
        <f t="shared" si="51"/>
        <v>825</v>
      </c>
      <c r="AD825" s="51">
        <f t="shared" si="52"/>
        <v>1</v>
      </c>
      <c r="AE825" s="25">
        <v>1</v>
      </c>
      <c r="AF825" s="25">
        <v>1</v>
      </c>
      <c r="AG825" s="25">
        <v>1</v>
      </c>
      <c r="AH825" s="25">
        <v>1</v>
      </c>
      <c r="AI825" s="25">
        <f>IF(OR(Apresentação!$E$3='Base de Dados e filtragem'!AI$2,Apresentação!$E$3='Base de Dados e filtragem'!E825),1,0)</f>
        <v>1</v>
      </c>
      <c r="AJ825" s="25">
        <f>IF(OR(Apresentação!$E$4='Base de Dados e filtragem'!AJ$2,Apresentação!$E$4='Base de Dados e filtragem'!F825),1,0)</f>
        <v>1</v>
      </c>
      <c r="AK825" s="25">
        <f>IF(OR(Apresentação!$E$5='Base de Dados e filtragem'!AK$2,Apresentação!$E$5='Base de Dados e filtragem'!G825),1,0)</f>
        <v>1</v>
      </c>
      <c r="AL825" s="25">
        <f>IF(OR(Apresentação!$E$6='Base de Dados e filtragem'!AL$2,Apresentação!$E$6='Base de Dados e filtragem'!H825),1,0)</f>
        <v>1</v>
      </c>
      <c r="AM825" s="25">
        <f>IF(OR(Apresentação!$I$2='Base de Dados e filtragem'!AM$2,Apresentação!$I$2='Base de Dados e filtragem'!I825),1,0)</f>
        <v>1</v>
      </c>
      <c r="AN825" s="25">
        <f>IF(OR(Apresentação!$I$3='Base de Dados e filtragem'!AN$2,Apresentação!$I$3='Base de Dados e filtragem'!J825),1,0)</f>
        <v>1</v>
      </c>
      <c r="AO825" s="25">
        <f>IF(OR(Apresentação!$I$4='Base de Dados e filtragem'!AO$2,Apresentação!$I$4='Base de Dados e filtragem'!K825),1,0)</f>
        <v>1</v>
      </c>
      <c r="AP825" s="25">
        <f>IF(OR(Apresentação!$I$5='Base de Dados e filtragem'!AP$2,Apresentação!$I$5='Base de Dados e filtragem'!L825),1,0)</f>
        <v>1</v>
      </c>
      <c r="AQ825" s="25">
        <f>IF(OR(Apresentação!$I$6='Base de Dados e filtragem'!AQ$2,Apresentação!$I$6='Base de Dados e filtragem'!M825),1,0)</f>
        <v>1</v>
      </c>
      <c r="AR825" s="25">
        <v>1</v>
      </c>
      <c r="AS825" s="25">
        <v>1</v>
      </c>
      <c r="AT825" s="25">
        <v>1</v>
      </c>
      <c r="AU825" s="25">
        <v>1</v>
      </c>
      <c r="AV825" s="25">
        <v>1</v>
      </c>
      <c r="AW825" s="25">
        <v>1</v>
      </c>
      <c r="AX825" s="25">
        <v>1</v>
      </c>
      <c r="AY825" s="25">
        <v>1</v>
      </c>
      <c r="AZ825" s="25">
        <v>1</v>
      </c>
      <c r="BA825" s="25">
        <v>1</v>
      </c>
      <c r="BB825" s="25">
        <v>1</v>
      </c>
      <c r="BC825" s="25">
        <v>1</v>
      </c>
      <c r="BD825" s="25">
        <v>1</v>
      </c>
    </row>
    <row r="826" spans="27:56" x14ac:dyDescent="0.25">
      <c r="AA826" s="68" t="str">
        <f t="shared" si="49"/>
        <v>Fotos\\.jpg</v>
      </c>
      <c r="AB826" s="53">
        <f t="shared" si="50"/>
        <v>1.2106537530266344E-3</v>
      </c>
      <c r="AC826" s="25">
        <f t="shared" si="51"/>
        <v>826</v>
      </c>
      <c r="AD826" s="51">
        <f t="shared" si="52"/>
        <v>1</v>
      </c>
      <c r="AE826" s="25">
        <v>1</v>
      </c>
      <c r="AF826" s="25">
        <v>1</v>
      </c>
      <c r="AG826" s="25">
        <v>1</v>
      </c>
      <c r="AH826" s="25">
        <v>1</v>
      </c>
      <c r="AI826" s="25">
        <f>IF(OR(Apresentação!$E$3='Base de Dados e filtragem'!AI$2,Apresentação!$E$3='Base de Dados e filtragem'!E826),1,0)</f>
        <v>1</v>
      </c>
      <c r="AJ826" s="25">
        <f>IF(OR(Apresentação!$E$4='Base de Dados e filtragem'!AJ$2,Apresentação!$E$4='Base de Dados e filtragem'!F826),1,0)</f>
        <v>1</v>
      </c>
      <c r="AK826" s="25">
        <f>IF(OR(Apresentação!$E$5='Base de Dados e filtragem'!AK$2,Apresentação!$E$5='Base de Dados e filtragem'!G826),1,0)</f>
        <v>1</v>
      </c>
      <c r="AL826" s="25">
        <f>IF(OR(Apresentação!$E$6='Base de Dados e filtragem'!AL$2,Apresentação!$E$6='Base de Dados e filtragem'!H826),1,0)</f>
        <v>1</v>
      </c>
      <c r="AM826" s="25">
        <f>IF(OR(Apresentação!$I$2='Base de Dados e filtragem'!AM$2,Apresentação!$I$2='Base de Dados e filtragem'!I826),1,0)</f>
        <v>1</v>
      </c>
      <c r="AN826" s="25">
        <f>IF(OR(Apresentação!$I$3='Base de Dados e filtragem'!AN$2,Apresentação!$I$3='Base de Dados e filtragem'!J826),1,0)</f>
        <v>1</v>
      </c>
      <c r="AO826" s="25">
        <f>IF(OR(Apresentação!$I$4='Base de Dados e filtragem'!AO$2,Apresentação!$I$4='Base de Dados e filtragem'!K826),1,0)</f>
        <v>1</v>
      </c>
      <c r="AP826" s="25">
        <f>IF(OR(Apresentação!$I$5='Base de Dados e filtragem'!AP$2,Apresentação!$I$5='Base de Dados e filtragem'!L826),1,0)</f>
        <v>1</v>
      </c>
      <c r="AQ826" s="25">
        <f>IF(OR(Apresentação!$I$6='Base de Dados e filtragem'!AQ$2,Apresentação!$I$6='Base de Dados e filtragem'!M826),1,0)</f>
        <v>1</v>
      </c>
      <c r="AR826" s="25">
        <v>1</v>
      </c>
      <c r="AS826" s="25">
        <v>1</v>
      </c>
      <c r="AT826" s="25">
        <v>1</v>
      </c>
      <c r="AU826" s="25">
        <v>1</v>
      </c>
      <c r="AV826" s="25">
        <v>1</v>
      </c>
      <c r="AW826" s="25">
        <v>1</v>
      </c>
      <c r="AX826" s="25">
        <v>1</v>
      </c>
      <c r="AY826" s="25">
        <v>1</v>
      </c>
      <c r="AZ826" s="25">
        <v>1</v>
      </c>
      <c r="BA826" s="25">
        <v>1</v>
      </c>
      <c r="BB826" s="25">
        <v>1</v>
      </c>
      <c r="BC826" s="25">
        <v>1</v>
      </c>
      <c r="BD826" s="25">
        <v>1</v>
      </c>
    </row>
    <row r="827" spans="27:56" x14ac:dyDescent="0.25">
      <c r="AA827" s="68" t="str">
        <f t="shared" si="49"/>
        <v>Fotos\\.jpg</v>
      </c>
      <c r="AB827" s="53">
        <f t="shared" si="50"/>
        <v>1.2091898428053204E-3</v>
      </c>
      <c r="AC827" s="25">
        <f t="shared" si="51"/>
        <v>827</v>
      </c>
      <c r="AD827" s="51">
        <f t="shared" si="52"/>
        <v>1</v>
      </c>
      <c r="AE827" s="25">
        <v>1</v>
      </c>
      <c r="AF827" s="25">
        <v>1</v>
      </c>
      <c r="AG827" s="25">
        <v>1</v>
      </c>
      <c r="AH827" s="25">
        <v>1</v>
      </c>
      <c r="AI827" s="25">
        <f>IF(OR(Apresentação!$E$3='Base de Dados e filtragem'!AI$2,Apresentação!$E$3='Base de Dados e filtragem'!E827),1,0)</f>
        <v>1</v>
      </c>
      <c r="AJ827" s="25">
        <f>IF(OR(Apresentação!$E$4='Base de Dados e filtragem'!AJ$2,Apresentação!$E$4='Base de Dados e filtragem'!F827),1,0)</f>
        <v>1</v>
      </c>
      <c r="AK827" s="25">
        <f>IF(OR(Apresentação!$E$5='Base de Dados e filtragem'!AK$2,Apresentação!$E$5='Base de Dados e filtragem'!G827),1,0)</f>
        <v>1</v>
      </c>
      <c r="AL827" s="25">
        <f>IF(OR(Apresentação!$E$6='Base de Dados e filtragem'!AL$2,Apresentação!$E$6='Base de Dados e filtragem'!H827),1,0)</f>
        <v>1</v>
      </c>
      <c r="AM827" s="25">
        <f>IF(OR(Apresentação!$I$2='Base de Dados e filtragem'!AM$2,Apresentação!$I$2='Base de Dados e filtragem'!I827),1,0)</f>
        <v>1</v>
      </c>
      <c r="AN827" s="25">
        <f>IF(OR(Apresentação!$I$3='Base de Dados e filtragem'!AN$2,Apresentação!$I$3='Base de Dados e filtragem'!J827),1,0)</f>
        <v>1</v>
      </c>
      <c r="AO827" s="25">
        <f>IF(OR(Apresentação!$I$4='Base de Dados e filtragem'!AO$2,Apresentação!$I$4='Base de Dados e filtragem'!K827),1,0)</f>
        <v>1</v>
      </c>
      <c r="AP827" s="25">
        <f>IF(OR(Apresentação!$I$5='Base de Dados e filtragem'!AP$2,Apresentação!$I$5='Base de Dados e filtragem'!L827),1,0)</f>
        <v>1</v>
      </c>
      <c r="AQ827" s="25">
        <f>IF(OR(Apresentação!$I$6='Base de Dados e filtragem'!AQ$2,Apresentação!$I$6='Base de Dados e filtragem'!M827),1,0)</f>
        <v>1</v>
      </c>
      <c r="AR827" s="25">
        <v>1</v>
      </c>
      <c r="AS827" s="25">
        <v>1</v>
      </c>
      <c r="AT827" s="25">
        <v>1</v>
      </c>
      <c r="AU827" s="25">
        <v>1</v>
      </c>
      <c r="AV827" s="25">
        <v>1</v>
      </c>
      <c r="AW827" s="25">
        <v>1</v>
      </c>
      <c r="AX827" s="25">
        <v>1</v>
      </c>
      <c r="AY827" s="25">
        <v>1</v>
      </c>
      <c r="AZ827" s="25">
        <v>1</v>
      </c>
      <c r="BA827" s="25">
        <v>1</v>
      </c>
      <c r="BB827" s="25">
        <v>1</v>
      </c>
      <c r="BC827" s="25">
        <v>1</v>
      </c>
      <c r="BD827" s="25">
        <v>1</v>
      </c>
    </row>
    <row r="828" spans="27:56" x14ac:dyDescent="0.25">
      <c r="AA828" s="68" t="str">
        <f t="shared" si="49"/>
        <v>Fotos\\.jpg</v>
      </c>
      <c r="AB828" s="53">
        <f t="shared" si="50"/>
        <v>1.2077294685990338E-3</v>
      </c>
      <c r="AC828" s="25">
        <f t="shared" si="51"/>
        <v>828</v>
      </c>
      <c r="AD828" s="51">
        <f t="shared" si="52"/>
        <v>1</v>
      </c>
      <c r="AE828" s="25">
        <v>1</v>
      </c>
      <c r="AF828" s="25">
        <v>1</v>
      </c>
      <c r="AG828" s="25">
        <v>1</v>
      </c>
      <c r="AH828" s="25">
        <v>1</v>
      </c>
      <c r="AI828" s="25">
        <f>IF(OR(Apresentação!$E$3='Base de Dados e filtragem'!AI$2,Apresentação!$E$3='Base de Dados e filtragem'!E828),1,0)</f>
        <v>1</v>
      </c>
      <c r="AJ828" s="25">
        <f>IF(OR(Apresentação!$E$4='Base de Dados e filtragem'!AJ$2,Apresentação!$E$4='Base de Dados e filtragem'!F828),1,0)</f>
        <v>1</v>
      </c>
      <c r="AK828" s="25">
        <f>IF(OR(Apresentação!$E$5='Base de Dados e filtragem'!AK$2,Apresentação!$E$5='Base de Dados e filtragem'!G828),1,0)</f>
        <v>1</v>
      </c>
      <c r="AL828" s="25">
        <f>IF(OR(Apresentação!$E$6='Base de Dados e filtragem'!AL$2,Apresentação!$E$6='Base de Dados e filtragem'!H828),1,0)</f>
        <v>1</v>
      </c>
      <c r="AM828" s="25">
        <f>IF(OR(Apresentação!$I$2='Base de Dados e filtragem'!AM$2,Apresentação!$I$2='Base de Dados e filtragem'!I828),1,0)</f>
        <v>1</v>
      </c>
      <c r="AN828" s="25">
        <f>IF(OR(Apresentação!$I$3='Base de Dados e filtragem'!AN$2,Apresentação!$I$3='Base de Dados e filtragem'!J828),1,0)</f>
        <v>1</v>
      </c>
      <c r="AO828" s="25">
        <f>IF(OR(Apresentação!$I$4='Base de Dados e filtragem'!AO$2,Apresentação!$I$4='Base de Dados e filtragem'!K828),1,0)</f>
        <v>1</v>
      </c>
      <c r="AP828" s="25">
        <f>IF(OR(Apresentação!$I$5='Base de Dados e filtragem'!AP$2,Apresentação!$I$5='Base de Dados e filtragem'!L828),1,0)</f>
        <v>1</v>
      </c>
      <c r="AQ828" s="25">
        <f>IF(OR(Apresentação!$I$6='Base de Dados e filtragem'!AQ$2,Apresentação!$I$6='Base de Dados e filtragem'!M828),1,0)</f>
        <v>1</v>
      </c>
      <c r="AR828" s="25">
        <v>1</v>
      </c>
      <c r="AS828" s="25">
        <v>1</v>
      </c>
      <c r="AT828" s="25">
        <v>1</v>
      </c>
      <c r="AU828" s="25">
        <v>1</v>
      </c>
      <c r="AV828" s="25">
        <v>1</v>
      </c>
      <c r="AW828" s="25">
        <v>1</v>
      </c>
      <c r="AX828" s="25">
        <v>1</v>
      </c>
      <c r="AY828" s="25">
        <v>1</v>
      </c>
      <c r="AZ828" s="25">
        <v>1</v>
      </c>
      <c r="BA828" s="25">
        <v>1</v>
      </c>
      <c r="BB828" s="25">
        <v>1</v>
      </c>
      <c r="BC828" s="25">
        <v>1</v>
      </c>
      <c r="BD828" s="25">
        <v>1</v>
      </c>
    </row>
    <row r="829" spans="27:56" x14ac:dyDescent="0.25">
      <c r="AA829" s="68" t="str">
        <f t="shared" si="49"/>
        <v>Fotos\\.jpg</v>
      </c>
      <c r="AB829" s="53">
        <f t="shared" si="50"/>
        <v>1.2062726176115801E-3</v>
      </c>
      <c r="AC829" s="25">
        <f t="shared" si="51"/>
        <v>829</v>
      </c>
      <c r="AD829" s="51">
        <f t="shared" si="52"/>
        <v>1</v>
      </c>
      <c r="AE829" s="25">
        <v>1</v>
      </c>
      <c r="AF829" s="25">
        <v>1</v>
      </c>
      <c r="AG829" s="25">
        <v>1</v>
      </c>
      <c r="AH829" s="25">
        <v>1</v>
      </c>
      <c r="AI829" s="25">
        <f>IF(OR(Apresentação!$E$3='Base de Dados e filtragem'!AI$2,Apresentação!$E$3='Base de Dados e filtragem'!E829),1,0)</f>
        <v>1</v>
      </c>
      <c r="AJ829" s="25">
        <f>IF(OR(Apresentação!$E$4='Base de Dados e filtragem'!AJ$2,Apresentação!$E$4='Base de Dados e filtragem'!F829),1,0)</f>
        <v>1</v>
      </c>
      <c r="AK829" s="25">
        <f>IF(OR(Apresentação!$E$5='Base de Dados e filtragem'!AK$2,Apresentação!$E$5='Base de Dados e filtragem'!G829),1,0)</f>
        <v>1</v>
      </c>
      <c r="AL829" s="25">
        <f>IF(OR(Apresentação!$E$6='Base de Dados e filtragem'!AL$2,Apresentação!$E$6='Base de Dados e filtragem'!H829),1,0)</f>
        <v>1</v>
      </c>
      <c r="AM829" s="25">
        <f>IF(OR(Apresentação!$I$2='Base de Dados e filtragem'!AM$2,Apresentação!$I$2='Base de Dados e filtragem'!I829),1,0)</f>
        <v>1</v>
      </c>
      <c r="AN829" s="25">
        <f>IF(OR(Apresentação!$I$3='Base de Dados e filtragem'!AN$2,Apresentação!$I$3='Base de Dados e filtragem'!J829),1,0)</f>
        <v>1</v>
      </c>
      <c r="AO829" s="25">
        <f>IF(OR(Apresentação!$I$4='Base de Dados e filtragem'!AO$2,Apresentação!$I$4='Base de Dados e filtragem'!K829),1,0)</f>
        <v>1</v>
      </c>
      <c r="AP829" s="25">
        <f>IF(OR(Apresentação!$I$5='Base de Dados e filtragem'!AP$2,Apresentação!$I$5='Base de Dados e filtragem'!L829),1,0)</f>
        <v>1</v>
      </c>
      <c r="AQ829" s="25">
        <f>IF(OR(Apresentação!$I$6='Base de Dados e filtragem'!AQ$2,Apresentação!$I$6='Base de Dados e filtragem'!M829),1,0)</f>
        <v>1</v>
      </c>
      <c r="AR829" s="25">
        <v>1</v>
      </c>
      <c r="AS829" s="25">
        <v>1</v>
      </c>
      <c r="AT829" s="25">
        <v>1</v>
      </c>
      <c r="AU829" s="25">
        <v>1</v>
      </c>
      <c r="AV829" s="25">
        <v>1</v>
      </c>
      <c r="AW829" s="25">
        <v>1</v>
      </c>
      <c r="AX829" s="25">
        <v>1</v>
      </c>
      <c r="AY829" s="25">
        <v>1</v>
      </c>
      <c r="AZ829" s="25">
        <v>1</v>
      </c>
      <c r="BA829" s="25">
        <v>1</v>
      </c>
      <c r="BB829" s="25">
        <v>1</v>
      </c>
      <c r="BC829" s="25">
        <v>1</v>
      </c>
      <c r="BD829" s="25">
        <v>1</v>
      </c>
    </row>
    <row r="830" spans="27:56" x14ac:dyDescent="0.25">
      <c r="AA830" s="68" t="str">
        <f t="shared" si="49"/>
        <v>Fotos\\.jpg</v>
      </c>
      <c r="AB830" s="53">
        <f t="shared" si="50"/>
        <v>1.2048192771084338E-3</v>
      </c>
      <c r="AC830" s="25">
        <f t="shared" si="51"/>
        <v>830</v>
      </c>
      <c r="AD830" s="51">
        <f t="shared" si="52"/>
        <v>1</v>
      </c>
      <c r="AE830" s="25">
        <v>1</v>
      </c>
      <c r="AF830" s="25">
        <v>1</v>
      </c>
      <c r="AG830" s="25">
        <v>1</v>
      </c>
      <c r="AH830" s="25">
        <v>1</v>
      </c>
      <c r="AI830" s="25">
        <f>IF(OR(Apresentação!$E$3='Base de Dados e filtragem'!AI$2,Apresentação!$E$3='Base de Dados e filtragem'!E830),1,0)</f>
        <v>1</v>
      </c>
      <c r="AJ830" s="25">
        <f>IF(OR(Apresentação!$E$4='Base de Dados e filtragem'!AJ$2,Apresentação!$E$4='Base de Dados e filtragem'!F830),1,0)</f>
        <v>1</v>
      </c>
      <c r="AK830" s="25">
        <f>IF(OR(Apresentação!$E$5='Base de Dados e filtragem'!AK$2,Apresentação!$E$5='Base de Dados e filtragem'!G830),1,0)</f>
        <v>1</v>
      </c>
      <c r="AL830" s="25">
        <f>IF(OR(Apresentação!$E$6='Base de Dados e filtragem'!AL$2,Apresentação!$E$6='Base de Dados e filtragem'!H830),1,0)</f>
        <v>1</v>
      </c>
      <c r="AM830" s="25">
        <f>IF(OR(Apresentação!$I$2='Base de Dados e filtragem'!AM$2,Apresentação!$I$2='Base de Dados e filtragem'!I830),1,0)</f>
        <v>1</v>
      </c>
      <c r="AN830" s="25">
        <f>IF(OR(Apresentação!$I$3='Base de Dados e filtragem'!AN$2,Apresentação!$I$3='Base de Dados e filtragem'!J830),1,0)</f>
        <v>1</v>
      </c>
      <c r="AO830" s="25">
        <f>IF(OR(Apresentação!$I$4='Base de Dados e filtragem'!AO$2,Apresentação!$I$4='Base de Dados e filtragem'!K830),1,0)</f>
        <v>1</v>
      </c>
      <c r="AP830" s="25">
        <f>IF(OR(Apresentação!$I$5='Base de Dados e filtragem'!AP$2,Apresentação!$I$5='Base de Dados e filtragem'!L830),1,0)</f>
        <v>1</v>
      </c>
      <c r="AQ830" s="25">
        <f>IF(OR(Apresentação!$I$6='Base de Dados e filtragem'!AQ$2,Apresentação!$I$6='Base de Dados e filtragem'!M830),1,0)</f>
        <v>1</v>
      </c>
      <c r="AR830" s="25">
        <v>1</v>
      </c>
      <c r="AS830" s="25">
        <v>1</v>
      </c>
      <c r="AT830" s="25">
        <v>1</v>
      </c>
      <c r="AU830" s="25">
        <v>1</v>
      </c>
      <c r="AV830" s="25">
        <v>1</v>
      </c>
      <c r="AW830" s="25">
        <v>1</v>
      </c>
      <c r="AX830" s="25">
        <v>1</v>
      </c>
      <c r="AY830" s="25">
        <v>1</v>
      </c>
      <c r="AZ830" s="25">
        <v>1</v>
      </c>
      <c r="BA830" s="25">
        <v>1</v>
      </c>
      <c r="BB830" s="25">
        <v>1</v>
      </c>
      <c r="BC830" s="25">
        <v>1</v>
      </c>
      <c r="BD830" s="25">
        <v>1</v>
      </c>
    </row>
    <row r="831" spans="27:56" x14ac:dyDescent="0.25">
      <c r="AA831" s="68" t="str">
        <f t="shared" si="49"/>
        <v>Fotos\\.jpg</v>
      </c>
      <c r="AB831" s="53">
        <f t="shared" si="50"/>
        <v>1.2033694344163659E-3</v>
      </c>
      <c r="AC831" s="25">
        <f t="shared" si="51"/>
        <v>831</v>
      </c>
      <c r="AD831" s="51">
        <f t="shared" si="52"/>
        <v>1</v>
      </c>
      <c r="AE831" s="25">
        <v>1</v>
      </c>
      <c r="AF831" s="25">
        <v>1</v>
      </c>
      <c r="AG831" s="25">
        <v>1</v>
      </c>
      <c r="AH831" s="25">
        <v>1</v>
      </c>
      <c r="AI831" s="25">
        <f>IF(OR(Apresentação!$E$3='Base de Dados e filtragem'!AI$2,Apresentação!$E$3='Base de Dados e filtragem'!E831),1,0)</f>
        <v>1</v>
      </c>
      <c r="AJ831" s="25">
        <f>IF(OR(Apresentação!$E$4='Base de Dados e filtragem'!AJ$2,Apresentação!$E$4='Base de Dados e filtragem'!F831),1,0)</f>
        <v>1</v>
      </c>
      <c r="AK831" s="25">
        <f>IF(OR(Apresentação!$E$5='Base de Dados e filtragem'!AK$2,Apresentação!$E$5='Base de Dados e filtragem'!G831),1,0)</f>
        <v>1</v>
      </c>
      <c r="AL831" s="25">
        <f>IF(OR(Apresentação!$E$6='Base de Dados e filtragem'!AL$2,Apresentação!$E$6='Base de Dados e filtragem'!H831),1,0)</f>
        <v>1</v>
      </c>
      <c r="AM831" s="25">
        <f>IF(OR(Apresentação!$I$2='Base de Dados e filtragem'!AM$2,Apresentação!$I$2='Base de Dados e filtragem'!I831),1,0)</f>
        <v>1</v>
      </c>
      <c r="AN831" s="25">
        <f>IF(OR(Apresentação!$I$3='Base de Dados e filtragem'!AN$2,Apresentação!$I$3='Base de Dados e filtragem'!J831),1,0)</f>
        <v>1</v>
      </c>
      <c r="AO831" s="25">
        <f>IF(OR(Apresentação!$I$4='Base de Dados e filtragem'!AO$2,Apresentação!$I$4='Base de Dados e filtragem'!K831),1,0)</f>
        <v>1</v>
      </c>
      <c r="AP831" s="25">
        <f>IF(OR(Apresentação!$I$5='Base de Dados e filtragem'!AP$2,Apresentação!$I$5='Base de Dados e filtragem'!L831),1,0)</f>
        <v>1</v>
      </c>
      <c r="AQ831" s="25">
        <f>IF(OR(Apresentação!$I$6='Base de Dados e filtragem'!AQ$2,Apresentação!$I$6='Base de Dados e filtragem'!M831),1,0)</f>
        <v>1</v>
      </c>
      <c r="AR831" s="25">
        <v>1</v>
      </c>
      <c r="AS831" s="25">
        <v>1</v>
      </c>
      <c r="AT831" s="25">
        <v>1</v>
      </c>
      <c r="AU831" s="25">
        <v>1</v>
      </c>
      <c r="AV831" s="25">
        <v>1</v>
      </c>
      <c r="AW831" s="25">
        <v>1</v>
      </c>
      <c r="AX831" s="25">
        <v>1</v>
      </c>
      <c r="AY831" s="25">
        <v>1</v>
      </c>
      <c r="AZ831" s="25">
        <v>1</v>
      </c>
      <c r="BA831" s="25">
        <v>1</v>
      </c>
      <c r="BB831" s="25">
        <v>1</v>
      </c>
      <c r="BC831" s="25">
        <v>1</v>
      </c>
      <c r="BD831" s="25">
        <v>1</v>
      </c>
    </row>
    <row r="832" spans="27:56" x14ac:dyDescent="0.25">
      <c r="AA832" s="68" t="str">
        <f t="shared" si="49"/>
        <v>Fotos\\.jpg</v>
      </c>
      <c r="AB832" s="53">
        <f t="shared" si="50"/>
        <v>1.201923076923077E-3</v>
      </c>
      <c r="AC832" s="25">
        <f t="shared" si="51"/>
        <v>832</v>
      </c>
      <c r="AD832" s="51">
        <f t="shared" si="52"/>
        <v>1</v>
      </c>
      <c r="AE832" s="25">
        <v>1</v>
      </c>
      <c r="AF832" s="25">
        <v>1</v>
      </c>
      <c r="AG832" s="25">
        <v>1</v>
      </c>
      <c r="AH832" s="25">
        <v>1</v>
      </c>
      <c r="AI832" s="25">
        <f>IF(OR(Apresentação!$E$3='Base de Dados e filtragem'!AI$2,Apresentação!$E$3='Base de Dados e filtragem'!E832),1,0)</f>
        <v>1</v>
      </c>
      <c r="AJ832" s="25">
        <f>IF(OR(Apresentação!$E$4='Base de Dados e filtragem'!AJ$2,Apresentação!$E$4='Base de Dados e filtragem'!F832),1,0)</f>
        <v>1</v>
      </c>
      <c r="AK832" s="25">
        <f>IF(OR(Apresentação!$E$5='Base de Dados e filtragem'!AK$2,Apresentação!$E$5='Base de Dados e filtragem'!G832),1,0)</f>
        <v>1</v>
      </c>
      <c r="AL832" s="25">
        <f>IF(OR(Apresentação!$E$6='Base de Dados e filtragem'!AL$2,Apresentação!$E$6='Base de Dados e filtragem'!H832),1,0)</f>
        <v>1</v>
      </c>
      <c r="AM832" s="25">
        <f>IF(OR(Apresentação!$I$2='Base de Dados e filtragem'!AM$2,Apresentação!$I$2='Base de Dados e filtragem'!I832),1,0)</f>
        <v>1</v>
      </c>
      <c r="AN832" s="25">
        <f>IF(OR(Apresentação!$I$3='Base de Dados e filtragem'!AN$2,Apresentação!$I$3='Base de Dados e filtragem'!J832),1,0)</f>
        <v>1</v>
      </c>
      <c r="AO832" s="25">
        <f>IF(OR(Apresentação!$I$4='Base de Dados e filtragem'!AO$2,Apresentação!$I$4='Base de Dados e filtragem'!K832),1,0)</f>
        <v>1</v>
      </c>
      <c r="AP832" s="25">
        <f>IF(OR(Apresentação!$I$5='Base de Dados e filtragem'!AP$2,Apresentação!$I$5='Base de Dados e filtragem'!L832),1,0)</f>
        <v>1</v>
      </c>
      <c r="AQ832" s="25">
        <f>IF(OR(Apresentação!$I$6='Base de Dados e filtragem'!AQ$2,Apresentação!$I$6='Base de Dados e filtragem'!M832),1,0)</f>
        <v>1</v>
      </c>
      <c r="AR832" s="25">
        <v>1</v>
      </c>
      <c r="AS832" s="25">
        <v>1</v>
      </c>
      <c r="AT832" s="25">
        <v>1</v>
      </c>
      <c r="AU832" s="25">
        <v>1</v>
      </c>
      <c r="AV832" s="25">
        <v>1</v>
      </c>
      <c r="AW832" s="25">
        <v>1</v>
      </c>
      <c r="AX832" s="25">
        <v>1</v>
      </c>
      <c r="AY832" s="25">
        <v>1</v>
      </c>
      <c r="AZ832" s="25">
        <v>1</v>
      </c>
      <c r="BA832" s="25">
        <v>1</v>
      </c>
      <c r="BB832" s="25">
        <v>1</v>
      </c>
      <c r="BC832" s="25">
        <v>1</v>
      </c>
      <c r="BD832" s="25">
        <v>1</v>
      </c>
    </row>
    <row r="833" spans="27:56" x14ac:dyDescent="0.25">
      <c r="AA833" s="68" t="str">
        <f t="shared" si="49"/>
        <v>Fotos\\.jpg</v>
      </c>
      <c r="AB833" s="53">
        <f t="shared" si="50"/>
        <v>1.2004801920768306E-3</v>
      </c>
      <c r="AC833" s="25">
        <f t="shared" si="51"/>
        <v>833</v>
      </c>
      <c r="AD833" s="51">
        <f t="shared" si="52"/>
        <v>1</v>
      </c>
      <c r="AE833" s="25">
        <v>1</v>
      </c>
      <c r="AF833" s="25">
        <v>1</v>
      </c>
      <c r="AG833" s="25">
        <v>1</v>
      </c>
      <c r="AH833" s="25">
        <v>1</v>
      </c>
      <c r="AI833" s="25">
        <f>IF(OR(Apresentação!$E$3='Base de Dados e filtragem'!AI$2,Apresentação!$E$3='Base de Dados e filtragem'!E833),1,0)</f>
        <v>1</v>
      </c>
      <c r="AJ833" s="25">
        <f>IF(OR(Apresentação!$E$4='Base de Dados e filtragem'!AJ$2,Apresentação!$E$4='Base de Dados e filtragem'!F833),1,0)</f>
        <v>1</v>
      </c>
      <c r="AK833" s="25">
        <f>IF(OR(Apresentação!$E$5='Base de Dados e filtragem'!AK$2,Apresentação!$E$5='Base de Dados e filtragem'!G833),1,0)</f>
        <v>1</v>
      </c>
      <c r="AL833" s="25">
        <f>IF(OR(Apresentação!$E$6='Base de Dados e filtragem'!AL$2,Apresentação!$E$6='Base de Dados e filtragem'!H833),1,0)</f>
        <v>1</v>
      </c>
      <c r="AM833" s="25">
        <f>IF(OR(Apresentação!$I$2='Base de Dados e filtragem'!AM$2,Apresentação!$I$2='Base de Dados e filtragem'!I833),1,0)</f>
        <v>1</v>
      </c>
      <c r="AN833" s="25">
        <f>IF(OR(Apresentação!$I$3='Base de Dados e filtragem'!AN$2,Apresentação!$I$3='Base de Dados e filtragem'!J833),1,0)</f>
        <v>1</v>
      </c>
      <c r="AO833" s="25">
        <f>IF(OR(Apresentação!$I$4='Base de Dados e filtragem'!AO$2,Apresentação!$I$4='Base de Dados e filtragem'!K833),1,0)</f>
        <v>1</v>
      </c>
      <c r="AP833" s="25">
        <f>IF(OR(Apresentação!$I$5='Base de Dados e filtragem'!AP$2,Apresentação!$I$5='Base de Dados e filtragem'!L833),1,0)</f>
        <v>1</v>
      </c>
      <c r="AQ833" s="25">
        <f>IF(OR(Apresentação!$I$6='Base de Dados e filtragem'!AQ$2,Apresentação!$I$6='Base de Dados e filtragem'!M833),1,0)</f>
        <v>1</v>
      </c>
      <c r="AR833" s="25">
        <v>1</v>
      </c>
      <c r="AS833" s="25">
        <v>1</v>
      </c>
      <c r="AT833" s="25">
        <v>1</v>
      </c>
      <c r="AU833" s="25">
        <v>1</v>
      </c>
      <c r="AV833" s="25">
        <v>1</v>
      </c>
      <c r="AW833" s="25">
        <v>1</v>
      </c>
      <c r="AX833" s="25">
        <v>1</v>
      </c>
      <c r="AY833" s="25">
        <v>1</v>
      </c>
      <c r="AZ833" s="25">
        <v>1</v>
      </c>
      <c r="BA833" s="25">
        <v>1</v>
      </c>
      <c r="BB833" s="25">
        <v>1</v>
      </c>
      <c r="BC833" s="25">
        <v>1</v>
      </c>
      <c r="BD833" s="25">
        <v>1</v>
      </c>
    </row>
    <row r="834" spans="27:56" x14ac:dyDescent="0.25">
      <c r="AA834" s="68" t="str">
        <f t="shared" si="49"/>
        <v>Fotos\\.jpg</v>
      </c>
      <c r="AB834" s="53">
        <f t="shared" si="50"/>
        <v>1.199040767386091E-3</v>
      </c>
      <c r="AC834" s="25">
        <f t="shared" si="51"/>
        <v>834</v>
      </c>
      <c r="AD834" s="51">
        <f t="shared" si="52"/>
        <v>1</v>
      </c>
      <c r="AE834" s="25">
        <v>1</v>
      </c>
      <c r="AF834" s="25">
        <v>1</v>
      </c>
      <c r="AG834" s="25">
        <v>1</v>
      </c>
      <c r="AH834" s="25">
        <v>1</v>
      </c>
      <c r="AI834" s="25">
        <f>IF(OR(Apresentação!$E$3='Base de Dados e filtragem'!AI$2,Apresentação!$E$3='Base de Dados e filtragem'!E834),1,0)</f>
        <v>1</v>
      </c>
      <c r="AJ834" s="25">
        <f>IF(OR(Apresentação!$E$4='Base de Dados e filtragem'!AJ$2,Apresentação!$E$4='Base de Dados e filtragem'!F834),1,0)</f>
        <v>1</v>
      </c>
      <c r="AK834" s="25">
        <f>IF(OR(Apresentação!$E$5='Base de Dados e filtragem'!AK$2,Apresentação!$E$5='Base de Dados e filtragem'!G834),1,0)</f>
        <v>1</v>
      </c>
      <c r="AL834" s="25">
        <f>IF(OR(Apresentação!$E$6='Base de Dados e filtragem'!AL$2,Apresentação!$E$6='Base de Dados e filtragem'!H834),1,0)</f>
        <v>1</v>
      </c>
      <c r="AM834" s="25">
        <f>IF(OR(Apresentação!$I$2='Base de Dados e filtragem'!AM$2,Apresentação!$I$2='Base de Dados e filtragem'!I834),1,0)</f>
        <v>1</v>
      </c>
      <c r="AN834" s="25">
        <f>IF(OR(Apresentação!$I$3='Base de Dados e filtragem'!AN$2,Apresentação!$I$3='Base de Dados e filtragem'!J834),1,0)</f>
        <v>1</v>
      </c>
      <c r="AO834" s="25">
        <f>IF(OR(Apresentação!$I$4='Base de Dados e filtragem'!AO$2,Apresentação!$I$4='Base de Dados e filtragem'!K834),1,0)</f>
        <v>1</v>
      </c>
      <c r="AP834" s="25">
        <f>IF(OR(Apresentação!$I$5='Base de Dados e filtragem'!AP$2,Apresentação!$I$5='Base de Dados e filtragem'!L834),1,0)</f>
        <v>1</v>
      </c>
      <c r="AQ834" s="25">
        <f>IF(OR(Apresentação!$I$6='Base de Dados e filtragem'!AQ$2,Apresentação!$I$6='Base de Dados e filtragem'!M834),1,0)</f>
        <v>1</v>
      </c>
      <c r="AR834" s="25">
        <v>1</v>
      </c>
      <c r="AS834" s="25">
        <v>1</v>
      </c>
      <c r="AT834" s="25">
        <v>1</v>
      </c>
      <c r="AU834" s="25">
        <v>1</v>
      </c>
      <c r="AV834" s="25">
        <v>1</v>
      </c>
      <c r="AW834" s="25">
        <v>1</v>
      </c>
      <c r="AX834" s="25">
        <v>1</v>
      </c>
      <c r="AY834" s="25">
        <v>1</v>
      </c>
      <c r="AZ834" s="25">
        <v>1</v>
      </c>
      <c r="BA834" s="25">
        <v>1</v>
      </c>
      <c r="BB834" s="25">
        <v>1</v>
      </c>
      <c r="BC834" s="25">
        <v>1</v>
      </c>
      <c r="BD834" s="25">
        <v>1</v>
      </c>
    </row>
    <row r="835" spans="27:56" x14ac:dyDescent="0.25">
      <c r="AA835" s="68" t="str">
        <f t="shared" si="49"/>
        <v>Fotos\\.jpg</v>
      </c>
      <c r="AB835" s="53">
        <f t="shared" si="50"/>
        <v>1.1976047904191617E-3</v>
      </c>
      <c r="AC835" s="25">
        <f t="shared" si="51"/>
        <v>835</v>
      </c>
      <c r="AD835" s="51">
        <f t="shared" si="52"/>
        <v>1</v>
      </c>
      <c r="AE835" s="25">
        <v>1</v>
      </c>
      <c r="AF835" s="25">
        <v>1</v>
      </c>
      <c r="AG835" s="25">
        <v>1</v>
      </c>
      <c r="AH835" s="25">
        <v>1</v>
      </c>
      <c r="AI835" s="25">
        <f>IF(OR(Apresentação!$E$3='Base de Dados e filtragem'!AI$2,Apresentação!$E$3='Base de Dados e filtragem'!E835),1,0)</f>
        <v>1</v>
      </c>
      <c r="AJ835" s="25">
        <f>IF(OR(Apresentação!$E$4='Base de Dados e filtragem'!AJ$2,Apresentação!$E$4='Base de Dados e filtragem'!F835),1,0)</f>
        <v>1</v>
      </c>
      <c r="AK835" s="25">
        <f>IF(OR(Apresentação!$E$5='Base de Dados e filtragem'!AK$2,Apresentação!$E$5='Base de Dados e filtragem'!G835),1,0)</f>
        <v>1</v>
      </c>
      <c r="AL835" s="25">
        <f>IF(OR(Apresentação!$E$6='Base de Dados e filtragem'!AL$2,Apresentação!$E$6='Base de Dados e filtragem'!H835),1,0)</f>
        <v>1</v>
      </c>
      <c r="AM835" s="25">
        <f>IF(OR(Apresentação!$I$2='Base de Dados e filtragem'!AM$2,Apresentação!$I$2='Base de Dados e filtragem'!I835),1,0)</f>
        <v>1</v>
      </c>
      <c r="AN835" s="25">
        <f>IF(OR(Apresentação!$I$3='Base de Dados e filtragem'!AN$2,Apresentação!$I$3='Base de Dados e filtragem'!J835),1,0)</f>
        <v>1</v>
      </c>
      <c r="AO835" s="25">
        <f>IF(OR(Apresentação!$I$4='Base de Dados e filtragem'!AO$2,Apresentação!$I$4='Base de Dados e filtragem'!K835),1,0)</f>
        <v>1</v>
      </c>
      <c r="AP835" s="25">
        <f>IF(OR(Apresentação!$I$5='Base de Dados e filtragem'!AP$2,Apresentação!$I$5='Base de Dados e filtragem'!L835),1,0)</f>
        <v>1</v>
      </c>
      <c r="AQ835" s="25">
        <f>IF(OR(Apresentação!$I$6='Base de Dados e filtragem'!AQ$2,Apresentação!$I$6='Base de Dados e filtragem'!M835),1,0)</f>
        <v>1</v>
      </c>
      <c r="AR835" s="25">
        <v>1</v>
      </c>
      <c r="AS835" s="25">
        <v>1</v>
      </c>
      <c r="AT835" s="25">
        <v>1</v>
      </c>
      <c r="AU835" s="25">
        <v>1</v>
      </c>
      <c r="AV835" s="25">
        <v>1</v>
      </c>
      <c r="AW835" s="25">
        <v>1</v>
      </c>
      <c r="AX835" s="25">
        <v>1</v>
      </c>
      <c r="AY835" s="25">
        <v>1</v>
      </c>
      <c r="AZ835" s="25">
        <v>1</v>
      </c>
      <c r="BA835" s="25">
        <v>1</v>
      </c>
      <c r="BB835" s="25">
        <v>1</v>
      </c>
      <c r="BC835" s="25">
        <v>1</v>
      </c>
      <c r="BD835" s="25">
        <v>1</v>
      </c>
    </row>
    <row r="836" spans="27:56" x14ac:dyDescent="0.25">
      <c r="AA836" s="68" t="str">
        <f t="shared" ref="AA836:AA899" si="53">"Fotos\"&amp;I836&amp;"\"&amp;A836&amp;".jpg"</f>
        <v>Fotos\\.jpg</v>
      </c>
      <c r="AB836" s="53">
        <f t="shared" ref="AB836:AB899" si="54">AD836/AC836</f>
        <v>1.1961722488038277E-3</v>
      </c>
      <c r="AC836" s="25">
        <f t="shared" ref="AC836:AC899" si="55">AC835+1</f>
        <v>836</v>
      </c>
      <c r="AD836" s="51">
        <f t="shared" ref="AD836:AD899" si="56">PRODUCT(AE836:BD836)</f>
        <v>1</v>
      </c>
      <c r="AE836" s="25">
        <v>1</v>
      </c>
      <c r="AF836" s="25">
        <v>1</v>
      </c>
      <c r="AG836" s="25">
        <v>1</v>
      </c>
      <c r="AH836" s="25">
        <v>1</v>
      </c>
      <c r="AI836" s="25">
        <f>IF(OR(Apresentação!$E$3='Base de Dados e filtragem'!AI$2,Apresentação!$E$3='Base de Dados e filtragem'!E836),1,0)</f>
        <v>1</v>
      </c>
      <c r="AJ836" s="25">
        <f>IF(OR(Apresentação!$E$4='Base de Dados e filtragem'!AJ$2,Apresentação!$E$4='Base de Dados e filtragem'!F836),1,0)</f>
        <v>1</v>
      </c>
      <c r="AK836" s="25">
        <f>IF(OR(Apresentação!$E$5='Base de Dados e filtragem'!AK$2,Apresentação!$E$5='Base de Dados e filtragem'!G836),1,0)</f>
        <v>1</v>
      </c>
      <c r="AL836" s="25">
        <f>IF(OR(Apresentação!$E$6='Base de Dados e filtragem'!AL$2,Apresentação!$E$6='Base de Dados e filtragem'!H836),1,0)</f>
        <v>1</v>
      </c>
      <c r="AM836" s="25">
        <f>IF(OR(Apresentação!$I$2='Base de Dados e filtragem'!AM$2,Apresentação!$I$2='Base de Dados e filtragem'!I836),1,0)</f>
        <v>1</v>
      </c>
      <c r="AN836" s="25">
        <f>IF(OR(Apresentação!$I$3='Base de Dados e filtragem'!AN$2,Apresentação!$I$3='Base de Dados e filtragem'!J836),1,0)</f>
        <v>1</v>
      </c>
      <c r="AO836" s="25">
        <f>IF(OR(Apresentação!$I$4='Base de Dados e filtragem'!AO$2,Apresentação!$I$4='Base de Dados e filtragem'!K836),1,0)</f>
        <v>1</v>
      </c>
      <c r="AP836" s="25">
        <f>IF(OR(Apresentação!$I$5='Base de Dados e filtragem'!AP$2,Apresentação!$I$5='Base de Dados e filtragem'!L836),1,0)</f>
        <v>1</v>
      </c>
      <c r="AQ836" s="25">
        <f>IF(OR(Apresentação!$I$6='Base de Dados e filtragem'!AQ$2,Apresentação!$I$6='Base de Dados e filtragem'!M836),1,0)</f>
        <v>1</v>
      </c>
      <c r="AR836" s="25">
        <v>1</v>
      </c>
      <c r="AS836" s="25">
        <v>1</v>
      </c>
      <c r="AT836" s="25">
        <v>1</v>
      </c>
      <c r="AU836" s="25">
        <v>1</v>
      </c>
      <c r="AV836" s="25">
        <v>1</v>
      </c>
      <c r="AW836" s="25">
        <v>1</v>
      </c>
      <c r="AX836" s="25">
        <v>1</v>
      </c>
      <c r="AY836" s="25">
        <v>1</v>
      </c>
      <c r="AZ836" s="25">
        <v>1</v>
      </c>
      <c r="BA836" s="25">
        <v>1</v>
      </c>
      <c r="BB836" s="25">
        <v>1</v>
      </c>
      <c r="BC836" s="25">
        <v>1</v>
      </c>
      <c r="BD836" s="25">
        <v>1</v>
      </c>
    </row>
    <row r="837" spans="27:56" x14ac:dyDescent="0.25">
      <c r="AA837" s="68" t="str">
        <f t="shared" si="53"/>
        <v>Fotos\\.jpg</v>
      </c>
      <c r="AB837" s="53">
        <f t="shared" si="54"/>
        <v>1.1947431302270011E-3</v>
      </c>
      <c r="AC837" s="25">
        <f t="shared" si="55"/>
        <v>837</v>
      </c>
      <c r="AD837" s="51">
        <f t="shared" si="56"/>
        <v>1</v>
      </c>
      <c r="AE837" s="25">
        <v>1</v>
      </c>
      <c r="AF837" s="25">
        <v>1</v>
      </c>
      <c r="AG837" s="25">
        <v>1</v>
      </c>
      <c r="AH837" s="25">
        <v>1</v>
      </c>
      <c r="AI837" s="25">
        <f>IF(OR(Apresentação!$E$3='Base de Dados e filtragem'!AI$2,Apresentação!$E$3='Base de Dados e filtragem'!E837),1,0)</f>
        <v>1</v>
      </c>
      <c r="AJ837" s="25">
        <f>IF(OR(Apresentação!$E$4='Base de Dados e filtragem'!AJ$2,Apresentação!$E$4='Base de Dados e filtragem'!F837),1,0)</f>
        <v>1</v>
      </c>
      <c r="AK837" s="25">
        <f>IF(OR(Apresentação!$E$5='Base de Dados e filtragem'!AK$2,Apresentação!$E$5='Base de Dados e filtragem'!G837),1,0)</f>
        <v>1</v>
      </c>
      <c r="AL837" s="25">
        <f>IF(OR(Apresentação!$E$6='Base de Dados e filtragem'!AL$2,Apresentação!$E$6='Base de Dados e filtragem'!H837),1,0)</f>
        <v>1</v>
      </c>
      <c r="AM837" s="25">
        <f>IF(OR(Apresentação!$I$2='Base de Dados e filtragem'!AM$2,Apresentação!$I$2='Base de Dados e filtragem'!I837),1,0)</f>
        <v>1</v>
      </c>
      <c r="AN837" s="25">
        <f>IF(OR(Apresentação!$I$3='Base de Dados e filtragem'!AN$2,Apresentação!$I$3='Base de Dados e filtragem'!J837),1,0)</f>
        <v>1</v>
      </c>
      <c r="AO837" s="25">
        <f>IF(OR(Apresentação!$I$4='Base de Dados e filtragem'!AO$2,Apresentação!$I$4='Base de Dados e filtragem'!K837),1,0)</f>
        <v>1</v>
      </c>
      <c r="AP837" s="25">
        <f>IF(OR(Apresentação!$I$5='Base de Dados e filtragem'!AP$2,Apresentação!$I$5='Base de Dados e filtragem'!L837),1,0)</f>
        <v>1</v>
      </c>
      <c r="AQ837" s="25">
        <f>IF(OR(Apresentação!$I$6='Base de Dados e filtragem'!AQ$2,Apresentação!$I$6='Base de Dados e filtragem'!M837),1,0)</f>
        <v>1</v>
      </c>
      <c r="AR837" s="25">
        <v>1</v>
      </c>
      <c r="AS837" s="25">
        <v>1</v>
      </c>
      <c r="AT837" s="25">
        <v>1</v>
      </c>
      <c r="AU837" s="25">
        <v>1</v>
      </c>
      <c r="AV837" s="25">
        <v>1</v>
      </c>
      <c r="AW837" s="25">
        <v>1</v>
      </c>
      <c r="AX837" s="25">
        <v>1</v>
      </c>
      <c r="AY837" s="25">
        <v>1</v>
      </c>
      <c r="AZ837" s="25">
        <v>1</v>
      </c>
      <c r="BA837" s="25">
        <v>1</v>
      </c>
      <c r="BB837" s="25">
        <v>1</v>
      </c>
      <c r="BC837" s="25">
        <v>1</v>
      </c>
      <c r="BD837" s="25">
        <v>1</v>
      </c>
    </row>
    <row r="838" spans="27:56" x14ac:dyDescent="0.25">
      <c r="AA838" s="68" t="str">
        <f t="shared" si="53"/>
        <v>Fotos\\.jpg</v>
      </c>
      <c r="AB838" s="53">
        <f t="shared" si="54"/>
        <v>1.1933174224343676E-3</v>
      </c>
      <c r="AC838" s="25">
        <f t="shared" si="55"/>
        <v>838</v>
      </c>
      <c r="AD838" s="51">
        <f t="shared" si="56"/>
        <v>1</v>
      </c>
      <c r="AE838" s="25">
        <v>1</v>
      </c>
      <c r="AF838" s="25">
        <v>1</v>
      </c>
      <c r="AG838" s="25">
        <v>1</v>
      </c>
      <c r="AH838" s="25">
        <v>1</v>
      </c>
      <c r="AI838" s="25">
        <f>IF(OR(Apresentação!$E$3='Base de Dados e filtragem'!AI$2,Apresentação!$E$3='Base de Dados e filtragem'!E838),1,0)</f>
        <v>1</v>
      </c>
      <c r="AJ838" s="25">
        <f>IF(OR(Apresentação!$E$4='Base de Dados e filtragem'!AJ$2,Apresentação!$E$4='Base de Dados e filtragem'!F838),1,0)</f>
        <v>1</v>
      </c>
      <c r="AK838" s="25">
        <f>IF(OR(Apresentação!$E$5='Base de Dados e filtragem'!AK$2,Apresentação!$E$5='Base de Dados e filtragem'!G838),1,0)</f>
        <v>1</v>
      </c>
      <c r="AL838" s="25">
        <f>IF(OR(Apresentação!$E$6='Base de Dados e filtragem'!AL$2,Apresentação!$E$6='Base de Dados e filtragem'!H838),1,0)</f>
        <v>1</v>
      </c>
      <c r="AM838" s="25">
        <f>IF(OR(Apresentação!$I$2='Base de Dados e filtragem'!AM$2,Apresentação!$I$2='Base de Dados e filtragem'!I838),1,0)</f>
        <v>1</v>
      </c>
      <c r="AN838" s="25">
        <f>IF(OR(Apresentação!$I$3='Base de Dados e filtragem'!AN$2,Apresentação!$I$3='Base de Dados e filtragem'!J838),1,0)</f>
        <v>1</v>
      </c>
      <c r="AO838" s="25">
        <f>IF(OR(Apresentação!$I$4='Base de Dados e filtragem'!AO$2,Apresentação!$I$4='Base de Dados e filtragem'!K838),1,0)</f>
        <v>1</v>
      </c>
      <c r="AP838" s="25">
        <f>IF(OR(Apresentação!$I$5='Base de Dados e filtragem'!AP$2,Apresentação!$I$5='Base de Dados e filtragem'!L838),1,0)</f>
        <v>1</v>
      </c>
      <c r="AQ838" s="25">
        <f>IF(OR(Apresentação!$I$6='Base de Dados e filtragem'!AQ$2,Apresentação!$I$6='Base de Dados e filtragem'!M838),1,0)</f>
        <v>1</v>
      </c>
      <c r="AR838" s="25">
        <v>1</v>
      </c>
      <c r="AS838" s="25">
        <v>1</v>
      </c>
      <c r="AT838" s="25">
        <v>1</v>
      </c>
      <c r="AU838" s="25">
        <v>1</v>
      </c>
      <c r="AV838" s="25">
        <v>1</v>
      </c>
      <c r="AW838" s="25">
        <v>1</v>
      </c>
      <c r="AX838" s="25">
        <v>1</v>
      </c>
      <c r="AY838" s="25">
        <v>1</v>
      </c>
      <c r="AZ838" s="25">
        <v>1</v>
      </c>
      <c r="BA838" s="25">
        <v>1</v>
      </c>
      <c r="BB838" s="25">
        <v>1</v>
      </c>
      <c r="BC838" s="25">
        <v>1</v>
      </c>
      <c r="BD838" s="25">
        <v>1</v>
      </c>
    </row>
    <row r="839" spans="27:56" x14ac:dyDescent="0.25">
      <c r="AA839" s="68" t="str">
        <f t="shared" si="53"/>
        <v>Fotos\\.jpg</v>
      </c>
      <c r="AB839" s="53">
        <f t="shared" si="54"/>
        <v>1.1918951132300357E-3</v>
      </c>
      <c r="AC839" s="25">
        <f t="shared" si="55"/>
        <v>839</v>
      </c>
      <c r="AD839" s="51">
        <f t="shared" si="56"/>
        <v>1</v>
      </c>
      <c r="AE839" s="25">
        <v>1</v>
      </c>
      <c r="AF839" s="25">
        <v>1</v>
      </c>
      <c r="AG839" s="25">
        <v>1</v>
      </c>
      <c r="AH839" s="25">
        <v>1</v>
      </c>
      <c r="AI839" s="25">
        <f>IF(OR(Apresentação!$E$3='Base de Dados e filtragem'!AI$2,Apresentação!$E$3='Base de Dados e filtragem'!E839),1,0)</f>
        <v>1</v>
      </c>
      <c r="AJ839" s="25">
        <f>IF(OR(Apresentação!$E$4='Base de Dados e filtragem'!AJ$2,Apresentação!$E$4='Base de Dados e filtragem'!F839),1,0)</f>
        <v>1</v>
      </c>
      <c r="AK839" s="25">
        <f>IF(OR(Apresentação!$E$5='Base de Dados e filtragem'!AK$2,Apresentação!$E$5='Base de Dados e filtragem'!G839),1,0)</f>
        <v>1</v>
      </c>
      <c r="AL839" s="25">
        <f>IF(OR(Apresentação!$E$6='Base de Dados e filtragem'!AL$2,Apresentação!$E$6='Base de Dados e filtragem'!H839),1,0)</f>
        <v>1</v>
      </c>
      <c r="AM839" s="25">
        <f>IF(OR(Apresentação!$I$2='Base de Dados e filtragem'!AM$2,Apresentação!$I$2='Base de Dados e filtragem'!I839),1,0)</f>
        <v>1</v>
      </c>
      <c r="AN839" s="25">
        <f>IF(OR(Apresentação!$I$3='Base de Dados e filtragem'!AN$2,Apresentação!$I$3='Base de Dados e filtragem'!J839),1,0)</f>
        <v>1</v>
      </c>
      <c r="AO839" s="25">
        <f>IF(OR(Apresentação!$I$4='Base de Dados e filtragem'!AO$2,Apresentação!$I$4='Base de Dados e filtragem'!K839),1,0)</f>
        <v>1</v>
      </c>
      <c r="AP839" s="25">
        <f>IF(OR(Apresentação!$I$5='Base de Dados e filtragem'!AP$2,Apresentação!$I$5='Base de Dados e filtragem'!L839),1,0)</f>
        <v>1</v>
      </c>
      <c r="AQ839" s="25">
        <f>IF(OR(Apresentação!$I$6='Base de Dados e filtragem'!AQ$2,Apresentação!$I$6='Base de Dados e filtragem'!M839),1,0)</f>
        <v>1</v>
      </c>
      <c r="AR839" s="25">
        <v>1</v>
      </c>
      <c r="AS839" s="25">
        <v>1</v>
      </c>
      <c r="AT839" s="25">
        <v>1</v>
      </c>
      <c r="AU839" s="25">
        <v>1</v>
      </c>
      <c r="AV839" s="25">
        <v>1</v>
      </c>
      <c r="AW839" s="25">
        <v>1</v>
      </c>
      <c r="AX839" s="25">
        <v>1</v>
      </c>
      <c r="AY839" s="25">
        <v>1</v>
      </c>
      <c r="AZ839" s="25">
        <v>1</v>
      </c>
      <c r="BA839" s="25">
        <v>1</v>
      </c>
      <c r="BB839" s="25">
        <v>1</v>
      </c>
      <c r="BC839" s="25">
        <v>1</v>
      </c>
      <c r="BD839" s="25">
        <v>1</v>
      </c>
    </row>
    <row r="840" spans="27:56" x14ac:dyDescent="0.25">
      <c r="AA840" s="68" t="str">
        <f t="shared" si="53"/>
        <v>Fotos\\.jpg</v>
      </c>
      <c r="AB840" s="53">
        <f t="shared" si="54"/>
        <v>1.1904761904761906E-3</v>
      </c>
      <c r="AC840" s="25">
        <f t="shared" si="55"/>
        <v>840</v>
      </c>
      <c r="AD840" s="51">
        <f t="shared" si="56"/>
        <v>1</v>
      </c>
      <c r="AE840" s="25">
        <v>1</v>
      </c>
      <c r="AF840" s="25">
        <v>1</v>
      </c>
      <c r="AG840" s="25">
        <v>1</v>
      </c>
      <c r="AH840" s="25">
        <v>1</v>
      </c>
      <c r="AI840" s="25">
        <f>IF(OR(Apresentação!$E$3='Base de Dados e filtragem'!AI$2,Apresentação!$E$3='Base de Dados e filtragem'!E840),1,0)</f>
        <v>1</v>
      </c>
      <c r="AJ840" s="25">
        <f>IF(OR(Apresentação!$E$4='Base de Dados e filtragem'!AJ$2,Apresentação!$E$4='Base de Dados e filtragem'!F840),1,0)</f>
        <v>1</v>
      </c>
      <c r="AK840" s="25">
        <f>IF(OR(Apresentação!$E$5='Base de Dados e filtragem'!AK$2,Apresentação!$E$5='Base de Dados e filtragem'!G840),1,0)</f>
        <v>1</v>
      </c>
      <c r="AL840" s="25">
        <f>IF(OR(Apresentação!$E$6='Base de Dados e filtragem'!AL$2,Apresentação!$E$6='Base de Dados e filtragem'!H840),1,0)</f>
        <v>1</v>
      </c>
      <c r="AM840" s="25">
        <f>IF(OR(Apresentação!$I$2='Base de Dados e filtragem'!AM$2,Apresentação!$I$2='Base de Dados e filtragem'!I840),1,0)</f>
        <v>1</v>
      </c>
      <c r="AN840" s="25">
        <f>IF(OR(Apresentação!$I$3='Base de Dados e filtragem'!AN$2,Apresentação!$I$3='Base de Dados e filtragem'!J840),1,0)</f>
        <v>1</v>
      </c>
      <c r="AO840" s="25">
        <f>IF(OR(Apresentação!$I$4='Base de Dados e filtragem'!AO$2,Apresentação!$I$4='Base de Dados e filtragem'!K840),1,0)</f>
        <v>1</v>
      </c>
      <c r="AP840" s="25">
        <f>IF(OR(Apresentação!$I$5='Base de Dados e filtragem'!AP$2,Apresentação!$I$5='Base de Dados e filtragem'!L840),1,0)</f>
        <v>1</v>
      </c>
      <c r="AQ840" s="25">
        <f>IF(OR(Apresentação!$I$6='Base de Dados e filtragem'!AQ$2,Apresentação!$I$6='Base de Dados e filtragem'!M840),1,0)</f>
        <v>1</v>
      </c>
      <c r="AR840" s="25">
        <v>1</v>
      </c>
      <c r="AS840" s="25">
        <v>1</v>
      </c>
      <c r="AT840" s="25">
        <v>1</v>
      </c>
      <c r="AU840" s="25">
        <v>1</v>
      </c>
      <c r="AV840" s="25">
        <v>1</v>
      </c>
      <c r="AW840" s="25">
        <v>1</v>
      </c>
      <c r="AX840" s="25">
        <v>1</v>
      </c>
      <c r="AY840" s="25">
        <v>1</v>
      </c>
      <c r="AZ840" s="25">
        <v>1</v>
      </c>
      <c r="BA840" s="25">
        <v>1</v>
      </c>
      <c r="BB840" s="25">
        <v>1</v>
      </c>
      <c r="BC840" s="25">
        <v>1</v>
      </c>
      <c r="BD840" s="25">
        <v>1</v>
      </c>
    </row>
    <row r="841" spans="27:56" x14ac:dyDescent="0.25">
      <c r="AA841" s="68" t="str">
        <f t="shared" si="53"/>
        <v>Fotos\\.jpg</v>
      </c>
      <c r="AB841" s="53">
        <f t="shared" si="54"/>
        <v>1.1890606420927466E-3</v>
      </c>
      <c r="AC841" s="25">
        <f t="shared" si="55"/>
        <v>841</v>
      </c>
      <c r="AD841" s="51">
        <f t="shared" si="56"/>
        <v>1</v>
      </c>
      <c r="AE841" s="25">
        <v>1</v>
      </c>
      <c r="AF841" s="25">
        <v>1</v>
      </c>
      <c r="AG841" s="25">
        <v>1</v>
      </c>
      <c r="AH841" s="25">
        <v>1</v>
      </c>
      <c r="AI841" s="25">
        <f>IF(OR(Apresentação!$E$3='Base de Dados e filtragem'!AI$2,Apresentação!$E$3='Base de Dados e filtragem'!E841),1,0)</f>
        <v>1</v>
      </c>
      <c r="AJ841" s="25">
        <f>IF(OR(Apresentação!$E$4='Base de Dados e filtragem'!AJ$2,Apresentação!$E$4='Base de Dados e filtragem'!F841),1,0)</f>
        <v>1</v>
      </c>
      <c r="AK841" s="25">
        <f>IF(OR(Apresentação!$E$5='Base de Dados e filtragem'!AK$2,Apresentação!$E$5='Base de Dados e filtragem'!G841),1,0)</f>
        <v>1</v>
      </c>
      <c r="AL841" s="25">
        <f>IF(OR(Apresentação!$E$6='Base de Dados e filtragem'!AL$2,Apresentação!$E$6='Base de Dados e filtragem'!H841),1,0)</f>
        <v>1</v>
      </c>
      <c r="AM841" s="25">
        <f>IF(OR(Apresentação!$I$2='Base de Dados e filtragem'!AM$2,Apresentação!$I$2='Base de Dados e filtragem'!I841),1,0)</f>
        <v>1</v>
      </c>
      <c r="AN841" s="25">
        <f>IF(OR(Apresentação!$I$3='Base de Dados e filtragem'!AN$2,Apresentação!$I$3='Base de Dados e filtragem'!J841),1,0)</f>
        <v>1</v>
      </c>
      <c r="AO841" s="25">
        <f>IF(OR(Apresentação!$I$4='Base de Dados e filtragem'!AO$2,Apresentação!$I$4='Base de Dados e filtragem'!K841),1,0)</f>
        <v>1</v>
      </c>
      <c r="AP841" s="25">
        <f>IF(OR(Apresentação!$I$5='Base de Dados e filtragem'!AP$2,Apresentação!$I$5='Base de Dados e filtragem'!L841),1,0)</f>
        <v>1</v>
      </c>
      <c r="AQ841" s="25">
        <f>IF(OR(Apresentação!$I$6='Base de Dados e filtragem'!AQ$2,Apresentação!$I$6='Base de Dados e filtragem'!M841),1,0)</f>
        <v>1</v>
      </c>
      <c r="AR841" s="25">
        <v>1</v>
      </c>
      <c r="AS841" s="25">
        <v>1</v>
      </c>
      <c r="AT841" s="25">
        <v>1</v>
      </c>
      <c r="AU841" s="25">
        <v>1</v>
      </c>
      <c r="AV841" s="25">
        <v>1</v>
      </c>
      <c r="AW841" s="25">
        <v>1</v>
      </c>
      <c r="AX841" s="25">
        <v>1</v>
      </c>
      <c r="AY841" s="25">
        <v>1</v>
      </c>
      <c r="AZ841" s="25">
        <v>1</v>
      </c>
      <c r="BA841" s="25">
        <v>1</v>
      </c>
      <c r="BB841" s="25">
        <v>1</v>
      </c>
      <c r="BC841" s="25">
        <v>1</v>
      </c>
      <c r="BD841" s="25">
        <v>1</v>
      </c>
    </row>
    <row r="842" spans="27:56" x14ac:dyDescent="0.25">
      <c r="AA842" s="68" t="str">
        <f t="shared" si="53"/>
        <v>Fotos\\.jpg</v>
      </c>
      <c r="AB842" s="53">
        <f t="shared" si="54"/>
        <v>1.1876484560570072E-3</v>
      </c>
      <c r="AC842" s="25">
        <f t="shared" si="55"/>
        <v>842</v>
      </c>
      <c r="AD842" s="51">
        <f t="shared" si="56"/>
        <v>1</v>
      </c>
      <c r="AE842" s="25">
        <v>1</v>
      </c>
      <c r="AF842" s="25">
        <v>1</v>
      </c>
      <c r="AG842" s="25">
        <v>1</v>
      </c>
      <c r="AH842" s="25">
        <v>1</v>
      </c>
      <c r="AI842" s="25">
        <f>IF(OR(Apresentação!$E$3='Base de Dados e filtragem'!AI$2,Apresentação!$E$3='Base de Dados e filtragem'!E842),1,0)</f>
        <v>1</v>
      </c>
      <c r="AJ842" s="25">
        <f>IF(OR(Apresentação!$E$4='Base de Dados e filtragem'!AJ$2,Apresentação!$E$4='Base de Dados e filtragem'!F842),1,0)</f>
        <v>1</v>
      </c>
      <c r="AK842" s="25">
        <f>IF(OR(Apresentação!$E$5='Base de Dados e filtragem'!AK$2,Apresentação!$E$5='Base de Dados e filtragem'!G842),1,0)</f>
        <v>1</v>
      </c>
      <c r="AL842" s="25">
        <f>IF(OR(Apresentação!$E$6='Base de Dados e filtragem'!AL$2,Apresentação!$E$6='Base de Dados e filtragem'!H842),1,0)</f>
        <v>1</v>
      </c>
      <c r="AM842" s="25">
        <f>IF(OR(Apresentação!$I$2='Base de Dados e filtragem'!AM$2,Apresentação!$I$2='Base de Dados e filtragem'!I842),1,0)</f>
        <v>1</v>
      </c>
      <c r="AN842" s="25">
        <f>IF(OR(Apresentação!$I$3='Base de Dados e filtragem'!AN$2,Apresentação!$I$3='Base de Dados e filtragem'!J842),1,0)</f>
        <v>1</v>
      </c>
      <c r="AO842" s="25">
        <f>IF(OR(Apresentação!$I$4='Base de Dados e filtragem'!AO$2,Apresentação!$I$4='Base de Dados e filtragem'!K842),1,0)</f>
        <v>1</v>
      </c>
      <c r="AP842" s="25">
        <f>IF(OR(Apresentação!$I$5='Base de Dados e filtragem'!AP$2,Apresentação!$I$5='Base de Dados e filtragem'!L842),1,0)</f>
        <v>1</v>
      </c>
      <c r="AQ842" s="25">
        <f>IF(OR(Apresentação!$I$6='Base de Dados e filtragem'!AQ$2,Apresentação!$I$6='Base de Dados e filtragem'!M842),1,0)</f>
        <v>1</v>
      </c>
      <c r="AR842" s="25">
        <v>1</v>
      </c>
      <c r="AS842" s="25">
        <v>1</v>
      </c>
      <c r="AT842" s="25">
        <v>1</v>
      </c>
      <c r="AU842" s="25">
        <v>1</v>
      </c>
      <c r="AV842" s="25">
        <v>1</v>
      </c>
      <c r="AW842" s="25">
        <v>1</v>
      </c>
      <c r="AX842" s="25">
        <v>1</v>
      </c>
      <c r="AY842" s="25">
        <v>1</v>
      </c>
      <c r="AZ842" s="25">
        <v>1</v>
      </c>
      <c r="BA842" s="25">
        <v>1</v>
      </c>
      <c r="BB842" s="25">
        <v>1</v>
      </c>
      <c r="BC842" s="25">
        <v>1</v>
      </c>
      <c r="BD842" s="25">
        <v>1</v>
      </c>
    </row>
    <row r="843" spans="27:56" x14ac:dyDescent="0.25">
      <c r="AA843" s="68" t="str">
        <f t="shared" si="53"/>
        <v>Fotos\\.jpg</v>
      </c>
      <c r="AB843" s="53">
        <f t="shared" si="54"/>
        <v>1.1862396204033216E-3</v>
      </c>
      <c r="AC843" s="25">
        <f t="shared" si="55"/>
        <v>843</v>
      </c>
      <c r="AD843" s="51">
        <f t="shared" si="56"/>
        <v>1</v>
      </c>
      <c r="AE843" s="25">
        <v>1</v>
      </c>
      <c r="AF843" s="25">
        <v>1</v>
      </c>
      <c r="AG843" s="25">
        <v>1</v>
      </c>
      <c r="AH843" s="25">
        <v>1</v>
      </c>
      <c r="AI843" s="25">
        <f>IF(OR(Apresentação!$E$3='Base de Dados e filtragem'!AI$2,Apresentação!$E$3='Base de Dados e filtragem'!E843),1,0)</f>
        <v>1</v>
      </c>
      <c r="AJ843" s="25">
        <f>IF(OR(Apresentação!$E$4='Base de Dados e filtragem'!AJ$2,Apresentação!$E$4='Base de Dados e filtragem'!F843),1,0)</f>
        <v>1</v>
      </c>
      <c r="AK843" s="25">
        <f>IF(OR(Apresentação!$E$5='Base de Dados e filtragem'!AK$2,Apresentação!$E$5='Base de Dados e filtragem'!G843),1,0)</f>
        <v>1</v>
      </c>
      <c r="AL843" s="25">
        <f>IF(OR(Apresentação!$E$6='Base de Dados e filtragem'!AL$2,Apresentação!$E$6='Base de Dados e filtragem'!H843),1,0)</f>
        <v>1</v>
      </c>
      <c r="AM843" s="25">
        <f>IF(OR(Apresentação!$I$2='Base de Dados e filtragem'!AM$2,Apresentação!$I$2='Base de Dados e filtragem'!I843),1,0)</f>
        <v>1</v>
      </c>
      <c r="AN843" s="25">
        <f>IF(OR(Apresentação!$I$3='Base de Dados e filtragem'!AN$2,Apresentação!$I$3='Base de Dados e filtragem'!J843),1,0)</f>
        <v>1</v>
      </c>
      <c r="AO843" s="25">
        <f>IF(OR(Apresentação!$I$4='Base de Dados e filtragem'!AO$2,Apresentação!$I$4='Base de Dados e filtragem'!K843),1,0)</f>
        <v>1</v>
      </c>
      <c r="AP843" s="25">
        <f>IF(OR(Apresentação!$I$5='Base de Dados e filtragem'!AP$2,Apresentação!$I$5='Base de Dados e filtragem'!L843),1,0)</f>
        <v>1</v>
      </c>
      <c r="AQ843" s="25">
        <f>IF(OR(Apresentação!$I$6='Base de Dados e filtragem'!AQ$2,Apresentação!$I$6='Base de Dados e filtragem'!M843),1,0)</f>
        <v>1</v>
      </c>
      <c r="AR843" s="25">
        <v>1</v>
      </c>
      <c r="AS843" s="25">
        <v>1</v>
      </c>
      <c r="AT843" s="25">
        <v>1</v>
      </c>
      <c r="AU843" s="25">
        <v>1</v>
      </c>
      <c r="AV843" s="25">
        <v>1</v>
      </c>
      <c r="AW843" s="25">
        <v>1</v>
      </c>
      <c r="AX843" s="25">
        <v>1</v>
      </c>
      <c r="AY843" s="25">
        <v>1</v>
      </c>
      <c r="AZ843" s="25">
        <v>1</v>
      </c>
      <c r="BA843" s="25">
        <v>1</v>
      </c>
      <c r="BB843" s="25">
        <v>1</v>
      </c>
      <c r="BC843" s="25">
        <v>1</v>
      </c>
      <c r="BD843" s="25">
        <v>1</v>
      </c>
    </row>
    <row r="844" spans="27:56" x14ac:dyDescent="0.25">
      <c r="AA844" s="68" t="str">
        <f t="shared" si="53"/>
        <v>Fotos\\.jpg</v>
      </c>
      <c r="AB844" s="53">
        <f t="shared" si="54"/>
        <v>1.1848341232227489E-3</v>
      </c>
      <c r="AC844" s="25">
        <f t="shared" si="55"/>
        <v>844</v>
      </c>
      <c r="AD844" s="51">
        <f t="shared" si="56"/>
        <v>1</v>
      </c>
      <c r="AE844" s="25">
        <v>1</v>
      </c>
      <c r="AF844" s="25">
        <v>1</v>
      </c>
      <c r="AG844" s="25">
        <v>1</v>
      </c>
      <c r="AH844" s="25">
        <v>1</v>
      </c>
      <c r="AI844" s="25">
        <f>IF(OR(Apresentação!$E$3='Base de Dados e filtragem'!AI$2,Apresentação!$E$3='Base de Dados e filtragem'!E844),1,0)</f>
        <v>1</v>
      </c>
      <c r="AJ844" s="25">
        <f>IF(OR(Apresentação!$E$4='Base de Dados e filtragem'!AJ$2,Apresentação!$E$4='Base de Dados e filtragem'!F844),1,0)</f>
        <v>1</v>
      </c>
      <c r="AK844" s="25">
        <f>IF(OR(Apresentação!$E$5='Base de Dados e filtragem'!AK$2,Apresentação!$E$5='Base de Dados e filtragem'!G844),1,0)</f>
        <v>1</v>
      </c>
      <c r="AL844" s="25">
        <f>IF(OR(Apresentação!$E$6='Base de Dados e filtragem'!AL$2,Apresentação!$E$6='Base de Dados e filtragem'!H844),1,0)</f>
        <v>1</v>
      </c>
      <c r="AM844" s="25">
        <f>IF(OR(Apresentação!$I$2='Base de Dados e filtragem'!AM$2,Apresentação!$I$2='Base de Dados e filtragem'!I844),1,0)</f>
        <v>1</v>
      </c>
      <c r="AN844" s="25">
        <f>IF(OR(Apresentação!$I$3='Base de Dados e filtragem'!AN$2,Apresentação!$I$3='Base de Dados e filtragem'!J844),1,0)</f>
        <v>1</v>
      </c>
      <c r="AO844" s="25">
        <f>IF(OR(Apresentação!$I$4='Base de Dados e filtragem'!AO$2,Apresentação!$I$4='Base de Dados e filtragem'!K844),1,0)</f>
        <v>1</v>
      </c>
      <c r="AP844" s="25">
        <f>IF(OR(Apresentação!$I$5='Base de Dados e filtragem'!AP$2,Apresentação!$I$5='Base de Dados e filtragem'!L844),1,0)</f>
        <v>1</v>
      </c>
      <c r="AQ844" s="25">
        <f>IF(OR(Apresentação!$I$6='Base de Dados e filtragem'!AQ$2,Apresentação!$I$6='Base de Dados e filtragem'!M844),1,0)</f>
        <v>1</v>
      </c>
      <c r="AR844" s="25">
        <v>1</v>
      </c>
      <c r="AS844" s="25">
        <v>1</v>
      </c>
      <c r="AT844" s="25">
        <v>1</v>
      </c>
      <c r="AU844" s="25">
        <v>1</v>
      </c>
      <c r="AV844" s="25">
        <v>1</v>
      </c>
      <c r="AW844" s="25">
        <v>1</v>
      </c>
      <c r="AX844" s="25">
        <v>1</v>
      </c>
      <c r="AY844" s="25">
        <v>1</v>
      </c>
      <c r="AZ844" s="25">
        <v>1</v>
      </c>
      <c r="BA844" s="25">
        <v>1</v>
      </c>
      <c r="BB844" s="25">
        <v>1</v>
      </c>
      <c r="BC844" s="25">
        <v>1</v>
      </c>
      <c r="BD844" s="25">
        <v>1</v>
      </c>
    </row>
    <row r="845" spans="27:56" x14ac:dyDescent="0.25">
      <c r="AA845" s="68" t="str">
        <f t="shared" si="53"/>
        <v>Fotos\\.jpg</v>
      </c>
      <c r="AB845" s="53">
        <f t="shared" si="54"/>
        <v>1.1834319526627219E-3</v>
      </c>
      <c r="AC845" s="25">
        <f t="shared" si="55"/>
        <v>845</v>
      </c>
      <c r="AD845" s="51">
        <f t="shared" si="56"/>
        <v>1</v>
      </c>
      <c r="AE845" s="25">
        <v>1</v>
      </c>
      <c r="AF845" s="25">
        <v>1</v>
      </c>
      <c r="AG845" s="25">
        <v>1</v>
      </c>
      <c r="AH845" s="25">
        <v>1</v>
      </c>
      <c r="AI845" s="25">
        <f>IF(OR(Apresentação!$E$3='Base de Dados e filtragem'!AI$2,Apresentação!$E$3='Base de Dados e filtragem'!E845),1,0)</f>
        <v>1</v>
      </c>
      <c r="AJ845" s="25">
        <f>IF(OR(Apresentação!$E$4='Base de Dados e filtragem'!AJ$2,Apresentação!$E$4='Base de Dados e filtragem'!F845),1,0)</f>
        <v>1</v>
      </c>
      <c r="AK845" s="25">
        <f>IF(OR(Apresentação!$E$5='Base de Dados e filtragem'!AK$2,Apresentação!$E$5='Base de Dados e filtragem'!G845),1,0)</f>
        <v>1</v>
      </c>
      <c r="AL845" s="25">
        <f>IF(OR(Apresentação!$E$6='Base de Dados e filtragem'!AL$2,Apresentação!$E$6='Base de Dados e filtragem'!H845),1,0)</f>
        <v>1</v>
      </c>
      <c r="AM845" s="25">
        <f>IF(OR(Apresentação!$I$2='Base de Dados e filtragem'!AM$2,Apresentação!$I$2='Base de Dados e filtragem'!I845),1,0)</f>
        <v>1</v>
      </c>
      <c r="AN845" s="25">
        <f>IF(OR(Apresentação!$I$3='Base de Dados e filtragem'!AN$2,Apresentação!$I$3='Base de Dados e filtragem'!J845),1,0)</f>
        <v>1</v>
      </c>
      <c r="AO845" s="25">
        <f>IF(OR(Apresentação!$I$4='Base de Dados e filtragem'!AO$2,Apresentação!$I$4='Base de Dados e filtragem'!K845),1,0)</f>
        <v>1</v>
      </c>
      <c r="AP845" s="25">
        <f>IF(OR(Apresentação!$I$5='Base de Dados e filtragem'!AP$2,Apresentação!$I$5='Base de Dados e filtragem'!L845),1,0)</f>
        <v>1</v>
      </c>
      <c r="AQ845" s="25">
        <f>IF(OR(Apresentação!$I$6='Base de Dados e filtragem'!AQ$2,Apresentação!$I$6='Base de Dados e filtragem'!M845),1,0)</f>
        <v>1</v>
      </c>
      <c r="AR845" s="25">
        <v>1</v>
      </c>
      <c r="AS845" s="25">
        <v>1</v>
      </c>
      <c r="AT845" s="25">
        <v>1</v>
      </c>
      <c r="AU845" s="25">
        <v>1</v>
      </c>
      <c r="AV845" s="25">
        <v>1</v>
      </c>
      <c r="AW845" s="25">
        <v>1</v>
      </c>
      <c r="AX845" s="25">
        <v>1</v>
      </c>
      <c r="AY845" s="25">
        <v>1</v>
      </c>
      <c r="AZ845" s="25">
        <v>1</v>
      </c>
      <c r="BA845" s="25">
        <v>1</v>
      </c>
      <c r="BB845" s="25">
        <v>1</v>
      </c>
      <c r="BC845" s="25">
        <v>1</v>
      </c>
      <c r="BD845" s="25">
        <v>1</v>
      </c>
    </row>
    <row r="846" spans="27:56" x14ac:dyDescent="0.25">
      <c r="AA846" s="68" t="str">
        <f t="shared" si="53"/>
        <v>Fotos\\.jpg</v>
      </c>
      <c r="AB846" s="53">
        <f t="shared" si="54"/>
        <v>1.1820330969267139E-3</v>
      </c>
      <c r="AC846" s="25">
        <f t="shared" si="55"/>
        <v>846</v>
      </c>
      <c r="AD846" s="51">
        <f t="shared" si="56"/>
        <v>1</v>
      </c>
      <c r="AE846" s="25">
        <v>1</v>
      </c>
      <c r="AF846" s="25">
        <v>1</v>
      </c>
      <c r="AG846" s="25">
        <v>1</v>
      </c>
      <c r="AH846" s="25">
        <v>1</v>
      </c>
      <c r="AI846" s="25">
        <f>IF(OR(Apresentação!$E$3='Base de Dados e filtragem'!AI$2,Apresentação!$E$3='Base de Dados e filtragem'!E846),1,0)</f>
        <v>1</v>
      </c>
      <c r="AJ846" s="25">
        <f>IF(OR(Apresentação!$E$4='Base de Dados e filtragem'!AJ$2,Apresentação!$E$4='Base de Dados e filtragem'!F846),1,0)</f>
        <v>1</v>
      </c>
      <c r="AK846" s="25">
        <f>IF(OR(Apresentação!$E$5='Base de Dados e filtragem'!AK$2,Apresentação!$E$5='Base de Dados e filtragem'!G846),1,0)</f>
        <v>1</v>
      </c>
      <c r="AL846" s="25">
        <f>IF(OR(Apresentação!$E$6='Base de Dados e filtragem'!AL$2,Apresentação!$E$6='Base de Dados e filtragem'!H846),1,0)</f>
        <v>1</v>
      </c>
      <c r="AM846" s="25">
        <f>IF(OR(Apresentação!$I$2='Base de Dados e filtragem'!AM$2,Apresentação!$I$2='Base de Dados e filtragem'!I846),1,0)</f>
        <v>1</v>
      </c>
      <c r="AN846" s="25">
        <f>IF(OR(Apresentação!$I$3='Base de Dados e filtragem'!AN$2,Apresentação!$I$3='Base de Dados e filtragem'!J846),1,0)</f>
        <v>1</v>
      </c>
      <c r="AO846" s="25">
        <f>IF(OR(Apresentação!$I$4='Base de Dados e filtragem'!AO$2,Apresentação!$I$4='Base de Dados e filtragem'!K846),1,0)</f>
        <v>1</v>
      </c>
      <c r="AP846" s="25">
        <f>IF(OR(Apresentação!$I$5='Base de Dados e filtragem'!AP$2,Apresentação!$I$5='Base de Dados e filtragem'!L846),1,0)</f>
        <v>1</v>
      </c>
      <c r="AQ846" s="25">
        <f>IF(OR(Apresentação!$I$6='Base de Dados e filtragem'!AQ$2,Apresentação!$I$6='Base de Dados e filtragem'!M846),1,0)</f>
        <v>1</v>
      </c>
      <c r="AR846" s="25">
        <v>1</v>
      </c>
      <c r="AS846" s="25">
        <v>1</v>
      </c>
      <c r="AT846" s="25">
        <v>1</v>
      </c>
      <c r="AU846" s="25">
        <v>1</v>
      </c>
      <c r="AV846" s="25">
        <v>1</v>
      </c>
      <c r="AW846" s="25">
        <v>1</v>
      </c>
      <c r="AX846" s="25">
        <v>1</v>
      </c>
      <c r="AY846" s="25">
        <v>1</v>
      </c>
      <c r="AZ846" s="25">
        <v>1</v>
      </c>
      <c r="BA846" s="25">
        <v>1</v>
      </c>
      <c r="BB846" s="25">
        <v>1</v>
      </c>
      <c r="BC846" s="25">
        <v>1</v>
      </c>
      <c r="BD846" s="25">
        <v>1</v>
      </c>
    </row>
    <row r="847" spans="27:56" x14ac:dyDescent="0.25">
      <c r="AA847" s="68" t="str">
        <f t="shared" si="53"/>
        <v>Fotos\\.jpg</v>
      </c>
      <c r="AB847" s="53">
        <f t="shared" si="54"/>
        <v>1.1806375442739079E-3</v>
      </c>
      <c r="AC847" s="25">
        <f t="shared" si="55"/>
        <v>847</v>
      </c>
      <c r="AD847" s="51">
        <f t="shared" si="56"/>
        <v>1</v>
      </c>
      <c r="AE847" s="25">
        <v>1</v>
      </c>
      <c r="AF847" s="25">
        <v>1</v>
      </c>
      <c r="AG847" s="25">
        <v>1</v>
      </c>
      <c r="AH847" s="25">
        <v>1</v>
      </c>
      <c r="AI847" s="25">
        <f>IF(OR(Apresentação!$E$3='Base de Dados e filtragem'!AI$2,Apresentação!$E$3='Base de Dados e filtragem'!E847),1,0)</f>
        <v>1</v>
      </c>
      <c r="AJ847" s="25">
        <f>IF(OR(Apresentação!$E$4='Base de Dados e filtragem'!AJ$2,Apresentação!$E$4='Base de Dados e filtragem'!F847),1,0)</f>
        <v>1</v>
      </c>
      <c r="AK847" s="25">
        <f>IF(OR(Apresentação!$E$5='Base de Dados e filtragem'!AK$2,Apresentação!$E$5='Base de Dados e filtragem'!G847),1,0)</f>
        <v>1</v>
      </c>
      <c r="AL847" s="25">
        <f>IF(OR(Apresentação!$E$6='Base de Dados e filtragem'!AL$2,Apresentação!$E$6='Base de Dados e filtragem'!H847),1,0)</f>
        <v>1</v>
      </c>
      <c r="AM847" s="25">
        <f>IF(OR(Apresentação!$I$2='Base de Dados e filtragem'!AM$2,Apresentação!$I$2='Base de Dados e filtragem'!I847),1,0)</f>
        <v>1</v>
      </c>
      <c r="AN847" s="25">
        <f>IF(OR(Apresentação!$I$3='Base de Dados e filtragem'!AN$2,Apresentação!$I$3='Base de Dados e filtragem'!J847),1,0)</f>
        <v>1</v>
      </c>
      <c r="AO847" s="25">
        <f>IF(OR(Apresentação!$I$4='Base de Dados e filtragem'!AO$2,Apresentação!$I$4='Base de Dados e filtragem'!K847),1,0)</f>
        <v>1</v>
      </c>
      <c r="AP847" s="25">
        <f>IF(OR(Apresentação!$I$5='Base de Dados e filtragem'!AP$2,Apresentação!$I$5='Base de Dados e filtragem'!L847),1,0)</f>
        <v>1</v>
      </c>
      <c r="AQ847" s="25">
        <f>IF(OR(Apresentação!$I$6='Base de Dados e filtragem'!AQ$2,Apresentação!$I$6='Base de Dados e filtragem'!M847),1,0)</f>
        <v>1</v>
      </c>
      <c r="AR847" s="25">
        <v>1</v>
      </c>
      <c r="AS847" s="25">
        <v>1</v>
      </c>
      <c r="AT847" s="25">
        <v>1</v>
      </c>
      <c r="AU847" s="25">
        <v>1</v>
      </c>
      <c r="AV847" s="25">
        <v>1</v>
      </c>
      <c r="AW847" s="25">
        <v>1</v>
      </c>
      <c r="AX847" s="25">
        <v>1</v>
      </c>
      <c r="AY847" s="25">
        <v>1</v>
      </c>
      <c r="AZ847" s="25">
        <v>1</v>
      </c>
      <c r="BA847" s="25">
        <v>1</v>
      </c>
      <c r="BB847" s="25">
        <v>1</v>
      </c>
      <c r="BC847" s="25">
        <v>1</v>
      </c>
      <c r="BD847" s="25">
        <v>1</v>
      </c>
    </row>
    <row r="848" spans="27:56" x14ac:dyDescent="0.25">
      <c r="AA848" s="68" t="str">
        <f t="shared" si="53"/>
        <v>Fotos\\.jpg</v>
      </c>
      <c r="AB848" s="53">
        <f t="shared" si="54"/>
        <v>1.1792452830188679E-3</v>
      </c>
      <c r="AC848" s="25">
        <f t="shared" si="55"/>
        <v>848</v>
      </c>
      <c r="AD848" s="51">
        <f t="shared" si="56"/>
        <v>1</v>
      </c>
      <c r="AE848" s="25">
        <v>1</v>
      </c>
      <c r="AF848" s="25">
        <v>1</v>
      </c>
      <c r="AG848" s="25">
        <v>1</v>
      </c>
      <c r="AH848" s="25">
        <v>1</v>
      </c>
      <c r="AI848" s="25">
        <f>IF(OR(Apresentação!$E$3='Base de Dados e filtragem'!AI$2,Apresentação!$E$3='Base de Dados e filtragem'!E848),1,0)</f>
        <v>1</v>
      </c>
      <c r="AJ848" s="25">
        <f>IF(OR(Apresentação!$E$4='Base de Dados e filtragem'!AJ$2,Apresentação!$E$4='Base de Dados e filtragem'!F848),1,0)</f>
        <v>1</v>
      </c>
      <c r="AK848" s="25">
        <f>IF(OR(Apresentação!$E$5='Base de Dados e filtragem'!AK$2,Apresentação!$E$5='Base de Dados e filtragem'!G848),1,0)</f>
        <v>1</v>
      </c>
      <c r="AL848" s="25">
        <f>IF(OR(Apresentação!$E$6='Base de Dados e filtragem'!AL$2,Apresentação!$E$6='Base de Dados e filtragem'!H848),1,0)</f>
        <v>1</v>
      </c>
      <c r="AM848" s="25">
        <f>IF(OR(Apresentação!$I$2='Base de Dados e filtragem'!AM$2,Apresentação!$I$2='Base de Dados e filtragem'!I848),1,0)</f>
        <v>1</v>
      </c>
      <c r="AN848" s="25">
        <f>IF(OR(Apresentação!$I$3='Base de Dados e filtragem'!AN$2,Apresentação!$I$3='Base de Dados e filtragem'!J848),1,0)</f>
        <v>1</v>
      </c>
      <c r="AO848" s="25">
        <f>IF(OR(Apresentação!$I$4='Base de Dados e filtragem'!AO$2,Apresentação!$I$4='Base de Dados e filtragem'!K848),1,0)</f>
        <v>1</v>
      </c>
      <c r="AP848" s="25">
        <f>IF(OR(Apresentação!$I$5='Base de Dados e filtragem'!AP$2,Apresentação!$I$5='Base de Dados e filtragem'!L848),1,0)</f>
        <v>1</v>
      </c>
      <c r="AQ848" s="25">
        <f>IF(OR(Apresentação!$I$6='Base de Dados e filtragem'!AQ$2,Apresentação!$I$6='Base de Dados e filtragem'!M848),1,0)</f>
        <v>1</v>
      </c>
      <c r="AR848" s="25">
        <v>1</v>
      </c>
      <c r="AS848" s="25">
        <v>1</v>
      </c>
      <c r="AT848" s="25">
        <v>1</v>
      </c>
      <c r="AU848" s="25">
        <v>1</v>
      </c>
      <c r="AV848" s="25">
        <v>1</v>
      </c>
      <c r="AW848" s="25">
        <v>1</v>
      </c>
      <c r="AX848" s="25">
        <v>1</v>
      </c>
      <c r="AY848" s="25">
        <v>1</v>
      </c>
      <c r="AZ848" s="25">
        <v>1</v>
      </c>
      <c r="BA848" s="25">
        <v>1</v>
      </c>
      <c r="BB848" s="25">
        <v>1</v>
      </c>
      <c r="BC848" s="25">
        <v>1</v>
      </c>
      <c r="BD848" s="25">
        <v>1</v>
      </c>
    </row>
    <row r="849" spans="27:56" x14ac:dyDescent="0.25">
      <c r="AA849" s="68" t="str">
        <f t="shared" si="53"/>
        <v>Fotos\\.jpg</v>
      </c>
      <c r="AB849" s="53">
        <f t="shared" si="54"/>
        <v>1.1778563015312131E-3</v>
      </c>
      <c r="AC849" s="25">
        <f t="shared" si="55"/>
        <v>849</v>
      </c>
      <c r="AD849" s="51">
        <f t="shared" si="56"/>
        <v>1</v>
      </c>
      <c r="AE849" s="25">
        <v>1</v>
      </c>
      <c r="AF849" s="25">
        <v>1</v>
      </c>
      <c r="AG849" s="25">
        <v>1</v>
      </c>
      <c r="AH849" s="25">
        <v>1</v>
      </c>
      <c r="AI849" s="25">
        <f>IF(OR(Apresentação!$E$3='Base de Dados e filtragem'!AI$2,Apresentação!$E$3='Base de Dados e filtragem'!E849),1,0)</f>
        <v>1</v>
      </c>
      <c r="AJ849" s="25">
        <f>IF(OR(Apresentação!$E$4='Base de Dados e filtragem'!AJ$2,Apresentação!$E$4='Base de Dados e filtragem'!F849),1,0)</f>
        <v>1</v>
      </c>
      <c r="AK849" s="25">
        <f>IF(OR(Apresentação!$E$5='Base de Dados e filtragem'!AK$2,Apresentação!$E$5='Base de Dados e filtragem'!G849),1,0)</f>
        <v>1</v>
      </c>
      <c r="AL849" s="25">
        <f>IF(OR(Apresentação!$E$6='Base de Dados e filtragem'!AL$2,Apresentação!$E$6='Base de Dados e filtragem'!H849),1,0)</f>
        <v>1</v>
      </c>
      <c r="AM849" s="25">
        <f>IF(OR(Apresentação!$I$2='Base de Dados e filtragem'!AM$2,Apresentação!$I$2='Base de Dados e filtragem'!I849),1,0)</f>
        <v>1</v>
      </c>
      <c r="AN849" s="25">
        <f>IF(OR(Apresentação!$I$3='Base de Dados e filtragem'!AN$2,Apresentação!$I$3='Base de Dados e filtragem'!J849),1,0)</f>
        <v>1</v>
      </c>
      <c r="AO849" s="25">
        <f>IF(OR(Apresentação!$I$4='Base de Dados e filtragem'!AO$2,Apresentação!$I$4='Base de Dados e filtragem'!K849),1,0)</f>
        <v>1</v>
      </c>
      <c r="AP849" s="25">
        <f>IF(OR(Apresentação!$I$5='Base de Dados e filtragem'!AP$2,Apresentação!$I$5='Base de Dados e filtragem'!L849),1,0)</f>
        <v>1</v>
      </c>
      <c r="AQ849" s="25">
        <f>IF(OR(Apresentação!$I$6='Base de Dados e filtragem'!AQ$2,Apresentação!$I$6='Base de Dados e filtragem'!M849),1,0)</f>
        <v>1</v>
      </c>
      <c r="AR849" s="25">
        <v>1</v>
      </c>
      <c r="AS849" s="25">
        <v>1</v>
      </c>
      <c r="AT849" s="25">
        <v>1</v>
      </c>
      <c r="AU849" s="25">
        <v>1</v>
      </c>
      <c r="AV849" s="25">
        <v>1</v>
      </c>
      <c r="AW849" s="25">
        <v>1</v>
      </c>
      <c r="AX849" s="25">
        <v>1</v>
      </c>
      <c r="AY849" s="25">
        <v>1</v>
      </c>
      <c r="AZ849" s="25">
        <v>1</v>
      </c>
      <c r="BA849" s="25">
        <v>1</v>
      </c>
      <c r="BB849" s="25">
        <v>1</v>
      </c>
      <c r="BC849" s="25">
        <v>1</v>
      </c>
      <c r="BD849" s="25">
        <v>1</v>
      </c>
    </row>
    <row r="850" spans="27:56" x14ac:dyDescent="0.25">
      <c r="AA850" s="68" t="str">
        <f t="shared" si="53"/>
        <v>Fotos\\.jpg</v>
      </c>
      <c r="AB850" s="53">
        <f t="shared" si="54"/>
        <v>1.176470588235294E-3</v>
      </c>
      <c r="AC850" s="25">
        <f t="shared" si="55"/>
        <v>850</v>
      </c>
      <c r="AD850" s="51">
        <f t="shared" si="56"/>
        <v>1</v>
      </c>
      <c r="AE850" s="25">
        <v>1</v>
      </c>
      <c r="AF850" s="25">
        <v>1</v>
      </c>
      <c r="AG850" s="25">
        <v>1</v>
      </c>
      <c r="AH850" s="25">
        <v>1</v>
      </c>
      <c r="AI850" s="25">
        <f>IF(OR(Apresentação!$E$3='Base de Dados e filtragem'!AI$2,Apresentação!$E$3='Base de Dados e filtragem'!E850),1,0)</f>
        <v>1</v>
      </c>
      <c r="AJ850" s="25">
        <f>IF(OR(Apresentação!$E$4='Base de Dados e filtragem'!AJ$2,Apresentação!$E$4='Base de Dados e filtragem'!F850),1,0)</f>
        <v>1</v>
      </c>
      <c r="AK850" s="25">
        <f>IF(OR(Apresentação!$E$5='Base de Dados e filtragem'!AK$2,Apresentação!$E$5='Base de Dados e filtragem'!G850),1,0)</f>
        <v>1</v>
      </c>
      <c r="AL850" s="25">
        <f>IF(OR(Apresentação!$E$6='Base de Dados e filtragem'!AL$2,Apresentação!$E$6='Base de Dados e filtragem'!H850),1,0)</f>
        <v>1</v>
      </c>
      <c r="AM850" s="25">
        <f>IF(OR(Apresentação!$I$2='Base de Dados e filtragem'!AM$2,Apresentação!$I$2='Base de Dados e filtragem'!I850),1,0)</f>
        <v>1</v>
      </c>
      <c r="AN850" s="25">
        <f>IF(OR(Apresentação!$I$3='Base de Dados e filtragem'!AN$2,Apresentação!$I$3='Base de Dados e filtragem'!J850),1,0)</f>
        <v>1</v>
      </c>
      <c r="AO850" s="25">
        <f>IF(OR(Apresentação!$I$4='Base de Dados e filtragem'!AO$2,Apresentação!$I$4='Base de Dados e filtragem'!K850),1,0)</f>
        <v>1</v>
      </c>
      <c r="AP850" s="25">
        <f>IF(OR(Apresentação!$I$5='Base de Dados e filtragem'!AP$2,Apresentação!$I$5='Base de Dados e filtragem'!L850),1,0)</f>
        <v>1</v>
      </c>
      <c r="AQ850" s="25">
        <f>IF(OR(Apresentação!$I$6='Base de Dados e filtragem'!AQ$2,Apresentação!$I$6='Base de Dados e filtragem'!M850),1,0)</f>
        <v>1</v>
      </c>
      <c r="AR850" s="25">
        <v>1</v>
      </c>
      <c r="AS850" s="25">
        <v>1</v>
      </c>
      <c r="AT850" s="25">
        <v>1</v>
      </c>
      <c r="AU850" s="25">
        <v>1</v>
      </c>
      <c r="AV850" s="25">
        <v>1</v>
      </c>
      <c r="AW850" s="25">
        <v>1</v>
      </c>
      <c r="AX850" s="25">
        <v>1</v>
      </c>
      <c r="AY850" s="25">
        <v>1</v>
      </c>
      <c r="AZ850" s="25">
        <v>1</v>
      </c>
      <c r="BA850" s="25">
        <v>1</v>
      </c>
      <c r="BB850" s="25">
        <v>1</v>
      </c>
      <c r="BC850" s="25">
        <v>1</v>
      </c>
      <c r="BD850" s="25">
        <v>1</v>
      </c>
    </row>
    <row r="851" spans="27:56" x14ac:dyDescent="0.25">
      <c r="AA851" s="68" t="str">
        <f t="shared" si="53"/>
        <v>Fotos\\.jpg</v>
      </c>
      <c r="AB851" s="53">
        <f t="shared" si="54"/>
        <v>1.1750881316098707E-3</v>
      </c>
      <c r="AC851" s="25">
        <f t="shared" si="55"/>
        <v>851</v>
      </c>
      <c r="AD851" s="51">
        <f t="shared" si="56"/>
        <v>1</v>
      </c>
      <c r="AE851" s="25">
        <v>1</v>
      </c>
      <c r="AF851" s="25">
        <v>1</v>
      </c>
      <c r="AG851" s="25">
        <v>1</v>
      </c>
      <c r="AH851" s="25">
        <v>1</v>
      </c>
      <c r="AI851" s="25">
        <f>IF(OR(Apresentação!$E$3='Base de Dados e filtragem'!AI$2,Apresentação!$E$3='Base de Dados e filtragem'!E851),1,0)</f>
        <v>1</v>
      </c>
      <c r="AJ851" s="25">
        <f>IF(OR(Apresentação!$E$4='Base de Dados e filtragem'!AJ$2,Apresentação!$E$4='Base de Dados e filtragem'!F851),1,0)</f>
        <v>1</v>
      </c>
      <c r="AK851" s="25">
        <f>IF(OR(Apresentação!$E$5='Base de Dados e filtragem'!AK$2,Apresentação!$E$5='Base de Dados e filtragem'!G851),1,0)</f>
        <v>1</v>
      </c>
      <c r="AL851" s="25">
        <f>IF(OR(Apresentação!$E$6='Base de Dados e filtragem'!AL$2,Apresentação!$E$6='Base de Dados e filtragem'!H851),1,0)</f>
        <v>1</v>
      </c>
      <c r="AM851" s="25">
        <f>IF(OR(Apresentação!$I$2='Base de Dados e filtragem'!AM$2,Apresentação!$I$2='Base de Dados e filtragem'!I851),1,0)</f>
        <v>1</v>
      </c>
      <c r="AN851" s="25">
        <f>IF(OR(Apresentação!$I$3='Base de Dados e filtragem'!AN$2,Apresentação!$I$3='Base de Dados e filtragem'!J851),1,0)</f>
        <v>1</v>
      </c>
      <c r="AO851" s="25">
        <f>IF(OR(Apresentação!$I$4='Base de Dados e filtragem'!AO$2,Apresentação!$I$4='Base de Dados e filtragem'!K851),1,0)</f>
        <v>1</v>
      </c>
      <c r="AP851" s="25">
        <f>IF(OR(Apresentação!$I$5='Base de Dados e filtragem'!AP$2,Apresentação!$I$5='Base de Dados e filtragem'!L851),1,0)</f>
        <v>1</v>
      </c>
      <c r="AQ851" s="25">
        <f>IF(OR(Apresentação!$I$6='Base de Dados e filtragem'!AQ$2,Apresentação!$I$6='Base de Dados e filtragem'!M851),1,0)</f>
        <v>1</v>
      </c>
      <c r="AR851" s="25">
        <v>1</v>
      </c>
      <c r="AS851" s="25">
        <v>1</v>
      </c>
      <c r="AT851" s="25">
        <v>1</v>
      </c>
      <c r="AU851" s="25">
        <v>1</v>
      </c>
      <c r="AV851" s="25">
        <v>1</v>
      </c>
      <c r="AW851" s="25">
        <v>1</v>
      </c>
      <c r="AX851" s="25">
        <v>1</v>
      </c>
      <c r="AY851" s="25">
        <v>1</v>
      </c>
      <c r="AZ851" s="25">
        <v>1</v>
      </c>
      <c r="BA851" s="25">
        <v>1</v>
      </c>
      <c r="BB851" s="25">
        <v>1</v>
      </c>
      <c r="BC851" s="25">
        <v>1</v>
      </c>
      <c r="BD851" s="25">
        <v>1</v>
      </c>
    </row>
    <row r="852" spans="27:56" x14ac:dyDescent="0.25">
      <c r="AA852" s="68" t="str">
        <f t="shared" si="53"/>
        <v>Fotos\\.jpg</v>
      </c>
      <c r="AB852" s="53">
        <f t="shared" si="54"/>
        <v>1.1737089201877935E-3</v>
      </c>
      <c r="AC852" s="25">
        <f t="shared" si="55"/>
        <v>852</v>
      </c>
      <c r="AD852" s="51">
        <f t="shared" si="56"/>
        <v>1</v>
      </c>
      <c r="AE852" s="25">
        <v>1</v>
      </c>
      <c r="AF852" s="25">
        <v>1</v>
      </c>
      <c r="AG852" s="25">
        <v>1</v>
      </c>
      <c r="AH852" s="25">
        <v>1</v>
      </c>
      <c r="AI852" s="25">
        <f>IF(OR(Apresentação!$E$3='Base de Dados e filtragem'!AI$2,Apresentação!$E$3='Base de Dados e filtragem'!E852),1,0)</f>
        <v>1</v>
      </c>
      <c r="AJ852" s="25">
        <f>IF(OR(Apresentação!$E$4='Base de Dados e filtragem'!AJ$2,Apresentação!$E$4='Base de Dados e filtragem'!F852),1,0)</f>
        <v>1</v>
      </c>
      <c r="AK852" s="25">
        <f>IF(OR(Apresentação!$E$5='Base de Dados e filtragem'!AK$2,Apresentação!$E$5='Base de Dados e filtragem'!G852),1,0)</f>
        <v>1</v>
      </c>
      <c r="AL852" s="25">
        <f>IF(OR(Apresentação!$E$6='Base de Dados e filtragem'!AL$2,Apresentação!$E$6='Base de Dados e filtragem'!H852),1,0)</f>
        <v>1</v>
      </c>
      <c r="AM852" s="25">
        <f>IF(OR(Apresentação!$I$2='Base de Dados e filtragem'!AM$2,Apresentação!$I$2='Base de Dados e filtragem'!I852),1,0)</f>
        <v>1</v>
      </c>
      <c r="AN852" s="25">
        <f>IF(OR(Apresentação!$I$3='Base de Dados e filtragem'!AN$2,Apresentação!$I$3='Base de Dados e filtragem'!J852),1,0)</f>
        <v>1</v>
      </c>
      <c r="AO852" s="25">
        <f>IF(OR(Apresentação!$I$4='Base de Dados e filtragem'!AO$2,Apresentação!$I$4='Base de Dados e filtragem'!K852),1,0)</f>
        <v>1</v>
      </c>
      <c r="AP852" s="25">
        <f>IF(OR(Apresentação!$I$5='Base de Dados e filtragem'!AP$2,Apresentação!$I$5='Base de Dados e filtragem'!L852),1,0)</f>
        <v>1</v>
      </c>
      <c r="AQ852" s="25">
        <f>IF(OR(Apresentação!$I$6='Base de Dados e filtragem'!AQ$2,Apresentação!$I$6='Base de Dados e filtragem'!M852),1,0)</f>
        <v>1</v>
      </c>
      <c r="AR852" s="25">
        <v>1</v>
      </c>
      <c r="AS852" s="25">
        <v>1</v>
      </c>
      <c r="AT852" s="25">
        <v>1</v>
      </c>
      <c r="AU852" s="25">
        <v>1</v>
      </c>
      <c r="AV852" s="25">
        <v>1</v>
      </c>
      <c r="AW852" s="25">
        <v>1</v>
      </c>
      <c r="AX852" s="25">
        <v>1</v>
      </c>
      <c r="AY852" s="25">
        <v>1</v>
      </c>
      <c r="AZ852" s="25">
        <v>1</v>
      </c>
      <c r="BA852" s="25">
        <v>1</v>
      </c>
      <c r="BB852" s="25">
        <v>1</v>
      </c>
      <c r="BC852" s="25">
        <v>1</v>
      </c>
      <c r="BD852" s="25">
        <v>1</v>
      </c>
    </row>
    <row r="853" spans="27:56" x14ac:dyDescent="0.25">
      <c r="AA853" s="68" t="str">
        <f t="shared" si="53"/>
        <v>Fotos\\.jpg</v>
      </c>
      <c r="AB853" s="53">
        <f t="shared" si="54"/>
        <v>1.1723329425556857E-3</v>
      </c>
      <c r="AC853" s="25">
        <f t="shared" si="55"/>
        <v>853</v>
      </c>
      <c r="AD853" s="51">
        <f t="shared" si="56"/>
        <v>1</v>
      </c>
      <c r="AE853" s="25">
        <v>1</v>
      </c>
      <c r="AF853" s="25">
        <v>1</v>
      </c>
      <c r="AG853" s="25">
        <v>1</v>
      </c>
      <c r="AH853" s="25">
        <v>1</v>
      </c>
      <c r="AI853" s="25">
        <f>IF(OR(Apresentação!$E$3='Base de Dados e filtragem'!AI$2,Apresentação!$E$3='Base de Dados e filtragem'!E853),1,0)</f>
        <v>1</v>
      </c>
      <c r="AJ853" s="25">
        <f>IF(OR(Apresentação!$E$4='Base de Dados e filtragem'!AJ$2,Apresentação!$E$4='Base de Dados e filtragem'!F853),1,0)</f>
        <v>1</v>
      </c>
      <c r="AK853" s="25">
        <f>IF(OR(Apresentação!$E$5='Base de Dados e filtragem'!AK$2,Apresentação!$E$5='Base de Dados e filtragem'!G853),1,0)</f>
        <v>1</v>
      </c>
      <c r="AL853" s="25">
        <f>IF(OR(Apresentação!$E$6='Base de Dados e filtragem'!AL$2,Apresentação!$E$6='Base de Dados e filtragem'!H853),1,0)</f>
        <v>1</v>
      </c>
      <c r="AM853" s="25">
        <f>IF(OR(Apresentação!$I$2='Base de Dados e filtragem'!AM$2,Apresentação!$I$2='Base de Dados e filtragem'!I853),1,0)</f>
        <v>1</v>
      </c>
      <c r="AN853" s="25">
        <f>IF(OR(Apresentação!$I$3='Base de Dados e filtragem'!AN$2,Apresentação!$I$3='Base de Dados e filtragem'!J853),1,0)</f>
        <v>1</v>
      </c>
      <c r="AO853" s="25">
        <f>IF(OR(Apresentação!$I$4='Base de Dados e filtragem'!AO$2,Apresentação!$I$4='Base de Dados e filtragem'!K853),1,0)</f>
        <v>1</v>
      </c>
      <c r="AP853" s="25">
        <f>IF(OR(Apresentação!$I$5='Base de Dados e filtragem'!AP$2,Apresentação!$I$5='Base de Dados e filtragem'!L853),1,0)</f>
        <v>1</v>
      </c>
      <c r="AQ853" s="25">
        <f>IF(OR(Apresentação!$I$6='Base de Dados e filtragem'!AQ$2,Apresentação!$I$6='Base de Dados e filtragem'!M853),1,0)</f>
        <v>1</v>
      </c>
      <c r="AR853" s="25">
        <v>1</v>
      </c>
      <c r="AS853" s="25">
        <v>1</v>
      </c>
      <c r="AT853" s="25">
        <v>1</v>
      </c>
      <c r="AU853" s="25">
        <v>1</v>
      </c>
      <c r="AV853" s="25">
        <v>1</v>
      </c>
      <c r="AW853" s="25">
        <v>1</v>
      </c>
      <c r="AX853" s="25">
        <v>1</v>
      </c>
      <c r="AY853" s="25">
        <v>1</v>
      </c>
      <c r="AZ853" s="25">
        <v>1</v>
      </c>
      <c r="BA853" s="25">
        <v>1</v>
      </c>
      <c r="BB853" s="25">
        <v>1</v>
      </c>
      <c r="BC853" s="25">
        <v>1</v>
      </c>
      <c r="BD853" s="25">
        <v>1</v>
      </c>
    </row>
    <row r="854" spans="27:56" x14ac:dyDescent="0.25">
      <c r="AA854" s="68" t="str">
        <f t="shared" si="53"/>
        <v>Fotos\\.jpg</v>
      </c>
      <c r="AB854" s="53">
        <f t="shared" si="54"/>
        <v>1.17096018735363E-3</v>
      </c>
      <c r="AC854" s="25">
        <f t="shared" si="55"/>
        <v>854</v>
      </c>
      <c r="AD854" s="51">
        <f t="shared" si="56"/>
        <v>1</v>
      </c>
      <c r="AE854" s="25">
        <v>1</v>
      </c>
      <c r="AF854" s="25">
        <v>1</v>
      </c>
      <c r="AG854" s="25">
        <v>1</v>
      </c>
      <c r="AH854" s="25">
        <v>1</v>
      </c>
      <c r="AI854" s="25">
        <f>IF(OR(Apresentação!$E$3='Base de Dados e filtragem'!AI$2,Apresentação!$E$3='Base de Dados e filtragem'!E854),1,0)</f>
        <v>1</v>
      </c>
      <c r="AJ854" s="25">
        <f>IF(OR(Apresentação!$E$4='Base de Dados e filtragem'!AJ$2,Apresentação!$E$4='Base de Dados e filtragem'!F854),1,0)</f>
        <v>1</v>
      </c>
      <c r="AK854" s="25">
        <f>IF(OR(Apresentação!$E$5='Base de Dados e filtragem'!AK$2,Apresentação!$E$5='Base de Dados e filtragem'!G854),1,0)</f>
        <v>1</v>
      </c>
      <c r="AL854" s="25">
        <f>IF(OR(Apresentação!$E$6='Base de Dados e filtragem'!AL$2,Apresentação!$E$6='Base de Dados e filtragem'!H854),1,0)</f>
        <v>1</v>
      </c>
      <c r="AM854" s="25">
        <f>IF(OR(Apresentação!$I$2='Base de Dados e filtragem'!AM$2,Apresentação!$I$2='Base de Dados e filtragem'!I854),1,0)</f>
        <v>1</v>
      </c>
      <c r="AN854" s="25">
        <f>IF(OR(Apresentação!$I$3='Base de Dados e filtragem'!AN$2,Apresentação!$I$3='Base de Dados e filtragem'!J854),1,0)</f>
        <v>1</v>
      </c>
      <c r="AO854" s="25">
        <f>IF(OR(Apresentação!$I$4='Base de Dados e filtragem'!AO$2,Apresentação!$I$4='Base de Dados e filtragem'!K854),1,0)</f>
        <v>1</v>
      </c>
      <c r="AP854" s="25">
        <f>IF(OR(Apresentação!$I$5='Base de Dados e filtragem'!AP$2,Apresentação!$I$5='Base de Dados e filtragem'!L854),1,0)</f>
        <v>1</v>
      </c>
      <c r="AQ854" s="25">
        <f>IF(OR(Apresentação!$I$6='Base de Dados e filtragem'!AQ$2,Apresentação!$I$6='Base de Dados e filtragem'!M854),1,0)</f>
        <v>1</v>
      </c>
      <c r="AR854" s="25">
        <v>1</v>
      </c>
      <c r="AS854" s="25">
        <v>1</v>
      </c>
      <c r="AT854" s="25">
        <v>1</v>
      </c>
      <c r="AU854" s="25">
        <v>1</v>
      </c>
      <c r="AV854" s="25">
        <v>1</v>
      </c>
      <c r="AW854" s="25">
        <v>1</v>
      </c>
      <c r="AX854" s="25">
        <v>1</v>
      </c>
      <c r="AY854" s="25">
        <v>1</v>
      </c>
      <c r="AZ854" s="25">
        <v>1</v>
      </c>
      <c r="BA854" s="25">
        <v>1</v>
      </c>
      <c r="BB854" s="25">
        <v>1</v>
      </c>
      <c r="BC854" s="25">
        <v>1</v>
      </c>
      <c r="BD854" s="25">
        <v>1</v>
      </c>
    </row>
    <row r="855" spans="27:56" x14ac:dyDescent="0.25">
      <c r="AA855" s="68" t="str">
        <f t="shared" si="53"/>
        <v>Fotos\\.jpg</v>
      </c>
      <c r="AB855" s="53">
        <f t="shared" si="54"/>
        <v>1.1695906432748538E-3</v>
      </c>
      <c r="AC855" s="25">
        <f t="shared" si="55"/>
        <v>855</v>
      </c>
      <c r="AD855" s="51">
        <f t="shared" si="56"/>
        <v>1</v>
      </c>
      <c r="AE855" s="25">
        <v>1</v>
      </c>
      <c r="AF855" s="25">
        <v>1</v>
      </c>
      <c r="AG855" s="25">
        <v>1</v>
      </c>
      <c r="AH855" s="25">
        <v>1</v>
      </c>
      <c r="AI855" s="25">
        <f>IF(OR(Apresentação!$E$3='Base de Dados e filtragem'!AI$2,Apresentação!$E$3='Base de Dados e filtragem'!E855),1,0)</f>
        <v>1</v>
      </c>
      <c r="AJ855" s="25">
        <f>IF(OR(Apresentação!$E$4='Base de Dados e filtragem'!AJ$2,Apresentação!$E$4='Base de Dados e filtragem'!F855),1,0)</f>
        <v>1</v>
      </c>
      <c r="AK855" s="25">
        <f>IF(OR(Apresentação!$E$5='Base de Dados e filtragem'!AK$2,Apresentação!$E$5='Base de Dados e filtragem'!G855),1,0)</f>
        <v>1</v>
      </c>
      <c r="AL855" s="25">
        <f>IF(OR(Apresentação!$E$6='Base de Dados e filtragem'!AL$2,Apresentação!$E$6='Base de Dados e filtragem'!H855),1,0)</f>
        <v>1</v>
      </c>
      <c r="AM855" s="25">
        <f>IF(OR(Apresentação!$I$2='Base de Dados e filtragem'!AM$2,Apresentação!$I$2='Base de Dados e filtragem'!I855),1,0)</f>
        <v>1</v>
      </c>
      <c r="AN855" s="25">
        <f>IF(OR(Apresentação!$I$3='Base de Dados e filtragem'!AN$2,Apresentação!$I$3='Base de Dados e filtragem'!J855),1,0)</f>
        <v>1</v>
      </c>
      <c r="AO855" s="25">
        <f>IF(OR(Apresentação!$I$4='Base de Dados e filtragem'!AO$2,Apresentação!$I$4='Base de Dados e filtragem'!K855),1,0)</f>
        <v>1</v>
      </c>
      <c r="AP855" s="25">
        <f>IF(OR(Apresentação!$I$5='Base de Dados e filtragem'!AP$2,Apresentação!$I$5='Base de Dados e filtragem'!L855),1,0)</f>
        <v>1</v>
      </c>
      <c r="AQ855" s="25">
        <f>IF(OR(Apresentação!$I$6='Base de Dados e filtragem'!AQ$2,Apresentação!$I$6='Base de Dados e filtragem'!M855),1,0)</f>
        <v>1</v>
      </c>
      <c r="AR855" s="25">
        <v>1</v>
      </c>
      <c r="AS855" s="25">
        <v>1</v>
      </c>
      <c r="AT855" s="25">
        <v>1</v>
      </c>
      <c r="AU855" s="25">
        <v>1</v>
      </c>
      <c r="AV855" s="25">
        <v>1</v>
      </c>
      <c r="AW855" s="25">
        <v>1</v>
      </c>
      <c r="AX855" s="25">
        <v>1</v>
      </c>
      <c r="AY855" s="25">
        <v>1</v>
      </c>
      <c r="AZ855" s="25">
        <v>1</v>
      </c>
      <c r="BA855" s="25">
        <v>1</v>
      </c>
      <c r="BB855" s="25">
        <v>1</v>
      </c>
      <c r="BC855" s="25">
        <v>1</v>
      </c>
      <c r="BD855" s="25">
        <v>1</v>
      </c>
    </row>
    <row r="856" spans="27:56" x14ac:dyDescent="0.25">
      <c r="AA856" s="68" t="str">
        <f t="shared" si="53"/>
        <v>Fotos\\.jpg</v>
      </c>
      <c r="AB856" s="53">
        <f t="shared" si="54"/>
        <v>1.1682242990654205E-3</v>
      </c>
      <c r="AC856" s="25">
        <f t="shared" si="55"/>
        <v>856</v>
      </c>
      <c r="AD856" s="51">
        <f t="shared" si="56"/>
        <v>1</v>
      </c>
      <c r="AE856" s="25">
        <v>1</v>
      </c>
      <c r="AF856" s="25">
        <v>1</v>
      </c>
      <c r="AG856" s="25">
        <v>1</v>
      </c>
      <c r="AH856" s="25">
        <v>1</v>
      </c>
      <c r="AI856" s="25">
        <f>IF(OR(Apresentação!$E$3='Base de Dados e filtragem'!AI$2,Apresentação!$E$3='Base de Dados e filtragem'!E856),1,0)</f>
        <v>1</v>
      </c>
      <c r="AJ856" s="25">
        <f>IF(OR(Apresentação!$E$4='Base de Dados e filtragem'!AJ$2,Apresentação!$E$4='Base de Dados e filtragem'!F856),1,0)</f>
        <v>1</v>
      </c>
      <c r="AK856" s="25">
        <f>IF(OR(Apresentação!$E$5='Base de Dados e filtragem'!AK$2,Apresentação!$E$5='Base de Dados e filtragem'!G856),1,0)</f>
        <v>1</v>
      </c>
      <c r="AL856" s="25">
        <f>IF(OR(Apresentação!$E$6='Base de Dados e filtragem'!AL$2,Apresentação!$E$6='Base de Dados e filtragem'!H856),1,0)</f>
        <v>1</v>
      </c>
      <c r="AM856" s="25">
        <f>IF(OR(Apresentação!$I$2='Base de Dados e filtragem'!AM$2,Apresentação!$I$2='Base de Dados e filtragem'!I856),1,0)</f>
        <v>1</v>
      </c>
      <c r="AN856" s="25">
        <f>IF(OR(Apresentação!$I$3='Base de Dados e filtragem'!AN$2,Apresentação!$I$3='Base de Dados e filtragem'!J856),1,0)</f>
        <v>1</v>
      </c>
      <c r="AO856" s="25">
        <f>IF(OR(Apresentação!$I$4='Base de Dados e filtragem'!AO$2,Apresentação!$I$4='Base de Dados e filtragem'!K856),1,0)</f>
        <v>1</v>
      </c>
      <c r="AP856" s="25">
        <f>IF(OR(Apresentação!$I$5='Base de Dados e filtragem'!AP$2,Apresentação!$I$5='Base de Dados e filtragem'!L856),1,0)</f>
        <v>1</v>
      </c>
      <c r="AQ856" s="25">
        <f>IF(OR(Apresentação!$I$6='Base de Dados e filtragem'!AQ$2,Apresentação!$I$6='Base de Dados e filtragem'!M856),1,0)</f>
        <v>1</v>
      </c>
      <c r="AR856" s="25">
        <v>1</v>
      </c>
      <c r="AS856" s="25">
        <v>1</v>
      </c>
      <c r="AT856" s="25">
        <v>1</v>
      </c>
      <c r="AU856" s="25">
        <v>1</v>
      </c>
      <c r="AV856" s="25">
        <v>1</v>
      </c>
      <c r="AW856" s="25">
        <v>1</v>
      </c>
      <c r="AX856" s="25">
        <v>1</v>
      </c>
      <c r="AY856" s="25">
        <v>1</v>
      </c>
      <c r="AZ856" s="25">
        <v>1</v>
      </c>
      <c r="BA856" s="25">
        <v>1</v>
      </c>
      <c r="BB856" s="25">
        <v>1</v>
      </c>
      <c r="BC856" s="25">
        <v>1</v>
      </c>
      <c r="BD856" s="25">
        <v>1</v>
      </c>
    </row>
    <row r="857" spans="27:56" x14ac:dyDescent="0.25">
      <c r="AA857" s="68" t="str">
        <f t="shared" si="53"/>
        <v>Fotos\\.jpg</v>
      </c>
      <c r="AB857" s="53">
        <f t="shared" si="54"/>
        <v>1.1668611435239206E-3</v>
      </c>
      <c r="AC857" s="25">
        <f t="shared" si="55"/>
        <v>857</v>
      </c>
      <c r="AD857" s="51">
        <f t="shared" si="56"/>
        <v>1</v>
      </c>
      <c r="AE857" s="25">
        <v>1</v>
      </c>
      <c r="AF857" s="25">
        <v>1</v>
      </c>
      <c r="AG857" s="25">
        <v>1</v>
      </c>
      <c r="AH857" s="25">
        <v>1</v>
      </c>
      <c r="AI857" s="25">
        <f>IF(OR(Apresentação!$E$3='Base de Dados e filtragem'!AI$2,Apresentação!$E$3='Base de Dados e filtragem'!E857),1,0)</f>
        <v>1</v>
      </c>
      <c r="AJ857" s="25">
        <f>IF(OR(Apresentação!$E$4='Base de Dados e filtragem'!AJ$2,Apresentação!$E$4='Base de Dados e filtragem'!F857),1,0)</f>
        <v>1</v>
      </c>
      <c r="AK857" s="25">
        <f>IF(OR(Apresentação!$E$5='Base de Dados e filtragem'!AK$2,Apresentação!$E$5='Base de Dados e filtragem'!G857),1,0)</f>
        <v>1</v>
      </c>
      <c r="AL857" s="25">
        <f>IF(OR(Apresentação!$E$6='Base de Dados e filtragem'!AL$2,Apresentação!$E$6='Base de Dados e filtragem'!H857),1,0)</f>
        <v>1</v>
      </c>
      <c r="AM857" s="25">
        <f>IF(OR(Apresentação!$I$2='Base de Dados e filtragem'!AM$2,Apresentação!$I$2='Base de Dados e filtragem'!I857),1,0)</f>
        <v>1</v>
      </c>
      <c r="AN857" s="25">
        <f>IF(OR(Apresentação!$I$3='Base de Dados e filtragem'!AN$2,Apresentação!$I$3='Base de Dados e filtragem'!J857),1,0)</f>
        <v>1</v>
      </c>
      <c r="AO857" s="25">
        <f>IF(OR(Apresentação!$I$4='Base de Dados e filtragem'!AO$2,Apresentação!$I$4='Base de Dados e filtragem'!K857),1,0)</f>
        <v>1</v>
      </c>
      <c r="AP857" s="25">
        <f>IF(OR(Apresentação!$I$5='Base de Dados e filtragem'!AP$2,Apresentação!$I$5='Base de Dados e filtragem'!L857),1,0)</f>
        <v>1</v>
      </c>
      <c r="AQ857" s="25">
        <f>IF(OR(Apresentação!$I$6='Base de Dados e filtragem'!AQ$2,Apresentação!$I$6='Base de Dados e filtragem'!M857),1,0)</f>
        <v>1</v>
      </c>
      <c r="AR857" s="25">
        <v>1</v>
      </c>
      <c r="AS857" s="25">
        <v>1</v>
      </c>
      <c r="AT857" s="25">
        <v>1</v>
      </c>
      <c r="AU857" s="25">
        <v>1</v>
      </c>
      <c r="AV857" s="25">
        <v>1</v>
      </c>
      <c r="AW857" s="25">
        <v>1</v>
      </c>
      <c r="AX857" s="25">
        <v>1</v>
      </c>
      <c r="AY857" s="25">
        <v>1</v>
      </c>
      <c r="AZ857" s="25">
        <v>1</v>
      </c>
      <c r="BA857" s="25">
        <v>1</v>
      </c>
      <c r="BB857" s="25">
        <v>1</v>
      </c>
      <c r="BC857" s="25">
        <v>1</v>
      </c>
      <c r="BD857" s="25">
        <v>1</v>
      </c>
    </row>
    <row r="858" spans="27:56" x14ac:dyDescent="0.25">
      <c r="AA858" s="68" t="str">
        <f t="shared" si="53"/>
        <v>Fotos\\.jpg</v>
      </c>
      <c r="AB858" s="53">
        <f t="shared" si="54"/>
        <v>1.1655011655011655E-3</v>
      </c>
      <c r="AC858" s="25">
        <f t="shared" si="55"/>
        <v>858</v>
      </c>
      <c r="AD858" s="51">
        <f t="shared" si="56"/>
        <v>1</v>
      </c>
      <c r="AE858" s="25">
        <v>1</v>
      </c>
      <c r="AF858" s="25">
        <v>1</v>
      </c>
      <c r="AG858" s="25">
        <v>1</v>
      </c>
      <c r="AH858" s="25">
        <v>1</v>
      </c>
      <c r="AI858" s="25">
        <f>IF(OR(Apresentação!$E$3='Base de Dados e filtragem'!AI$2,Apresentação!$E$3='Base de Dados e filtragem'!E858),1,0)</f>
        <v>1</v>
      </c>
      <c r="AJ858" s="25">
        <f>IF(OR(Apresentação!$E$4='Base de Dados e filtragem'!AJ$2,Apresentação!$E$4='Base de Dados e filtragem'!F858),1,0)</f>
        <v>1</v>
      </c>
      <c r="AK858" s="25">
        <f>IF(OR(Apresentação!$E$5='Base de Dados e filtragem'!AK$2,Apresentação!$E$5='Base de Dados e filtragem'!G858),1,0)</f>
        <v>1</v>
      </c>
      <c r="AL858" s="25">
        <f>IF(OR(Apresentação!$E$6='Base de Dados e filtragem'!AL$2,Apresentação!$E$6='Base de Dados e filtragem'!H858),1,0)</f>
        <v>1</v>
      </c>
      <c r="AM858" s="25">
        <f>IF(OR(Apresentação!$I$2='Base de Dados e filtragem'!AM$2,Apresentação!$I$2='Base de Dados e filtragem'!I858),1,0)</f>
        <v>1</v>
      </c>
      <c r="AN858" s="25">
        <f>IF(OR(Apresentação!$I$3='Base de Dados e filtragem'!AN$2,Apresentação!$I$3='Base de Dados e filtragem'!J858),1,0)</f>
        <v>1</v>
      </c>
      <c r="AO858" s="25">
        <f>IF(OR(Apresentação!$I$4='Base de Dados e filtragem'!AO$2,Apresentação!$I$4='Base de Dados e filtragem'!K858),1,0)</f>
        <v>1</v>
      </c>
      <c r="AP858" s="25">
        <f>IF(OR(Apresentação!$I$5='Base de Dados e filtragem'!AP$2,Apresentação!$I$5='Base de Dados e filtragem'!L858),1,0)</f>
        <v>1</v>
      </c>
      <c r="AQ858" s="25">
        <f>IF(OR(Apresentação!$I$6='Base de Dados e filtragem'!AQ$2,Apresentação!$I$6='Base de Dados e filtragem'!M858),1,0)</f>
        <v>1</v>
      </c>
      <c r="AR858" s="25">
        <v>1</v>
      </c>
      <c r="AS858" s="25">
        <v>1</v>
      </c>
      <c r="AT858" s="25">
        <v>1</v>
      </c>
      <c r="AU858" s="25">
        <v>1</v>
      </c>
      <c r="AV858" s="25">
        <v>1</v>
      </c>
      <c r="AW858" s="25">
        <v>1</v>
      </c>
      <c r="AX858" s="25">
        <v>1</v>
      </c>
      <c r="AY858" s="25">
        <v>1</v>
      </c>
      <c r="AZ858" s="25">
        <v>1</v>
      </c>
      <c r="BA858" s="25">
        <v>1</v>
      </c>
      <c r="BB858" s="25">
        <v>1</v>
      </c>
      <c r="BC858" s="25">
        <v>1</v>
      </c>
      <c r="BD858" s="25">
        <v>1</v>
      </c>
    </row>
    <row r="859" spans="27:56" x14ac:dyDescent="0.25">
      <c r="AA859" s="68" t="str">
        <f t="shared" si="53"/>
        <v>Fotos\\.jpg</v>
      </c>
      <c r="AB859" s="53">
        <f t="shared" si="54"/>
        <v>1.1641443538998836E-3</v>
      </c>
      <c r="AC859" s="25">
        <f t="shared" si="55"/>
        <v>859</v>
      </c>
      <c r="AD859" s="51">
        <f t="shared" si="56"/>
        <v>1</v>
      </c>
      <c r="AE859" s="25">
        <v>1</v>
      </c>
      <c r="AF859" s="25">
        <v>1</v>
      </c>
      <c r="AG859" s="25">
        <v>1</v>
      </c>
      <c r="AH859" s="25">
        <v>1</v>
      </c>
      <c r="AI859" s="25">
        <f>IF(OR(Apresentação!$E$3='Base de Dados e filtragem'!AI$2,Apresentação!$E$3='Base de Dados e filtragem'!E859),1,0)</f>
        <v>1</v>
      </c>
      <c r="AJ859" s="25">
        <f>IF(OR(Apresentação!$E$4='Base de Dados e filtragem'!AJ$2,Apresentação!$E$4='Base de Dados e filtragem'!F859),1,0)</f>
        <v>1</v>
      </c>
      <c r="AK859" s="25">
        <f>IF(OR(Apresentação!$E$5='Base de Dados e filtragem'!AK$2,Apresentação!$E$5='Base de Dados e filtragem'!G859),1,0)</f>
        <v>1</v>
      </c>
      <c r="AL859" s="25">
        <f>IF(OR(Apresentação!$E$6='Base de Dados e filtragem'!AL$2,Apresentação!$E$6='Base de Dados e filtragem'!H859),1,0)</f>
        <v>1</v>
      </c>
      <c r="AM859" s="25">
        <f>IF(OR(Apresentação!$I$2='Base de Dados e filtragem'!AM$2,Apresentação!$I$2='Base de Dados e filtragem'!I859),1,0)</f>
        <v>1</v>
      </c>
      <c r="AN859" s="25">
        <f>IF(OR(Apresentação!$I$3='Base de Dados e filtragem'!AN$2,Apresentação!$I$3='Base de Dados e filtragem'!J859),1,0)</f>
        <v>1</v>
      </c>
      <c r="AO859" s="25">
        <f>IF(OR(Apresentação!$I$4='Base de Dados e filtragem'!AO$2,Apresentação!$I$4='Base de Dados e filtragem'!K859),1,0)</f>
        <v>1</v>
      </c>
      <c r="AP859" s="25">
        <f>IF(OR(Apresentação!$I$5='Base de Dados e filtragem'!AP$2,Apresentação!$I$5='Base de Dados e filtragem'!L859),1,0)</f>
        <v>1</v>
      </c>
      <c r="AQ859" s="25">
        <f>IF(OR(Apresentação!$I$6='Base de Dados e filtragem'!AQ$2,Apresentação!$I$6='Base de Dados e filtragem'!M859),1,0)</f>
        <v>1</v>
      </c>
      <c r="AR859" s="25">
        <v>1</v>
      </c>
      <c r="AS859" s="25">
        <v>1</v>
      </c>
      <c r="AT859" s="25">
        <v>1</v>
      </c>
      <c r="AU859" s="25">
        <v>1</v>
      </c>
      <c r="AV859" s="25">
        <v>1</v>
      </c>
      <c r="AW859" s="25">
        <v>1</v>
      </c>
      <c r="AX859" s="25">
        <v>1</v>
      </c>
      <c r="AY859" s="25">
        <v>1</v>
      </c>
      <c r="AZ859" s="25">
        <v>1</v>
      </c>
      <c r="BA859" s="25">
        <v>1</v>
      </c>
      <c r="BB859" s="25">
        <v>1</v>
      </c>
      <c r="BC859" s="25">
        <v>1</v>
      </c>
      <c r="BD859" s="25">
        <v>1</v>
      </c>
    </row>
    <row r="860" spans="27:56" x14ac:dyDescent="0.25">
      <c r="AA860" s="68" t="str">
        <f t="shared" si="53"/>
        <v>Fotos\\.jpg</v>
      </c>
      <c r="AB860" s="53">
        <f t="shared" si="54"/>
        <v>1.1627906976744186E-3</v>
      </c>
      <c r="AC860" s="25">
        <f t="shared" si="55"/>
        <v>860</v>
      </c>
      <c r="AD860" s="51">
        <f t="shared" si="56"/>
        <v>1</v>
      </c>
      <c r="AE860" s="25">
        <v>1</v>
      </c>
      <c r="AF860" s="25">
        <v>1</v>
      </c>
      <c r="AG860" s="25">
        <v>1</v>
      </c>
      <c r="AH860" s="25">
        <v>1</v>
      </c>
      <c r="AI860" s="25">
        <f>IF(OR(Apresentação!$E$3='Base de Dados e filtragem'!AI$2,Apresentação!$E$3='Base de Dados e filtragem'!E860),1,0)</f>
        <v>1</v>
      </c>
      <c r="AJ860" s="25">
        <f>IF(OR(Apresentação!$E$4='Base de Dados e filtragem'!AJ$2,Apresentação!$E$4='Base de Dados e filtragem'!F860),1,0)</f>
        <v>1</v>
      </c>
      <c r="AK860" s="25">
        <f>IF(OR(Apresentação!$E$5='Base de Dados e filtragem'!AK$2,Apresentação!$E$5='Base de Dados e filtragem'!G860),1,0)</f>
        <v>1</v>
      </c>
      <c r="AL860" s="25">
        <f>IF(OR(Apresentação!$E$6='Base de Dados e filtragem'!AL$2,Apresentação!$E$6='Base de Dados e filtragem'!H860),1,0)</f>
        <v>1</v>
      </c>
      <c r="AM860" s="25">
        <f>IF(OR(Apresentação!$I$2='Base de Dados e filtragem'!AM$2,Apresentação!$I$2='Base de Dados e filtragem'!I860),1,0)</f>
        <v>1</v>
      </c>
      <c r="AN860" s="25">
        <f>IF(OR(Apresentação!$I$3='Base de Dados e filtragem'!AN$2,Apresentação!$I$3='Base de Dados e filtragem'!J860),1,0)</f>
        <v>1</v>
      </c>
      <c r="AO860" s="25">
        <f>IF(OR(Apresentação!$I$4='Base de Dados e filtragem'!AO$2,Apresentação!$I$4='Base de Dados e filtragem'!K860),1,0)</f>
        <v>1</v>
      </c>
      <c r="AP860" s="25">
        <f>IF(OR(Apresentação!$I$5='Base de Dados e filtragem'!AP$2,Apresentação!$I$5='Base de Dados e filtragem'!L860),1,0)</f>
        <v>1</v>
      </c>
      <c r="AQ860" s="25">
        <f>IF(OR(Apresentação!$I$6='Base de Dados e filtragem'!AQ$2,Apresentação!$I$6='Base de Dados e filtragem'!M860),1,0)</f>
        <v>1</v>
      </c>
      <c r="AR860" s="25">
        <v>1</v>
      </c>
      <c r="AS860" s="25">
        <v>1</v>
      </c>
      <c r="AT860" s="25">
        <v>1</v>
      </c>
      <c r="AU860" s="25">
        <v>1</v>
      </c>
      <c r="AV860" s="25">
        <v>1</v>
      </c>
      <c r="AW860" s="25">
        <v>1</v>
      </c>
      <c r="AX860" s="25">
        <v>1</v>
      </c>
      <c r="AY860" s="25">
        <v>1</v>
      </c>
      <c r="AZ860" s="25">
        <v>1</v>
      </c>
      <c r="BA860" s="25">
        <v>1</v>
      </c>
      <c r="BB860" s="25">
        <v>1</v>
      </c>
      <c r="BC860" s="25">
        <v>1</v>
      </c>
      <c r="BD860" s="25">
        <v>1</v>
      </c>
    </row>
    <row r="861" spans="27:56" x14ac:dyDescent="0.25">
      <c r="AA861" s="68" t="str">
        <f t="shared" si="53"/>
        <v>Fotos\\.jpg</v>
      </c>
      <c r="AB861" s="53">
        <f t="shared" si="54"/>
        <v>1.1614401858304297E-3</v>
      </c>
      <c r="AC861" s="25">
        <f t="shared" si="55"/>
        <v>861</v>
      </c>
      <c r="AD861" s="51">
        <f t="shared" si="56"/>
        <v>1</v>
      </c>
      <c r="AE861" s="25">
        <v>1</v>
      </c>
      <c r="AF861" s="25">
        <v>1</v>
      </c>
      <c r="AG861" s="25">
        <v>1</v>
      </c>
      <c r="AH861" s="25">
        <v>1</v>
      </c>
      <c r="AI861" s="25">
        <f>IF(OR(Apresentação!$E$3='Base de Dados e filtragem'!AI$2,Apresentação!$E$3='Base de Dados e filtragem'!E861),1,0)</f>
        <v>1</v>
      </c>
      <c r="AJ861" s="25">
        <f>IF(OR(Apresentação!$E$4='Base de Dados e filtragem'!AJ$2,Apresentação!$E$4='Base de Dados e filtragem'!F861),1,0)</f>
        <v>1</v>
      </c>
      <c r="AK861" s="25">
        <f>IF(OR(Apresentação!$E$5='Base de Dados e filtragem'!AK$2,Apresentação!$E$5='Base de Dados e filtragem'!G861),1,0)</f>
        <v>1</v>
      </c>
      <c r="AL861" s="25">
        <f>IF(OR(Apresentação!$E$6='Base de Dados e filtragem'!AL$2,Apresentação!$E$6='Base de Dados e filtragem'!H861),1,0)</f>
        <v>1</v>
      </c>
      <c r="AM861" s="25">
        <f>IF(OR(Apresentação!$I$2='Base de Dados e filtragem'!AM$2,Apresentação!$I$2='Base de Dados e filtragem'!I861),1,0)</f>
        <v>1</v>
      </c>
      <c r="AN861" s="25">
        <f>IF(OR(Apresentação!$I$3='Base de Dados e filtragem'!AN$2,Apresentação!$I$3='Base de Dados e filtragem'!J861),1,0)</f>
        <v>1</v>
      </c>
      <c r="AO861" s="25">
        <f>IF(OR(Apresentação!$I$4='Base de Dados e filtragem'!AO$2,Apresentação!$I$4='Base de Dados e filtragem'!K861),1,0)</f>
        <v>1</v>
      </c>
      <c r="AP861" s="25">
        <f>IF(OR(Apresentação!$I$5='Base de Dados e filtragem'!AP$2,Apresentação!$I$5='Base de Dados e filtragem'!L861),1,0)</f>
        <v>1</v>
      </c>
      <c r="AQ861" s="25">
        <f>IF(OR(Apresentação!$I$6='Base de Dados e filtragem'!AQ$2,Apresentação!$I$6='Base de Dados e filtragem'!M861),1,0)</f>
        <v>1</v>
      </c>
      <c r="AR861" s="25">
        <v>1</v>
      </c>
      <c r="AS861" s="25">
        <v>1</v>
      </c>
      <c r="AT861" s="25">
        <v>1</v>
      </c>
      <c r="AU861" s="25">
        <v>1</v>
      </c>
      <c r="AV861" s="25">
        <v>1</v>
      </c>
      <c r="AW861" s="25">
        <v>1</v>
      </c>
      <c r="AX861" s="25">
        <v>1</v>
      </c>
      <c r="AY861" s="25">
        <v>1</v>
      </c>
      <c r="AZ861" s="25">
        <v>1</v>
      </c>
      <c r="BA861" s="25">
        <v>1</v>
      </c>
      <c r="BB861" s="25">
        <v>1</v>
      </c>
      <c r="BC861" s="25">
        <v>1</v>
      </c>
      <c r="BD861" s="25">
        <v>1</v>
      </c>
    </row>
    <row r="862" spans="27:56" x14ac:dyDescent="0.25">
      <c r="AA862" s="68" t="str">
        <f t="shared" si="53"/>
        <v>Fotos\\.jpg</v>
      </c>
      <c r="AB862" s="53">
        <f t="shared" si="54"/>
        <v>1.1600928074245939E-3</v>
      </c>
      <c r="AC862" s="25">
        <f t="shared" si="55"/>
        <v>862</v>
      </c>
      <c r="AD862" s="51">
        <f t="shared" si="56"/>
        <v>1</v>
      </c>
      <c r="AE862" s="25">
        <v>1</v>
      </c>
      <c r="AF862" s="25">
        <v>1</v>
      </c>
      <c r="AG862" s="25">
        <v>1</v>
      </c>
      <c r="AH862" s="25">
        <v>1</v>
      </c>
      <c r="AI862" s="25">
        <f>IF(OR(Apresentação!$E$3='Base de Dados e filtragem'!AI$2,Apresentação!$E$3='Base de Dados e filtragem'!E862),1,0)</f>
        <v>1</v>
      </c>
      <c r="AJ862" s="25">
        <f>IF(OR(Apresentação!$E$4='Base de Dados e filtragem'!AJ$2,Apresentação!$E$4='Base de Dados e filtragem'!F862),1,0)</f>
        <v>1</v>
      </c>
      <c r="AK862" s="25">
        <f>IF(OR(Apresentação!$E$5='Base de Dados e filtragem'!AK$2,Apresentação!$E$5='Base de Dados e filtragem'!G862),1,0)</f>
        <v>1</v>
      </c>
      <c r="AL862" s="25">
        <f>IF(OR(Apresentação!$E$6='Base de Dados e filtragem'!AL$2,Apresentação!$E$6='Base de Dados e filtragem'!H862),1,0)</f>
        <v>1</v>
      </c>
      <c r="AM862" s="25">
        <f>IF(OR(Apresentação!$I$2='Base de Dados e filtragem'!AM$2,Apresentação!$I$2='Base de Dados e filtragem'!I862),1,0)</f>
        <v>1</v>
      </c>
      <c r="AN862" s="25">
        <f>IF(OR(Apresentação!$I$3='Base de Dados e filtragem'!AN$2,Apresentação!$I$3='Base de Dados e filtragem'!J862),1,0)</f>
        <v>1</v>
      </c>
      <c r="AO862" s="25">
        <f>IF(OR(Apresentação!$I$4='Base de Dados e filtragem'!AO$2,Apresentação!$I$4='Base de Dados e filtragem'!K862),1,0)</f>
        <v>1</v>
      </c>
      <c r="AP862" s="25">
        <f>IF(OR(Apresentação!$I$5='Base de Dados e filtragem'!AP$2,Apresentação!$I$5='Base de Dados e filtragem'!L862),1,0)</f>
        <v>1</v>
      </c>
      <c r="AQ862" s="25">
        <f>IF(OR(Apresentação!$I$6='Base de Dados e filtragem'!AQ$2,Apresentação!$I$6='Base de Dados e filtragem'!M862),1,0)</f>
        <v>1</v>
      </c>
      <c r="AR862" s="25">
        <v>1</v>
      </c>
      <c r="AS862" s="25">
        <v>1</v>
      </c>
      <c r="AT862" s="25">
        <v>1</v>
      </c>
      <c r="AU862" s="25">
        <v>1</v>
      </c>
      <c r="AV862" s="25">
        <v>1</v>
      </c>
      <c r="AW862" s="25">
        <v>1</v>
      </c>
      <c r="AX862" s="25">
        <v>1</v>
      </c>
      <c r="AY862" s="25">
        <v>1</v>
      </c>
      <c r="AZ862" s="25">
        <v>1</v>
      </c>
      <c r="BA862" s="25">
        <v>1</v>
      </c>
      <c r="BB862" s="25">
        <v>1</v>
      </c>
      <c r="BC862" s="25">
        <v>1</v>
      </c>
      <c r="BD862" s="25">
        <v>1</v>
      </c>
    </row>
    <row r="863" spans="27:56" x14ac:dyDescent="0.25">
      <c r="AA863" s="68" t="str">
        <f t="shared" si="53"/>
        <v>Fotos\\.jpg</v>
      </c>
      <c r="AB863" s="53">
        <f t="shared" si="54"/>
        <v>1.1587485515643105E-3</v>
      </c>
      <c r="AC863" s="25">
        <f t="shared" si="55"/>
        <v>863</v>
      </c>
      <c r="AD863" s="51">
        <f t="shared" si="56"/>
        <v>1</v>
      </c>
      <c r="AE863" s="25">
        <v>1</v>
      </c>
      <c r="AF863" s="25">
        <v>1</v>
      </c>
      <c r="AG863" s="25">
        <v>1</v>
      </c>
      <c r="AH863" s="25">
        <v>1</v>
      </c>
      <c r="AI863" s="25">
        <f>IF(OR(Apresentação!$E$3='Base de Dados e filtragem'!AI$2,Apresentação!$E$3='Base de Dados e filtragem'!E863),1,0)</f>
        <v>1</v>
      </c>
      <c r="AJ863" s="25">
        <f>IF(OR(Apresentação!$E$4='Base de Dados e filtragem'!AJ$2,Apresentação!$E$4='Base de Dados e filtragem'!F863),1,0)</f>
        <v>1</v>
      </c>
      <c r="AK863" s="25">
        <f>IF(OR(Apresentação!$E$5='Base de Dados e filtragem'!AK$2,Apresentação!$E$5='Base de Dados e filtragem'!G863),1,0)</f>
        <v>1</v>
      </c>
      <c r="AL863" s="25">
        <f>IF(OR(Apresentação!$E$6='Base de Dados e filtragem'!AL$2,Apresentação!$E$6='Base de Dados e filtragem'!H863),1,0)</f>
        <v>1</v>
      </c>
      <c r="AM863" s="25">
        <f>IF(OR(Apresentação!$I$2='Base de Dados e filtragem'!AM$2,Apresentação!$I$2='Base de Dados e filtragem'!I863),1,0)</f>
        <v>1</v>
      </c>
      <c r="AN863" s="25">
        <f>IF(OR(Apresentação!$I$3='Base de Dados e filtragem'!AN$2,Apresentação!$I$3='Base de Dados e filtragem'!J863),1,0)</f>
        <v>1</v>
      </c>
      <c r="AO863" s="25">
        <f>IF(OR(Apresentação!$I$4='Base de Dados e filtragem'!AO$2,Apresentação!$I$4='Base de Dados e filtragem'!K863),1,0)</f>
        <v>1</v>
      </c>
      <c r="AP863" s="25">
        <f>IF(OR(Apresentação!$I$5='Base de Dados e filtragem'!AP$2,Apresentação!$I$5='Base de Dados e filtragem'!L863),1,0)</f>
        <v>1</v>
      </c>
      <c r="AQ863" s="25">
        <f>IF(OR(Apresentação!$I$6='Base de Dados e filtragem'!AQ$2,Apresentação!$I$6='Base de Dados e filtragem'!M863),1,0)</f>
        <v>1</v>
      </c>
      <c r="AR863" s="25">
        <v>1</v>
      </c>
      <c r="AS863" s="25">
        <v>1</v>
      </c>
      <c r="AT863" s="25">
        <v>1</v>
      </c>
      <c r="AU863" s="25">
        <v>1</v>
      </c>
      <c r="AV863" s="25">
        <v>1</v>
      </c>
      <c r="AW863" s="25">
        <v>1</v>
      </c>
      <c r="AX863" s="25">
        <v>1</v>
      </c>
      <c r="AY863" s="25">
        <v>1</v>
      </c>
      <c r="AZ863" s="25">
        <v>1</v>
      </c>
      <c r="BA863" s="25">
        <v>1</v>
      </c>
      <c r="BB863" s="25">
        <v>1</v>
      </c>
      <c r="BC863" s="25">
        <v>1</v>
      </c>
      <c r="BD863" s="25">
        <v>1</v>
      </c>
    </row>
    <row r="864" spans="27:56" x14ac:dyDescent="0.25">
      <c r="AA864" s="68" t="str">
        <f t="shared" si="53"/>
        <v>Fotos\\.jpg</v>
      </c>
      <c r="AB864" s="53">
        <f t="shared" si="54"/>
        <v>1.1574074074074073E-3</v>
      </c>
      <c r="AC864" s="25">
        <f t="shared" si="55"/>
        <v>864</v>
      </c>
      <c r="AD864" s="51">
        <f t="shared" si="56"/>
        <v>1</v>
      </c>
      <c r="AE864" s="25">
        <v>1</v>
      </c>
      <c r="AF864" s="25">
        <v>1</v>
      </c>
      <c r="AG864" s="25">
        <v>1</v>
      </c>
      <c r="AH864" s="25">
        <v>1</v>
      </c>
      <c r="AI864" s="25">
        <f>IF(OR(Apresentação!$E$3='Base de Dados e filtragem'!AI$2,Apresentação!$E$3='Base de Dados e filtragem'!E864),1,0)</f>
        <v>1</v>
      </c>
      <c r="AJ864" s="25">
        <f>IF(OR(Apresentação!$E$4='Base de Dados e filtragem'!AJ$2,Apresentação!$E$4='Base de Dados e filtragem'!F864),1,0)</f>
        <v>1</v>
      </c>
      <c r="AK864" s="25">
        <f>IF(OR(Apresentação!$E$5='Base de Dados e filtragem'!AK$2,Apresentação!$E$5='Base de Dados e filtragem'!G864),1,0)</f>
        <v>1</v>
      </c>
      <c r="AL864" s="25">
        <f>IF(OR(Apresentação!$E$6='Base de Dados e filtragem'!AL$2,Apresentação!$E$6='Base de Dados e filtragem'!H864),1,0)</f>
        <v>1</v>
      </c>
      <c r="AM864" s="25">
        <f>IF(OR(Apresentação!$I$2='Base de Dados e filtragem'!AM$2,Apresentação!$I$2='Base de Dados e filtragem'!I864),1,0)</f>
        <v>1</v>
      </c>
      <c r="AN864" s="25">
        <f>IF(OR(Apresentação!$I$3='Base de Dados e filtragem'!AN$2,Apresentação!$I$3='Base de Dados e filtragem'!J864),1,0)</f>
        <v>1</v>
      </c>
      <c r="AO864" s="25">
        <f>IF(OR(Apresentação!$I$4='Base de Dados e filtragem'!AO$2,Apresentação!$I$4='Base de Dados e filtragem'!K864),1,0)</f>
        <v>1</v>
      </c>
      <c r="AP864" s="25">
        <f>IF(OR(Apresentação!$I$5='Base de Dados e filtragem'!AP$2,Apresentação!$I$5='Base de Dados e filtragem'!L864),1,0)</f>
        <v>1</v>
      </c>
      <c r="AQ864" s="25">
        <f>IF(OR(Apresentação!$I$6='Base de Dados e filtragem'!AQ$2,Apresentação!$I$6='Base de Dados e filtragem'!M864),1,0)</f>
        <v>1</v>
      </c>
      <c r="AR864" s="25">
        <v>1</v>
      </c>
      <c r="AS864" s="25">
        <v>1</v>
      </c>
      <c r="AT864" s="25">
        <v>1</v>
      </c>
      <c r="AU864" s="25">
        <v>1</v>
      </c>
      <c r="AV864" s="25">
        <v>1</v>
      </c>
      <c r="AW864" s="25">
        <v>1</v>
      </c>
      <c r="AX864" s="25">
        <v>1</v>
      </c>
      <c r="AY864" s="25">
        <v>1</v>
      </c>
      <c r="AZ864" s="25">
        <v>1</v>
      </c>
      <c r="BA864" s="25">
        <v>1</v>
      </c>
      <c r="BB864" s="25">
        <v>1</v>
      </c>
      <c r="BC864" s="25">
        <v>1</v>
      </c>
      <c r="BD864" s="25">
        <v>1</v>
      </c>
    </row>
    <row r="865" spans="27:56" x14ac:dyDescent="0.25">
      <c r="AA865" s="68" t="str">
        <f t="shared" si="53"/>
        <v>Fotos\\.jpg</v>
      </c>
      <c r="AB865" s="53">
        <f t="shared" si="54"/>
        <v>1.1560693641618498E-3</v>
      </c>
      <c r="AC865" s="25">
        <f t="shared" si="55"/>
        <v>865</v>
      </c>
      <c r="AD865" s="51">
        <f t="shared" si="56"/>
        <v>1</v>
      </c>
      <c r="AE865" s="25">
        <v>1</v>
      </c>
      <c r="AF865" s="25">
        <v>1</v>
      </c>
      <c r="AG865" s="25">
        <v>1</v>
      </c>
      <c r="AH865" s="25">
        <v>1</v>
      </c>
      <c r="AI865" s="25">
        <f>IF(OR(Apresentação!$E$3='Base de Dados e filtragem'!AI$2,Apresentação!$E$3='Base de Dados e filtragem'!E865),1,0)</f>
        <v>1</v>
      </c>
      <c r="AJ865" s="25">
        <f>IF(OR(Apresentação!$E$4='Base de Dados e filtragem'!AJ$2,Apresentação!$E$4='Base de Dados e filtragem'!F865),1,0)</f>
        <v>1</v>
      </c>
      <c r="AK865" s="25">
        <f>IF(OR(Apresentação!$E$5='Base de Dados e filtragem'!AK$2,Apresentação!$E$5='Base de Dados e filtragem'!G865),1,0)</f>
        <v>1</v>
      </c>
      <c r="AL865" s="25">
        <f>IF(OR(Apresentação!$E$6='Base de Dados e filtragem'!AL$2,Apresentação!$E$6='Base de Dados e filtragem'!H865),1,0)</f>
        <v>1</v>
      </c>
      <c r="AM865" s="25">
        <f>IF(OR(Apresentação!$I$2='Base de Dados e filtragem'!AM$2,Apresentação!$I$2='Base de Dados e filtragem'!I865),1,0)</f>
        <v>1</v>
      </c>
      <c r="AN865" s="25">
        <f>IF(OR(Apresentação!$I$3='Base de Dados e filtragem'!AN$2,Apresentação!$I$3='Base de Dados e filtragem'!J865),1,0)</f>
        <v>1</v>
      </c>
      <c r="AO865" s="25">
        <f>IF(OR(Apresentação!$I$4='Base de Dados e filtragem'!AO$2,Apresentação!$I$4='Base de Dados e filtragem'!K865),1,0)</f>
        <v>1</v>
      </c>
      <c r="AP865" s="25">
        <f>IF(OR(Apresentação!$I$5='Base de Dados e filtragem'!AP$2,Apresentação!$I$5='Base de Dados e filtragem'!L865),1,0)</f>
        <v>1</v>
      </c>
      <c r="AQ865" s="25">
        <f>IF(OR(Apresentação!$I$6='Base de Dados e filtragem'!AQ$2,Apresentação!$I$6='Base de Dados e filtragem'!M865),1,0)</f>
        <v>1</v>
      </c>
      <c r="AR865" s="25">
        <v>1</v>
      </c>
      <c r="AS865" s="25">
        <v>1</v>
      </c>
      <c r="AT865" s="25">
        <v>1</v>
      </c>
      <c r="AU865" s="25">
        <v>1</v>
      </c>
      <c r="AV865" s="25">
        <v>1</v>
      </c>
      <c r="AW865" s="25">
        <v>1</v>
      </c>
      <c r="AX865" s="25">
        <v>1</v>
      </c>
      <c r="AY865" s="25">
        <v>1</v>
      </c>
      <c r="AZ865" s="25">
        <v>1</v>
      </c>
      <c r="BA865" s="25">
        <v>1</v>
      </c>
      <c r="BB865" s="25">
        <v>1</v>
      </c>
      <c r="BC865" s="25">
        <v>1</v>
      </c>
      <c r="BD865" s="25">
        <v>1</v>
      </c>
    </row>
    <row r="866" spans="27:56" x14ac:dyDescent="0.25">
      <c r="AA866" s="68" t="str">
        <f t="shared" si="53"/>
        <v>Fotos\\.jpg</v>
      </c>
      <c r="AB866" s="53">
        <f t="shared" si="54"/>
        <v>1.1547344110854503E-3</v>
      </c>
      <c r="AC866" s="25">
        <f t="shared" si="55"/>
        <v>866</v>
      </c>
      <c r="AD866" s="51">
        <f t="shared" si="56"/>
        <v>1</v>
      </c>
      <c r="AE866" s="25">
        <v>1</v>
      </c>
      <c r="AF866" s="25">
        <v>1</v>
      </c>
      <c r="AG866" s="25">
        <v>1</v>
      </c>
      <c r="AH866" s="25">
        <v>1</v>
      </c>
      <c r="AI866" s="25">
        <f>IF(OR(Apresentação!$E$3='Base de Dados e filtragem'!AI$2,Apresentação!$E$3='Base de Dados e filtragem'!E866),1,0)</f>
        <v>1</v>
      </c>
      <c r="AJ866" s="25">
        <f>IF(OR(Apresentação!$E$4='Base de Dados e filtragem'!AJ$2,Apresentação!$E$4='Base de Dados e filtragem'!F866),1,0)</f>
        <v>1</v>
      </c>
      <c r="AK866" s="25">
        <f>IF(OR(Apresentação!$E$5='Base de Dados e filtragem'!AK$2,Apresentação!$E$5='Base de Dados e filtragem'!G866),1,0)</f>
        <v>1</v>
      </c>
      <c r="AL866" s="25">
        <f>IF(OR(Apresentação!$E$6='Base de Dados e filtragem'!AL$2,Apresentação!$E$6='Base de Dados e filtragem'!H866),1,0)</f>
        <v>1</v>
      </c>
      <c r="AM866" s="25">
        <f>IF(OR(Apresentação!$I$2='Base de Dados e filtragem'!AM$2,Apresentação!$I$2='Base de Dados e filtragem'!I866),1,0)</f>
        <v>1</v>
      </c>
      <c r="AN866" s="25">
        <f>IF(OR(Apresentação!$I$3='Base de Dados e filtragem'!AN$2,Apresentação!$I$3='Base de Dados e filtragem'!J866),1,0)</f>
        <v>1</v>
      </c>
      <c r="AO866" s="25">
        <f>IF(OR(Apresentação!$I$4='Base de Dados e filtragem'!AO$2,Apresentação!$I$4='Base de Dados e filtragem'!K866),1,0)</f>
        <v>1</v>
      </c>
      <c r="AP866" s="25">
        <f>IF(OR(Apresentação!$I$5='Base de Dados e filtragem'!AP$2,Apresentação!$I$5='Base de Dados e filtragem'!L866),1,0)</f>
        <v>1</v>
      </c>
      <c r="AQ866" s="25">
        <f>IF(OR(Apresentação!$I$6='Base de Dados e filtragem'!AQ$2,Apresentação!$I$6='Base de Dados e filtragem'!M866),1,0)</f>
        <v>1</v>
      </c>
      <c r="AR866" s="25">
        <v>1</v>
      </c>
      <c r="AS866" s="25">
        <v>1</v>
      </c>
      <c r="AT866" s="25">
        <v>1</v>
      </c>
      <c r="AU866" s="25">
        <v>1</v>
      </c>
      <c r="AV866" s="25">
        <v>1</v>
      </c>
      <c r="AW866" s="25">
        <v>1</v>
      </c>
      <c r="AX866" s="25">
        <v>1</v>
      </c>
      <c r="AY866" s="25">
        <v>1</v>
      </c>
      <c r="AZ866" s="25">
        <v>1</v>
      </c>
      <c r="BA866" s="25">
        <v>1</v>
      </c>
      <c r="BB866" s="25">
        <v>1</v>
      </c>
      <c r="BC866" s="25">
        <v>1</v>
      </c>
      <c r="BD866" s="25">
        <v>1</v>
      </c>
    </row>
    <row r="867" spans="27:56" x14ac:dyDescent="0.25">
      <c r="AA867" s="68" t="str">
        <f t="shared" si="53"/>
        <v>Fotos\\.jpg</v>
      </c>
      <c r="AB867" s="53">
        <f t="shared" si="54"/>
        <v>1.1534025374855825E-3</v>
      </c>
      <c r="AC867" s="25">
        <f t="shared" si="55"/>
        <v>867</v>
      </c>
      <c r="AD867" s="51">
        <f t="shared" si="56"/>
        <v>1</v>
      </c>
      <c r="AE867" s="25">
        <v>1</v>
      </c>
      <c r="AF867" s="25">
        <v>1</v>
      </c>
      <c r="AG867" s="25">
        <v>1</v>
      </c>
      <c r="AH867" s="25">
        <v>1</v>
      </c>
      <c r="AI867" s="25">
        <f>IF(OR(Apresentação!$E$3='Base de Dados e filtragem'!AI$2,Apresentação!$E$3='Base de Dados e filtragem'!E867),1,0)</f>
        <v>1</v>
      </c>
      <c r="AJ867" s="25">
        <f>IF(OR(Apresentação!$E$4='Base de Dados e filtragem'!AJ$2,Apresentação!$E$4='Base de Dados e filtragem'!F867),1,0)</f>
        <v>1</v>
      </c>
      <c r="AK867" s="25">
        <f>IF(OR(Apresentação!$E$5='Base de Dados e filtragem'!AK$2,Apresentação!$E$5='Base de Dados e filtragem'!G867),1,0)</f>
        <v>1</v>
      </c>
      <c r="AL867" s="25">
        <f>IF(OR(Apresentação!$E$6='Base de Dados e filtragem'!AL$2,Apresentação!$E$6='Base de Dados e filtragem'!H867),1,0)</f>
        <v>1</v>
      </c>
      <c r="AM867" s="25">
        <f>IF(OR(Apresentação!$I$2='Base de Dados e filtragem'!AM$2,Apresentação!$I$2='Base de Dados e filtragem'!I867),1,0)</f>
        <v>1</v>
      </c>
      <c r="AN867" s="25">
        <f>IF(OR(Apresentação!$I$3='Base de Dados e filtragem'!AN$2,Apresentação!$I$3='Base de Dados e filtragem'!J867),1,0)</f>
        <v>1</v>
      </c>
      <c r="AO867" s="25">
        <f>IF(OR(Apresentação!$I$4='Base de Dados e filtragem'!AO$2,Apresentação!$I$4='Base de Dados e filtragem'!K867),1,0)</f>
        <v>1</v>
      </c>
      <c r="AP867" s="25">
        <f>IF(OR(Apresentação!$I$5='Base de Dados e filtragem'!AP$2,Apresentação!$I$5='Base de Dados e filtragem'!L867),1,0)</f>
        <v>1</v>
      </c>
      <c r="AQ867" s="25">
        <f>IF(OR(Apresentação!$I$6='Base de Dados e filtragem'!AQ$2,Apresentação!$I$6='Base de Dados e filtragem'!M867),1,0)</f>
        <v>1</v>
      </c>
      <c r="AR867" s="25">
        <v>1</v>
      </c>
      <c r="AS867" s="25">
        <v>1</v>
      </c>
      <c r="AT867" s="25">
        <v>1</v>
      </c>
      <c r="AU867" s="25">
        <v>1</v>
      </c>
      <c r="AV867" s="25">
        <v>1</v>
      </c>
      <c r="AW867" s="25">
        <v>1</v>
      </c>
      <c r="AX867" s="25">
        <v>1</v>
      </c>
      <c r="AY867" s="25">
        <v>1</v>
      </c>
      <c r="AZ867" s="25">
        <v>1</v>
      </c>
      <c r="BA867" s="25">
        <v>1</v>
      </c>
      <c r="BB867" s="25">
        <v>1</v>
      </c>
      <c r="BC867" s="25">
        <v>1</v>
      </c>
      <c r="BD867" s="25">
        <v>1</v>
      </c>
    </row>
    <row r="868" spans="27:56" x14ac:dyDescent="0.25">
      <c r="AA868" s="68" t="str">
        <f t="shared" si="53"/>
        <v>Fotos\\.jpg</v>
      </c>
      <c r="AB868" s="53">
        <f t="shared" si="54"/>
        <v>1.152073732718894E-3</v>
      </c>
      <c r="AC868" s="25">
        <f t="shared" si="55"/>
        <v>868</v>
      </c>
      <c r="AD868" s="51">
        <f t="shared" si="56"/>
        <v>1</v>
      </c>
      <c r="AE868" s="25">
        <v>1</v>
      </c>
      <c r="AF868" s="25">
        <v>1</v>
      </c>
      <c r="AG868" s="25">
        <v>1</v>
      </c>
      <c r="AH868" s="25">
        <v>1</v>
      </c>
      <c r="AI868" s="25">
        <f>IF(OR(Apresentação!$E$3='Base de Dados e filtragem'!AI$2,Apresentação!$E$3='Base de Dados e filtragem'!E868),1,0)</f>
        <v>1</v>
      </c>
      <c r="AJ868" s="25">
        <f>IF(OR(Apresentação!$E$4='Base de Dados e filtragem'!AJ$2,Apresentação!$E$4='Base de Dados e filtragem'!F868),1,0)</f>
        <v>1</v>
      </c>
      <c r="AK868" s="25">
        <f>IF(OR(Apresentação!$E$5='Base de Dados e filtragem'!AK$2,Apresentação!$E$5='Base de Dados e filtragem'!G868),1,0)</f>
        <v>1</v>
      </c>
      <c r="AL868" s="25">
        <f>IF(OR(Apresentação!$E$6='Base de Dados e filtragem'!AL$2,Apresentação!$E$6='Base de Dados e filtragem'!H868),1,0)</f>
        <v>1</v>
      </c>
      <c r="AM868" s="25">
        <f>IF(OR(Apresentação!$I$2='Base de Dados e filtragem'!AM$2,Apresentação!$I$2='Base de Dados e filtragem'!I868),1,0)</f>
        <v>1</v>
      </c>
      <c r="AN868" s="25">
        <f>IF(OR(Apresentação!$I$3='Base de Dados e filtragem'!AN$2,Apresentação!$I$3='Base de Dados e filtragem'!J868),1,0)</f>
        <v>1</v>
      </c>
      <c r="AO868" s="25">
        <f>IF(OR(Apresentação!$I$4='Base de Dados e filtragem'!AO$2,Apresentação!$I$4='Base de Dados e filtragem'!K868),1,0)</f>
        <v>1</v>
      </c>
      <c r="AP868" s="25">
        <f>IF(OR(Apresentação!$I$5='Base de Dados e filtragem'!AP$2,Apresentação!$I$5='Base de Dados e filtragem'!L868),1,0)</f>
        <v>1</v>
      </c>
      <c r="AQ868" s="25">
        <f>IF(OR(Apresentação!$I$6='Base de Dados e filtragem'!AQ$2,Apresentação!$I$6='Base de Dados e filtragem'!M868),1,0)</f>
        <v>1</v>
      </c>
      <c r="AR868" s="25">
        <v>1</v>
      </c>
      <c r="AS868" s="25">
        <v>1</v>
      </c>
      <c r="AT868" s="25">
        <v>1</v>
      </c>
      <c r="AU868" s="25">
        <v>1</v>
      </c>
      <c r="AV868" s="25">
        <v>1</v>
      </c>
      <c r="AW868" s="25">
        <v>1</v>
      </c>
      <c r="AX868" s="25">
        <v>1</v>
      </c>
      <c r="AY868" s="25">
        <v>1</v>
      </c>
      <c r="AZ868" s="25">
        <v>1</v>
      </c>
      <c r="BA868" s="25">
        <v>1</v>
      </c>
      <c r="BB868" s="25">
        <v>1</v>
      </c>
      <c r="BC868" s="25">
        <v>1</v>
      </c>
      <c r="BD868" s="25">
        <v>1</v>
      </c>
    </row>
    <row r="869" spans="27:56" x14ac:dyDescent="0.25">
      <c r="AA869" s="68" t="str">
        <f t="shared" si="53"/>
        <v>Fotos\\.jpg</v>
      </c>
      <c r="AB869" s="53">
        <f t="shared" si="54"/>
        <v>1.1507479861910242E-3</v>
      </c>
      <c r="AC869" s="25">
        <f t="shared" si="55"/>
        <v>869</v>
      </c>
      <c r="AD869" s="51">
        <f t="shared" si="56"/>
        <v>1</v>
      </c>
      <c r="AE869" s="25">
        <v>1</v>
      </c>
      <c r="AF869" s="25">
        <v>1</v>
      </c>
      <c r="AG869" s="25">
        <v>1</v>
      </c>
      <c r="AH869" s="25">
        <v>1</v>
      </c>
      <c r="AI869" s="25">
        <f>IF(OR(Apresentação!$E$3='Base de Dados e filtragem'!AI$2,Apresentação!$E$3='Base de Dados e filtragem'!E869),1,0)</f>
        <v>1</v>
      </c>
      <c r="AJ869" s="25">
        <f>IF(OR(Apresentação!$E$4='Base de Dados e filtragem'!AJ$2,Apresentação!$E$4='Base de Dados e filtragem'!F869),1,0)</f>
        <v>1</v>
      </c>
      <c r="AK869" s="25">
        <f>IF(OR(Apresentação!$E$5='Base de Dados e filtragem'!AK$2,Apresentação!$E$5='Base de Dados e filtragem'!G869),1,0)</f>
        <v>1</v>
      </c>
      <c r="AL869" s="25">
        <f>IF(OR(Apresentação!$E$6='Base de Dados e filtragem'!AL$2,Apresentação!$E$6='Base de Dados e filtragem'!H869),1,0)</f>
        <v>1</v>
      </c>
      <c r="AM869" s="25">
        <f>IF(OR(Apresentação!$I$2='Base de Dados e filtragem'!AM$2,Apresentação!$I$2='Base de Dados e filtragem'!I869),1,0)</f>
        <v>1</v>
      </c>
      <c r="AN869" s="25">
        <f>IF(OR(Apresentação!$I$3='Base de Dados e filtragem'!AN$2,Apresentação!$I$3='Base de Dados e filtragem'!J869),1,0)</f>
        <v>1</v>
      </c>
      <c r="AO869" s="25">
        <f>IF(OR(Apresentação!$I$4='Base de Dados e filtragem'!AO$2,Apresentação!$I$4='Base de Dados e filtragem'!K869),1,0)</f>
        <v>1</v>
      </c>
      <c r="AP869" s="25">
        <f>IF(OR(Apresentação!$I$5='Base de Dados e filtragem'!AP$2,Apresentação!$I$5='Base de Dados e filtragem'!L869),1,0)</f>
        <v>1</v>
      </c>
      <c r="AQ869" s="25">
        <f>IF(OR(Apresentação!$I$6='Base de Dados e filtragem'!AQ$2,Apresentação!$I$6='Base de Dados e filtragem'!M869),1,0)</f>
        <v>1</v>
      </c>
      <c r="AR869" s="25">
        <v>1</v>
      </c>
      <c r="AS869" s="25">
        <v>1</v>
      </c>
      <c r="AT869" s="25">
        <v>1</v>
      </c>
      <c r="AU869" s="25">
        <v>1</v>
      </c>
      <c r="AV869" s="25">
        <v>1</v>
      </c>
      <c r="AW869" s="25">
        <v>1</v>
      </c>
      <c r="AX869" s="25">
        <v>1</v>
      </c>
      <c r="AY869" s="25">
        <v>1</v>
      </c>
      <c r="AZ869" s="25">
        <v>1</v>
      </c>
      <c r="BA869" s="25">
        <v>1</v>
      </c>
      <c r="BB869" s="25">
        <v>1</v>
      </c>
      <c r="BC869" s="25">
        <v>1</v>
      </c>
      <c r="BD869" s="25">
        <v>1</v>
      </c>
    </row>
    <row r="870" spans="27:56" x14ac:dyDescent="0.25">
      <c r="AA870" s="68" t="str">
        <f t="shared" si="53"/>
        <v>Fotos\\.jpg</v>
      </c>
      <c r="AB870" s="53">
        <f t="shared" si="54"/>
        <v>1.1494252873563218E-3</v>
      </c>
      <c r="AC870" s="25">
        <f t="shared" si="55"/>
        <v>870</v>
      </c>
      <c r="AD870" s="51">
        <f t="shared" si="56"/>
        <v>1</v>
      </c>
      <c r="AE870" s="25">
        <v>1</v>
      </c>
      <c r="AF870" s="25">
        <v>1</v>
      </c>
      <c r="AG870" s="25">
        <v>1</v>
      </c>
      <c r="AH870" s="25">
        <v>1</v>
      </c>
      <c r="AI870" s="25">
        <f>IF(OR(Apresentação!$E$3='Base de Dados e filtragem'!AI$2,Apresentação!$E$3='Base de Dados e filtragem'!E870),1,0)</f>
        <v>1</v>
      </c>
      <c r="AJ870" s="25">
        <f>IF(OR(Apresentação!$E$4='Base de Dados e filtragem'!AJ$2,Apresentação!$E$4='Base de Dados e filtragem'!F870),1,0)</f>
        <v>1</v>
      </c>
      <c r="AK870" s="25">
        <f>IF(OR(Apresentação!$E$5='Base de Dados e filtragem'!AK$2,Apresentação!$E$5='Base de Dados e filtragem'!G870),1,0)</f>
        <v>1</v>
      </c>
      <c r="AL870" s="25">
        <f>IF(OR(Apresentação!$E$6='Base de Dados e filtragem'!AL$2,Apresentação!$E$6='Base de Dados e filtragem'!H870),1,0)</f>
        <v>1</v>
      </c>
      <c r="AM870" s="25">
        <f>IF(OR(Apresentação!$I$2='Base de Dados e filtragem'!AM$2,Apresentação!$I$2='Base de Dados e filtragem'!I870),1,0)</f>
        <v>1</v>
      </c>
      <c r="AN870" s="25">
        <f>IF(OR(Apresentação!$I$3='Base de Dados e filtragem'!AN$2,Apresentação!$I$3='Base de Dados e filtragem'!J870),1,0)</f>
        <v>1</v>
      </c>
      <c r="AO870" s="25">
        <f>IF(OR(Apresentação!$I$4='Base de Dados e filtragem'!AO$2,Apresentação!$I$4='Base de Dados e filtragem'!K870),1,0)</f>
        <v>1</v>
      </c>
      <c r="AP870" s="25">
        <f>IF(OR(Apresentação!$I$5='Base de Dados e filtragem'!AP$2,Apresentação!$I$5='Base de Dados e filtragem'!L870),1,0)</f>
        <v>1</v>
      </c>
      <c r="AQ870" s="25">
        <f>IF(OR(Apresentação!$I$6='Base de Dados e filtragem'!AQ$2,Apresentação!$I$6='Base de Dados e filtragem'!M870),1,0)</f>
        <v>1</v>
      </c>
      <c r="AR870" s="25">
        <v>1</v>
      </c>
      <c r="AS870" s="25">
        <v>1</v>
      </c>
      <c r="AT870" s="25">
        <v>1</v>
      </c>
      <c r="AU870" s="25">
        <v>1</v>
      </c>
      <c r="AV870" s="25">
        <v>1</v>
      </c>
      <c r="AW870" s="25">
        <v>1</v>
      </c>
      <c r="AX870" s="25">
        <v>1</v>
      </c>
      <c r="AY870" s="25">
        <v>1</v>
      </c>
      <c r="AZ870" s="25">
        <v>1</v>
      </c>
      <c r="BA870" s="25">
        <v>1</v>
      </c>
      <c r="BB870" s="25">
        <v>1</v>
      </c>
      <c r="BC870" s="25">
        <v>1</v>
      </c>
      <c r="BD870" s="25">
        <v>1</v>
      </c>
    </row>
    <row r="871" spans="27:56" x14ac:dyDescent="0.25">
      <c r="AA871" s="68" t="str">
        <f t="shared" si="53"/>
        <v>Fotos\\.jpg</v>
      </c>
      <c r="AB871" s="53">
        <f t="shared" si="54"/>
        <v>1.148105625717566E-3</v>
      </c>
      <c r="AC871" s="25">
        <f t="shared" si="55"/>
        <v>871</v>
      </c>
      <c r="AD871" s="51">
        <f t="shared" si="56"/>
        <v>1</v>
      </c>
      <c r="AE871" s="25">
        <v>1</v>
      </c>
      <c r="AF871" s="25">
        <v>1</v>
      </c>
      <c r="AG871" s="25">
        <v>1</v>
      </c>
      <c r="AH871" s="25">
        <v>1</v>
      </c>
      <c r="AI871" s="25">
        <f>IF(OR(Apresentação!$E$3='Base de Dados e filtragem'!AI$2,Apresentação!$E$3='Base de Dados e filtragem'!E871),1,0)</f>
        <v>1</v>
      </c>
      <c r="AJ871" s="25">
        <f>IF(OR(Apresentação!$E$4='Base de Dados e filtragem'!AJ$2,Apresentação!$E$4='Base de Dados e filtragem'!F871),1,0)</f>
        <v>1</v>
      </c>
      <c r="AK871" s="25">
        <f>IF(OR(Apresentação!$E$5='Base de Dados e filtragem'!AK$2,Apresentação!$E$5='Base de Dados e filtragem'!G871),1,0)</f>
        <v>1</v>
      </c>
      <c r="AL871" s="25">
        <f>IF(OR(Apresentação!$E$6='Base de Dados e filtragem'!AL$2,Apresentação!$E$6='Base de Dados e filtragem'!H871),1,0)</f>
        <v>1</v>
      </c>
      <c r="AM871" s="25">
        <f>IF(OR(Apresentação!$I$2='Base de Dados e filtragem'!AM$2,Apresentação!$I$2='Base de Dados e filtragem'!I871),1,0)</f>
        <v>1</v>
      </c>
      <c r="AN871" s="25">
        <f>IF(OR(Apresentação!$I$3='Base de Dados e filtragem'!AN$2,Apresentação!$I$3='Base de Dados e filtragem'!J871),1,0)</f>
        <v>1</v>
      </c>
      <c r="AO871" s="25">
        <f>IF(OR(Apresentação!$I$4='Base de Dados e filtragem'!AO$2,Apresentação!$I$4='Base de Dados e filtragem'!K871),1,0)</f>
        <v>1</v>
      </c>
      <c r="AP871" s="25">
        <f>IF(OR(Apresentação!$I$5='Base de Dados e filtragem'!AP$2,Apresentação!$I$5='Base de Dados e filtragem'!L871),1,0)</f>
        <v>1</v>
      </c>
      <c r="AQ871" s="25">
        <f>IF(OR(Apresentação!$I$6='Base de Dados e filtragem'!AQ$2,Apresentação!$I$6='Base de Dados e filtragem'!M871),1,0)</f>
        <v>1</v>
      </c>
      <c r="AR871" s="25">
        <v>1</v>
      </c>
      <c r="AS871" s="25">
        <v>1</v>
      </c>
      <c r="AT871" s="25">
        <v>1</v>
      </c>
      <c r="AU871" s="25">
        <v>1</v>
      </c>
      <c r="AV871" s="25">
        <v>1</v>
      </c>
      <c r="AW871" s="25">
        <v>1</v>
      </c>
      <c r="AX871" s="25">
        <v>1</v>
      </c>
      <c r="AY871" s="25">
        <v>1</v>
      </c>
      <c r="AZ871" s="25">
        <v>1</v>
      </c>
      <c r="BA871" s="25">
        <v>1</v>
      </c>
      <c r="BB871" s="25">
        <v>1</v>
      </c>
      <c r="BC871" s="25">
        <v>1</v>
      </c>
      <c r="BD871" s="25">
        <v>1</v>
      </c>
    </row>
    <row r="872" spans="27:56" x14ac:dyDescent="0.25">
      <c r="AA872" s="68" t="str">
        <f t="shared" si="53"/>
        <v>Fotos\\.jpg</v>
      </c>
      <c r="AB872" s="53">
        <f t="shared" si="54"/>
        <v>1.1467889908256881E-3</v>
      </c>
      <c r="AC872" s="25">
        <f t="shared" si="55"/>
        <v>872</v>
      </c>
      <c r="AD872" s="51">
        <f t="shared" si="56"/>
        <v>1</v>
      </c>
      <c r="AE872" s="25">
        <v>1</v>
      </c>
      <c r="AF872" s="25">
        <v>1</v>
      </c>
      <c r="AG872" s="25">
        <v>1</v>
      </c>
      <c r="AH872" s="25">
        <v>1</v>
      </c>
      <c r="AI872" s="25">
        <f>IF(OR(Apresentação!$E$3='Base de Dados e filtragem'!AI$2,Apresentação!$E$3='Base de Dados e filtragem'!E872),1,0)</f>
        <v>1</v>
      </c>
      <c r="AJ872" s="25">
        <f>IF(OR(Apresentação!$E$4='Base de Dados e filtragem'!AJ$2,Apresentação!$E$4='Base de Dados e filtragem'!F872),1,0)</f>
        <v>1</v>
      </c>
      <c r="AK872" s="25">
        <f>IF(OR(Apresentação!$E$5='Base de Dados e filtragem'!AK$2,Apresentação!$E$5='Base de Dados e filtragem'!G872),1,0)</f>
        <v>1</v>
      </c>
      <c r="AL872" s="25">
        <f>IF(OR(Apresentação!$E$6='Base de Dados e filtragem'!AL$2,Apresentação!$E$6='Base de Dados e filtragem'!H872),1,0)</f>
        <v>1</v>
      </c>
      <c r="AM872" s="25">
        <f>IF(OR(Apresentação!$I$2='Base de Dados e filtragem'!AM$2,Apresentação!$I$2='Base de Dados e filtragem'!I872),1,0)</f>
        <v>1</v>
      </c>
      <c r="AN872" s="25">
        <f>IF(OR(Apresentação!$I$3='Base de Dados e filtragem'!AN$2,Apresentação!$I$3='Base de Dados e filtragem'!J872),1,0)</f>
        <v>1</v>
      </c>
      <c r="AO872" s="25">
        <f>IF(OR(Apresentação!$I$4='Base de Dados e filtragem'!AO$2,Apresentação!$I$4='Base de Dados e filtragem'!K872),1,0)</f>
        <v>1</v>
      </c>
      <c r="AP872" s="25">
        <f>IF(OR(Apresentação!$I$5='Base de Dados e filtragem'!AP$2,Apresentação!$I$5='Base de Dados e filtragem'!L872),1,0)</f>
        <v>1</v>
      </c>
      <c r="AQ872" s="25">
        <f>IF(OR(Apresentação!$I$6='Base de Dados e filtragem'!AQ$2,Apresentação!$I$6='Base de Dados e filtragem'!M872),1,0)</f>
        <v>1</v>
      </c>
      <c r="AR872" s="25">
        <v>1</v>
      </c>
      <c r="AS872" s="25">
        <v>1</v>
      </c>
      <c r="AT872" s="25">
        <v>1</v>
      </c>
      <c r="AU872" s="25">
        <v>1</v>
      </c>
      <c r="AV872" s="25">
        <v>1</v>
      </c>
      <c r="AW872" s="25">
        <v>1</v>
      </c>
      <c r="AX872" s="25">
        <v>1</v>
      </c>
      <c r="AY872" s="25">
        <v>1</v>
      </c>
      <c r="AZ872" s="25">
        <v>1</v>
      </c>
      <c r="BA872" s="25">
        <v>1</v>
      </c>
      <c r="BB872" s="25">
        <v>1</v>
      </c>
      <c r="BC872" s="25">
        <v>1</v>
      </c>
      <c r="BD872" s="25">
        <v>1</v>
      </c>
    </row>
    <row r="873" spans="27:56" x14ac:dyDescent="0.25">
      <c r="AA873" s="68" t="str">
        <f t="shared" si="53"/>
        <v>Fotos\\.jpg</v>
      </c>
      <c r="AB873" s="53">
        <f t="shared" si="54"/>
        <v>1.145475372279496E-3</v>
      </c>
      <c r="AC873" s="25">
        <f t="shared" si="55"/>
        <v>873</v>
      </c>
      <c r="AD873" s="51">
        <f t="shared" si="56"/>
        <v>1</v>
      </c>
      <c r="AE873" s="25">
        <v>1</v>
      </c>
      <c r="AF873" s="25">
        <v>1</v>
      </c>
      <c r="AG873" s="25">
        <v>1</v>
      </c>
      <c r="AH873" s="25">
        <v>1</v>
      </c>
      <c r="AI873" s="25">
        <f>IF(OR(Apresentação!$E$3='Base de Dados e filtragem'!AI$2,Apresentação!$E$3='Base de Dados e filtragem'!E873),1,0)</f>
        <v>1</v>
      </c>
      <c r="AJ873" s="25">
        <f>IF(OR(Apresentação!$E$4='Base de Dados e filtragem'!AJ$2,Apresentação!$E$4='Base de Dados e filtragem'!F873),1,0)</f>
        <v>1</v>
      </c>
      <c r="AK873" s="25">
        <f>IF(OR(Apresentação!$E$5='Base de Dados e filtragem'!AK$2,Apresentação!$E$5='Base de Dados e filtragem'!G873),1,0)</f>
        <v>1</v>
      </c>
      <c r="AL873" s="25">
        <f>IF(OR(Apresentação!$E$6='Base de Dados e filtragem'!AL$2,Apresentação!$E$6='Base de Dados e filtragem'!H873),1,0)</f>
        <v>1</v>
      </c>
      <c r="AM873" s="25">
        <f>IF(OR(Apresentação!$I$2='Base de Dados e filtragem'!AM$2,Apresentação!$I$2='Base de Dados e filtragem'!I873),1,0)</f>
        <v>1</v>
      </c>
      <c r="AN873" s="25">
        <f>IF(OR(Apresentação!$I$3='Base de Dados e filtragem'!AN$2,Apresentação!$I$3='Base de Dados e filtragem'!J873),1,0)</f>
        <v>1</v>
      </c>
      <c r="AO873" s="25">
        <f>IF(OR(Apresentação!$I$4='Base de Dados e filtragem'!AO$2,Apresentação!$I$4='Base de Dados e filtragem'!K873),1,0)</f>
        <v>1</v>
      </c>
      <c r="AP873" s="25">
        <f>IF(OR(Apresentação!$I$5='Base de Dados e filtragem'!AP$2,Apresentação!$I$5='Base de Dados e filtragem'!L873),1,0)</f>
        <v>1</v>
      </c>
      <c r="AQ873" s="25">
        <f>IF(OR(Apresentação!$I$6='Base de Dados e filtragem'!AQ$2,Apresentação!$I$6='Base de Dados e filtragem'!M873),1,0)</f>
        <v>1</v>
      </c>
      <c r="AR873" s="25">
        <v>1</v>
      </c>
      <c r="AS873" s="25">
        <v>1</v>
      </c>
      <c r="AT873" s="25">
        <v>1</v>
      </c>
      <c r="AU873" s="25">
        <v>1</v>
      </c>
      <c r="AV873" s="25">
        <v>1</v>
      </c>
      <c r="AW873" s="25">
        <v>1</v>
      </c>
      <c r="AX873" s="25">
        <v>1</v>
      </c>
      <c r="AY873" s="25">
        <v>1</v>
      </c>
      <c r="AZ873" s="25">
        <v>1</v>
      </c>
      <c r="BA873" s="25">
        <v>1</v>
      </c>
      <c r="BB873" s="25">
        <v>1</v>
      </c>
      <c r="BC873" s="25">
        <v>1</v>
      </c>
      <c r="BD873" s="25">
        <v>1</v>
      </c>
    </row>
    <row r="874" spans="27:56" x14ac:dyDescent="0.25">
      <c r="AA874" s="68" t="str">
        <f t="shared" si="53"/>
        <v>Fotos\\.jpg</v>
      </c>
      <c r="AB874" s="53">
        <f t="shared" si="54"/>
        <v>1.1441647597254005E-3</v>
      </c>
      <c r="AC874" s="25">
        <f t="shared" si="55"/>
        <v>874</v>
      </c>
      <c r="AD874" s="51">
        <f t="shared" si="56"/>
        <v>1</v>
      </c>
      <c r="AE874" s="25">
        <v>1</v>
      </c>
      <c r="AF874" s="25">
        <v>1</v>
      </c>
      <c r="AG874" s="25">
        <v>1</v>
      </c>
      <c r="AH874" s="25">
        <v>1</v>
      </c>
      <c r="AI874" s="25">
        <f>IF(OR(Apresentação!$E$3='Base de Dados e filtragem'!AI$2,Apresentação!$E$3='Base de Dados e filtragem'!E874),1,0)</f>
        <v>1</v>
      </c>
      <c r="AJ874" s="25">
        <f>IF(OR(Apresentação!$E$4='Base de Dados e filtragem'!AJ$2,Apresentação!$E$4='Base de Dados e filtragem'!F874),1,0)</f>
        <v>1</v>
      </c>
      <c r="AK874" s="25">
        <f>IF(OR(Apresentação!$E$5='Base de Dados e filtragem'!AK$2,Apresentação!$E$5='Base de Dados e filtragem'!G874),1,0)</f>
        <v>1</v>
      </c>
      <c r="AL874" s="25">
        <f>IF(OR(Apresentação!$E$6='Base de Dados e filtragem'!AL$2,Apresentação!$E$6='Base de Dados e filtragem'!H874),1,0)</f>
        <v>1</v>
      </c>
      <c r="AM874" s="25">
        <f>IF(OR(Apresentação!$I$2='Base de Dados e filtragem'!AM$2,Apresentação!$I$2='Base de Dados e filtragem'!I874),1,0)</f>
        <v>1</v>
      </c>
      <c r="AN874" s="25">
        <f>IF(OR(Apresentação!$I$3='Base de Dados e filtragem'!AN$2,Apresentação!$I$3='Base de Dados e filtragem'!J874),1,0)</f>
        <v>1</v>
      </c>
      <c r="AO874" s="25">
        <f>IF(OR(Apresentação!$I$4='Base de Dados e filtragem'!AO$2,Apresentação!$I$4='Base de Dados e filtragem'!K874),1,0)</f>
        <v>1</v>
      </c>
      <c r="AP874" s="25">
        <f>IF(OR(Apresentação!$I$5='Base de Dados e filtragem'!AP$2,Apresentação!$I$5='Base de Dados e filtragem'!L874),1,0)</f>
        <v>1</v>
      </c>
      <c r="AQ874" s="25">
        <f>IF(OR(Apresentação!$I$6='Base de Dados e filtragem'!AQ$2,Apresentação!$I$6='Base de Dados e filtragem'!M874),1,0)</f>
        <v>1</v>
      </c>
      <c r="AR874" s="25">
        <v>1</v>
      </c>
      <c r="AS874" s="25">
        <v>1</v>
      </c>
      <c r="AT874" s="25">
        <v>1</v>
      </c>
      <c r="AU874" s="25">
        <v>1</v>
      </c>
      <c r="AV874" s="25">
        <v>1</v>
      </c>
      <c r="AW874" s="25">
        <v>1</v>
      </c>
      <c r="AX874" s="25">
        <v>1</v>
      </c>
      <c r="AY874" s="25">
        <v>1</v>
      </c>
      <c r="AZ874" s="25">
        <v>1</v>
      </c>
      <c r="BA874" s="25">
        <v>1</v>
      </c>
      <c r="BB874" s="25">
        <v>1</v>
      </c>
      <c r="BC874" s="25">
        <v>1</v>
      </c>
      <c r="BD874" s="25">
        <v>1</v>
      </c>
    </row>
    <row r="875" spans="27:56" x14ac:dyDescent="0.25">
      <c r="AA875" s="68" t="str">
        <f t="shared" si="53"/>
        <v>Fotos\\.jpg</v>
      </c>
      <c r="AB875" s="53">
        <f t="shared" si="54"/>
        <v>1.1428571428571429E-3</v>
      </c>
      <c r="AC875" s="25">
        <f t="shared" si="55"/>
        <v>875</v>
      </c>
      <c r="AD875" s="51">
        <f t="shared" si="56"/>
        <v>1</v>
      </c>
      <c r="AE875" s="25">
        <v>1</v>
      </c>
      <c r="AF875" s="25">
        <v>1</v>
      </c>
      <c r="AG875" s="25">
        <v>1</v>
      </c>
      <c r="AH875" s="25">
        <v>1</v>
      </c>
      <c r="AI875" s="25">
        <f>IF(OR(Apresentação!$E$3='Base de Dados e filtragem'!AI$2,Apresentação!$E$3='Base de Dados e filtragem'!E875),1,0)</f>
        <v>1</v>
      </c>
      <c r="AJ875" s="25">
        <f>IF(OR(Apresentação!$E$4='Base de Dados e filtragem'!AJ$2,Apresentação!$E$4='Base de Dados e filtragem'!F875),1,0)</f>
        <v>1</v>
      </c>
      <c r="AK875" s="25">
        <f>IF(OR(Apresentação!$E$5='Base de Dados e filtragem'!AK$2,Apresentação!$E$5='Base de Dados e filtragem'!G875),1,0)</f>
        <v>1</v>
      </c>
      <c r="AL875" s="25">
        <f>IF(OR(Apresentação!$E$6='Base de Dados e filtragem'!AL$2,Apresentação!$E$6='Base de Dados e filtragem'!H875),1,0)</f>
        <v>1</v>
      </c>
      <c r="AM875" s="25">
        <f>IF(OR(Apresentação!$I$2='Base de Dados e filtragem'!AM$2,Apresentação!$I$2='Base de Dados e filtragem'!I875),1,0)</f>
        <v>1</v>
      </c>
      <c r="AN875" s="25">
        <f>IF(OR(Apresentação!$I$3='Base de Dados e filtragem'!AN$2,Apresentação!$I$3='Base de Dados e filtragem'!J875),1,0)</f>
        <v>1</v>
      </c>
      <c r="AO875" s="25">
        <f>IF(OR(Apresentação!$I$4='Base de Dados e filtragem'!AO$2,Apresentação!$I$4='Base de Dados e filtragem'!K875),1,0)</f>
        <v>1</v>
      </c>
      <c r="AP875" s="25">
        <f>IF(OR(Apresentação!$I$5='Base de Dados e filtragem'!AP$2,Apresentação!$I$5='Base de Dados e filtragem'!L875),1,0)</f>
        <v>1</v>
      </c>
      <c r="AQ875" s="25">
        <f>IF(OR(Apresentação!$I$6='Base de Dados e filtragem'!AQ$2,Apresentação!$I$6='Base de Dados e filtragem'!M875),1,0)</f>
        <v>1</v>
      </c>
      <c r="AR875" s="25">
        <v>1</v>
      </c>
      <c r="AS875" s="25">
        <v>1</v>
      </c>
      <c r="AT875" s="25">
        <v>1</v>
      </c>
      <c r="AU875" s="25">
        <v>1</v>
      </c>
      <c r="AV875" s="25">
        <v>1</v>
      </c>
      <c r="AW875" s="25">
        <v>1</v>
      </c>
      <c r="AX875" s="25">
        <v>1</v>
      </c>
      <c r="AY875" s="25">
        <v>1</v>
      </c>
      <c r="AZ875" s="25">
        <v>1</v>
      </c>
      <c r="BA875" s="25">
        <v>1</v>
      </c>
      <c r="BB875" s="25">
        <v>1</v>
      </c>
      <c r="BC875" s="25">
        <v>1</v>
      </c>
      <c r="BD875" s="25">
        <v>1</v>
      </c>
    </row>
    <row r="876" spans="27:56" x14ac:dyDescent="0.25">
      <c r="AA876" s="68" t="str">
        <f t="shared" si="53"/>
        <v>Fotos\\.jpg</v>
      </c>
      <c r="AB876" s="53">
        <f t="shared" si="54"/>
        <v>1.1415525114155251E-3</v>
      </c>
      <c r="AC876" s="25">
        <f t="shared" si="55"/>
        <v>876</v>
      </c>
      <c r="AD876" s="51">
        <f t="shared" si="56"/>
        <v>1</v>
      </c>
      <c r="AE876" s="25">
        <v>1</v>
      </c>
      <c r="AF876" s="25">
        <v>1</v>
      </c>
      <c r="AG876" s="25">
        <v>1</v>
      </c>
      <c r="AH876" s="25">
        <v>1</v>
      </c>
      <c r="AI876" s="25">
        <f>IF(OR(Apresentação!$E$3='Base de Dados e filtragem'!AI$2,Apresentação!$E$3='Base de Dados e filtragem'!E876),1,0)</f>
        <v>1</v>
      </c>
      <c r="AJ876" s="25">
        <f>IF(OR(Apresentação!$E$4='Base de Dados e filtragem'!AJ$2,Apresentação!$E$4='Base de Dados e filtragem'!F876),1,0)</f>
        <v>1</v>
      </c>
      <c r="AK876" s="25">
        <f>IF(OR(Apresentação!$E$5='Base de Dados e filtragem'!AK$2,Apresentação!$E$5='Base de Dados e filtragem'!G876),1,0)</f>
        <v>1</v>
      </c>
      <c r="AL876" s="25">
        <f>IF(OR(Apresentação!$E$6='Base de Dados e filtragem'!AL$2,Apresentação!$E$6='Base de Dados e filtragem'!H876),1,0)</f>
        <v>1</v>
      </c>
      <c r="AM876" s="25">
        <f>IF(OR(Apresentação!$I$2='Base de Dados e filtragem'!AM$2,Apresentação!$I$2='Base de Dados e filtragem'!I876),1,0)</f>
        <v>1</v>
      </c>
      <c r="AN876" s="25">
        <f>IF(OR(Apresentação!$I$3='Base de Dados e filtragem'!AN$2,Apresentação!$I$3='Base de Dados e filtragem'!J876),1,0)</f>
        <v>1</v>
      </c>
      <c r="AO876" s="25">
        <f>IF(OR(Apresentação!$I$4='Base de Dados e filtragem'!AO$2,Apresentação!$I$4='Base de Dados e filtragem'!K876),1,0)</f>
        <v>1</v>
      </c>
      <c r="AP876" s="25">
        <f>IF(OR(Apresentação!$I$5='Base de Dados e filtragem'!AP$2,Apresentação!$I$5='Base de Dados e filtragem'!L876),1,0)</f>
        <v>1</v>
      </c>
      <c r="AQ876" s="25">
        <f>IF(OR(Apresentação!$I$6='Base de Dados e filtragem'!AQ$2,Apresentação!$I$6='Base de Dados e filtragem'!M876),1,0)</f>
        <v>1</v>
      </c>
      <c r="AR876" s="25">
        <v>1</v>
      </c>
      <c r="AS876" s="25">
        <v>1</v>
      </c>
      <c r="AT876" s="25">
        <v>1</v>
      </c>
      <c r="AU876" s="25">
        <v>1</v>
      </c>
      <c r="AV876" s="25">
        <v>1</v>
      </c>
      <c r="AW876" s="25">
        <v>1</v>
      </c>
      <c r="AX876" s="25">
        <v>1</v>
      </c>
      <c r="AY876" s="25">
        <v>1</v>
      </c>
      <c r="AZ876" s="25">
        <v>1</v>
      </c>
      <c r="BA876" s="25">
        <v>1</v>
      </c>
      <c r="BB876" s="25">
        <v>1</v>
      </c>
      <c r="BC876" s="25">
        <v>1</v>
      </c>
      <c r="BD876" s="25">
        <v>1</v>
      </c>
    </row>
    <row r="877" spans="27:56" x14ac:dyDescent="0.25">
      <c r="AA877" s="68" t="str">
        <f t="shared" si="53"/>
        <v>Fotos\\.jpg</v>
      </c>
      <c r="AB877" s="53">
        <f t="shared" si="54"/>
        <v>1.1402508551881414E-3</v>
      </c>
      <c r="AC877" s="25">
        <f t="shared" si="55"/>
        <v>877</v>
      </c>
      <c r="AD877" s="51">
        <f t="shared" si="56"/>
        <v>1</v>
      </c>
      <c r="AE877" s="25">
        <v>1</v>
      </c>
      <c r="AF877" s="25">
        <v>1</v>
      </c>
      <c r="AG877" s="25">
        <v>1</v>
      </c>
      <c r="AH877" s="25">
        <v>1</v>
      </c>
      <c r="AI877" s="25">
        <f>IF(OR(Apresentação!$E$3='Base de Dados e filtragem'!AI$2,Apresentação!$E$3='Base de Dados e filtragem'!E877),1,0)</f>
        <v>1</v>
      </c>
      <c r="AJ877" s="25">
        <f>IF(OR(Apresentação!$E$4='Base de Dados e filtragem'!AJ$2,Apresentação!$E$4='Base de Dados e filtragem'!F877),1,0)</f>
        <v>1</v>
      </c>
      <c r="AK877" s="25">
        <f>IF(OR(Apresentação!$E$5='Base de Dados e filtragem'!AK$2,Apresentação!$E$5='Base de Dados e filtragem'!G877),1,0)</f>
        <v>1</v>
      </c>
      <c r="AL877" s="25">
        <f>IF(OR(Apresentação!$E$6='Base de Dados e filtragem'!AL$2,Apresentação!$E$6='Base de Dados e filtragem'!H877),1,0)</f>
        <v>1</v>
      </c>
      <c r="AM877" s="25">
        <f>IF(OR(Apresentação!$I$2='Base de Dados e filtragem'!AM$2,Apresentação!$I$2='Base de Dados e filtragem'!I877),1,0)</f>
        <v>1</v>
      </c>
      <c r="AN877" s="25">
        <f>IF(OR(Apresentação!$I$3='Base de Dados e filtragem'!AN$2,Apresentação!$I$3='Base de Dados e filtragem'!J877),1,0)</f>
        <v>1</v>
      </c>
      <c r="AO877" s="25">
        <f>IF(OR(Apresentação!$I$4='Base de Dados e filtragem'!AO$2,Apresentação!$I$4='Base de Dados e filtragem'!K877),1,0)</f>
        <v>1</v>
      </c>
      <c r="AP877" s="25">
        <f>IF(OR(Apresentação!$I$5='Base de Dados e filtragem'!AP$2,Apresentação!$I$5='Base de Dados e filtragem'!L877),1,0)</f>
        <v>1</v>
      </c>
      <c r="AQ877" s="25">
        <f>IF(OR(Apresentação!$I$6='Base de Dados e filtragem'!AQ$2,Apresentação!$I$6='Base de Dados e filtragem'!M877),1,0)</f>
        <v>1</v>
      </c>
      <c r="AR877" s="25">
        <v>1</v>
      </c>
      <c r="AS877" s="25">
        <v>1</v>
      </c>
      <c r="AT877" s="25">
        <v>1</v>
      </c>
      <c r="AU877" s="25">
        <v>1</v>
      </c>
      <c r="AV877" s="25">
        <v>1</v>
      </c>
      <c r="AW877" s="25">
        <v>1</v>
      </c>
      <c r="AX877" s="25">
        <v>1</v>
      </c>
      <c r="AY877" s="25">
        <v>1</v>
      </c>
      <c r="AZ877" s="25">
        <v>1</v>
      </c>
      <c r="BA877" s="25">
        <v>1</v>
      </c>
      <c r="BB877" s="25">
        <v>1</v>
      </c>
      <c r="BC877" s="25">
        <v>1</v>
      </c>
      <c r="BD877" s="25">
        <v>1</v>
      </c>
    </row>
    <row r="878" spans="27:56" x14ac:dyDescent="0.25">
      <c r="AA878" s="68" t="str">
        <f t="shared" si="53"/>
        <v>Fotos\\.jpg</v>
      </c>
      <c r="AB878" s="53">
        <f t="shared" si="54"/>
        <v>1.1389521640091116E-3</v>
      </c>
      <c r="AC878" s="25">
        <f t="shared" si="55"/>
        <v>878</v>
      </c>
      <c r="AD878" s="51">
        <f t="shared" si="56"/>
        <v>1</v>
      </c>
      <c r="AE878" s="25">
        <v>1</v>
      </c>
      <c r="AF878" s="25">
        <v>1</v>
      </c>
      <c r="AG878" s="25">
        <v>1</v>
      </c>
      <c r="AH878" s="25">
        <v>1</v>
      </c>
      <c r="AI878" s="25">
        <f>IF(OR(Apresentação!$E$3='Base de Dados e filtragem'!AI$2,Apresentação!$E$3='Base de Dados e filtragem'!E878),1,0)</f>
        <v>1</v>
      </c>
      <c r="AJ878" s="25">
        <f>IF(OR(Apresentação!$E$4='Base de Dados e filtragem'!AJ$2,Apresentação!$E$4='Base de Dados e filtragem'!F878),1,0)</f>
        <v>1</v>
      </c>
      <c r="AK878" s="25">
        <f>IF(OR(Apresentação!$E$5='Base de Dados e filtragem'!AK$2,Apresentação!$E$5='Base de Dados e filtragem'!G878),1,0)</f>
        <v>1</v>
      </c>
      <c r="AL878" s="25">
        <f>IF(OR(Apresentação!$E$6='Base de Dados e filtragem'!AL$2,Apresentação!$E$6='Base de Dados e filtragem'!H878),1,0)</f>
        <v>1</v>
      </c>
      <c r="AM878" s="25">
        <f>IF(OR(Apresentação!$I$2='Base de Dados e filtragem'!AM$2,Apresentação!$I$2='Base de Dados e filtragem'!I878),1,0)</f>
        <v>1</v>
      </c>
      <c r="AN878" s="25">
        <f>IF(OR(Apresentação!$I$3='Base de Dados e filtragem'!AN$2,Apresentação!$I$3='Base de Dados e filtragem'!J878),1,0)</f>
        <v>1</v>
      </c>
      <c r="AO878" s="25">
        <f>IF(OR(Apresentação!$I$4='Base de Dados e filtragem'!AO$2,Apresentação!$I$4='Base de Dados e filtragem'!K878),1,0)</f>
        <v>1</v>
      </c>
      <c r="AP878" s="25">
        <f>IF(OR(Apresentação!$I$5='Base de Dados e filtragem'!AP$2,Apresentação!$I$5='Base de Dados e filtragem'!L878),1,0)</f>
        <v>1</v>
      </c>
      <c r="AQ878" s="25">
        <f>IF(OR(Apresentação!$I$6='Base de Dados e filtragem'!AQ$2,Apresentação!$I$6='Base de Dados e filtragem'!M878),1,0)</f>
        <v>1</v>
      </c>
      <c r="AR878" s="25">
        <v>1</v>
      </c>
      <c r="AS878" s="25">
        <v>1</v>
      </c>
      <c r="AT878" s="25">
        <v>1</v>
      </c>
      <c r="AU878" s="25">
        <v>1</v>
      </c>
      <c r="AV878" s="25">
        <v>1</v>
      </c>
      <c r="AW878" s="25">
        <v>1</v>
      </c>
      <c r="AX878" s="25">
        <v>1</v>
      </c>
      <c r="AY878" s="25">
        <v>1</v>
      </c>
      <c r="AZ878" s="25">
        <v>1</v>
      </c>
      <c r="BA878" s="25">
        <v>1</v>
      </c>
      <c r="BB878" s="25">
        <v>1</v>
      </c>
      <c r="BC878" s="25">
        <v>1</v>
      </c>
      <c r="BD878" s="25">
        <v>1</v>
      </c>
    </row>
    <row r="879" spans="27:56" x14ac:dyDescent="0.25">
      <c r="AA879" s="68" t="str">
        <f t="shared" si="53"/>
        <v>Fotos\\.jpg</v>
      </c>
      <c r="AB879" s="53">
        <f t="shared" si="54"/>
        <v>1.1376564277588168E-3</v>
      </c>
      <c r="AC879" s="25">
        <f t="shared" si="55"/>
        <v>879</v>
      </c>
      <c r="AD879" s="51">
        <f t="shared" si="56"/>
        <v>1</v>
      </c>
      <c r="AE879" s="25">
        <v>1</v>
      </c>
      <c r="AF879" s="25">
        <v>1</v>
      </c>
      <c r="AG879" s="25">
        <v>1</v>
      </c>
      <c r="AH879" s="25">
        <v>1</v>
      </c>
      <c r="AI879" s="25">
        <f>IF(OR(Apresentação!$E$3='Base de Dados e filtragem'!AI$2,Apresentação!$E$3='Base de Dados e filtragem'!E879),1,0)</f>
        <v>1</v>
      </c>
      <c r="AJ879" s="25">
        <f>IF(OR(Apresentação!$E$4='Base de Dados e filtragem'!AJ$2,Apresentação!$E$4='Base de Dados e filtragem'!F879),1,0)</f>
        <v>1</v>
      </c>
      <c r="AK879" s="25">
        <f>IF(OR(Apresentação!$E$5='Base de Dados e filtragem'!AK$2,Apresentação!$E$5='Base de Dados e filtragem'!G879),1,0)</f>
        <v>1</v>
      </c>
      <c r="AL879" s="25">
        <f>IF(OR(Apresentação!$E$6='Base de Dados e filtragem'!AL$2,Apresentação!$E$6='Base de Dados e filtragem'!H879),1,0)</f>
        <v>1</v>
      </c>
      <c r="AM879" s="25">
        <f>IF(OR(Apresentação!$I$2='Base de Dados e filtragem'!AM$2,Apresentação!$I$2='Base de Dados e filtragem'!I879),1,0)</f>
        <v>1</v>
      </c>
      <c r="AN879" s="25">
        <f>IF(OR(Apresentação!$I$3='Base de Dados e filtragem'!AN$2,Apresentação!$I$3='Base de Dados e filtragem'!J879),1,0)</f>
        <v>1</v>
      </c>
      <c r="AO879" s="25">
        <f>IF(OR(Apresentação!$I$4='Base de Dados e filtragem'!AO$2,Apresentação!$I$4='Base de Dados e filtragem'!K879),1,0)</f>
        <v>1</v>
      </c>
      <c r="AP879" s="25">
        <f>IF(OR(Apresentação!$I$5='Base de Dados e filtragem'!AP$2,Apresentação!$I$5='Base de Dados e filtragem'!L879),1,0)</f>
        <v>1</v>
      </c>
      <c r="AQ879" s="25">
        <f>IF(OR(Apresentação!$I$6='Base de Dados e filtragem'!AQ$2,Apresentação!$I$6='Base de Dados e filtragem'!M879),1,0)</f>
        <v>1</v>
      </c>
      <c r="AR879" s="25">
        <v>1</v>
      </c>
      <c r="AS879" s="25">
        <v>1</v>
      </c>
      <c r="AT879" s="25">
        <v>1</v>
      </c>
      <c r="AU879" s="25">
        <v>1</v>
      </c>
      <c r="AV879" s="25">
        <v>1</v>
      </c>
      <c r="AW879" s="25">
        <v>1</v>
      </c>
      <c r="AX879" s="25">
        <v>1</v>
      </c>
      <c r="AY879" s="25">
        <v>1</v>
      </c>
      <c r="AZ879" s="25">
        <v>1</v>
      </c>
      <c r="BA879" s="25">
        <v>1</v>
      </c>
      <c r="BB879" s="25">
        <v>1</v>
      </c>
      <c r="BC879" s="25">
        <v>1</v>
      </c>
      <c r="BD879" s="25">
        <v>1</v>
      </c>
    </row>
    <row r="880" spans="27:56" x14ac:dyDescent="0.25">
      <c r="AA880" s="68" t="str">
        <f t="shared" si="53"/>
        <v>Fotos\\.jpg</v>
      </c>
      <c r="AB880" s="53">
        <f t="shared" si="54"/>
        <v>1.1363636363636363E-3</v>
      </c>
      <c r="AC880" s="25">
        <f t="shared" si="55"/>
        <v>880</v>
      </c>
      <c r="AD880" s="51">
        <f t="shared" si="56"/>
        <v>1</v>
      </c>
      <c r="AE880" s="25">
        <v>1</v>
      </c>
      <c r="AF880" s="25">
        <v>1</v>
      </c>
      <c r="AG880" s="25">
        <v>1</v>
      </c>
      <c r="AH880" s="25">
        <v>1</v>
      </c>
      <c r="AI880" s="25">
        <f>IF(OR(Apresentação!$E$3='Base de Dados e filtragem'!AI$2,Apresentação!$E$3='Base de Dados e filtragem'!E880),1,0)</f>
        <v>1</v>
      </c>
      <c r="AJ880" s="25">
        <f>IF(OR(Apresentação!$E$4='Base de Dados e filtragem'!AJ$2,Apresentação!$E$4='Base de Dados e filtragem'!F880),1,0)</f>
        <v>1</v>
      </c>
      <c r="AK880" s="25">
        <f>IF(OR(Apresentação!$E$5='Base de Dados e filtragem'!AK$2,Apresentação!$E$5='Base de Dados e filtragem'!G880),1,0)</f>
        <v>1</v>
      </c>
      <c r="AL880" s="25">
        <f>IF(OR(Apresentação!$E$6='Base de Dados e filtragem'!AL$2,Apresentação!$E$6='Base de Dados e filtragem'!H880),1,0)</f>
        <v>1</v>
      </c>
      <c r="AM880" s="25">
        <f>IF(OR(Apresentação!$I$2='Base de Dados e filtragem'!AM$2,Apresentação!$I$2='Base de Dados e filtragem'!I880),1,0)</f>
        <v>1</v>
      </c>
      <c r="AN880" s="25">
        <f>IF(OR(Apresentação!$I$3='Base de Dados e filtragem'!AN$2,Apresentação!$I$3='Base de Dados e filtragem'!J880),1,0)</f>
        <v>1</v>
      </c>
      <c r="AO880" s="25">
        <f>IF(OR(Apresentação!$I$4='Base de Dados e filtragem'!AO$2,Apresentação!$I$4='Base de Dados e filtragem'!K880),1,0)</f>
        <v>1</v>
      </c>
      <c r="AP880" s="25">
        <f>IF(OR(Apresentação!$I$5='Base de Dados e filtragem'!AP$2,Apresentação!$I$5='Base de Dados e filtragem'!L880),1,0)</f>
        <v>1</v>
      </c>
      <c r="AQ880" s="25">
        <f>IF(OR(Apresentação!$I$6='Base de Dados e filtragem'!AQ$2,Apresentação!$I$6='Base de Dados e filtragem'!M880),1,0)</f>
        <v>1</v>
      </c>
      <c r="AR880" s="25">
        <v>1</v>
      </c>
      <c r="AS880" s="25">
        <v>1</v>
      </c>
      <c r="AT880" s="25">
        <v>1</v>
      </c>
      <c r="AU880" s="25">
        <v>1</v>
      </c>
      <c r="AV880" s="25">
        <v>1</v>
      </c>
      <c r="AW880" s="25">
        <v>1</v>
      </c>
      <c r="AX880" s="25">
        <v>1</v>
      </c>
      <c r="AY880" s="25">
        <v>1</v>
      </c>
      <c r="AZ880" s="25">
        <v>1</v>
      </c>
      <c r="BA880" s="25">
        <v>1</v>
      </c>
      <c r="BB880" s="25">
        <v>1</v>
      </c>
      <c r="BC880" s="25">
        <v>1</v>
      </c>
      <c r="BD880" s="25">
        <v>1</v>
      </c>
    </row>
    <row r="881" spans="27:56" x14ac:dyDescent="0.25">
      <c r="AA881" s="68" t="str">
        <f t="shared" si="53"/>
        <v>Fotos\\.jpg</v>
      </c>
      <c r="AB881" s="53">
        <f t="shared" si="54"/>
        <v>1.1350737797956867E-3</v>
      </c>
      <c r="AC881" s="25">
        <f t="shared" si="55"/>
        <v>881</v>
      </c>
      <c r="AD881" s="51">
        <f t="shared" si="56"/>
        <v>1</v>
      </c>
      <c r="AE881" s="25">
        <v>1</v>
      </c>
      <c r="AF881" s="25">
        <v>1</v>
      </c>
      <c r="AG881" s="25">
        <v>1</v>
      </c>
      <c r="AH881" s="25">
        <v>1</v>
      </c>
      <c r="AI881" s="25">
        <f>IF(OR(Apresentação!$E$3='Base de Dados e filtragem'!AI$2,Apresentação!$E$3='Base de Dados e filtragem'!E881),1,0)</f>
        <v>1</v>
      </c>
      <c r="AJ881" s="25">
        <f>IF(OR(Apresentação!$E$4='Base de Dados e filtragem'!AJ$2,Apresentação!$E$4='Base de Dados e filtragem'!F881),1,0)</f>
        <v>1</v>
      </c>
      <c r="AK881" s="25">
        <f>IF(OR(Apresentação!$E$5='Base de Dados e filtragem'!AK$2,Apresentação!$E$5='Base de Dados e filtragem'!G881),1,0)</f>
        <v>1</v>
      </c>
      <c r="AL881" s="25">
        <f>IF(OR(Apresentação!$E$6='Base de Dados e filtragem'!AL$2,Apresentação!$E$6='Base de Dados e filtragem'!H881),1,0)</f>
        <v>1</v>
      </c>
      <c r="AM881" s="25">
        <f>IF(OR(Apresentação!$I$2='Base de Dados e filtragem'!AM$2,Apresentação!$I$2='Base de Dados e filtragem'!I881),1,0)</f>
        <v>1</v>
      </c>
      <c r="AN881" s="25">
        <f>IF(OR(Apresentação!$I$3='Base de Dados e filtragem'!AN$2,Apresentação!$I$3='Base de Dados e filtragem'!J881),1,0)</f>
        <v>1</v>
      </c>
      <c r="AO881" s="25">
        <f>IF(OR(Apresentação!$I$4='Base de Dados e filtragem'!AO$2,Apresentação!$I$4='Base de Dados e filtragem'!K881),1,0)</f>
        <v>1</v>
      </c>
      <c r="AP881" s="25">
        <f>IF(OR(Apresentação!$I$5='Base de Dados e filtragem'!AP$2,Apresentação!$I$5='Base de Dados e filtragem'!L881),1,0)</f>
        <v>1</v>
      </c>
      <c r="AQ881" s="25">
        <f>IF(OR(Apresentação!$I$6='Base de Dados e filtragem'!AQ$2,Apresentação!$I$6='Base de Dados e filtragem'!M881),1,0)</f>
        <v>1</v>
      </c>
      <c r="AR881" s="25">
        <v>1</v>
      </c>
      <c r="AS881" s="25">
        <v>1</v>
      </c>
      <c r="AT881" s="25">
        <v>1</v>
      </c>
      <c r="AU881" s="25">
        <v>1</v>
      </c>
      <c r="AV881" s="25">
        <v>1</v>
      </c>
      <c r="AW881" s="25">
        <v>1</v>
      </c>
      <c r="AX881" s="25">
        <v>1</v>
      </c>
      <c r="AY881" s="25">
        <v>1</v>
      </c>
      <c r="AZ881" s="25">
        <v>1</v>
      </c>
      <c r="BA881" s="25">
        <v>1</v>
      </c>
      <c r="BB881" s="25">
        <v>1</v>
      </c>
      <c r="BC881" s="25">
        <v>1</v>
      </c>
      <c r="BD881" s="25">
        <v>1</v>
      </c>
    </row>
    <row r="882" spans="27:56" x14ac:dyDescent="0.25">
      <c r="AA882" s="68" t="str">
        <f t="shared" si="53"/>
        <v>Fotos\\.jpg</v>
      </c>
      <c r="AB882" s="53">
        <f t="shared" si="54"/>
        <v>1.1337868480725624E-3</v>
      </c>
      <c r="AC882" s="25">
        <f t="shared" si="55"/>
        <v>882</v>
      </c>
      <c r="AD882" s="51">
        <f t="shared" si="56"/>
        <v>1</v>
      </c>
      <c r="AE882" s="25">
        <v>1</v>
      </c>
      <c r="AF882" s="25">
        <v>1</v>
      </c>
      <c r="AG882" s="25">
        <v>1</v>
      </c>
      <c r="AH882" s="25">
        <v>1</v>
      </c>
      <c r="AI882" s="25">
        <f>IF(OR(Apresentação!$E$3='Base de Dados e filtragem'!AI$2,Apresentação!$E$3='Base de Dados e filtragem'!E882),1,0)</f>
        <v>1</v>
      </c>
      <c r="AJ882" s="25">
        <f>IF(OR(Apresentação!$E$4='Base de Dados e filtragem'!AJ$2,Apresentação!$E$4='Base de Dados e filtragem'!F882),1,0)</f>
        <v>1</v>
      </c>
      <c r="AK882" s="25">
        <f>IF(OR(Apresentação!$E$5='Base de Dados e filtragem'!AK$2,Apresentação!$E$5='Base de Dados e filtragem'!G882),1,0)</f>
        <v>1</v>
      </c>
      <c r="AL882" s="25">
        <f>IF(OR(Apresentação!$E$6='Base de Dados e filtragem'!AL$2,Apresentação!$E$6='Base de Dados e filtragem'!H882),1,0)</f>
        <v>1</v>
      </c>
      <c r="AM882" s="25">
        <f>IF(OR(Apresentação!$I$2='Base de Dados e filtragem'!AM$2,Apresentação!$I$2='Base de Dados e filtragem'!I882),1,0)</f>
        <v>1</v>
      </c>
      <c r="AN882" s="25">
        <f>IF(OR(Apresentação!$I$3='Base de Dados e filtragem'!AN$2,Apresentação!$I$3='Base de Dados e filtragem'!J882),1,0)</f>
        <v>1</v>
      </c>
      <c r="AO882" s="25">
        <f>IF(OR(Apresentação!$I$4='Base de Dados e filtragem'!AO$2,Apresentação!$I$4='Base de Dados e filtragem'!K882),1,0)</f>
        <v>1</v>
      </c>
      <c r="AP882" s="25">
        <f>IF(OR(Apresentação!$I$5='Base de Dados e filtragem'!AP$2,Apresentação!$I$5='Base de Dados e filtragem'!L882),1,0)</f>
        <v>1</v>
      </c>
      <c r="AQ882" s="25">
        <f>IF(OR(Apresentação!$I$6='Base de Dados e filtragem'!AQ$2,Apresentação!$I$6='Base de Dados e filtragem'!M882),1,0)</f>
        <v>1</v>
      </c>
      <c r="AR882" s="25">
        <v>1</v>
      </c>
      <c r="AS882" s="25">
        <v>1</v>
      </c>
      <c r="AT882" s="25">
        <v>1</v>
      </c>
      <c r="AU882" s="25">
        <v>1</v>
      </c>
      <c r="AV882" s="25">
        <v>1</v>
      </c>
      <c r="AW882" s="25">
        <v>1</v>
      </c>
      <c r="AX882" s="25">
        <v>1</v>
      </c>
      <c r="AY882" s="25">
        <v>1</v>
      </c>
      <c r="AZ882" s="25">
        <v>1</v>
      </c>
      <c r="BA882" s="25">
        <v>1</v>
      </c>
      <c r="BB882" s="25">
        <v>1</v>
      </c>
      <c r="BC882" s="25">
        <v>1</v>
      </c>
      <c r="BD882" s="25">
        <v>1</v>
      </c>
    </row>
    <row r="883" spans="27:56" x14ac:dyDescent="0.25">
      <c r="AA883" s="68" t="str">
        <f t="shared" si="53"/>
        <v>Fotos\\.jpg</v>
      </c>
      <c r="AB883" s="53">
        <f t="shared" si="54"/>
        <v>1.1325028312570782E-3</v>
      </c>
      <c r="AC883" s="25">
        <f t="shared" si="55"/>
        <v>883</v>
      </c>
      <c r="AD883" s="51">
        <f t="shared" si="56"/>
        <v>1</v>
      </c>
      <c r="AE883" s="25">
        <v>1</v>
      </c>
      <c r="AF883" s="25">
        <v>1</v>
      </c>
      <c r="AG883" s="25">
        <v>1</v>
      </c>
      <c r="AH883" s="25">
        <v>1</v>
      </c>
      <c r="AI883" s="25">
        <f>IF(OR(Apresentação!$E$3='Base de Dados e filtragem'!AI$2,Apresentação!$E$3='Base de Dados e filtragem'!E883),1,0)</f>
        <v>1</v>
      </c>
      <c r="AJ883" s="25">
        <f>IF(OR(Apresentação!$E$4='Base de Dados e filtragem'!AJ$2,Apresentação!$E$4='Base de Dados e filtragem'!F883),1,0)</f>
        <v>1</v>
      </c>
      <c r="AK883" s="25">
        <f>IF(OR(Apresentação!$E$5='Base de Dados e filtragem'!AK$2,Apresentação!$E$5='Base de Dados e filtragem'!G883),1,0)</f>
        <v>1</v>
      </c>
      <c r="AL883" s="25">
        <f>IF(OR(Apresentação!$E$6='Base de Dados e filtragem'!AL$2,Apresentação!$E$6='Base de Dados e filtragem'!H883),1,0)</f>
        <v>1</v>
      </c>
      <c r="AM883" s="25">
        <f>IF(OR(Apresentação!$I$2='Base de Dados e filtragem'!AM$2,Apresentação!$I$2='Base de Dados e filtragem'!I883),1,0)</f>
        <v>1</v>
      </c>
      <c r="AN883" s="25">
        <f>IF(OR(Apresentação!$I$3='Base de Dados e filtragem'!AN$2,Apresentação!$I$3='Base de Dados e filtragem'!J883),1,0)</f>
        <v>1</v>
      </c>
      <c r="AO883" s="25">
        <f>IF(OR(Apresentação!$I$4='Base de Dados e filtragem'!AO$2,Apresentação!$I$4='Base de Dados e filtragem'!K883),1,0)</f>
        <v>1</v>
      </c>
      <c r="AP883" s="25">
        <f>IF(OR(Apresentação!$I$5='Base de Dados e filtragem'!AP$2,Apresentação!$I$5='Base de Dados e filtragem'!L883),1,0)</f>
        <v>1</v>
      </c>
      <c r="AQ883" s="25">
        <f>IF(OR(Apresentação!$I$6='Base de Dados e filtragem'!AQ$2,Apresentação!$I$6='Base de Dados e filtragem'!M883),1,0)</f>
        <v>1</v>
      </c>
      <c r="AR883" s="25">
        <v>1</v>
      </c>
      <c r="AS883" s="25">
        <v>1</v>
      </c>
      <c r="AT883" s="25">
        <v>1</v>
      </c>
      <c r="AU883" s="25">
        <v>1</v>
      </c>
      <c r="AV883" s="25">
        <v>1</v>
      </c>
      <c r="AW883" s="25">
        <v>1</v>
      </c>
      <c r="AX883" s="25">
        <v>1</v>
      </c>
      <c r="AY883" s="25">
        <v>1</v>
      </c>
      <c r="AZ883" s="25">
        <v>1</v>
      </c>
      <c r="BA883" s="25">
        <v>1</v>
      </c>
      <c r="BB883" s="25">
        <v>1</v>
      </c>
      <c r="BC883" s="25">
        <v>1</v>
      </c>
      <c r="BD883" s="25">
        <v>1</v>
      </c>
    </row>
    <row r="884" spans="27:56" x14ac:dyDescent="0.25">
      <c r="AA884" s="68" t="str">
        <f t="shared" si="53"/>
        <v>Fotos\\.jpg</v>
      </c>
      <c r="AB884" s="53">
        <f t="shared" si="54"/>
        <v>1.1312217194570137E-3</v>
      </c>
      <c r="AC884" s="25">
        <f t="shared" si="55"/>
        <v>884</v>
      </c>
      <c r="AD884" s="51">
        <f t="shared" si="56"/>
        <v>1</v>
      </c>
      <c r="AE884" s="25">
        <v>1</v>
      </c>
      <c r="AF884" s="25">
        <v>1</v>
      </c>
      <c r="AG884" s="25">
        <v>1</v>
      </c>
      <c r="AH884" s="25">
        <v>1</v>
      </c>
      <c r="AI884" s="25">
        <f>IF(OR(Apresentação!$E$3='Base de Dados e filtragem'!AI$2,Apresentação!$E$3='Base de Dados e filtragem'!E884),1,0)</f>
        <v>1</v>
      </c>
      <c r="AJ884" s="25">
        <f>IF(OR(Apresentação!$E$4='Base de Dados e filtragem'!AJ$2,Apresentação!$E$4='Base de Dados e filtragem'!F884),1,0)</f>
        <v>1</v>
      </c>
      <c r="AK884" s="25">
        <f>IF(OR(Apresentação!$E$5='Base de Dados e filtragem'!AK$2,Apresentação!$E$5='Base de Dados e filtragem'!G884),1,0)</f>
        <v>1</v>
      </c>
      <c r="AL884" s="25">
        <f>IF(OR(Apresentação!$E$6='Base de Dados e filtragem'!AL$2,Apresentação!$E$6='Base de Dados e filtragem'!H884),1,0)</f>
        <v>1</v>
      </c>
      <c r="AM884" s="25">
        <f>IF(OR(Apresentação!$I$2='Base de Dados e filtragem'!AM$2,Apresentação!$I$2='Base de Dados e filtragem'!I884),1,0)</f>
        <v>1</v>
      </c>
      <c r="AN884" s="25">
        <f>IF(OR(Apresentação!$I$3='Base de Dados e filtragem'!AN$2,Apresentação!$I$3='Base de Dados e filtragem'!J884),1,0)</f>
        <v>1</v>
      </c>
      <c r="AO884" s="25">
        <f>IF(OR(Apresentação!$I$4='Base de Dados e filtragem'!AO$2,Apresentação!$I$4='Base de Dados e filtragem'!K884),1,0)</f>
        <v>1</v>
      </c>
      <c r="AP884" s="25">
        <f>IF(OR(Apresentação!$I$5='Base de Dados e filtragem'!AP$2,Apresentação!$I$5='Base de Dados e filtragem'!L884),1,0)</f>
        <v>1</v>
      </c>
      <c r="AQ884" s="25">
        <f>IF(OR(Apresentação!$I$6='Base de Dados e filtragem'!AQ$2,Apresentação!$I$6='Base de Dados e filtragem'!M884),1,0)</f>
        <v>1</v>
      </c>
      <c r="AR884" s="25">
        <v>1</v>
      </c>
      <c r="AS884" s="25">
        <v>1</v>
      </c>
      <c r="AT884" s="25">
        <v>1</v>
      </c>
      <c r="AU884" s="25">
        <v>1</v>
      </c>
      <c r="AV884" s="25">
        <v>1</v>
      </c>
      <c r="AW884" s="25">
        <v>1</v>
      </c>
      <c r="AX884" s="25">
        <v>1</v>
      </c>
      <c r="AY884" s="25">
        <v>1</v>
      </c>
      <c r="AZ884" s="25">
        <v>1</v>
      </c>
      <c r="BA884" s="25">
        <v>1</v>
      </c>
      <c r="BB884" s="25">
        <v>1</v>
      </c>
      <c r="BC884" s="25">
        <v>1</v>
      </c>
      <c r="BD884" s="25">
        <v>1</v>
      </c>
    </row>
    <row r="885" spans="27:56" x14ac:dyDescent="0.25">
      <c r="AA885" s="68" t="str">
        <f t="shared" si="53"/>
        <v>Fotos\\.jpg</v>
      </c>
      <c r="AB885" s="53">
        <f t="shared" si="54"/>
        <v>1.1299435028248588E-3</v>
      </c>
      <c r="AC885" s="25">
        <f t="shared" si="55"/>
        <v>885</v>
      </c>
      <c r="AD885" s="51">
        <f t="shared" si="56"/>
        <v>1</v>
      </c>
      <c r="AE885" s="25">
        <v>1</v>
      </c>
      <c r="AF885" s="25">
        <v>1</v>
      </c>
      <c r="AG885" s="25">
        <v>1</v>
      </c>
      <c r="AH885" s="25">
        <v>1</v>
      </c>
      <c r="AI885" s="25">
        <f>IF(OR(Apresentação!$E$3='Base de Dados e filtragem'!AI$2,Apresentação!$E$3='Base de Dados e filtragem'!E885),1,0)</f>
        <v>1</v>
      </c>
      <c r="AJ885" s="25">
        <f>IF(OR(Apresentação!$E$4='Base de Dados e filtragem'!AJ$2,Apresentação!$E$4='Base de Dados e filtragem'!F885),1,0)</f>
        <v>1</v>
      </c>
      <c r="AK885" s="25">
        <f>IF(OR(Apresentação!$E$5='Base de Dados e filtragem'!AK$2,Apresentação!$E$5='Base de Dados e filtragem'!G885),1,0)</f>
        <v>1</v>
      </c>
      <c r="AL885" s="25">
        <f>IF(OR(Apresentação!$E$6='Base de Dados e filtragem'!AL$2,Apresentação!$E$6='Base de Dados e filtragem'!H885),1,0)</f>
        <v>1</v>
      </c>
      <c r="AM885" s="25">
        <f>IF(OR(Apresentação!$I$2='Base de Dados e filtragem'!AM$2,Apresentação!$I$2='Base de Dados e filtragem'!I885),1,0)</f>
        <v>1</v>
      </c>
      <c r="AN885" s="25">
        <f>IF(OR(Apresentação!$I$3='Base de Dados e filtragem'!AN$2,Apresentação!$I$3='Base de Dados e filtragem'!J885),1,0)</f>
        <v>1</v>
      </c>
      <c r="AO885" s="25">
        <f>IF(OR(Apresentação!$I$4='Base de Dados e filtragem'!AO$2,Apresentação!$I$4='Base de Dados e filtragem'!K885),1,0)</f>
        <v>1</v>
      </c>
      <c r="AP885" s="25">
        <f>IF(OR(Apresentação!$I$5='Base de Dados e filtragem'!AP$2,Apresentação!$I$5='Base de Dados e filtragem'!L885),1,0)</f>
        <v>1</v>
      </c>
      <c r="AQ885" s="25">
        <f>IF(OR(Apresentação!$I$6='Base de Dados e filtragem'!AQ$2,Apresentação!$I$6='Base de Dados e filtragem'!M885),1,0)</f>
        <v>1</v>
      </c>
      <c r="AR885" s="25">
        <v>1</v>
      </c>
      <c r="AS885" s="25">
        <v>1</v>
      </c>
      <c r="AT885" s="25">
        <v>1</v>
      </c>
      <c r="AU885" s="25">
        <v>1</v>
      </c>
      <c r="AV885" s="25">
        <v>1</v>
      </c>
      <c r="AW885" s="25">
        <v>1</v>
      </c>
      <c r="AX885" s="25">
        <v>1</v>
      </c>
      <c r="AY885" s="25">
        <v>1</v>
      </c>
      <c r="AZ885" s="25">
        <v>1</v>
      </c>
      <c r="BA885" s="25">
        <v>1</v>
      </c>
      <c r="BB885" s="25">
        <v>1</v>
      </c>
      <c r="BC885" s="25">
        <v>1</v>
      </c>
      <c r="BD885" s="25">
        <v>1</v>
      </c>
    </row>
    <row r="886" spans="27:56" x14ac:dyDescent="0.25">
      <c r="AA886" s="68" t="str">
        <f t="shared" si="53"/>
        <v>Fotos\\.jpg</v>
      </c>
      <c r="AB886" s="53">
        <f t="shared" si="54"/>
        <v>1.128668171557562E-3</v>
      </c>
      <c r="AC886" s="25">
        <f t="shared" si="55"/>
        <v>886</v>
      </c>
      <c r="AD886" s="51">
        <f t="shared" si="56"/>
        <v>1</v>
      </c>
      <c r="AE886" s="25">
        <v>1</v>
      </c>
      <c r="AF886" s="25">
        <v>1</v>
      </c>
      <c r="AG886" s="25">
        <v>1</v>
      </c>
      <c r="AH886" s="25">
        <v>1</v>
      </c>
      <c r="AI886" s="25">
        <f>IF(OR(Apresentação!$E$3='Base de Dados e filtragem'!AI$2,Apresentação!$E$3='Base de Dados e filtragem'!E886),1,0)</f>
        <v>1</v>
      </c>
      <c r="AJ886" s="25">
        <f>IF(OR(Apresentação!$E$4='Base de Dados e filtragem'!AJ$2,Apresentação!$E$4='Base de Dados e filtragem'!F886),1,0)</f>
        <v>1</v>
      </c>
      <c r="AK886" s="25">
        <f>IF(OR(Apresentação!$E$5='Base de Dados e filtragem'!AK$2,Apresentação!$E$5='Base de Dados e filtragem'!G886),1,0)</f>
        <v>1</v>
      </c>
      <c r="AL886" s="25">
        <f>IF(OR(Apresentação!$E$6='Base de Dados e filtragem'!AL$2,Apresentação!$E$6='Base de Dados e filtragem'!H886),1,0)</f>
        <v>1</v>
      </c>
      <c r="AM886" s="25">
        <f>IF(OR(Apresentação!$I$2='Base de Dados e filtragem'!AM$2,Apresentação!$I$2='Base de Dados e filtragem'!I886),1,0)</f>
        <v>1</v>
      </c>
      <c r="AN886" s="25">
        <f>IF(OR(Apresentação!$I$3='Base de Dados e filtragem'!AN$2,Apresentação!$I$3='Base de Dados e filtragem'!J886),1,0)</f>
        <v>1</v>
      </c>
      <c r="AO886" s="25">
        <f>IF(OR(Apresentação!$I$4='Base de Dados e filtragem'!AO$2,Apresentação!$I$4='Base de Dados e filtragem'!K886),1,0)</f>
        <v>1</v>
      </c>
      <c r="AP886" s="25">
        <f>IF(OR(Apresentação!$I$5='Base de Dados e filtragem'!AP$2,Apresentação!$I$5='Base de Dados e filtragem'!L886),1,0)</f>
        <v>1</v>
      </c>
      <c r="AQ886" s="25">
        <f>IF(OR(Apresentação!$I$6='Base de Dados e filtragem'!AQ$2,Apresentação!$I$6='Base de Dados e filtragem'!M886),1,0)</f>
        <v>1</v>
      </c>
      <c r="AR886" s="25">
        <v>1</v>
      </c>
      <c r="AS886" s="25">
        <v>1</v>
      </c>
      <c r="AT886" s="25">
        <v>1</v>
      </c>
      <c r="AU886" s="25">
        <v>1</v>
      </c>
      <c r="AV886" s="25">
        <v>1</v>
      </c>
      <c r="AW886" s="25">
        <v>1</v>
      </c>
      <c r="AX886" s="25">
        <v>1</v>
      </c>
      <c r="AY886" s="25">
        <v>1</v>
      </c>
      <c r="AZ886" s="25">
        <v>1</v>
      </c>
      <c r="BA886" s="25">
        <v>1</v>
      </c>
      <c r="BB886" s="25">
        <v>1</v>
      </c>
      <c r="BC886" s="25">
        <v>1</v>
      </c>
      <c r="BD886" s="25">
        <v>1</v>
      </c>
    </row>
    <row r="887" spans="27:56" x14ac:dyDescent="0.25">
      <c r="AA887" s="68" t="str">
        <f t="shared" si="53"/>
        <v>Fotos\\.jpg</v>
      </c>
      <c r="AB887" s="53">
        <f t="shared" si="54"/>
        <v>1.1273957158962795E-3</v>
      </c>
      <c r="AC887" s="25">
        <f t="shared" si="55"/>
        <v>887</v>
      </c>
      <c r="AD887" s="51">
        <f t="shared" si="56"/>
        <v>1</v>
      </c>
      <c r="AE887" s="25">
        <v>1</v>
      </c>
      <c r="AF887" s="25">
        <v>1</v>
      </c>
      <c r="AG887" s="25">
        <v>1</v>
      </c>
      <c r="AH887" s="25">
        <v>1</v>
      </c>
      <c r="AI887" s="25">
        <f>IF(OR(Apresentação!$E$3='Base de Dados e filtragem'!AI$2,Apresentação!$E$3='Base de Dados e filtragem'!E887),1,0)</f>
        <v>1</v>
      </c>
      <c r="AJ887" s="25">
        <f>IF(OR(Apresentação!$E$4='Base de Dados e filtragem'!AJ$2,Apresentação!$E$4='Base de Dados e filtragem'!F887),1,0)</f>
        <v>1</v>
      </c>
      <c r="AK887" s="25">
        <f>IF(OR(Apresentação!$E$5='Base de Dados e filtragem'!AK$2,Apresentação!$E$5='Base de Dados e filtragem'!G887),1,0)</f>
        <v>1</v>
      </c>
      <c r="AL887" s="25">
        <f>IF(OR(Apresentação!$E$6='Base de Dados e filtragem'!AL$2,Apresentação!$E$6='Base de Dados e filtragem'!H887),1,0)</f>
        <v>1</v>
      </c>
      <c r="AM887" s="25">
        <f>IF(OR(Apresentação!$I$2='Base de Dados e filtragem'!AM$2,Apresentação!$I$2='Base de Dados e filtragem'!I887),1,0)</f>
        <v>1</v>
      </c>
      <c r="AN887" s="25">
        <f>IF(OR(Apresentação!$I$3='Base de Dados e filtragem'!AN$2,Apresentação!$I$3='Base de Dados e filtragem'!J887),1,0)</f>
        <v>1</v>
      </c>
      <c r="AO887" s="25">
        <f>IF(OR(Apresentação!$I$4='Base de Dados e filtragem'!AO$2,Apresentação!$I$4='Base de Dados e filtragem'!K887),1,0)</f>
        <v>1</v>
      </c>
      <c r="AP887" s="25">
        <f>IF(OR(Apresentação!$I$5='Base de Dados e filtragem'!AP$2,Apresentação!$I$5='Base de Dados e filtragem'!L887),1,0)</f>
        <v>1</v>
      </c>
      <c r="AQ887" s="25">
        <f>IF(OR(Apresentação!$I$6='Base de Dados e filtragem'!AQ$2,Apresentação!$I$6='Base de Dados e filtragem'!M887),1,0)</f>
        <v>1</v>
      </c>
      <c r="AR887" s="25">
        <v>1</v>
      </c>
      <c r="AS887" s="25">
        <v>1</v>
      </c>
      <c r="AT887" s="25">
        <v>1</v>
      </c>
      <c r="AU887" s="25">
        <v>1</v>
      </c>
      <c r="AV887" s="25">
        <v>1</v>
      </c>
      <c r="AW887" s="25">
        <v>1</v>
      </c>
      <c r="AX887" s="25">
        <v>1</v>
      </c>
      <c r="AY887" s="25">
        <v>1</v>
      </c>
      <c r="AZ887" s="25">
        <v>1</v>
      </c>
      <c r="BA887" s="25">
        <v>1</v>
      </c>
      <c r="BB887" s="25">
        <v>1</v>
      </c>
      <c r="BC887" s="25">
        <v>1</v>
      </c>
      <c r="BD887" s="25">
        <v>1</v>
      </c>
    </row>
    <row r="888" spans="27:56" x14ac:dyDescent="0.25">
      <c r="AA888" s="68" t="str">
        <f t="shared" si="53"/>
        <v>Fotos\\.jpg</v>
      </c>
      <c r="AB888" s="53">
        <f t="shared" si="54"/>
        <v>1.1261261261261261E-3</v>
      </c>
      <c r="AC888" s="25">
        <f t="shared" si="55"/>
        <v>888</v>
      </c>
      <c r="AD888" s="51">
        <f t="shared" si="56"/>
        <v>1</v>
      </c>
      <c r="AE888" s="25">
        <v>1</v>
      </c>
      <c r="AF888" s="25">
        <v>1</v>
      </c>
      <c r="AG888" s="25">
        <v>1</v>
      </c>
      <c r="AH888" s="25">
        <v>1</v>
      </c>
      <c r="AI888" s="25">
        <f>IF(OR(Apresentação!$E$3='Base de Dados e filtragem'!AI$2,Apresentação!$E$3='Base de Dados e filtragem'!E888),1,0)</f>
        <v>1</v>
      </c>
      <c r="AJ888" s="25">
        <f>IF(OR(Apresentação!$E$4='Base de Dados e filtragem'!AJ$2,Apresentação!$E$4='Base de Dados e filtragem'!F888),1,0)</f>
        <v>1</v>
      </c>
      <c r="AK888" s="25">
        <f>IF(OR(Apresentação!$E$5='Base de Dados e filtragem'!AK$2,Apresentação!$E$5='Base de Dados e filtragem'!G888),1,0)</f>
        <v>1</v>
      </c>
      <c r="AL888" s="25">
        <f>IF(OR(Apresentação!$E$6='Base de Dados e filtragem'!AL$2,Apresentação!$E$6='Base de Dados e filtragem'!H888),1,0)</f>
        <v>1</v>
      </c>
      <c r="AM888" s="25">
        <f>IF(OR(Apresentação!$I$2='Base de Dados e filtragem'!AM$2,Apresentação!$I$2='Base de Dados e filtragem'!I888),1,0)</f>
        <v>1</v>
      </c>
      <c r="AN888" s="25">
        <f>IF(OR(Apresentação!$I$3='Base de Dados e filtragem'!AN$2,Apresentação!$I$3='Base de Dados e filtragem'!J888),1,0)</f>
        <v>1</v>
      </c>
      <c r="AO888" s="25">
        <f>IF(OR(Apresentação!$I$4='Base de Dados e filtragem'!AO$2,Apresentação!$I$4='Base de Dados e filtragem'!K888),1,0)</f>
        <v>1</v>
      </c>
      <c r="AP888" s="25">
        <f>IF(OR(Apresentação!$I$5='Base de Dados e filtragem'!AP$2,Apresentação!$I$5='Base de Dados e filtragem'!L888),1,0)</f>
        <v>1</v>
      </c>
      <c r="AQ888" s="25">
        <f>IF(OR(Apresentação!$I$6='Base de Dados e filtragem'!AQ$2,Apresentação!$I$6='Base de Dados e filtragem'!M888),1,0)</f>
        <v>1</v>
      </c>
      <c r="AR888" s="25">
        <v>1</v>
      </c>
      <c r="AS888" s="25">
        <v>1</v>
      </c>
      <c r="AT888" s="25">
        <v>1</v>
      </c>
      <c r="AU888" s="25">
        <v>1</v>
      </c>
      <c r="AV888" s="25">
        <v>1</v>
      </c>
      <c r="AW888" s="25">
        <v>1</v>
      </c>
      <c r="AX888" s="25">
        <v>1</v>
      </c>
      <c r="AY888" s="25">
        <v>1</v>
      </c>
      <c r="AZ888" s="25">
        <v>1</v>
      </c>
      <c r="BA888" s="25">
        <v>1</v>
      </c>
      <c r="BB888" s="25">
        <v>1</v>
      </c>
      <c r="BC888" s="25">
        <v>1</v>
      </c>
      <c r="BD888" s="25">
        <v>1</v>
      </c>
    </row>
    <row r="889" spans="27:56" x14ac:dyDescent="0.25">
      <c r="AA889" s="68" t="str">
        <f t="shared" si="53"/>
        <v>Fotos\\.jpg</v>
      </c>
      <c r="AB889" s="53">
        <f t="shared" si="54"/>
        <v>1.1248593925759281E-3</v>
      </c>
      <c r="AC889" s="25">
        <f t="shared" si="55"/>
        <v>889</v>
      </c>
      <c r="AD889" s="51">
        <f t="shared" si="56"/>
        <v>1</v>
      </c>
      <c r="AE889" s="25">
        <v>1</v>
      </c>
      <c r="AF889" s="25">
        <v>1</v>
      </c>
      <c r="AG889" s="25">
        <v>1</v>
      </c>
      <c r="AH889" s="25">
        <v>1</v>
      </c>
      <c r="AI889" s="25">
        <f>IF(OR(Apresentação!$E$3='Base de Dados e filtragem'!AI$2,Apresentação!$E$3='Base de Dados e filtragem'!E889),1,0)</f>
        <v>1</v>
      </c>
      <c r="AJ889" s="25">
        <f>IF(OR(Apresentação!$E$4='Base de Dados e filtragem'!AJ$2,Apresentação!$E$4='Base de Dados e filtragem'!F889),1,0)</f>
        <v>1</v>
      </c>
      <c r="AK889" s="25">
        <f>IF(OR(Apresentação!$E$5='Base de Dados e filtragem'!AK$2,Apresentação!$E$5='Base de Dados e filtragem'!G889),1,0)</f>
        <v>1</v>
      </c>
      <c r="AL889" s="25">
        <f>IF(OR(Apresentação!$E$6='Base de Dados e filtragem'!AL$2,Apresentação!$E$6='Base de Dados e filtragem'!H889),1,0)</f>
        <v>1</v>
      </c>
      <c r="AM889" s="25">
        <f>IF(OR(Apresentação!$I$2='Base de Dados e filtragem'!AM$2,Apresentação!$I$2='Base de Dados e filtragem'!I889),1,0)</f>
        <v>1</v>
      </c>
      <c r="AN889" s="25">
        <f>IF(OR(Apresentação!$I$3='Base de Dados e filtragem'!AN$2,Apresentação!$I$3='Base de Dados e filtragem'!J889),1,0)</f>
        <v>1</v>
      </c>
      <c r="AO889" s="25">
        <f>IF(OR(Apresentação!$I$4='Base de Dados e filtragem'!AO$2,Apresentação!$I$4='Base de Dados e filtragem'!K889),1,0)</f>
        <v>1</v>
      </c>
      <c r="AP889" s="25">
        <f>IF(OR(Apresentação!$I$5='Base de Dados e filtragem'!AP$2,Apresentação!$I$5='Base de Dados e filtragem'!L889),1,0)</f>
        <v>1</v>
      </c>
      <c r="AQ889" s="25">
        <f>IF(OR(Apresentação!$I$6='Base de Dados e filtragem'!AQ$2,Apresentação!$I$6='Base de Dados e filtragem'!M889),1,0)</f>
        <v>1</v>
      </c>
      <c r="AR889" s="25">
        <v>1</v>
      </c>
      <c r="AS889" s="25">
        <v>1</v>
      </c>
      <c r="AT889" s="25">
        <v>1</v>
      </c>
      <c r="AU889" s="25">
        <v>1</v>
      </c>
      <c r="AV889" s="25">
        <v>1</v>
      </c>
      <c r="AW889" s="25">
        <v>1</v>
      </c>
      <c r="AX889" s="25">
        <v>1</v>
      </c>
      <c r="AY889" s="25">
        <v>1</v>
      </c>
      <c r="AZ889" s="25">
        <v>1</v>
      </c>
      <c r="BA889" s="25">
        <v>1</v>
      </c>
      <c r="BB889" s="25">
        <v>1</v>
      </c>
      <c r="BC889" s="25">
        <v>1</v>
      </c>
      <c r="BD889" s="25">
        <v>1</v>
      </c>
    </row>
    <row r="890" spans="27:56" x14ac:dyDescent="0.25">
      <c r="AA890" s="68" t="str">
        <f t="shared" si="53"/>
        <v>Fotos\\.jpg</v>
      </c>
      <c r="AB890" s="53">
        <f t="shared" si="54"/>
        <v>1.1235955056179776E-3</v>
      </c>
      <c r="AC890" s="25">
        <f t="shared" si="55"/>
        <v>890</v>
      </c>
      <c r="AD890" s="51">
        <f t="shared" si="56"/>
        <v>1</v>
      </c>
      <c r="AE890" s="25">
        <v>1</v>
      </c>
      <c r="AF890" s="25">
        <v>1</v>
      </c>
      <c r="AG890" s="25">
        <v>1</v>
      </c>
      <c r="AH890" s="25">
        <v>1</v>
      </c>
      <c r="AI890" s="25">
        <f>IF(OR(Apresentação!$E$3='Base de Dados e filtragem'!AI$2,Apresentação!$E$3='Base de Dados e filtragem'!E890),1,0)</f>
        <v>1</v>
      </c>
      <c r="AJ890" s="25">
        <f>IF(OR(Apresentação!$E$4='Base de Dados e filtragem'!AJ$2,Apresentação!$E$4='Base de Dados e filtragem'!F890),1,0)</f>
        <v>1</v>
      </c>
      <c r="AK890" s="25">
        <f>IF(OR(Apresentação!$E$5='Base de Dados e filtragem'!AK$2,Apresentação!$E$5='Base de Dados e filtragem'!G890),1,0)</f>
        <v>1</v>
      </c>
      <c r="AL890" s="25">
        <f>IF(OR(Apresentação!$E$6='Base de Dados e filtragem'!AL$2,Apresentação!$E$6='Base de Dados e filtragem'!H890),1,0)</f>
        <v>1</v>
      </c>
      <c r="AM890" s="25">
        <f>IF(OR(Apresentação!$I$2='Base de Dados e filtragem'!AM$2,Apresentação!$I$2='Base de Dados e filtragem'!I890),1,0)</f>
        <v>1</v>
      </c>
      <c r="AN890" s="25">
        <f>IF(OR(Apresentação!$I$3='Base de Dados e filtragem'!AN$2,Apresentação!$I$3='Base de Dados e filtragem'!J890),1,0)</f>
        <v>1</v>
      </c>
      <c r="AO890" s="25">
        <f>IF(OR(Apresentação!$I$4='Base de Dados e filtragem'!AO$2,Apresentação!$I$4='Base de Dados e filtragem'!K890),1,0)</f>
        <v>1</v>
      </c>
      <c r="AP890" s="25">
        <f>IF(OR(Apresentação!$I$5='Base de Dados e filtragem'!AP$2,Apresentação!$I$5='Base de Dados e filtragem'!L890),1,0)</f>
        <v>1</v>
      </c>
      <c r="AQ890" s="25">
        <f>IF(OR(Apresentação!$I$6='Base de Dados e filtragem'!AQ$2,Apresentação!$I$6='Base de Dados e filtragem'!M890),1,0)</f>
        <v>1</v>
      </c>
      <c r="AR890" s="25">
        <v>1</v>
      </c>
      <c r="AS890" s="25">
        <v>1</v>
      </c>
      <c r="AT890" s="25">
        <v>1</v>
      </c>
      <c r="AU890" s="25">
        <v>1</v>
      </c>
      <c r="AV890" s="25">
        <v>1</v>
      </c>
      <c r="AW890" s="25">
        <v>1</v>
      </c>
      <c r="AX890" s="25">
        <v>1</v>
      </c>
      <c r="AY890" s="25">
        <v>1</v>
      </c>
      <c r="AZ890" s="25">
        <v>1</v>
      </c>
      <c r="BA890" s="25">
        <v>1</v>
      </c>
      <c r="BB890" s="25">
        <v>1</v>
      </c>
      <c r="BC890" s="25">
        <v>1</v>
      </c>
      <c r="BD890" s="25">
        <v>1</v>
      </c>
    </row>
    <row r="891" spans="27:56" x14ac:dyDescent="0.25">
      <c r="AA891" s="68" t="str">
        <f t="shared" si="53"/>
        <v>Fotos\\.jpg</v>
      </c>
      <c r="AB891" s="53">
        <f t="shared" si="54"/>
        <v>1.1223344556677891E-3</v>
      </c>
      <c r="AC891" s="25">
        <f t="shared" si="55"/>
        <v>891</v>
      </c>
      <c r="AD891" s="51">
        <f t="shared" si="56"/>
        <v>1</v>
      </c>
      <c r="AE891" s="25">
        <v>1</v>
      </c>
      <c r="AF891" s="25">
        <v>1</v>
      </c>
      <c r="AG891" s="25">
        <v>1</v>
      </c>
      <c r="AH891" s="25">
        <v>1</v>
      </c>
      <c r="AI891" s="25">
        <f>IF(OR(Apresentação!$E$3='Base de Dados e filtragem'!AI$2,Apresentação!$E$3='Base de Dados e filtragem'!E891),1,0)</f>
        <v>1</v>
      </c>
      <c r="AJ891" s="25">
        <f>IF(OR(Apresentação!$E$4='Base de Dados e filtragem'!AJ$2,Apresentação!$E$4='Base de Dados e filtragem'!F891),1,0)</f>
        <v>1</v>
      </c>
      <c r="AK891" s="25">
        <f>IF(OR(Apresentação!$E$5='Base de Dados e filtragem'!AK$2,Apresentação!$E$5='Base de Dados e filtragem'!G891),1,0)</f>
        <v>1</v>
      </c>
      <c r="AL891" s="25">
        <f>IF(OR(Apresentação!$E$6='Base de Dados e filtragem'!AL$2,Apresentação!$E$6='Base de Dados e filtragem'!H891),1,0)</f>
        <v>1</v>
      </c>
      <c r="AM891" s="25">
        <f>IF(OR(Apresentação!$I$2='Base de Dados e filtragem'!AM$2,Apresentação!$I$2='Base de Dados e filtragem'!I891),1,0)</f>
        <v>1</v>
      </c>
      <c r="AN891" s="25">
        <f>IF(OR(Apresentação!$I$3='Base de Dados e filtragem'!AN$2,Apresentação!$I$3='Base de Dados e filtragem'!J891),1,0)</f>
        <v>1</v>
      </c>
      <c r="AO891" s="25">
        <f>IF(OR(Apresentação!$I$4='Base de Dados e filtragem'!AO$2,Apresentação!$I$4='Base de Dados e filtragem'!K891),1,0)</f>
        <v>1</v>
      </c>
      <c r="AP891" s="25">
        <f>IF(OR(Apresentação!$I$5='Base de Dados e filtragem'!AP$2,Apresentação!$I$5='Base de Dados e filtragem'!L891),1,0)</f>
        <v>1</v>
      </c>
      <c r="AQ891" s="25">
        <f>IF(OR(Apresentação!$I$6='Base de Dados e filtragem'!AQ$2,Apresentação!$I$6='Base de Dados e filtragem'!M891),1,0)</f>
        <v>1</v>
      </c>
      <c r="AR891" s="25">
        <v>1</v>
      </c>
      <c r="AS891" s="25">
        <v>1</v>
      </c>
      <c r="AT891" s="25">
        <v>1</v>
      </c>
      <c r="AU891" s="25">
        <v>1</v>
      </c>
      <c r="AV891" s="25">
        <v>1</v>
      </c>
      <c r="AW891" s="25">
        <v>1</v>
      </c>
      <c r="AX891" s="25">
        <v>1</v>
      </c>
      <c r="AY891" s="25">
        <v>1</v>
      </c>
      <c r="AZ891" s="25">
        <v>1</v>
      </c>
      <c r="BA891" s="25">
        <v>1</v>
      </c>
      <c r="BB891" s="25">
        <v>1</v>
      </c>
      <c r="BC891" s="25">
        <v>1</v>
      </c>
      <c r="BD891" s="25">
        <v>1</v>
      </c>
    </row>
    <row r="892" spans="27:56" x14ac:dyDescent="0.25">
      <c r="AA892" s="68" t="str">
        <f t="shared" si="53"/>
        <v>Fotos\\.jpg</v>
      </c>
      <c r="AB892" s="53">
        <f t="shared" si="54"/>
        <v>1.1210762331838565E-3</v>
      </c>
      <c r="AC892" s="25">
        <f t="shared" si="55"/>
        <v>892</v>
      </c>
      <c r="AD892" s="51">
        <f t="shared" si="56"/>
        <v>1</v>
      </c>
      <c r="AE892" s="25">
        <v>1</v>
      </c>
      <c r="AF892" s="25">
        <v>1</v>
      </c>
      <c r="AG892" s="25">
        <v>1</v>
      </c>
      <c r="AH892" s="25">
        <v>1</v>
      </c>
      <c r="AI892" s="25">
        <f>IF(OR(Apresentação!$E$3='Base de Dados e filtragem'!AI$2,Apresentação!$E$3='Base de Dados e filtragem'!E892),1,0)</f>
        <v>1</v>
      </c>
      <c r="AJ892" s="25">
        <f>IF(OR(Apresentação!$E$4='Base de Dados e filtragem'!AJ$2,Apresentação!$E$4='Base de Dados e filtragem'!F892),1,0)</f>
        <v>1</v>
      </c>
      <c r="AK892" s="25">
        <f>IF(OR(Apresentação!$E$5='Base de Dados e filtragem'!AK$2,Apresentação!$E$5='Base de Dados e filtragem'!G892),1,0)</f>
        <v>1</v>
      </c>
      <c r="AL892" s="25">
        <f>IF(OR(Apresentação!$E$6='Base de Dados e filtragem'!AL$2,Apresentação!$E$6='Base de Dados e filtragem'!H892),1,0)</f>
        <v>1</v>
      </c>
      <c r="AM892" s="25">
        <f>IF(OR(Apresentação!$I$2='Base de Dados e filtragem'!AM$2,Apresentação!$I$2='Base de Dados e filtragem'!I892),1,0)</f>
        <v>1</v>
      </c>
      <c r="AN892" s="25">
        <f>IF(OR(Apresentação!$I$3='Base de Dados e filtragem'!AN$2,Apresentação!$I$3='Base de Dados e filtragem'!J892),1,0)</f>
        <v>1</v>
      </c>
      <c r="AO892" s="25">
        <f>IF(OR(Apresentação!$I$4='Base de Dados e filtragem'!AO$2,Apresentação!$I$4='Base de Dados e filtragem'!K892),1,0)</f>
        <v>1</v>
      </c>
      <c r="AP892" s="25">
        <f>IF(OR(Apresentação!$I$5='Base de Dados e filtragem'!AP$2,Apresentação!$I$5='Base de Dados e filtragem'!L892),1,0)</f>
        <v>1</v>
      </c>
      <c r="AQ892" s="25">
        <f>IF(OR(Apresentação!$I$6='Base de Dados e filtragem'!AQ$2,Apresentação!$I$6='Base de Dados e filtragem'!M892),1,0)</f>
        <v>1</v>
      </c>
      <c r="AR892" s="25">
        <v>1</v>
      </c>
      <c r="AS892" s="25">
        <v>1</v>
      </c>
      <c r="AT892" s="25">
        <v>1</v>
      </c>
      <c r="AU892" s="25">
        <v>1</v>
      </c>
      <c r="AV892" s="25">
        <v>1</v>
      </c>
      <c r="AW892" s="25">
        <v>1</v>
      </c>
      <c r="AX892" s="25">
        <v>1</v>
      </c>
      <c r="AY892" s="25">
        <v>1</v>
      </c>
      <c r="AZ892" s="25">
        <v>1</v>
      </c>
      <c r="BA892" s="25">
        <v>1</v>
      </c>
      <c r="BB892" s="25">
        <v>1</v>
      </c>
      <c r="BC892" s="25">
        <v>1</v>
      </c>
      <c r="BD892" s="25">
        <v>1</v>
      </c>
    </row>
    <row r="893" spans="27:56" x14ac:dyDescent="0.25">
      <c r="AA893" s="68" t="str">
        <f t="shared" si="53"/>
        <v>Fotos\\.jpg</v>
      </c>
      <c r="AB893" s="53">
        <f t="shared" si="54"/>
        <v>1.1198208286674132E-3</v>
      </c>
      <c r="AC893" s="25">
        <f t="shared" si="55"/>
        <v>893</v>
      </c>
      <c r="AD893" s="51">
        <f t="shared" si="56"/>
        <v>1</v>
      </c>
      <c r="AE893" s="25">
        <v>1</v>
      </c>
      <c r="AF893" s="25">
        <v>1</v>
      </c>
      <c r="AG893" s="25">
        <v>1</v>
      </c>
      <c r="AH893" s="25">
        <v>1</v>
      </c>
      <c r="AI893" s="25">
        <f>IF(OR(Apresentação!$E$3='Base de Dados e filtragem'!AI$2,Apresentação!$E$3='Base de Dados e filtragem'!E893),1,0)</f>
        <v>1</v>
      </c>
      <c r="AJ893" s="25">
        <f>IF(OR(Apresentação!$E$4='Base de Dados e filtragem'!AJ$2,Apresentação!$E$4='Base de Dados e filtragem'!F893),1,0)</f>
        <v>1</v>
      </c>
      <c r="AK893" s="25">
        <f>IF(OR(Apresentação!$E$5='Base de Dados e filtragem'!AK$2,Apresentação!$E$5='Base de Dados e filtragem'!G893),1,0)</f>
        <v>1</v>
      </c>
      <c r="AL893" s="25">
        <f>IF(OR(Apresentação!$E$6='Base de Dados e filtragem'!AL$2,Apresentação!$E$6='Base de Dados e filtragem'!H893),1,0)</f>
        <v>1</v>
      </c>
      <c r="AM893" s="25">
        <f>IF(OR(Apresentação!$I$2='Base de Dados e filtragem'!AM$2,Apresentação!$I$2='Base de Dados e filtragem'!I893),1,0)</f>
        <v>1</v>
      </c>
      <c r="AN893" s="25">
        <f>IF(OR(Apresentação!$I$3='Base de Dados e filtragem'!AN$2,Apresentação!$I$3='Base de Dados e filtragem'!J893),1,0)</f>
        <v>1</v>
      </c>
      <c r="AO893" s="25">
        <f>IF(OR(Apresentação!$I$4='Base de Dados e filtragem'!AO$2,Apresentação!$I$4='Base de Dados e filtragem'!K893),1,0)</f>
        <v>1</v>
      </c>
      <c r="AP893" s="25">
        <f>IF(OR(Apresentação!$I$5='Base de Dados e filtragem'!AP$2,Apresentação!$I$5='Base de Dados e filtragem'!L893),1,0)</f>
        <v>1</v>
      </c>
      <c r="AQ893" s="25">
        <f>IF(OR(Apresentação!$I$6='Base de Dados e filtragem'!AQ$2,Apresentação!$I$6='Base de Dados e filtragem'!M893),1,0)</f>
        <v>1</v>
      </c>
      <c r="AR893" s="25">
        <v>1</v>
      </c>
      <c r="AS893" s="25">
        <v>1</v>
      </c>
      <c r="AT893" s="25">
        <v>1</v>
      </c>
      <c r="AU893" s="25">
        <v>1</v>
      </c>
      <c r="AV893" s="25">
        <v>1</v>
      </c>
      <c r="AW893" s="25">
        <v>1</v>
      </c>
      <c r="AX893" s="25">
        <v>1</v>
      </c>
      <c r="AY893" s="25">
        <v>1</v>
      </c>
      <c r="AZ893" s="25">
        <v>1</v>
      </c>
      <c r="BA893" s="25">
        <v>1</v>
      </c>
      <c r="BB893" s="25">
        <v>1</v>
      </c>
      <c r="BC893" s="25">
        <v>1</v>
      </c>
      <c r="BD893" s="25">
        <v>1</v>
      </c>
    </row>
    <row r="894" spans="27:56" x14ac:dyDescent="0.25">
      <c r="AA894" s="68" t="str">
        <f t="shared" si="53"/>
        <v>Fotos\\.jpg</v>
      </c>
      <c r="AB894" s="53">
        <f t="shared" si="54"/>
        <v>1.1185682326621924E-3</v>
      </c>
      <c r="AC894" s="25">
        <f t="shared" si="55"/>
        <v>894</v>
      </c>
      <c r="AD894" s="51">
        <f t="shared" si="56"/>
        <v>1</v>
      </c>
      <c r="AE894" s="25">
        <v>1</v>
      </c>
      <c r="AF894" s="25">
        <v>1</v>
      </c>
      <c r="AG894" s="25">
        <v>1</v>
      </c>
      <c r="AH894" s="25">
        <v>1</v>
      </c>
      <c r="AI894" s="25">
        <f>IF(OR(Apresentação!$E$3='Base de Dados e filtragem'!AI$2,Apresentação!$E$3='Base de Dados e filtragem'!E894),1,0)</f>
        <v>1</v>
      </c>
      <c r="AJ894" s="25">
        <f>IF(OR(Apresentação!$E$4='Base de Dados e filtragem'!AJ$2,Apresentação!$E$4='Base de Dados e filtragem'!F894),1,0)</f>
        <v>1</v>
      </c>
      <c r="AK894" s="25">
        <f>IF(OR(Apresentação!$E$5='Base de Dados e filtragem'!AK$2,Apresentação!$E$5='Base de Dados e filtragem'!G894),1,0)</f>
        <v>1</v>
      </c>
      <c r="AL894" s="25">
        <f>IF(OR(Apresentação!$E$6='Base de Dados e filtragem'!AL$2,Apresentação!$E$6='Base de Dados e filtragem'!H894),1,0)</f>
        <v>1</v>
      </c>
      <c r="AM894" s="25">
        <f>IF(OR(Apresentação!$I$2='Base de Dados e filtragem'!AM$2,Apresentação!$I$2='Base de Dados e filtragem'!I894),1,0)</f>
        <v>1</v>
      </c>
      <c r="AN894" s="25">
        <f>IF(OR(Apresentação!$I$3='Base de Dados e filtragem'!AN$2,Apresentação!$I$3='Base de Dados e filtragem'!J894),1,0)</f>
        <v>1</v>
      </c>
      <c r="AO894" s="25">
        <f>IF(OR(Apresentação!$I$4='Base de Dados e filtragem'!AO$2,Apresentação!$I$4='Base de Dados e filtragem'!K894),1,0)</f>
        <v>1</v>
      </c>
      <c r="AP894" s="25">
        <f>IF(OR(Apresentação!$I$5='Base de Dados e filtragem'!AP$2,Apresentação!$I$5='Base de Dados e filtragem'!L894),1,0)</f>
        <v>1</v>
      </c>
      <c r="AQ894" s="25">
        <f>IF(OR(Apresentação!$I$6='Base de Dados e filtragem'!AQ$2,Apresentação!$I$6='Base de Dados e filtragem'!M894),1,0)</f>
        <v>1</v>
      </c>
      <c r="AR894" s="25">
        <v>1</v>
      </c>
      <c r="AS894" s="25">
        <v>1</v>
      </c>
      <c r="AT894" s="25">
        <v>1</v>
      </c>
      <c r="AU894" s="25">
        <v>1</v>
      </c>
      <c r="AV894" s="25">
        <v>1</v>
      </c>
      <c r="AW894" s="25">
        <v>1</v>
      </c>
      <c r="AX894" s="25">
        <v>1</v>
      </c>
      <c r="AY894" s="25">
        <v>1</v>
      </c>
      <c r="AZ894" s="25">
        <v>1</v>
      </c>
      <c r="BA894" s="25">
        <v>1</v>
      </c>
      <c r="BB894" s="25">
        <v>1</v>
      </c>
      <c r="BC894" s="25">
        <v>1</v>
      </c>
      <c r="BD894" s="25">
        <v>1</v>
      </c>
    </row>
    <row r="895" spans="27:56" x14ac:dyDescent="0.25">
      <c r="AA895" s="68" t="str">
        <f t="shared" si="53"/>
        <v>Fotos\\.jpg</v>
      </c>
      <c r="AB895" s="53">
        <f t="shared" si="54"/>
        <v>1.1173184357541898E-3</v>
      </c>
      <c r="AC895" s="25">
        <f t="shared" si="55"/>
        <v>895</v>
      </c>
      <c r="AD895" s="51">
        <f t="shared" si="56"/>
        <v>1</v>
      </c>
      <c r="AE895" s="25">
        <v>1</v>
      </c>
      <c r="AF895" s="25">
        <v>1</v>
      </c>
      <c r="AG895" s="25">
        <v>1</v>
      </c>
      <c r="AH895" s="25">
        <v>1</v>
      </c>
      <c r="AI895" s="25">
        <f>IF(OR(Apresentação!$E$3='Base de Dados e filtragem'!AI$2,Apresentação!$E$3='Base de Dados e filtragem'!E895),1,0)</f>
        <v>1</v>
      </c>
      <c r="AJ895" s="25">
        <f>IF(OR(Apresentação!$E$4='Base de Dados e filtragem'!AJ$2,Apresentação!$E$4='Base de Dados e filtragem'!F895),1,0)</f>
        <v>1</v>
      </c>
      <c r="AK895" s="25">
        <f>IF(OR(Apresentação!$E$5='Base de Dados e filtragem'!AK$2,Apresentação!$E$5='Base de Dados e filtragem'!G895),1,0)</f>
        <v>1</v>
      </c>
      <c r="AL895" s="25">
        <f>IF(OR(Apresentação!$E$6='Base de Dados e filtragem'!AL$2,Apresentação!$E$6='Base de Dados e filtragem'!H895),1,0)</f>
        <v>1</v>
      </c>
      <c r="AM895" s="25">
        <f>IF(OR(Apresentação!$I$2='Base de Dados e filtragem'!AM$2,Apresentação!$I$2='Base de Dados e filtragem'!I895),1,0)</f>
        <v>1</v>
      </c>
      <c r="AN895" s="25">
        <f>IF(OR(Apresentação!$I$3='Base de Dados e filtragem'!AN$2,Apresentação!$I$3='Base de Dados e filtragem'!J895),1,0)</f>
        <v>1</v>
      </c>
      <c r="AO895" s="25">
        <f>IF(OR(Apresentação!$I$4='Base de Dados e filtragem'!AO$2,Apresentação!$I$4='Base de Dados e filtragem'!K895),1,0)</f>
        <v>1</v>
      </c>
      <c r="AP895" s="25">
        <f>IF(OR(Apresentação!$I$5='Base de Dados e filtragem'!AP$2,Apresentação!$I$5='Base de Dados e filtragem'!L895),1,0)</f>
        <v>1</v>
      </c>
      <c r="AQ895" s="25">
        <f>IF(OR(Apresentação!$I$6='Base de Dados e filtragem'!AQ$2,Apresentação!$I$6='Base de Dados e filtragem'!M895),1,0)</f>
        <v>1</v>
      </c>
      <c r="AR895" s="25">
        <v>1</v>
      </c>
      <c r="AS895" s="25">
        <v>1</v>
      </c>
      <c r="AT895" s="25">
        <v>1</v>
      </c>
      <c r="AU895" s="25">
        <v>1</v>
      </c>
      <c r="AV895" s="25">
        <v>1</v>
      </c>
      <c r="AW895" s="25">
        <v>1</v>
      </c>
      <c r="AX895" s="25">
        <v>1</v>
      </c>
      <c r="AY895" s="25">
        <v>1</v>
      </c>
      <c r="AZ895" s="25">
        <v>1</v>
      </c>
      <c r="BA895" s="25">
        <v>1</v>
      </c>
      <c r="BB895" s="25">
        <v>1</v>
      </c>
      <c r="BC895" s="25">
        <v>1</v>
      </c>
      <c r="BD895" s="25">
        <v>1</v>
      </c>
    </row>
    <row r="896" spans="27:56" x14ac:dyDescent="0.25">
      <c r="AA896" s="68" t="str">
        <f t="shared" si="53"/>
        <v>Fotos\\.jpg</v>
      </c>
      <c r="AB896" s="53">
        <f t="shared" si="54"/>
        <v>1.1160714285714285E-3</v>
      </c>
      <c r="AC896" s="25">
        <f t="shared" si="55"/>
        <v>896</v>
      </c>
      <c r="AD896" s="51">
        <f t="shared" si="56"/>
        <v>1</v>
      </c>
      <c r="AE896" s="25">
        <v>1</v>
      </c>
      <c r="AF896" s="25">
        <v>1</v>
      </c>
      <c r="AG896" s="25">
        <v>1</v>
      </c>
      <c r="AH896" s="25">
        <v>1</v>
      </c>
      <c r="AI896" s="25">
        <f>IF(OR(Apresentação!$E$3='Base de Dados e filtragem'!AI$2,Apresentação!$E$3='Base de Dados e filtragem'!E896),1,0)</f>
        <v>1</v>
      </c>
      <c r="AJ896" s="25">
        <f>IF(OR(Apresentação!$E$4='Base de Dados e filtragem'!AJ$2,Apresentação!$E$4='Base de Dados e filtragem'!F896),1,0)</f>
        <v>1</v>
      </c>
      <c r="AK896" s="25">
        <f>IF(OR(Apresentação!$E$5='Base de Dados e filtragem'!AK$2,Apresentação!$E$5='Base de Dados e filtragem'!G896),1,0)</f>
        <v>1</v>
      </c>
      <c r="AL896" s="25">
        <f>IF(OR(Apresentação!$E$6='Base de Dados e filtragem'!AL$2,Apresentação!$E$6='Base de Dados e filtragem'!H896),1,0)</f>
        <v>1</v>
      </c>
      <c r="AM896" s="25">
        <f>IF(OR(Apresentação!$I$2='Base de Dados e filtragem'!AM$2,Apresentação!$I$2='Base de Dados e filtragem'!I896),1,0)</f>
        <v>1</v>
      </c>
      <c r="AN896" s="25">
        <f>IF(OR(Apresentação!$I$3='Base de Dados e filtragem'!AN$2,Apresentação!$I$3='Base de Dados e filtragem'!J896),1,0)</f>
        <v>1</v>
      </c>
      <c r="AO896" s="25">
        <f>IF(OR(Apresentação!$I$4='Base de Dados e filtragem'!AO$2,Apresentação!$I$4='Base de Dados e filtragem'!K896),1,0)</f>
        <v>1</v>
      </c>
      <c r="AP896" s="25">
        <f>IF(OR(Apresentação!$I$5='Base de Dados e filtragem'!AP$2,Apresentação!$I$5='Base de Dados e filtragem'!L896),1,0)</f>
        <v>1</v>
      </c>
      <c r="AQ896" s="25">
        <f>IF(OR(Apresentação!$I$6='Base de Dados e filtragem'!AQ$2,Apresentação!$I$6='Base de Dados e filtragem'!M896),1,0)</f>
        <v>1</v>
      </c>
      <c r="AR896" s="25">
        <v>1</v>
      </c>
      <c r="AS896" s="25">
        <v>1</v>
      </c>
      <c r="AT896" s="25">
        <v>1</v>
      </c>
      <c r="AU896" s="25">
        <v>1</v>
      </c>
      <c r="AV896" s="25">
        <v>1</v>
      </c>
      <c r="AW896" s="25">
        <v>1</v>
      </c>
      <c r="AX896" s="25">
        <v>1</v>
      </c>
      <c r="AY896" s="25">
        <v>1</v>
      </c>
      <c r="AZ896" s="25">
        <v>1</v>
      </c>
      <c r="BA896" s="25">
        <v>1</v>
      </c>
      <c r="BB896" s="25">
        <v>1</v>
      </c>
      <c r="BC896" s="25">
        <v>1</v>
      </c>
      <c r="BD896" s="25">
        <v>1</v>
      </c>
    </row>
    <row r="897" spans="27:56" x14ac:dyDescent="0.25">
      <c r="AA897" s="68" t="str">
        <f t="shared" si="53"/>
        <v>Fotos\\.jpg</v>
      </c>
      <c r="AB897" s="53">
        <f t="shared" si="54"/>
        <v>1.1148272017837235E-3</v>
      </c>
      <c r="AC897" s="25">
        <f t="shared" si="55"/>
        <v>897</v>
      </c>
      <c r="AD897" s="51">
        <f t="shared" si="56"/>
        <v>1</v>
      </c>
      <c r="AE897" s="25">
        <v>1</v>
      </c>
      <c r="AF897" s="25">
        <v>1</v>
      </c>
      <c r="AG897" s="25">
        <v>1</v>
      </c>
      <c r="AH897" s="25">
        <v>1</v>
      </c>
      <c r="AI897" s="25">
        <f>IF(OR(Apresentação!$E$3='Base de Dados e filtragem'!AI$2,Apresentação!$E$3='Base de Dados e filtragem'!E897),1,0)</f>
        <v>1</v>
      </c>
      <c r="AJ897" s="25">
        <f>IF(OR(Apresentação!$E$4='Base de Dados e filtragem'!AJ$2,Apresentação!$E$4='Base de Dados e filtragem'!F897),1,0)</f>
        <v>1</v>
      </c>
      <c r="AK897" s="25">
        <f>IF(OR(Apresentação!$E$5='Base de Dados e filtragem'!AK$2,Apresentação!$E$5='Base de Dados e filtragem'!G897),1,0)</f>
        <v>1</v>
      </c>
      <c r="AL897" s="25">
        <f>IF(OR(Apresentação!$E$6='Base de Dados e filtragem'!AL$2,Apresentação!$E$6='Base de Dados e filtragem'!H897),1,0)</f>
        <v>1</v>
      </c>
      <c r="AM897" s="25">
        <f>IF(OR(Apresentação!$I$2='Base de Dados e filtragem'!AM$2,Apresentação!$I$2='Base de Dados e filtragem'!I897),1,0)</f>
        <v>1</v>
      </c>
      <c r="AN897" s="25">
        <f>IF(OR(Apresentação!$I$3='Base de Dados e filtragem'!AN$2,Apresentação!$I$3='Base de Dados e filtragem'!J897),1,0)</f>
        <v>1</v>
      </c>
      <c r="AO897" s="25">
        <f>IF(OR(Apresentação!$I$4='Base de Dados e filtragem'!AO$2,Apresentação!$I$4='Base de Dados e filtragem'!K897),1,0)</f>
        <v>1</v>
      </c>
      <c r="AP897" s="25">
        <f>IF(OR(Apresentação!$I$5='Base de Dados e filtragem'!AP$2,Apresentação!$I$5='Base de Dados e filtragem'!L897),1,0)</f>
        <v>1</v>
      </c>
      <c r="AQ897" s="25">
        <f>IF(OR(Apresentação!$I$6='Base de Dados e filtragem'!AQ$2,Apresentação!$I$6='Base de Dados e filtragem'!M897),1,0)</f>
        <v>1</v>
      </c>
      <c r="AR897" s="25">
        <v>1</v>
      </c>
      <c r="AS897" s="25">
        <v>1</v>
      </c>
      <c r="AT897" s="25">
        <v>1</v>
      </c>
      <c r="AU897" s="25">
        <v>1</v>
      </c>
      <c r="AV897" s="25">
        <v>1</v>
      </c>
      <c r="AW897" s="25">
        <v>1</v>
      </c>
      <c r="AX897" s="25">
        <v>1</v>
      </c>
      <c r="AY897" s="25">
        <v>1</v>
      </c>
      <c r="AZ897" s="25">
        <v>1</v>
      </c>
      <c r="BA897" s="25">
        <v>1</v>
      </c>
      <c r="BB897" s="25">
        <v>1</v>
      </c>
      <c r="BC897" s="25">
        <v>1</v>
      </c>
      <c r="BD897" s="25">
        <v>1</v>
      </c>
    </row>
    <row r="898" spans="27:56" x14ac:dyDescent="0.25">
      <c r="AA898" s="68" t="str">
        <f t="shared" si="53"/>
        <v>Fotos\\.jpg</v>
      </c>
      <c r="AB898" s="53">
        <f t="shared" si="54"/>
        <v>1.1135857461024498E-3</v>
      </c>
      <c r="AC898" s="25">
        <f t="shared" si="55"/>
        <v>898</v>
      </c>
      <c r="AD898" s="51">
        <f t="shared" si="56"/>
        <v>1</v>
      </c>
      <c r="AE898" s="25">
        <v>1</v>
      </c>
      <c r="AF898" s="25">
        <v>1</v>
      </c>
      <c r="AG898" s="25">
        <v>1</v>
      </c>
      <c r="AH898" s="25">
        <v>1</v>
      </c>
      <c r="AI898" s="25">
        <f>IF(OR(Apresentação!$E$3='Base de Dados e filtragem'!AI$2,Apresentação!$E$3='Base de Dados e filtragem'!E898),1,0)</f>
        <v>1</v>
      </c>
      <c r="AJ898" s="25">
        <f>IF(OR(Apresentação!$E$4='Base de Dados e filtragem'!AJ$2,Apresentação!$E$4='Base de Dados e filtragem'!F898),1,0)</f>
        <v>1</v>
      </c>
      <c r="AK898" s="25">
        <f>IF(OR(Apresentação!$E$5='Base de Dados e filtragem'!AK$2,Apresentação!$E$5='Base de Dados e filtragem'!G898),1,0)</f>
        <v>1</v>
      </c>
      <c r="AL898" s="25">
        <f>IF(OR(Apresentação!$E$6='Base de Dados e filtragem'!AL$2,Apresentação!$E$6='Base de Dados e filtragem'!H898),1,0)</f>
        <v>1</v>
      </c>
      <c r="AM898" s="25">
        <f>IF(OR(Apresentação!$I$2='Base de Dados e filtragem'!AM$2,Apresentação!$I$2='Base de Dados e filtragem'!I898),1,0)</f>
        <v>1</v>
      </c>
      <c r="AN898" s="25">
        <f>IF(OR(Apresentação!$I$3='Base de Dados e filtragem'!AN$2,Apresentação!$I$3='Base de Dados e filtragem'!J898),1,0)</f>
        <v>1</v>
      </c>
      <c r="AO898" s="25">
        <f>IF(OR(Apresentação!$I$4='Base de Dados e filtragem'!AO$2,Apresentação!$I$4='Base de Dados e filtragem'!K898),1,0)</f>
        <v>1</v>
      </c>
      <c r="AP898" s="25">
        <f>IF(OR(Apresentação!$I$5='Base de Dados e filtragem'!AP$2,Apresentação!$I$5='Base de Dados e filtragem'!L898),1,0)</f>
        <v>1</v>
      </c>
      <c r="AQ898" s="25">
        <f>IF(OR(Apresentação!$I$6='Base de Dados e filtragem'!AQ$2,Apresentação!$I$6='Base de Dados e filtragem'!M898),1,0)</f>
        <v>1</v>
      </c>
      <c r="AR898" s="25">
        <v>1</v>
      </c>
      <c r="AS898" s="25">
        <v>1</v>
      </c>
      <c r="AT898" s="25">
        <v>1</v>
      </c>
      <c r="AU898" s="25">
        <v>1</v>
      </c>
      <c r="AV898" s="25">
        <v>1</v>
      </c>
      <c r="AW898" s="25">
        <v>1</v>
      </c>
      <c r="AX898" s="25">
        <v>1</v>
      </c>
      <c r="AY898" s="25">
        <v>1</v>
      </c>
      <c r="AZ898" s="25">
        <v>1</v>
      </c>
      <c r="BA898" s="25">
        <v>1</v>
      </c>
      <c r="BB898" s="25">
        <v>1</v>
      </c>
      <c r="BC898" s="25">
        <v>1</v>
      </c>
      <c r="BD898" s="25">
        <v>1</v>
      </c>
    </row>
    <row r="899" spans="27:56" x14ac:dyDescent="0.25">
      <c r="AA899" s="68" t="str">
        <f t="shared" si="53"/>
        <v>Fotos\\.jpg</v>
      </c>
      <c r="AB899" s="53">
        <f t="shared" si="54"/>
        <v>1.1123470522803114E-3</v>
      </c>
      <c r="AC899" s="25">
        <f t="shared" si="55"/>
        <v>899</v>
      </c>
      <c r="AD899" s="51">
        <f t="shared" si="56"/>
        <v>1</v>
      </c>
      <c r="AE899" s="25">
        <v>1</v>
      </c>
      <c r="AF899" s="25">
        <v>1</v>
      </c>
      <c r="AG899" s="25">
        <v>1</v>
      </c>
      <c r="AH899" s="25">
        <v>1</v>
      </c>
      <c r="AI899" s="25">
        <f>IF(OR(Apresentação!$E$3='Base de Dados e filtragem'!AI$2,Apresentação!$E$3='Base de Dados e filtragem'!E899),1,0)</f>
        <v>1</v>
      </c>
      <c r="AJ899" s="25">
        <f>IF(OR(Apresentação!$E$4='Base de Dados e filtragem'!AJ$2,Apresentação!$E$4='Base de Dados e filtragem'!F899),1,0)</f>
        <v>1</v>
      </c>
      <c r="AK899" s="25">
        <f>IF(OR(Apresentação!$E$5='Base de Dados e filtragem'!AK$2,Apresentação!$E$5='Base de Dados e filtragem'!G899),1,0)</f>
        <v>1</v>
      </c>
      <c r="AL899" s="25">
        <f>IF(OR(Apresentação!$E$6='Base de Dados e filtragem'!AL$2,Apresentação!$E$6='Base de Dados e filtragem'!H899),1,0)</f>
        <v>1</v>
      </c>
      <c r="AM899" s="25">
        <f>IF(OR(Apresentação!$I$2='Base de Dados e filtragem'!AM$2,Apresentação!$I$2='Base de Dados e filtragem'!I899),1,0)</f>
        <v>1</v>
      </c>
      <c r="AN899" s="25">
        <f>IF(OR(Apresentação!$I$3='Base de Dados e filtragem'!AN$2,Apresentação!$I$3='Base de Dados e filtragem'!J899),1,0)</f>
        <v>1</v>
      </c>
      <c r="AO899" s="25">
        <f>IF(OR(Apresentação!$I$4='Base de Dados e filtragem'!AO$2,Apresentação!$I$4='Base de Dados e filtragem'!K899),1,0)</f>
        <v>1</v>
      </c>
      <c r="AP899" s="25">
        <f>IF(OR(Apresentação!$I$5='Base de Dados e filtragem'!AP$2,Apresentação!$I$5='Base de Dados e filtragem'!L899),1,0)</f>
        <v>1</v>
      </c>
      <c r="AQ899" s="25">
        <f>IF(OR(Apresentação!$I$6='Base de Dados e filtragem'!AQ$2,Apresentação!$I$6='Base de Dados e filtragem'!M899),1,0)</f>
        <v>1</v>
      </c>
      <c r="AR899" s="25">
        <v>1</v>
      </c>
      <c r="AS899" s="25">
        <v>1</v>
      </c>
      <c r="AT899" s="25">
        <v>1</v>
      </c>
      <c r="AU899" s="25">
        <v>1</v>
      </c>
      <c r="AV899" s="25">
        <v>1</v>
      </c>
      <c r="AW899" s="25">
        <v>1</v>
      </c>
      <c r="AX899" s="25">
        <v>1</v>
      </c>
      <c r="AY899" s="25">
        <v>1</v>
      </c>
      <c r="AZ899" s="25">
        <v>1</v>
      </c>
      <c r="BA899" s="25">
        <v>1</v>
      </c>
      <c r="BB899" s="25">
        <v>1</v>
      </c>
      <c r="BC899" s="25">
        <v>1</v>
      </c>
      <c r="BD899" s="25">
        <v>1</v>
      </c>
    </row>
    <row r="900" spans="27:56" x14ac:dyDescent="0.25">
      <c r="AA900" s="68" t="str">
        <f t="shared" ref="AA900:AA963" si="57">"Fotos\"&amp;I900&amp;"\"&amp;A900&amp;".jpg"</f>
        <v>Fotos\\.jpg</v>
      </c>
      <c r="AB900" s="53">
        <f t="shared" ref="AB900:AB963" si="58">AD900/AC900</f>
        <v>1.1111111111111111E-3</v>
      </c>
      <c r="AC900" s="25">
        <f t="shared" ref="AC900:AC963" si="59">AC899+1</f>
        <v>900</v>
      </c>
      <c r="AD900" s="51">
        <f t="shared" ref="AD900:AD963" si="60">PRODUCT(AE900:BD900)</f>
        <v>1</v>
      </c>
      <c r="AE900" s="25">
        <v>1</v>
      </c>
      <c r="AF900" s="25">
        <v>1</v>
      </c>
      <c r="AG900" s="25">
        <v>1</v>
      </c>
      <c r="AH900" s="25">
        <v>1</v>
      </c>
      <c r="AI900" s="25">
        <f>IF(OR(Apresentação!$E$3='Base de Dados e filtragem'!AI$2,Apresentação!$E$3='Base de Dados e filtragem'!E900),1,0)</f>
        <v>1</v>
      </c>
      <c r="AJ900" s="25">
        <f>IF(OR(Apresentação!$E$4='Base de Dados e filtragem'!AJ$2,Apresentação!$E$4='Base de Dados e filtragem'!F900),1,0)</f>
        <v>1</v>
      </c>
      <c r="AK900" s="25">
        <f>IF(OR(Apresentação!$E$5='Base de Dados e filtragem'!AK$2,Apresentação!$E$5='Base de Dados e filtragem'!G900),1,0)</f>
        <v>1</v>
      </c>
      <c r="AL900" s="25">
        <f>IF(OR(Apresentação!$E$6='Base de Dados e filtragem'!AL$2,Apresentação!$E$6='Base de Dados e filtragem'!H900),1,0)</f>
        <v>1</v>
      </c>
      <c r="AM900" s="25">
        <f>IF(OR(Apresentação!$I$2='Base de Dados e filtragem'!AM$2,Apresentação!$I$2='Base de Dados e filtragem'!I900),1,0)</f>
        <v>1</v>
      </c>
      <c r="AN900" s="25">
        <f>IF(OR(Apresentação!$I$3='Base de Dados e filtragem'!AN$2,Apresentação!$I$3='Base de Dados e filtragem'!J900),1,0)</f>
        <v>1</v>
      </c>
      <c r="AO900" s="25">
        <f>IF(OR(Apresentação!$I$4='Base de Dados e filtragem'!AO$2,Apresentação!$I$4='Base de Dados e filtragem'!K900),1,0)</f>
        <v>1</v>
      </c>
      <c r="AP900" s="25">
        <f>IF(OR(Apresentação!$I$5='Base de Dados e filtragem'!AP$2,Apresentação!$I$5='Base de Dados e filtragem'!L900),1,0)</f>
        <v>1</v>
      </c>
      <c r="AQ900" s="25">
        <f>IF(OR(Apresentação!$I$6='Base de Dados e filtragem'!AQ$2,Apresentação!$I$6='Base de Dados e filtragem'!M900),1,0)</f>
        <v>1</v>
      </c>
      <c r="AR900" s="25">
        <v>1</v>
      </c>
      <c r="AS900" s="25">
        <v>1</v>
      </c>
      <c r="AT900" s="25">
        <v>1</v>
      </c>
      <c r="AU900" s="25">
        <v>1</v>
      </c>
      <c r="AV900" s="25">
        <v>1</v>
      </c>
      <c r="AW900" s="25">
        <v>1</v>
      </c>
      <c r="AX900" s="25">
        <v>1</v>
      </c>
      <c r="AY900" s="25">
        <v>1</v>
      </c>
      <c r="AZ900" s="25">
        <v>1</v>
      </c>
      <c r="BA900" s="25">
        <v>1</v>
      </c>
      <c r="BB900" s="25">
        <v>1</v>
      </c>
      <c r="BC900" s="25">
        <v>1</v>
      </c>
      <c r="BD900" s="25">
        <v>1</v>
      </c>
    </row>
    <row r="901" spans="27:56" x14ac:dyDescent="0.25">
      <c r="AA901" s="68" t="str">
        <f t="shared" si="57"/>
        <v>Fotos\\.jpg</v>
      </c>
      <c r="AB901" s="53">
        <f t="shared" si="58"/>
        <v>1.1098779134295228E-3</v>
      </c>
      <c r="AC901" s="25">
        <f t="shared" si="59"/>
        <v>901</v>
      </c>
      <c r="AD901" s="51">
        <f t="shared" si="60"/>
        <v>1</v>
      </c>
      <c r="AE901" s="25">
        <v>1</v>
      </c>
      <c r="AF901" s="25">
        <v>1</v>
      </c>
      <c r="AG901" s="25">
        <v>1</v>
      </c>
      <c r="AH901" s="25">
        <v>1</v>
      </c>
      <c r="AI901" s="25">
        <f>IF(OR(Apresentação!$E$3='Base de Dados e filtragem'!AI$2,Apresentação!$E$3='Base de Dados e filtragem'!E901),1,0)</f>
        <v>1</v>
      </c>
      <c r="AJ901" s="25">
        <f>IF(OR(Apresentação!$E$4='Base de Dados e filtragem'!AJ$2,Apresentação!$E$4='Base de Dados e filtragem'!F901),1,0)</f>
        <v>1</v>
      </c>
      <c r="AK901" s="25">
        <f>IF(OR(Apresentação!$E$5='Base de Dados e filtragem'!AK$2,Apresentação!$E$5='Base de Dados e filtragem'!G901),1,0)</f>
        <v>1</v>
      </c>
      <c r="AL901" s="25">
        <f>IF(OR(Apresentação!$E$6='Base de Dados e filtragem'!AL$2,Apresentação!$E$6='Base de Dados e filtragem'!H901),1,0)</f>
        <v>1</v>
      </c>
      <c r="AM901" s="25">
        <f>IF(OR(Apresentação!$I$2='Base de Dados e filtragem'!AM$2,Apresentação!$I$2='Base de Dados e filtragem'!I901),1,0)</f>
        <v>1</v>
      </c>
      <c r="AN901" s="25">
        <f>IF(OR(Apresentação!$I$3='Base de Dados e filtragem'!AN$2,Apresentação!$I$3='Base de Dados e filtragem'!J901),1,0)</f>
        <v>1</v>
      </c>
      <c r="AO901" s="25">
        <f>IF(OR(Apresentação!$I$4='Base de Dados e filtragem'!AO$2,Apresentação!$I$4='Base de Dados e filtragem'!K901),1,0)</f>
        <v>1</v>
      </c>
      <c r="AP901" s="25">
        <f>IF(OR(Apresentação!$I$5='Base de Dados e filtragem'!AP$2,Apresentação!$I$5='Base de Dados e filtragem'!L901),1,0)</f>
        <v>1</v>
      </c>
      <c r="AQ901" s="25">
        <f>IF(OR(Apresentação!$I$6='Base de Dados e filtragem'!AQ$2,Apresentação!$I$6='Base de Dados e filtragem'!M901),1,0)</f>
        <v>1</v>
      </c>
      <c r="AR901" s="25">
        <v>1</v>
      </c>
      <c r="AS901" s="25">
        <v>1</v>
      </c>
      <c r="AT901" s="25">
        <v>1</v>
      </c>
      <c r="AU901" s="25">
        <v>1</v>
      </c>
      <c r="AV901" s="25">
        <v>1</v>
      </c>
      <c r="AW901" s="25">
        <v>1</v>
      </c>
      <c r="AX901" s="25">
        <v>1</v>
      </c>
      <c r="AY901" s="25">
        <v>1</v>
      </c>
      <c r="AZ901" s="25">
        <v>1</v>
      </c>
      <c r="BA901" s="25">
        <v>1</v>
      </c>
      <c r="BB901" s="25">
        <v>1</v>
      </c>
      <c r="BC901" s="25">
        <v>1</v>
      </c>
      <c r="BD901" s="25">
        <v>1</v>
      </c>
    </row>
    <row r="902" spans="27:56" x14ac:dyDescent="0.25">
      <c r="AA902" s="68" t="str">
        <f t="shared" si="57"/>
        <v>Fotos\\.jpg</v>
      </c>
      <c r="AB902" s="53">
        <f t="shared" si="58"/>
        <v>1.1086474501108647E-3</v>
      </c>
      <c r="AC902" s="25">
        <f t="shared" si="59"/>
        <v>902</v>
      </c>
      <c r="AD902" s="51">
        <f t="shared" si="60"/>
        <v>1</v>
      </c>
      <c r="AE902" s="25">
        <v>1</v>
      </c>
      <c r="AF902" s="25">
        <v>1</v>
      </c>
      <c r="AG902" s="25">
        <v>1</v>
      </c>
      <c r="AH902" s="25">
        <v>1</v>
      </c>
      <c r="AI902" s="25">
        <f>IF(OR(Apresentação!$E$3='Base de Dados e filtragem'!AI$2,Apresentação!$E$3='Base de Dados e filtragem'!E902),1,0)</f>
        <v>1</v>
      </c>
      <c r="AJ902" s="25">
        <f>IF(OR(Apresentação!$E$4='Base de Dados e filtragem'!AJ$2,Apresentação!$E$4='Base de Dados e filtragem'!F902),1,0)</f>
        <v>1</v>
      </c>
      <c r="AK902" s="25">
        <f>IF(OR(Apresentação!$E$5='Base de Dados e filtragem'!AK$2,Apresentação!$E$5='Base de Dados e filtragem'!G902),1,0)</f>
        <v>1</v>
      </c>
      <c r="AL902" s="25">
        <f>IF(OR(Apresentação!$E$6='Base de Dados e filtragem'!AL$2,Apresentação!$E$6='Base de Dados e filtragem'!H902),1,0)</f>
        <v>1</v>
      </c>
      <c r="AM902" s="25">
        <f>IF(OR(Apresentação!$I$2='Base de Dados e filtragem'!AM$2,Apresentação!$I$2='Base de Dados e filtragem'!I902),1,0)</f>
        <v>1</v>
      </c>
      <c r="AN902" s="25">
        <f>IF(OR(Apresentação!$I$3='Base de Dados e filtragem'!AN$2,Apresentação!$I$3='Base de Dados e filtragem'!J902),1,0)</f>
        <v>1</v>
      </c>
      <c r="AO902" s="25">
        <f>IF(OR(Apresentação!$I$4='Base de Dados e filtragem'!AO$2,Apresentação!$I$4='Base de Dados e filtragem'!K902),1,0)</f>
        <v>1</v>
      </c>
      <c r="AP902" s="25">
        <f>IF(OR(Apresentação!$I$5='Base de Dados e filtragem'!AP$2,Apresentação!$I$5='Base de Dados e filtragem'!L902),1,0)</f>
        <v>1</v>
      </c>
      <c r="AQ902" s="25">
        <f>IF(OR(Apresentação!$I$6='Base de Dados e filtragem'!AQ$2,Apresentação!$I$6='Base de Dados e filtragem'!M902),1,0)</f>
        <v>1</v>
      </c>
      <c r="AR902" s="25">
        <v>1</v>
      </c>
      <c r="AS902" s="25">
        <v>1</v>
      </c>
      <c r="AT902" s="25">
        <v>1</v>
      </c>
      <c r="AU902" s="25">
        <v>1</v>
      </c>
      <c r="AV902" s="25">
        <v>1</v>
      </c>
      <c r="AW902" s="25">
        <v>1</v>
      </c>
      <c r="AX902" s="25">
        <v>1</v>
      </c>
      <c r="AY902" s="25">
        <v>1</v>
      </c>
      <c r="AZ902" s="25">
        <v>1</v>
      </c>
      <c r="BA902" s="25">
        <v>1</v>
      </c>
      <c r="BB902" s="25">
        <v>1</v>
      </c>
      <c r="BC902" s="25">
        <v>1</v>
      </c>
      <c r="BD902" s="25">
        <v>1</v>
      </c>
    </row>
    <row r="903" spans="27:56" x14ac:dyDescent="0.25">
      <c r="AA903" s="68" t="str">
        <f t="shared" si="57"/>
        <v>Fotos\\.jpg</v>
      </c>
      <c r="AB903" s="53">
        <f t="shared" si="58"/>
        <v>1.1074197120708748E-3</v>
      </c>
      <c r="AC903" s="25">
        <f t="shared" si="59"/>
        <v>903</v>
      </c>
      <c r="AD903" s="51">
        <f t="shared" si="60"/>
        <v>1</v>
      </c>
      <c r="AE903" s="25">
        <v>1</v>
      </c>
      <c r="AF903" s="25">
        <v>1</v>
      </c>
      <c r="AG903" s="25">
        <v>1</v>
      </c>
      <c r="AH903" s="25">
        <v>1</v>
      </c>
      <c r="AI903" s="25">
        <f>IF(OR(Apresentação!$E$3='Base de Dados e filtragem'!AI$2,Apresentação!$E$3='Base de Dados e filtragem'!E903),1,0)</f>
        <v>1</v>
      </c>
      <c r="AJ903" s="25">
        <f>IF(OR(Apresentação!$E$4='Base de Dados e filtragem'!AJ$2,Apresentação!$E$4='Base de Dados e filtragem'!F903),1,0)</f>
        <v>1</v>
      </c>
      <c r="AK903" s="25">
        <f>IF(OR(Apresentação!$E$5='Base de Dados e filtragem'!AK$2,Apresentação!$E$5='Base de Dados e filtragem'!G903),1,0)</f>
        <v>1</v>
      </c>
      <c r="AL903" s="25">
        <f>IF(OR(Apresentação!$E$6='Base de Dados e filtragem'!AL$2,Apresentação!$E$6='Base de Dados e filtragem'!H903),1,0)</f>
        <v>1</v>
      </c>
      <c r="AM903" s="25">
        <f>IF(OR(Apresentação!$I$2='Base de Dados e filtragem'!AM$2,Apresentação!$I$2='Base de Dados e filtragem'!I903),1,0)</f>
        <v>1</v>
      </c>
      <c r="AN903" s="25">
        <f>IF(OR(Apresentação!$I$3='Base de Dados e filtragem'!AN$2,Apresentação!$I$3='Base de Dados e filtragem'!J903),1,0)</f>
        <v>1</v>
      </c>
      <c r="AO903" s="25">
        <f>IF(OR(Apresentação!$I$4='Base de Dados e filtragem'!AO$2,Apresentação!$I$4='Base de Dados e filtragem'!K903),1,0)</f>
        <v>1</v>
      </c>
      <c r="AP903" s="25">
        <f>IF(OR(Apresentação!$I$5='Base de Dados e filtragem'!AP$2,Apresentação!$I$5='Base de Dados e filtragem'!L903),1,0)</f>
        <v>1</v>
      </c>
      <c r="AQ903" s="25">
        <f>IF(OR(Apresentação!$I$6='Base de Dados e filtragem'!AQ$2,Apresentação!$I$6='Base de Dados e filtragem'!M903),1,0)</f>
        <v>1</v>
      </c>
      <c r="AR903" s="25">
        <v>1</v>
      </c>
      <c r="AS903" s="25">
        <v>1</v>
      </c>
      <c r="AT903" s="25">
        <v>1</v>
      </c>
      <c r="AU903" s="25">
        <v>1</v>
      </c>
      <c r="AV903" s="25">
        <v>1</v>
      </c>
      <c r="AW903" s="25">
        <v>1</v>
      </c>
      <c r="AX903" s="25">
        <v>1</v>
      </c>
      <c r="AY903" s="25">
        <v>1</v>
      </c>
      <c r="AZ903" s="25">
        <v>1</v>
      </c>
      <c r="BA903" s="25">
        <v>1</v>
      </c>
      <c r="BB903" s="25">
        <v>1</v>
      </c>
      <c r="BC903" s="25">
        <v>1</v>
      </c>
      <c r="BD903" s="25">
        <v>1</v>
      </c>
    </row>
    <row r="904" spans="27:56" x14ac:dyDescent="0.25">
      <c r="AA904" s="68" t="str">
        <f t="shared" si="57"/>
        <v>Fotos\\.jpg</v>
      </c>
      <c r="AB904" s="53">
        <f t="shared" si="58"/>
        <v>1.1061946902654867E-3</v>
      </c>
      <c r="AC904" s="25">
        <f t="shared" si="59"/>
        <v>904</v>
      </c>
      <c r="AD904" s="51">
        <f t="shared" si="60"/>
        <v>1</v>
      </c>
      <c r="AE904" s="25">
        <v>1</v>
      </c>
      <c r="AF904" s="25">
        <v>1</v>
      </c>
      <c r="AG904" s="25">
        <v>1</v>
      </c>
      <c r="AH904" s="25">
        <v>1</v>
      </c>
      <c r="AI904" s="25">
        <f>IF(OR(Apresentação!$E$3='Base de Dados e filtragem'!AI$2,Apresentação!$E$3='Base de Dados e filtragem'!E904),1,0)</f>
        <v>1</v>
      </c>
      <c r="AJ904" s="25">
        <f>IF(OR(Apresentação!$E$4='Base de Dados e filtragem'!AJ$2,Apresentação!$E$4='Base de Dados e filtragem'!F904),1,0)</f>
        <v>1</v>
      </c>
      <c r="AK904" s="25">
        <f>IF(OR(Apresentação!$E$5='Base de Dados e filtragem'!AK$2,Apresentação!$E$5='Base de Dados e filtragem'!G904),1,0)</f>
        <v>1</v>
      </c>
      <c r="AL904" s="25">
        <f>IF(OR(Apresentação!$E$6='Base de Dados e filtragem'!AL$2,Apresentação!$E$6='Base de Dados e filtragem'!H904),1,0)</f>
        <v>1</v>
      </c>
      <c r="AM904" s="25">
        <f>IF(OR(Apresentação!$I$2='Base de Dados e filtragem'!AM$2,Apresentação!$I$2='Base de Dados e filtragem'!I904),1,0)</f>
        <v>1</v>
      </c>
      <c r="AN904" s="25">
        <f>IF(OR(Apresentação!$I$3='Base de Dados e filtragem'!AN$2,Apresentação!$I$3='Base de Dados e filtragem'!J904),1,0)</f>
        <v>1</v>
      </c>
      <c r="AO904" s="25">
        <f>IF(OR(Apresentação!$I$4='Base de Dados e filtragem'!AO$2,Apresentação!$I$4='Base de Dados e filtragem'!K904),1,0)</f>
        <v>1</v>
      </c>
      <c r="AP904" s="25">
        <f>IF(OR(Apresentação!$I$5='Base de Dados e filtragem'!AP$2,Apresentação!$I$5='Base de Dados e filtragem'!L904),1,0)</f>
        <v>1</v>
      </c>
      <c r="AQ904" s="25">
        <f>IF(OR(Apresentação!$I$6='Base de Dados e filtragem'!AQ$2,Apresentação!$I$6='Base de Dados e filtragem'!M904),1,0)</f>
        <v>1</v>
      </c>
      <c r="AR904" s="25">
        <v>1</v>
      </c>
      <c r="AS904" s="25">
        <v>1</v>
      </c>
      <c r="AT904" s="25">
        <v>1</v>
      </c>
      <c r="AU904" s="25">
        <v>1</v>
      </c>
      <c r="AV904" s="25">
        <v>1</v>
      </c>
      <c r="AW904" s="25">
        <v>1</v>
      </c>
      <c r="AX904" s="25">
        <v>1</v>
      </c>
      <c r="AY904" s="25">
        <v>1</v>
      </c>
      <c r="AZ904" s="25">
        <v>1</v>
      </c>
      <c r="BA904" s="25">
        <v>1</v>
      </c>
      <c r="BB904" s="25">
        <v>1</v>
      </c>
      <c r="BC904" s="25">
        <v>1</v>
      </c>
      <c r="BD904" s="25">
        <v>1</v>
      </c>
    </row>
    <row r="905" spans="27:56" x14ac:dyDescent="0.25">
      <c r="AA905" s="68" t="str">
        <f t="shared" si="57"/>
        <v>Fotos\\.jpg</v>
      </c>
      <c r="AB905" s="53">
        <f t="shared" si="58"/>
        <v>1.1049723756906078E-3</v>
      </c>
      <c r="AC905" s="25">
        <f t="shared" si="59"/>
        <v>905</v>
      </c>
      <c r="AD905" s="51">
        <f t="shared" si="60"/>
        <v>1</v>
      </c>
      <c r="AE905" s="25">
        <v>1</v>
      </c>
      <c r="AF905" s="25">
        <v>1</v>
      </c>
      <c r="AG905" s="25">
        <v>1</v>
      </c>
      <c r="AH905" s="25">
        <v>1</v>
      </c>
      <c r="AI905" s="25">
        <f>IF(OR(Apresentação!$E$3='Base de Dados e filtragem'!AI$2,Apresentação!$E$3='Base de Dados e filtragem'!E905),1,0)</f>
        <v>1</v>
      </c>
      <c r="AJ905" s="25">
        <f>IF(OR(Apresentação!$E$4='Base de Dados e filtragem'!AJ$2,Apresentação!$E$4='Base de Dados e filtragem'!F905),1,0)</f>
        <v>1</v>
      </c>
      <c r="AK905" s="25">
        <f>IF(OR(Apresentação!$E$5='Base de Dados e filtragem'!AK$2,Apresentação!$E$5='Base de Dados e filtragem'!G905),1,0)</f>
        <v>1</v>
      </c>
      <c r="AL905" s="25">
        <f>IF(OR(Apresentação!$E$6='Base de Dados e filtragem'!AL$2,Apresentação!$E$6='Base de Dados e filtragem'!H905),1,0)</f>
        <v>1</v>
      </c>
      <c r="AM905" s="25">
        <f>IF(OR(Apresentação!$I$2='Base de Dados e filtragem'!AM$2,Apresentação!$I$2='Base de Dados e filtragem'!I905),1,0)</f>
        <v>1</v>
      </c>
      <c r="AN905" s="25">
        <f>IF(OR(Apresentação!$I$3='Base de Dados e filtragem'!AN$2,Apresentação!$I$3='Base de Dados e filtragem'!J905),1,0)</f>
        <v>1</v>
      </c>
      <c r="AO905" s="25">
        <f>IF(OR(Apresentação!$I$4='Base de Dados e filtragem'!AO$2,Apresentação!$I$4='Base de Dados e filtragem'!K905),1,0)</f>
        <v>1</v>
      </c>
      <c r="AP905" s="25">
        <f>IF(OR(Apresentação!$I$5='Base de Dados e filtragem'!AP$2,Apresentação!$I$5='Base de Dados e filtragem'!L905),1,0)</f>
        <v>1</v>
      </c>
      <c r="AQ905" s="25">
        <f>IF(OR(Apresentação!$I$6='Base de Dados e filtragem'!AQ$2,Apresentação!$I$6='Base de Dados e filtragem'!M905),1,0)</f>
        <v>1</v>
      </c>
      <c r="AR905" s="25">
        <v>1</v>
      </c>
      <c r="AS905" s="25">
        <v>1</v>
      </c>
      <c r="AT905" s="25">
        <v>1</v>
      </c>
      <c r="AU905" s="25">
        <v>1</v>
      </c>
      <c r="AV905" s="25">
        <v>1</v>
      </c>
      <c r="AW905" s="25">
        <v>1</v>
      </c>
      <c r="AX905" s="25">
        <v>1</v>
      </c>
      <c r="AY905" s="25">
        <v>1</v>
      </c>
      <c r="AZ905" s="25">
        <v>1</v>
      </c>
      <c r="BA905" s="25">
        <v>1</v>
      </c>
      <c r="BB905" s="25">
        <v>1</v>
      </c>
      <c r="BC905" s="25">
        <v>1</v>
      </c>
      <c r="BD905" s="25">
        <v>1</v>
      </c>
    </row>
    <row r="906" spans="27:56" x14ac:dyDescent="0.25">
      <c r="AA906" s="68" t="str">
        <f t="shared" si="57"/>
        <v>Fotos\\.jpg</v>
      </c>
      <c r="AB906" s="53">
        <f t="shared" si="58"/>
        <v>1.1037527593818985E-3</v>
      </c>
      <c r="AC906" s="25">
        <f t="shared" si="59"/>
        <v>906</v>
      </c>
      <c r="AD906" s="51">
        <f t="shared" si="60"/>
        <v>1</v>
      </c>
      <c r="AE906" s="25">
        <v>1</v>
      </c>
      <c r="AF906" s="25">
        <v>1</v>
      </c>
      <c r="AG906" s="25">
        <v>1</v>
      </c>
      <c r="AH906" s="25">
        <v>1</v>
      </c>
      <c r="AI906" s="25">
        <f>IF(OR(Apresentação!$E$3='Base de Dados e filtragem'!AI$2,Apresentação!$E$3='Base de Dados e filtragem'!E906),1,0)</f>
        <v>1</v>
      </c>
      <c r="AJ906" s="25">
        <f>IF(OR(Apresentação!$E$4='Base de Dados e filtragem'!AJ$2,Apresentação!$E$4='Base de Dados e filtragem'!F906),1,0)</f>
        <v>1</v>
      </c>
      <c r="AK906" s="25">
        <f>IF(OR(Apresentação!$E$5='Base de Dados e filtragem'!AK$2,Apresentação!$E$5='Base de Dados e filtragem'!G906),1,0)</f>
        <v>1</v>
      </c>
      <c r="AL906" s="25">
        <f>IF(OR(Apresentação!$E$6='Base de Dados e filtragem'!AL$2,Apresentação!$E$6='Base de Dados e filtragem'!H906),1,0)</f>
        <v>1</v>
      </c>
      <c r="AM906" s="25">
        <f>IF(OR(Apresentação!$I$2='Base de Dados e filtragem'!AM$2,Apresentação!$I$2='Base de Dados e filtragem'!I906),1,0)</f>
        <v>1</v>
      </c>
      <c r="AN906" s="25">
        <f>IF(OR(Apresentação!$I$3='Base de Dados e filtragem'!AN$2,Apresentação!$I$3='Base de Dados e filtragem'!J906),1,0)</f>
        <v>1</v>
      </c>
      <c r="AO906" s="25">
        <f>IF(OR(Apresentação!$I$4='Base de Dados e filtragem'!AO$2,Apresentação!$I$4='Base de Dados e filtragem'!K906),1,0)</f>
        <v>1</v>
      </c>
      <c r="AP906" s="25">
        <f>IF(OR(Apresentação!$I$5='Base de Dados e filtragem'!AP$2,Apresentação!$I$5='Base de Dados e filtragem'!L906),1,0)</f>
        <v>1</v>
      </c>
      <c r="AQ906" s="25">
        <f>IF(OR(Apresentação!$I$6='Base de Dados e filtragem'!AQ$2,Apresentação!$I$6='Base de Dados e filtragem'!M906),1,0)</f>
        <v>1</v>
      </c>
      <c r="AR906" s="25">
        <v>1</v>
      </c>
      <c r="AS906" s="25">
        <v>1</v>
      </c>
      <c r="AT906" s="25">
        <v>1</v>
      </c>
      <c r="AU906" s="25">
        <v>1</v>
      </c>
      <c r="AV906" s="25">
        <v>1</v>
      </c>
      <c r="AW906" s="25">
        <v>1</v>
      </c>
      <c r="AX906" s="25">
        <v>1</v>
      </c>
      <c r="AY906" s="25">
        <v>1</v>
      </c>
      <c r="AZ906" s="25">
        <v>1</v>
      </c>
      <c r="BA906" s="25">
        <v>1</v>
      </c>
      <c r="BB906" s="25">
        <v>1</v>
      </c>
      <c r="BC906" s="25">
        <v>1</v>
      </c>
      <c r="BD906" s="25">
        <v>1</v>
      </c>
    </row>
    <row r="907" spans="27:56" x14ac:dyDescent="0.25">
      <c r="AA907" s="68" t="str">
        <f t="shared" si="57"/>
        <v>Fotos\\.jpg</v>
      </c>
      <c r="AB907" s="53">
        <f t="shared" si="58"/>
        <v>1.1025358324145535E-3</v>
      </c>
      <c r="AC907" s="25">
        <f t="shared" si="59"/>
        <v>907</v>
      </c>
      <c r="AD907" s="51">
        <f t="shared" si="60"/>
        <v>1</v>
      </c>
      <c r="AE907" s="25">
        <v>1</v>
      </c>
      <c r="AF907" s="25">
        <v>1</v>
      </c>
      <c r="AG907" s="25">
        <v>1</v>
      </c>
      <c r="AH907" s="25">
        <v>1</v>
      </c>
      <c r="AI907" s="25">
        <f>IF(OR(Apresentação!$E$3='Base de Dados e filtragem'!AI$2,Apresentação!$E$3='Base de Dados e filtragem'!E907),1,0)</f>
        <v>1</v>
      </c>
      <c r="AJ907" s="25">
        <f>IF(OR(Apresentação!$E$4='Base de Dados e filtragem'!AJ$2,Apresentação!$E$4='Base de Dados e filtragem'!F907),1,0)</f>
        <v>1</v>
      </c>
      <c r="AK907" s="25">
        <f>IF(OR(Apresentação!$E$5='Base de Dados e filtragem'!AK$2,Apresentação!$E$5='Base de Dados e filtragem'!G907),1,0)</f>
        <v>1</v>
      </c>
      <c r="AL907" s="25">
        <f>IF(OR(Apresentação!$E$6='Base de Dados e filtragem'!AL$2,Apresentação!$E$6='Base de Dados e filtragem'!H907),1,0)</f>
        <v>1</v>
      </c>
      <c r="AM907" s="25">
        <f>IF(OR(Apresentação!$I$2='Base de Dados e filtragem'!AM$2,Apresentação!$I$2='Base de Dados e filtragem'!I907),1,0)</f>
        <v>1</v>
      </c>
      <c r="AN907" s="25">
        <f>IF(OR(Apresentação!$I$3='Base de Dados e filtragem'!AN$2,Apresentação!$I$3='Base de Dados e filtragem'!J907),1,0)</f>
        <v>1</v>
      </c>
      <c r="AO907" s="25">
        <f>IF(OR(Apresentação!$I$4='Base de Dados e filtragem'!AO$2,Apresentação!$I$4='Base de Dados e filtragem'!K907),1,0)</f>
        <v>1</v>
      </c>
      <c r="AP907" s="25">
        <f>IF(OR(Apresentação!$I$5='Base de Dados e filtragem'!AP$2,Apresentação!$I$5='Base de Dados e filtragem'!L907),1,0)</f>
        <v>1</v>
      </c>
      <c r="AQ907" s="25">
        <f>IF(OR(Apresentação!$I$6='Base de Dados e filtragem'!AQ$2,Apresentação!$I$6='Base de Dados e filtragem'!M907),1,0)</f>
        <v>1</v>
      </c>
      <c r="AR907" s="25">
        <v>1</v>
      </c>
      <c r="AS907" s="25">
        <v>1</v>
      </c>
      <c r="AT907" s="25">
        <v>1</v>
      </c>
      <c r="AU907" s="25">
        <v>1</v>
      </c>
      <c r="AV907" s="25">
        <v>1</v>
      </c>
      <c r="AW907" s="25">
        <v>1</v>
      </c>
      <c r="AX907" s="25">
        <v>1</v>
      </c>
      <c r="AY907" s="25">
        <v>1</v>
      </c>
      <c r="AZ907" s="25">
        <v>1</v>
      </c>
      <c r="BA907" s="25">
        <v>1</v>
      </c>
      <c r="BB907" s="25">
        <v>1</v>
      </c>
      <c r="BC907" s="25">
        <v>1</v>
      </c>
      <c r="BD907" s="25">
        <v>1</v>
      </c>
    </row>
    <row r="908" spans="27:56" x14ac:dyDescent="0.25">
      <c r="AA908" s="68" t="str">
        <f t="shared" si="57"/>
        <v>Fotos\\.jpg</v>
      </c>
      <c r="AB908" s="53">
        <f t="shared" si="58"/>
        <v>1.1013215859030838E-3</v>
      </c>
      <c r="AC908" s="25">
        <f t="shared" si="59"/>
        <v>908</v>
      </c>
      <c r="AD908" s="51">
        <f t="shared" si="60"/>
        <v>1</v>
      </c>
      <c r="AE908" s="25">
        <v>1</v>
      </c>
      <c r="AF908" s="25">
        <v>1</v>
      </c>
      <c r="AG908" s="25">
        <v>1</v>
      </c>
      <c r="AH908" s="25">
        <v>1</v>
      </c>
      <c r="AI908" s="25">
        <f>IF(OR(Apresentação!$E$3='Base de Dados e filtragem'!AI$2,Apresentação!$E$3='Base de Dados e filtragem'!E908),1,0)</f>
        <v>1</v>
      </c>
      <c r="AJ908" s="25">
        <f>IF(OR(Apresentação!$E$4='Base de Dados e filtragem'!AJ$2,Apresentação!$E$4='Base de Dados e filtragem'!F908),1,0)</f>
        <v>1</v>
      </c>
      <c r="AK908" s="25">
        <f>IF(OR(Apresentação!$E$5='Base de Dados e filtragem'!AK$2,Apresentação!$E$5='Base de Dados e filtragem'!G908),1,0)</f>
        <v>1</v>
      </c>
      <c r="AL908" s="25">
        <f>IF(OR(Apresentação!$E$6='Base de Dados e filtragem'!AL$2,Apresentação!$E$6='Base de Dados e filtragem'!H908),1,0)</f>
        <v>1</v>
      </c>
      <c r="AM908" s="25">
        <f>IF(OR(Apresentação!$I$2='Base de Dados e filtragem'!AM$2,Apresentação!$I$2='Base de Dados e filtragem'!I908),1,0)</f>
        <v>1</v>
      </c>
      <c r="AN908" s="25">
        <f>IF(OR(Apresentação!$I$3='Base de Dados e filtragem'!AN$2,Apresentação!$I$3='Base de Dados e filtragem'!J908),1,0)</f>
        <v>1</v>
      </c>
      <c r="AO908" s="25">
        <f>IF(OR(Apresentação!$I$4='Base de Dados e filtragem'!AO$2,Apresentação!$I$4='Base de Dados e filtragem'!K908),1,0)</f>
        <v>1</v>
      </c>
      <c r="AP908" s="25">
        <f>IF(OR(Apresentação!$I$5='Base de Dados e filtragem'!AP$2,Apresentação!$I$5='Base de Dados e filtragem'!L908),1,0)</f>
        <v>1</v>
      </c>
      <c r="AQ908" s="25">
        <f>IF(OR(Apresentação!$I$6='Base de Dados e filtragem'!AQ$2,Apresentação!$I$6='Base de Dados e filtragem'!M908),1,0)</f>
        <v>1</v>
      </c>
      <c r="AR908" s="25">
        <v>1</v>
      </c>
      <c r="AS908" s="25">
        <v>1</v>
      </c>
      <c r="AT908" s="25">
        <v>1</v>
      </c>
      <c r="AU908" s="25">
        <v>1</v>
      </c>
      <c r="AV908" s="25">
        <v>1</v>
      </c>
      <c r="AW908" s="25">
        <v>1</v>
      </c>
      <c r="AX908" s="25">
        <v>1</v>
      </c>
      <c r="AY908" s="25">
        <v>1</v>
      </c>
      <c r="AZ908" s="25">
        <v>1</v>
      </c>
      <c r="BA908" s="25">
        <v>1</v>
      </c>
      <c r="BB908" s="25">
        <v>1</v>
      </c>
      <c r="BC908" s="25">
        <v>1</v>
      </c>
      <c r="BD908" s="25">
        <v>1</v>
      </c>
    </row>
    <row r="909" spans="27:56" x14ac:dyDescent="0.25">
      <c r="AA909" s="68" t="str">
        <f t="shared" si="57"/>
        <v>Fotos\\.jpg</v>
      </c>
      <c r="AB909" s="53">
        <f t="shared" si="58"/>
        <v>1.1001100110011001E-3</v>
      </c>
      <c r="AC909" s="25">
        <f t="shared" si="59"/>
        <v>909</v>
      </c>
      <c r="AD909" s="51">
        <f t="shared" si="60"/>
        <v>1</v>
      </c>
      <c r="AE909" s="25">
        <v>1</v>
      </c>
      <c r="AF909" s="25">
        <v>1</v>
      </c>
      <c r="AG909" s="25">
        <v>1</v>
      </c>
      <c r="AH909" s="25">
        <v>1</v>
      </c>
      <c r="AI909" s="25">
        <f>IF(OR(Apresentação!$E$3='Base de Dados e filtragem'!AI$2,Apresentação!$E$3='Base de Dados e filtragem'!E909),1,0)</f>
        <v>1</v>
      </c>
      <c r="AJ909" s="25">
        <f>IF(OR(Apresentação!$E$4='Base de Dados e filtragem'!AJ$2,Apresentação!$E$4='Base de Dados e filtragem'!F909),1,0)</f>
        <v>1</v>
      </c>
      <c r="AK909" s="25">
        <f>IF(OR(Apresentação!$E$5='Base de Dados e filtragem'!AK$2,Apresentação!$E$5='Base de Dados e filtragem'!G909),1,0)</f>
        <v>1</v>
      </c>
      <c r="AL909" s="25">
        <f>IF(OR(Apresentação!$E$6='Base de Dados e filtragem'!AL$2,Apresentação!$E$6='Base de Dados e filtragem'!H909),1,0)</f>
        <v>1</v>
      </c>
      <c r="AM909" s="25">
        <f>IF(OR(Apresentação!$I$2='Base de Dados e filtragem'!AM$2,Apresentação!$I$2='Base de Dados e filtragem'!I909),1,0)</f>
        <v>1</v>
      </c>
      <c r="AN909" s="25">
        <f>IF(OR(Apresentação!$I$3='Base de Dados e filtragem'!AN$2,Apresentação!$I$3='Base de Dados e filtragem'!J909),1,0)</f>
        <v>1</v>
      </c>
      <c r="AO909" s="25">
        <f>IF(OR(Apresentação!$I$4='Base de Dados e filtragem'!AO$2,Apresentação!$I$4='Base de Dados e filtragem'!K909),1,0)</f>
        <v>1</v>
      </c>
      <c r="AP909" s="25">
        <f>IF(OR(Apresentação!$I$5='Base de Dados e filtragem'!AP$2,Apresentação!$I$5='Base de Dados e filtragem'!L909),1,0)</f>
        <v>1</v>
      </c>
      <c r="AQ909" s="25">
        <f>IF(OR(Apresentação!$I$6='Base de Dados e filtragem'!AQ$2,Apresentação!$I$6='Base de Dados e filtragem'!M909),1,0)</f>
        <v>1</v>
      </c>
      <c r="AR909" s="25">
        <v>1</v>
      </c>
      <c r="AS909" s="25">
        <v>1</v>
      </c>
      <c r="AT909" s="25">
        <v>1</v>
      </c>
      <c r="AU909" s="25">
        <v>1</v>
      </c>
      <c r="AV909" s="25">
        <v>1</v>
      </c>
      <c r="AW909" s="25">
        <v>1</v>
      </c>
      <c r="AX909" s="25">
        <v>1</v>
      </c>
      <c r="AY909" s="25">
        <v>1</v>
      </c>
      <c r="AZ909" s="25">
        <v>1</v>
      </c>
      <c r="BA909" s="25">
        <v>1</v>
      </c>
      <c r="BB909" s="25">
        <v>1</v>
      </c>
      <c r="BC909" s="25">
        <v>1</v>
      </c>
      <c r="BD909" s="25">
        <v>1</v>
      </c>
    </row>
    <row r="910" spans="27:56" x14ac:dyDescent="0.25">
      <c r="AA910" s="68" t="str">
        <f t="shared" si="57"/>
        <v>Fotos\\.jpg</v>
      </c>
      <c r="AB910" s="53">
        <f t="shared" si="58"/>
        <v>1.0989010989010989E-3</v>
      </c>
      <c r="AC910" s="25">
        <f t="shared" si="59"/>
        <v>910</v>
      </c>
      <c r="AD910" s="51">
        <f t="shared" si="60"/>
        <v>1</v>
      </c>
      <c r="AE910" s="25">
        <v>1</v>
      </c>
      <c r="AF910" s="25">
        <v>1</v>
      </c>
      <c r="AG910" s="25">
        <v>1</v>
      </c>
      <c r="AH910" s="25">
        <v>1</v>
      </c>
      <c r="AI910" s="25">
        <f>IF(OR(Apresentação!$E$3='Base de Dados e filtragem'!AI$2,Apresentação!$E$3='Base de Dados e filtragem'!E910),1,0)</f>
        <v>1</v>
      </c>
      <c r="AJ910" s="25">
        <f>IF(OR(Apresentação!$E$4='Base de Dados e filtragem'!AJ$2,Apresentação!$E$4='Base de Dados e filtragem'!F910),1,0)</f>
        <v>1</v>
      </c>
      <c r="AK910" s="25">
        <f>IF(OR(Apresentação!$E$5='Base de Dados e filtragem'!AK$2,Apresentação!$E$5='Base de Dados e filtragem'!G910),1,0)</f>
        <v>1</v>
      </c>
      <c r="AL910" s="25">
        <f>IF(OR(Apresentação!$E$6='Base de Dados e filtragem'!AL$2,Apresentação!$E$6='Base de Dados e filtragem'!H910),1,0)</f>
        <v>1</v>
      </c>
      <c r="AM910" s="25">
        <f>IF(OR(Apresentação!$I$2='Base de Dados e filtragem'!AM$2,Apresentação!$I$2='Base de Dados e filtragem'!I910),1,0)</f>
        <v>1</v>
      </c>
      <c r="AN910" s="25">
        <f>IF(OR(Apresentação!$I$3='Base de Dados e filtragem'!AN$2,Apresentação!$I$3='Base de Dados e filtragem'!J910),1,0)</f>
        <v>1</v>
      </c>
      <c r="AO910" s="25">
        <f>IF(OR(Apresentação!$I$4='Base de Dados e filtragem'!AO$2,Apresentação!$I$4='Base de Dados e filtragem'!K910),1,0)</f>
        <v>1</v>
      </c>
      <c r="AP910" s="25">
        <f>IF(OR(Apresentação!$I$5='Base de Dados e filtragem'!AP$2,Apresentação!$I$5='Base de Dados e filtragem'!L910),1,0)</f>
        <v>1</v>
      </c>
      <c r="AQ910" s="25">
        <f>IF(OR(Apresentação!$I$6='Base de Dados e filtragem'!AQ$2,Apresentação!$I$6='Base de Dados e filtragem'!M910),1,0)</f>
        <v>1</v>
      </c>
      <c r="AR910" s="25">
        <v>1</v>
      </c>
      <c r="AS910" s="25">
        <v>1</v>
      </c>
      <c r="AT910" s="25">
        <v>1</v>
      </c>
      <c r="AU910" s="25">
        <v>1</v>
      </c>
      <c r="AV910" s="25">
        <v>1</v>
      </c>
      <c r="AW910" s="25">
        <v>1</v>
      </c>
      <c r="AX910" s="25">
        <v>1</v>
      </c>
      <c r="AY910" s="25">
        <v>1</v>
      </c>
      <c r="AZ910" s="25">
        <v>1</v>
      </c>
      <c r="BA910" s="25">
        <v>1</v>
      </c>
      <c r="BB910" s="25">
        <v>1</v>
      </c>
      <c r="BC910" s="25">
        <v>1</v>
      </c>
      <c r="BD910" s="25">
        <v>1</v>
      </c>
    </row>
    <row r="911" spans="27:56" x14ac:dyDescent="0.25">
      <c r="AA911" s="68" t="str">
        <f t="shared" si="57"/>
        <v>Fotos\\.jpg</v>
      </c>
      <c r="AB911" s="53">
        <f t="shared" si="58"/>
        <v>1.0976948408342481E-3</v>
      </c>
      <c r="AC911" s="25">
        <f t="shared" si="59"/>
        <v>911</v>
      </c>
      <c r="AD911" s="51">
        <f t="shared" si="60"/>
        <v>1</v>
      </c>
      <c r="AE911" s="25">
        <v>1</v>
      </c>
      <c r="AF911" s="25">
        <v>1</v>
      </c>
      <c r="AG911" s="25">
        <v>1</v>
      </c>
      <c r="AH911" s="25">
        <v>1</v>
      </c>
      <c r="AI911" s="25">
        <f>IF(OR(Apresentação!$E$3='Base de Dados e filtragem'!AI$2,Apresentação!$E$3='Base de Dados e filtragem'!E911),1,0)</f>
        <v>1</v>
      </c>
      <c r="AJ911" s="25">
        <f>IF(OR(Apresentação!$E$4='Base de Dados e filtragem'!AJ$2,Apresentação!$E$4='Base de Dados e filtragem'!F911),1,0)</f>
        <v>1</v>
      </c>
      <c r="AK911" s="25">
        <f>IF(OR(Apresentação!$E$5='Base de Dados e filtragem'!AK$2,Apresentação!$E$5='Base de Dados e filtragem'!G911),1,0)</f>
        <v>1</v>
      </c>
      <c r="AL911" s="25">
        <f>IF(OR(Apresentação!$E$6='Base de Dados e filtragem'!AL$2,Apresentação!$E$6='Base de Dados e filtragem'!H911),1,0)</f>
        <v>1</v>
      </c>
      <c r="AM911" s="25">
        <f>IF(OR(Apresentação!$I$2='Base de Dados e filtragem'!AM$2,Apresentação!$I$2='Base de Dados e filtragem'!I911),1,0)</f>
        <v>1</v>
      </c>
      <c r="AN911" s="25">
        <f>IF(OR(Apresentação!$I$3='Base de Dados e filtragem'!AN$2,Apresentação!$I$3='Base de Dados e filtragem'!J911),1,0)</f>
        <v>1</v>
      </c>
      <c r="AO911" s="25">
        <f>IF(OR(Apresentação!$I$4='Base de Dados e filtragem'!AO$2,Apresentação!$I$4='Base de Dados e filtragem'!K911),1,0)</f>
        <v>1</v>
      </c>
      <c r="AP911" s="25">
        <f>IF(OR(Apresentação!$I$5='Base de Dados e filtragem'!AP$2,Apresentação!$I$5='Base de Dados e filtragem'!L911),1,0)</f>
        <v>1</v>
      </c>
      <c r="AQ911" s="25">
        <f>IF(OR(Apresentação!$I$6='Base de Dados e filtragem'!AQ$2,Apresentação!$I$6='Base de Dados e filtragem'!M911),1,0)</f>
        <v>1</v>
      </c>
      <c r="AR911" s="25">
        <v>1</v>
      </c>
      <c r="AS911" s="25">
        <v>1</v>
      </c>
      <c r="AT911" s="25">
        <v>1</v>
      </c>
      <c r="AU911" s="25">
        <v>1</v>
      </c>
      <c r="AV911" s="25">
        <v>1</v>
      </c>
      <c r="AW911" s="25">
        <v>1</v>
      </c>
      <c r="AX911" s="25">
        <v>1</v>
      </c>
      <c r="AY911" s="25">
        <v>1</v>
      </c>
      <c r="AZ911" s="25">
        <v>1</v>
      </c>
      <c r="BA911" s="25">
        <v>1</v>
      </c>
      <c r="BB911" s="25">
        <v>1</v>
      </c>
      <c r="BC911" s="25">
        <v>1</v>
      </c>
      <c r="BD911" s="25">
        <v>1</v>
      </c>
    </row>
    <row r="912" spans="27:56" x14ac:dyDescent="0.25">
      <c r="AA912" s="68" t="str">
        <f t="shared" si="57"/>
        <v>Fotos\\.jpg</v>
      </c>
      <c r="AB912" s="53">
        <f t="shared" si="58"/>
        <v>1.0964912280701754E-3</v>
      </c>
      <c r="AC912" s="25">
        <f t="shared" si="59"/>
        <v>912</v>
      </c>
      <c r="AD912" s="51">
        <f t="shared" si="60"/>
        <v>1</v>
      </c>
      <c r="AE912" s="25">
        <v>1</v>
      </c>
      <c r="AF912" s="25">
        <v>1</v>
      </c>
      <c r="AG912" s="25">
        <v>1</v>
      </c>
      <c r="AH912" s="25">
        <v>1</v>
      </c>
      <c r="AI912" s="25">
        <f>IF(OR(Apresentação!$E$3='Base de Dados e filtragem'!AI$2,Apresentação!$E$3='Base de Dados e filtragem'!E912),1,0)</f>
        <v>1</v>
      </c>
      <c r="AJ912" s="25">
        <f>IF(OR(Apresentação!$E$4='Base de Dados e filtragem'!AJ$2,Apresentação!$E$4='Base de Dados e filtragem'!F912),1,0)</f>
        <v>1</v>
      </c>
      <c r="AK912" s="25">
        <f>IF(OR(Apresentação!$E$5='Base de Dados e filtragem'!AK$2,Apresentação!$E$5='Base de Dados e filtragem'!G912),1,0)</f>
        <v>1</v>
      </c>
      <c r="AL912" s="25">
        <f>IF(OR(Apresentação!$E$6='Base de Dados e filtragem'!AL$2,Apresentação!$E$6='Base de Dados e filtragem'!H912),1,0)</f>
        <v>1</v>
      </c>
      <c r="AM912" s="25">
        <f>IF(OR(Apresentação!$I$2='Base de Dados e filtragem'!AM$2,Apresentação!$I$2='Base de Dados e filtragem'!I912),1,0)</f>
        <v>1</v>
      </c>
      <c r="AN912" s="25">
        <f>IF(OR(Apresentação!$I$3='Base de Dados e filtragem'!AN$2,Apresentação!$I$3='Base de Dados e filtragem'!J912),1,0)</f>
        <v>1</v>
      </c>
      <c r="AO912" s="25">
        <f>IF(OR(Apresentação!$I$4='Base de Dados e filtragem'!AO$2,Apresentação!$I$4='Base de Dados e filtragem'!K912),1,0)</f>
        <v>1</v>
      </c>
      <c r="AP912" s="25">
        <f>IF(OR(Apresentação!$I$5='Base de Dados e filtragem'!AP$2,Apresentação!$I$5='Base de Dados e filtragem'!L912),1,0)</f>
        <v>1</v>
      </c>
      <c r="AQ912" s="25">
        <f>IF(OR(Apresentação!$I$6='Base de Dados e filtragem'!AQ$2,Apresentação!$I$6='Base de Dados e filtragem'!M912),1,0)</f>
        <v>1</v>
      </c>
      <c r="AR912" s="25">
        <v>1</v>
      </c>
      <c r="AS912" s="25">
        <v>1</v>
      </c>
      <c r="AT912" s="25">
        <v>1</v>
      </c>
      <c r="AU912" s="25">
        <v>1</v>
      </c>
      <c r="AV912" s="25">
        <v>1</v>
      </c>
      <c r="AW912" s="25">
        <v>1</v>
      </c>
      <c r="AX912" s="25">
        <v>1</v>
      </c>
      <c r="AY912" s="25">
        <v>1</v>
      </c>
      <c r="AZ912" s="25">
        <v>1</v>
      </c>
      <c r="BA912" s="25">
        <v>1</v>
      </c>
      <c r="BB912" s="25">
        <v>1</v>
      </c>
      <c r="BC912" s="25">
        <v>1</v>
      </c>
      <c r="BD912" s="25">
        <v>1</v>
      </c>
    </row>
    <row r="913" spans="27:56" x14ac:dyDescent="0.25">
      <c r="AA913" s="68" t="str">
        <f t="shared" si="57"/>
        <v>Fotos\\.jpg</v>
      </c>
      <c r="AB913" s="53">
        <f t="shared" si="58"/>
        <v>1.0952902519167579E-3</v>
      </c>
      <c r="AC913" s="25">
        <f t="shared" si="59"/>
        <v>913</v>
      </c>
      <c r="AD913" s="51">
        <f t="shared" si="60"/>
        <v>1</v>
      </c>
      <c r="AE913" s="25">
        <v>1</v>
      </c>
      <c r="AF913" s="25">
        <v>1</v>
      </c>
      <c r="AG913" s="25">
        <v>1</v>
      </c>
      <c r="AH913" s="25">
        <v>1</v>
      </c>
      <c r="AI913" s="25">
        <f>IF(OR(Apresentação!$E$3='Base de Dados e filtragem'!AI$2,Apresentação!$E$3='Base de Dados e filtragem'!E913),1,0)</f>
        <v>1</v>
      </c>
      <c r="AJ913" s="25">
        <f>IF(OR(Apresentação!$E$4='Base de Dados e filtragem'!AJ$2,Apresentação!$E$4='Base de Dados e filtragem'!F913),1,0)</f>
        <v>1</v>
      </c>
      <c r="AK913" s="25">
        <f>IF(OR(Apresentação!$E$5='Base de Dados e filtragem'!AK$2,Apresentação!$E$5='Base de Dados e filtragem'!G913),1,0)</f>
        <v>1</v>
      </c>
      <c r="AL913" s="25">
        <f>IF(OR(Apresentação!$E$6='Base de Dados e filtragem'!AL$2,Apresentação!$E$6='Base de Dados e filtragem'!H913),1,0)</f>
        <v>1</v>
      </c>
      <c r="AM913" s="25">
        <f>IF(OR(Apresentação!$I$2='Base de Dados e filtragem'!AM$2,Apresentação!$I$2='Base de Dados e filtragem'!I913),1,0)</f>
        <v>1</v>
      </c>
      <c r="AN913" s="25">
        <f>IF(OR(Apresentação!$I$3='Base de Dados e filtragem'!AN$2,Apresentação!$I$3='Base de Dados e filtragem'!J913),1,0)</f>
        <v>1</v>
      </c>
      <c r="AO913" s="25">
        <f>IF(OR(Apresentação!$I$4='Base de Dados e filtragem'!AO$2,Apresentação!$I$4='Base de Dados e filtragem'!K913),1,0)</f>
        <v>1</v>
      </c>
      <c r="AP913" s="25">
        <f>IF(OR(Apresentação!$I$5='Base de Dados e filtragem'!AP$2,Apresentação!$I$5='Base de Dados e filtragem'!L913),1,0)</f>
        <v>1</v>
      </c>
      <c r="AQ913" s="25">
        <f>IF(OR(Apresentação!$I$6='Base de Dados e filtragem'!AQ$2,Apresentação!$I$6='Base de Dados e filtragem'!M913),1,0)</f>
        <v>1</v>
      </c>
      <c r="AR913" s="25">
        <v>1</v>
      </c>
      <c r="AS913" s="25">
        <v>1</v>
      </c>
      <c r="AT913" s="25">
        <v>1</v>
      </c>
      <c r="AU913" s="25">
        <v>1</v>
      </c>
      <c r="AV913" s="25">
        <v>1</v>
      </c>
      <c r="AW913" s="25">
        <v>1</v>
      </c>
      <c r="AX913" s="25">
        <v>1</v>
      </c>
      <c r="AY913" s="25">
        <v>1</v>
      </c>
      <c r="AZ913" s="25">
        <v>1</v>
      </c>
      <c r="BA913" s="25">
        <v>1</v>
      </c>
      <c r="BB913" s="25">
        <v>1</v>
      </c>
      <c r="BC913" s="25">
        <v>1</v>
      </c>
      <c r="BD913" s="25">
        <v>1</v>
      </c>
    </row>
    <row r="914" spans="27:56" x14ac:dyDescent="0.25">
      <c r="AA914" s="68" t="str">
        <f t="shared" si="57"/>
        <v>Fotos\\.jpg</v>
      </c>
      <c r="AB914" s="53">
        <f t="shared" si="58"/>
        <v>1.0940919037199124E-3</v>
      </c>
      <c r="AC914" s="25">
        <f t="shared" si="59"/>
        <v>914</v>
      </c>
      <c r="AD914" s="51">
        <f t="shared" si="60"/>
        <v>1</v>
      </c>
      <c r="AE914" s="25">
        <v>1</v>
      </c>
      <c r="AF914" s="25">
        <v>1</v>
      </c>
      <c r="AG914" s="25">
        <v>1</v>
      </c>
      <c r="AH914" s="25">
        <v>1</v>
      </c>
      <c r="AI914" s="25">
        <f>IF(OR(Apresentação!$E$3='Base de Dados e filtragem'!AI$2,Apresentação!$E$3='Base de Dados e filtragem'!E914),1,0)</f>
        <v>1</v>
      </c>
      <c r="AJ914" s="25">
        <f>IF(OR(Apresentação!$E$4='Base de Dados e filtragem'!AJ$2,Apresentação!$E$4='Base de Dados e filtragem'!F914),1,0)</f>
        <v>1</v>
      </c>
      <c r="AK914" s="25">
        <f>IF(OR(Apresentação!$E$5='Base de Dados e filtragem'!AK$2,Apresentação!$E$5='Base de Dados e filtragem'!G914),1,0)</f>
        <v>1</v>
      </c>
      <c r="AL914" s="25">
        <f>IF(OR(Apresentação!$E$6='Base de Dados e filtragem'!AL$2,Apresentação!$E$6='Base de Dados e filtragem'!H914),1,0)</f>
        <v>1</v>
      </c>
      <c r="AM914" s="25">
        <f>IF(OR(Apresentação!$I$2='Base de Dados e filtragem'!AM$2,Apresentação!$I$2='Base de Dados e filtragem'!I914),1,0)</f>
        <v>1</v>
      </c>
      <c r="AN914" s="25">
        <f>IF(OR(Apresentação!$I$3='Base de Dados e filtragem'!AN$2,Apresentação!$I$3='Base de Dados e filtragem'!J914),1,0)</f>
        <v>1</v>
      </c>
      <c r="AO914" s="25">
        <f>IF(OR(Apresentação!$I$4='Base de Dados e filtragem'!AO$2,Apresentação!$I$4='Base de Dados e filtragem'!K914),1,0)</f>
        <v>1</v>
      </c>
      <c r="AP914" s="25">
        <f>IF(OR(Apresentação!$I$5='Base de Dados e filtragem'!AP$2,Apresentação!$I$5='Base de Dados e filtragem'!L914),1,0)</f>
        <v>1</v>
      </c>
      <c r="AQ914" s="25">
        <f>IF(OR(Apresentação!$I$6='Base de Dados e filtragem'!AQ$2,Apresentação!$I$6='Base de Dados e filtragem'!M914),1,0)</f>
        <v>1</v>
      </c>
      <c r="AR914" s="25">
        <v>1</v>
      </c>
      <c r="AS914" s="25">
        <v>1</v>
      </c>
      <c r="AT914" s="25">
        <v>1</v>
      </c>
      <c r="AU914" s="25">
        <v>1</v>
      </c>
      <c r="AV914" s="25">
        <v>1</v>
      </c>
      <c r="AW914" s="25">
        <v>1</v>
      </c>
      <c r="AX914" s="25">
        <v>1</v>
      </c>
      <c r="AY914" s="25">
        <v>1</v>
      </c>
      <c r="AZ914" s="25">
        <v>1</v>
      </c>
      <c r="BA914" s="25">
        <v>1</v>
      </c>
      <c r="BB914" s="25">
        <v>1</v>
      </c>
      <c r="BC914" s="25">
        <v>1</v>
      </c>
      <c r="BD914" s="25">
        <v>1</v>
      </c>
    </row>
    <row r="915" spans="27:56" x14ac:dyDescent="0.25">
      <c r="AA915" s="68" t="str">
        <f t="shared" si="57"/>
        <v>Fotos\\.jpg</v>
      </c>
      <c r="AB915" s="53">
        <f t="shared" si="58"/>
        <v>1.092896174863388E-3</v>
      </c>
      <c r="AC915" s="25">
        <f t="shared" si="59"/>
        <v>915</v>
      </c>
      <c r="AD915" s="51">
        <f t="shared" si="60"/>
        <v>1</v>
      </c>
      <c r="AE915" s="25">
        <v>1</v>
      </c>
      <c r="AF915" s="25">
        <v>1</v>
      </c>
      <c r="AG915" s="25">
        <v>1</v>
      </c>
      <c r="AH915" s="25">
        <v>1</v>
      </c>
      <c r="AI915" s="25">
        <f>IF(OR(Apresentação!$E$3='Base de Dados e filtragem'!AI$2,Apresentação!$E$3='Base de Dados e filtragem'!E915),1,0)</f>
        <v>1</v>
      </c>
      <c r="AJ915" s="25">
        <f>IF(OR(Apresentação!$E$4='Base de Dados e filtragem'!AJ$2,Apresentação!$E$4='Base de Dados e filtragem'!F915),1,0)</f>
        <v>1</v>
      </c>
      <c r="AK915" s="25">
        <f>IF(OR(Apresentação!$E$5='Base de Dados e filtragem'!AK$2,Apresentação!$E$5='Base de Dados e filtragem'!G915),1,0)</f>
        <v>1</v>
      </c>
      <c r="AL915" s="25">
        <f>IF(OR(Apresentação!$E$6='Base de Dados e filtragem'!AL$2,Apresentação!$E$6='Base de Dados e filtragem'!H915),1,0)</f>
        <v>1</v>
      </c>
      <c r="AM915" s="25">
        <f>IF(OR(Apresentação!$I$2='Base de Dados e filtragem'!AM$2,Apresentação!$I$2='Base de Dados e filtragem'!I915),1,0)</f>
        <v>1</v>
      </c>
      <c r="AN915" s="25">
        <f>IF(OR(Apresentação!$I$3='Base de Dados e filtragem'!AN$2,Apresentação!$I$3='Base de Dados e filtragem'!J915),1,0)</f>
        <v>1</v>
      </c>
      <c r="AO915" s="25">
        <f>IF(OR(Apresentação!$I$4='Base de Dados e filtragem'!AO$2,Apresentação!$I$4='Base de Dados e filtragem'!K915),1,0)</f>
        <v>1</v>
      </c>
      <c r="AP915" s="25">
        <f>IF(OR(Apresentação!$I$5='Base de Dados e filtragem'!AP$2,Apresentação!$I$5='Base de Dados e filtragem'!L915),1,0)</f>
        <v>1</v>
      </c>
      <c r="AQ915" s="25">
        <f>IF(OR(Apresentação!$I$6='Base de Dados e filtragem'!AQ$2,Apresentação!$I$6='Base de Dados e filtragem'!M915),1,0)</f>
        <v>1</v>
      </c>
      <c r="AR915" s="25">
        <v>1</v>
      </c>
      <c r="AS915" s="25">
        <v>1</v>
      </c>
      <c r="AT915" s="25">
        <v>1</v>
      </c>
      <c r="AU915" s="25">
        <v>1</v>
      </c>
      <c r="AV915" s="25">
        <v>1</v>
      </c>
      <c r="AW915" s="25">
        <v>1</v>
      </c>
      <c r="AX915" s="25">
        <v>1</v>
      </c>
      <c r="AY915" s="25">
        <v>1</v>
      </c>
      <c r="AZ915" s="25">
        <v>1</v>
      </c>
      <c r="BA915" s="25">
        <v>1</v>
      </c>
      <c r="BB915" s="25">
        <v>1</v>
      </c>
      <c r="BC915" s="25">
        <v>1</v>
      </c>
      <c r="BD915" s="25">
        <v>1</v>
      </c>
    </row>
    <row r="916" spans="27:56" x14ac:dyDescent="0.25">
      <c r="AA916" s="68" t="str">
        <f t="shared" si="57"/>
        <v>Fotos\\.jpg</v>
      </c>
      <c r="AB916" s="53">
        <f t="shared" si="58"/>
        <v>1.0917030567685589E-3</v>
      </c>
      <c r="AC916" s="25">
        <f t="shared" si="59"/>
        <v>916</v>
      </c>
      <c r="AD916" s="51">
        <f t="shared" si="60"/>
        <v>1</v>
      </c>
      <c r="AE916" s="25">
        <v>1</v>
      </c>
      <c r="AF916" s="25">
        <v>1</v>
      </c>
      <c r="AG916" s="25">
        <v>1</v>
      </c>
      <c r="AH916" s="25">
        <v>1</v>
      </c>
      <c r="AI916" s="25">
        <f>IF(OR(Apresentação!$E$3='Base de Dados e filtragem'!AI$2,Apresentação!$E$3='Base de Dados e filtragem'!E916),1,0)</f>
        <v>1</v>
      </c>
      <c r="AJ916" s="25">
        <f>IF(OR(Apresentação!$E$4='Base de Dados e filtragem'!AJ$2,Apresentação!$E$4='Base de Dados e filtragem'!F916),1,0)</f>
        <v>1</v>
      </c>
      <c r="AK916" s="25">
        <f>IF(OR(Apresentação!$E$5='Base de Dados e filtragem'!AK$2,Apresentação!$E$5='Base de Dados e filtragem'!G916),1,0)</f>
        <v>1</v>
      </c>
      <c r="AL916" s="25">
        <f>IF(OR(Apresentação!$E$6='Base de Dados e filtragem'!AL$2,Apresentação!$E$6='Base de Dados e filtragem'!H916),1,0)</f>
        <v>1</v>
      </c>
      <c r="AM916" s="25">
        <f>IF(OR(Apresentação!$I$2='Base de Dados e filtragem'!AM$2,Apresentação!$I$2='Base de Dados e filtragem'!I916),1,0)</f>
        <v>1</v>
      </c>
      <c r="AN916" s="25">
        <f>IF(OR(Apresentação!$I$3='Base de Dados e filtragem'!AN$2,Apresentação!$I$3='Base de Dados e filtragem'!J916),1,0)</f>
        <v>1</v>
      </c>
      <c r="AO916" s="25">
        <f>IF(OR(Apresentação!$I$4='Base de Dados e filtragem'!AO$2,Apresentação!$I$4='Base de Dados e filtragem'!K916),1,0)</f>
        <v>1</v>
      </c>
      <c r="AP916" s="25">
        <f>IF(OR(Apresentação!$I$5='Base de Dados e filtragem'!AP$2,Apresentação!$I$5='Base de Dados e filtragem'!L916),1,0)</f>
        <v>1</v>
      </c>
      <c r="AQ916" s="25">
        <f>IF(OR(Apresentação!$I$6='Base de Dados e filtragem'!AQ$2,Apresentação!$I$6='Base de Dados e filtragem'!M916),1,0)</f>
        <v>1</v>
      </c>
      <c r="AR916" s="25">
        <v>1</v>
      </c>
      <c r="AS916" s="25">
        <v>1</v>
      </c>
      <c r="AT916" s="25">
        <v>1</v>
      </c>
      <c r="AU916" s="25">
        <v>1</v>
      </c>
      <c r="AV916" s="25">
        <v>1</v>
      </c>
      <c r="AW916" s="25">
        <v>1</v>
      </c>
      <c r="AX916" s="25">
        <v>1</v>
      </c>
      <c r="AY916" s="25">
        <v>1</v>
      </c>
      <c r="AZ916" s="25">
        <v>1</v>
      </c>
      <c r="BA916" s="25">
        <v>1</v>
      </c>
      <c r="BB916" s="25">
        <v>1</v>
      </c>
      <c r="BC916" s="25">
        <v>1</v>
      </c>
      <c r="BD916" s="25">
        <v>1</v>
      </c>
    </row>
    <row r="917" spans="27:56" x14ac:dyDescent="0.25">
      <c r="AA917" s="68" t="str">
        <f t="shared" si="57"/>
        <v>Fotos\\.jpg</v>
      </c>
      <c r="AB917" s="53">
        <f t="shared" si="58"/>
        <v>1.0905125408942203E-3</v>
      </c>
      <c r="AC917" s="25">
        <f t="shared" si="59"/>
        <v>917</v>
      </c>
      <c r="AD917" s="51">
        <f t="shared" si="60"/>
        <v>1</v>
      </c>
      <c r="AE917" s="25">
        <v>1</v>
      </c>
      <c r="AF917" s="25">
        <v>1</v>
      </c>
      <c r="AG917" s="25">
        <v>1</v>
      </c>
      <c r="AH917" s="25">
        <v>1</v>
      </c>
      <c r="AI917" s="25">
        <f>IF(OR(Apresentação!$E$3='Base de Dados e filtragem'!AI$2,Apresentação!$E$3='Base de Dados e filtragem'!E917),1,0)</f>
        <v>1</v>
      </c>
      <c r="AJ917" s="25">
        <f>IF(OR(Apresentação!$E$4='Base de Dados e filtragem'!AJ$2,Apresentação!$E$4='Base de Dados e filtragem'!F917),1,0)</f>
        <v>1</v>
      </c>
      <c r="AK917" s="25">
        <f>IF(OR(Apresentação!$E$5='Base de Dados e filtragem'!AK$2,Apresentação!$E$5='Base de Dados e filtragem'!G917),1,0)</f>
        <v>1</v>
      </c>
      <c r="AL917" s="25">
        <f>IF(OR(Apresentação!$E$6='Base de Dados e filtragem'!AL$2,Apresentação!$E$6='Base de Dados e filtragem'!H917),1,0)</f>
        <v>1</v>
      </c>
      <c r="AM917" s="25">
        <f>IF(OR(Apresentação!$I$2='Base de Dados e filtragem'!AM$2,Apresentação!$I$2='Base de Dados e filtragem'!I917),1,0)</f>
        <v>1</v>
      </c>
      <c r="AN917" s="25">
        <f>IF(OR(Apresentação!$I$3='Base de Dados e filtragem'!AN$2,Apresentação!$I$3='Base de Dados e filtragem'!J917),1,0)</f>
        <v>1</v>
      </c>
      <c r="AO917" s="25">
        <f>IF(OR(Apresentação!$I$4='Base de Dados e filtragem'!AO$2,Apresentação!$I$4='Base de Dados e filtragem'!K917),1,0)</f>
        <v>1</v>
      </c>
      <c r="AP917" s="25">
        <f>IF(OR(Apresentação!$I$5='Base de Dados e filtragem'!AP$2,Apresentação!$I$5='Base de Dados e filtragem'!L917),1,0)</f>
        <v>1</v>
      </c>
      <c r="AQ917" s="25">
        <f>IF(OR(Apresentação!$I$6='Base de Dados e filtragem'!AQ$2,Apresentação!$I$6='Base de Dados e filtragem'!M917),1,0)</f>
        <v>1</v>
      </c>
      <c r="AR917" s="25">
        <v>1</v>
      </c>
      <c r="AS917" s="25">
        <v>1</v>
      </c>
      <c r="AT917" s="25">
        <v>1</v>
      </c>
      <c r="AU917" s="25">
        <v>1</v>
      </c>
      <c r="AV917" s="25">
        <v>1</v>
      </c>
      <c r="AW917" s="25">
        <v>1</v>
      </c>
      <c r="AX917" s="25">
        <v>1</v>
      </c>
      <c r="AY917" s="25">
        <v>1</v>
      </c>
      <c r="AZ917" s="25">
        <v>1</v>
      </c>
      <c r="BA917" s="25">
        <v>1</v>
      </c>
      <c r="BB917" s="25">
        <v>1</v>
      </c>
      <c r="BC917" s="25">
        <v>1</v>
      </c>
      <c r="BD917" s="25">
        <v>1</v>
      </c>
    </row>
    <row r="918" spans="27:56" x14ac:dyDescent="0.25">
      <c r="AA918" s="68" t="str">
        <f t="shared" si="57"/>
        <v>Fotos\\.jpg</v>
      </c>
      <c r="AB918" s="53">
        <f t="shared" si="58"/>
        <v>1.0893246187363835E-3</v>
      </c>
      <c r="AC918" s="25">
        <f t="shared" si="59"/>
        <v>918</v>
      </c>
      <c r="AD918" s="51">
        <f t="shared" si="60"/>
        <v>1</v>
      </c>
      <c r="AE918" s="25">
        <v>1</v>
      </c>
      <c r="AF918" s="25">
        <v>1</v>
      </c>
      <c r="AG918" s="25">
        <v>1</v>
      </c>
      <c r="AH918" s="25">
        <v>1</v>
      </c>
      <c r="AI918" s="25">
        <f>IF(OR(Apresentação!$E$3='Base de Dados e filtragem'!AI$2,Apresentação!$E$3='Base de Dados e filtragem'!E918),1,0)</f>
        <v>1</v>
      </c>
      <c r="AJ918" s="25">
        <f>IF(OR(Apresentação!$E$4='Base de Dados e filtragem'!AJ$2,Apresentação!$E$4='Base de Dados e filtragem'!F918),1,0)</f>
        <v>1</v>
      </c>
      <c r="AK918" s="25">
        <f>IF(OR(Apresentação!$E$5='Base de Dados e filtragem'!AK$2,Apresentação!$E$5='Base de Dados e filtragem'!G918),1,0)</f>
        <v>1</v>
      </c>
      <c r="AL918" s="25">
        <f>IF(OR(Apresentação!$E$6='Base de Dados e filtragem'!AL$2,Apresentação!$E$6='Base de Dados e filtragem'!H918),1,0)</f>
        <v>1</v>
      </c>
      <c r="AM918" s="25">
        <f>IF(OR(Apresentação!$I$2='Base de Dados e filtragem'!AM$2,Apresentação!$I$2='Base de Dados e filtragem'!I918),1,0)</f>
        <v>1</v>
      </c>
      <c r="AN918" s="25">
        <f>IF(OR(Apresentação!$I$3='Base de Dados e filtragem'!AN$2,Apresentação!$I$3='Base de Dados e filtragem'!J918),1,0)</f>
        <v>1</v>
      </c>
      <c r="AO918" s="25">
        <f>IF(OR(Apresentação!$I$4='Base de Dados e filtragem'!AO$2,Apresentação!$I$4='Base de Dados e filtragem'!K918),1,0)</f>
        <v>1</v>
      </c>
      <c r="AP918" s="25">
        <f>IF(OR(Apresentação!$I$5='Base de Dados e filtragem'!AP$2,Apresentação!$I$5='Base de Dados e filtragem'!L918),1,0)</f>
        <v>1</v>
      </c>
      <c r="AQ918" s="25">
        <f>IF(OR(Apresentação!$I$6='Base de Dados e filtragem'!AQ$2,Apresentação!$I$6='Base de Dados e filtragem'!M918),1,0)</f>
        <v>1</v>
      </c>
      <c r="AR918" s="25">
        <v>1</v>
      </c>
      <c r="AS918" s="25">
        <v>1</v>
      </c>
      <c r="AT918" s="25">
        <v>1</v>
      </c>
      <c r="AU918" s="25">
        <v>1</v>
      </c>
      <c r="AV918" s="25">
        <v>1</v>
      </c>
      <c r="AW918" s="25">
        <v>1</v>
      </c>
      <c r="AX918" s="25">
        <v>1</v>
      </c>
      <c r="AY918" s="25">
        <v>1</v>
      </c>
      <c r="AZ918" s="25">
        <v>1</v>
      </c>
      <c r="BA918" s="25">
        <v>1</v>
      </c>
      <c r="BB918" s="25">
        <v>1</v>
      </c>
      <c r="BC918" s="25">
        <v>1</v>
      </c>
      <c r="BD918" s="25">
        <v>1</v>
      </c>
    </row>
    <row r="919" spans="27:56" x14ac:dyDescent="0.25">
      <c r="AA919" s="68" t="str">
        <f t="shared" si="57"/>
        <v>Fotos\\.jpg</v>
      </c>
      <c r="AB919" s="53">
        <f t="shared" si="58"/>
        <v>1.088139281828074E-3</v>
      </c>
      <c r="AC919" s="25">
        <f t="shared" si="59"/>
        <v>919</v>
      </c>
      <c r="AD919" s="51">
        <f t="shared" si="60"/>
        <v>1</v>
      </c>
      <c r="AE919" s="25">
        <v>1</v>
      </c>
      <c r="AF919" s="25">
        <v>1</v>
      </c>
      <c r="AG919" s="25">
        <v>1</v>
      </c>
      <c r="AH919" s="25">
        <v>1</v>
      </c>
      <c r="AI919" s="25">
        <f>IF(OR(Apresentação!$E$3='Base de Dados e filtragem'!AI$2,Apresentação!$E$3='Base de Dados e filtragem'!E919),1,0)</f>
        <v>1</v>
      </c>
      <c r="AJ919" s="25">
        <f>IF(OR(Apresentação!$E$4='Base de Dados e filtragem'!AJ$2,Apresentação!$E$4='Base de Dados e filtragem'!F919),1,0)</f>
        <v>1</v>
      </c>
      <c r="AK919" s="25">
        <f>IF(OR(Apresentação!$E$5='Base de Dados e filtragem'!AK$2,Apresentação!$E$5='Base de Dados e filtragem'!G919),1,0)</f>
        <v>1</v>
      </c>
      <c r="AL919" s="25">
        <f>IF(OR(Apresentação!$E$6='Base de Dados e filtragem'!AL$2,Apresentação!$E$6='Base de Dados e filtragem'!H919),1,0)</f>
        <v>1</v>
      </c>
      <c r="AM919" s="25">
        <f>IF(OR(Apresentação!$I$2='Base de Dados e filtragem'!AM$2,Apresentação!$I$2='Base de Dados e filtragem'!I919),1,0)</f>
        <v>1</v>
      </c>
      <c r="AN919" s="25">
        <f>IF(OR(Apresentação!$I$3='Base de Dados e filtragem'!AN$2,Apresentação!$I$3='Base de Dados e filtragem'!J919),1,0)</f>
        <v>1</v>
      </c>
      <c r="AO919" s="25">
        <f>IF(OR(Apresentação!$I$4='Base de Dados e filtragem'!AO$2,Apresentação!$I$4='Base de Dados e filtragem'!K919),1,0)</f>
        <v>1</v>
      </c>
      <c r="AP919" s="25">
        <f>IF(OR(Apresentação!$I$5='Base de Dados e filtragem'!AP$2,Apresentação!$I$5='Base de Dados e filtragem'!L919),1,0)</f>
        <v>1</v>
      </c>
      <c r="AQ919" s="25">
        <f>IF(OR(Apresentação!$I$6='Base de Dados e filtragem'!AQ$2,Apresentação!$I$6='Base de Dados e filtragem'!M919),1,0)</f>
        <v>1</v>
      </c>
      <c r="AR919" s="25">
        <v>1</v>
      </c>
      <c r="AS919" s="25">
        <v>1</v>
      </c>
      <c r="AT919" s="25">
        <v>1</v>
      </c>
      <c r="AU919" s="25">
        <v>1</v>
      </c>
      <c r="AV919" s="25">
        <v>1</v>
      </c>
      <c r="AW919" s="25">
        <v>1</v>
      </c>
      <c r="AX919" s="25">
        <v>1</v>
      </c>
      <c r="AY919" s="25">
        <v>1</v>
      </c>
      <c r="AZ919" s="25">
        <v>1</v>
      </c>
      <c r="BA919" s="25">
        <v>1</v>
      </c>
      <c r="BB919" s="25">
        <v>1</v>
      </c>
      <c r="BC919" s="25">
        <v>1</v>
      </c>
      <c r="BD919" s="25">
        <v>1</v>
      </c>
    </row>
    <row r="920" spans="27:56" x14ac:dyDescent="0.25">
      <c r="AA920" s="68" t="str">
        <f t="shared" si="57"/>
        <v>Fotos\\.jpg</v>
      </c>
      <c r="AB920" s="53">
        <f t="shared" si="58"/>
        <v>1.0869565217391304E-3</v>
      </c>
      <c r="AC920" s="25">
        <f t="shared" si="59"/>
        <v>920</v>
      </c>
      <c r="AD920" s="51">
        <f t="shared" si="60"/>
        <v>1</v>
      </c>
      <c r="AE920" s="25">
        <v>1</v>
      </c>
      <c r="AF920" s="25">
        <v>1</v>
      </c>
      <c r="AG920" s="25">
        <v>1</v>
      </c>
      <c r="AH920" s="25">
        <v>1</v>
      </c>
      <c r="AI920" s="25">
        <f>IF(OR(Apresentação!$E$3='Base de Dados e filtragem'!AI$2,Apresentação!$E$3='Base de Dados e filtragem'!E920),1,0)</f>
        <v>1</v>
      </c>
      <c r="AJ920" s="25">
        <f>IF(OR(Apresentação!$E$4='Base de Dados e filtragem'!AJ$2,Apresentação!$E$4='Base de Dados e filtragem'!F920),1,0)</f>
        <v>1</v>
      </c>
      <c r="AK920" s="25">
        <f>IF(OR(Apresentação!$E$5='Base de Dados e filtragem'!AK$2,Apresentação!$E$5='Base de Dados e filtragem'!G920),1,0)</f>
        <v>1</v>
      </c>
      <c r="AL920" s="25">
        <f>IF(OR(Apresentação!$E$6='Base de Dados e filtragem'!AL$2,Apresentação!$E$6='Base de Dados e filtragem'!H920),1,0)</f>
        <v>1</v>
      </c>
      <c r="AM920" s="25">
        <f>IF(OR(Apresentação!$I$2='Base de Dados e filtragem'!AM$2,Apresentação!$I$2='Base de Dados e filtragem'!I920),1,0)</f>
        <v>1</v>
      </c>
      <c r="AN920" s="25">
        <f>IF(OR(Apresentação!$I$3='Base de Dados e filtragem'!AN$2,Apresentação!$I$3='Base de Dados e filtragem'!J920),1,0)</f>
        <v>1</v>
      </c>
      <c r="AO920" s="25">
        <f>IF(OR(Apresentação!$I$4='Base de Dados e filtragem'!AO$2,Apresentação!$I$4='Base de Dados e filtragem'!K920),1,0)</f>
        <v>1</v>
      </c>
      <c r="AP920" s="25">
        <f>IF(OR(Apresentação!$I$5='Base de Dados e filtragem'!AP$2,Apresentação!$I$5='Base de Dados e filtragem'!L920),1,0)</f>
        <v>1</v>
      </c>
      <c r="AQ920" s="25">
        <f>IF(OR(Apresentação!$I$6='Base de Dados e filtragem'!AQ$2,Apresentação!$I$6='Base de Dados e filtragem'!M920),1,0)</f>
        <v>1</v>
      </c>
      <c r="AR920" s="25">
        <v>1</v>
      </c>
      <c r="AS920" s="25">
        <v>1</v>
      </c>
      <c r="AT920" s="25">
        <v>1</v>
      </c>
      <c r="AU920" s="25">
        <v>1</v>
      </c>
      <c r="AV920" s="25">
        <v>1</v>
      </c>
      <c r="AW920" s="25">
        <v>1</v>
      </c>
      <c r="AX920" s="25">
        <v>1</v>
      </c>
      <c r="AY920" s="25">
        <v>1</v>
      </c>
      <c r="AZ920" s="25">
        <v>1</v>
      </c>
      <c r="BA920" s="25">
        <v>1</v>
      </c>
      <c r="BB920" s="25">
        <v>1</v>
      </c>
      <c r="BC920" s="25">
        <v>1</v>
      </c>
      <c r="BD920" s="25">
        <v>1</v>
      </c>
    </row>
    <row r="921" spans="27:56" x14ac:dyDescent="0.25">
      <c r="AA921" s="68" t="str">
        <f t="shared" si="57"/>
        <v>Fotos\\.jpg</v>
      </c>
      <c r="AB921" s="53">
        <f t="shared" si="58"/>
        <v>1.0857763300760044E-3</v>
      </c>
      <c r="AC921" s="25">
        <f t="shared" si="59"/>
        <v>921</v>
      </c>
      <c r="AD921" s="51">
        <f t="shared" si="60"/>
        <v>1</v>
      </c>
      <c r="AE921" s="25">
        <v>1</v>
      </c>
      <c r="AF921" s="25">
        <v>1</v>
      </c>
      <c r="AG921" s="25">
        <v>1</v>
      </c>
      <c r="AH921" s="25">
        <v>1</v>
      </c>
      <c r="AI921" s="25">
        <f>IF(OR(Apresentação!$E$3='Base de Dados e filtragem'!AI$2,Apresentação!$E$3='Base de Dados e filtragem'!E921),1,0)</f>
        <v>1</v>
      </c>
      <c r="AJ921" s="25">
        <f>IF(OR(Apresentação!$E$4='Base de Dados e filtragem'!AJ$2,Apresentação!$E$4='Base de Dados e filtragem'!F921),1,0)</f>
        <v>1</v>
      </c>
      <c r="AK921" s="25">
        <f>IF(OR(Apresentação!$E$5='Base de Dados e filtragem'!AK$2,Apresentação!$E$5='Base de Dados e filtragem'!G921),1,0)</f>
        <v>1</v>
      </c>
      <c r="AL921" s="25">
        <f>IF(OR(Apresentação!$E$6='Base de Dados e filtragem'!AL$2,Apresentação!$E$6='Base de Dados e filtragem'!H921),1,0)</f>
        <v>1</v>
      </c>
      <c r="AM921" s="25">
        <f>IF(OR(Apresentação!$I$2='Base de Dados e filtragem'!AM$2,Apresentação!$I$2='Base de Dados e filtragem'!I921),1,0)</f>
        <v>1</v>
      </c>
      <c r="AN921" s="25">
        <f>IF(OR(Apresentação!$I$3='Base de Dados e filtragem'!AN$2,Apresentação!$I$3='Base de Dados e filtragem'!J921),1,0)</f>
        <v>1</v>
      </c>
      <c r="AO921" s="25">
        <f>IF(OR(Apresentação!$I$4='Base de Dados e filtragem'!AO$2,Apresentação!$I$4='Base de Dados e filtragem'!K921),1,0)</f>
        <v>1</v>
      </c>
      <c r="AP921" s="25">
        <f>IF(OR(Apresentação!$I$5='Base de Dados e filtragem'!AP$2,Apresentação!$I$5='Base de Dados e filtragem'!L921),1,0)</f>
        <v>1</v>
      </c>
      <c r="AQ921" s="25">
        <f>IF(OR(Apresentação!$I$6='Base de Dados e filtragem'!AQ$2,Apresentação!$I$6='Base de Dados e filtragem'!M921),1,0)</f>
        <v>1</v>
      </c>
      <c r="AR921" s="25">
        <v>1</v>
      </c>
      <c r="AS921" s="25">
        <v>1</v>
      </c>
      <c r="AT921" s="25">
        <v>1</v>
      </c>
      <c r="AU921" s="25">
        <v>1</v>
      </c>
      <c r="AV921" s="25">
        <v>1</v>
      </c>
      <c r="AW921" s="25">
        <v>1</v>
      </c>
      <c r="AX921" s="25">
        <v>1</v>
      </c>
      <c r="AY921" s="25">
        <v>1</v>
      </c>
      <c r="AZ921" s="25">
        <v>1</v>
      </c>
      <c r="BA921" s="25">
        <v>1</v>
      </c>
      <c r="BB921" s="25">
        <v>1</v>
      </c>
      <c r="BC921" s="25">
        <v>1</v>
      </c>
      <c r="BD921" s="25">
        <v>1</v>
      </c>
    </row>
    <row r="922" spans="27:56" x14ac:dyDescent="0.25">
      <c r="AA922" s="68" t="str">
        <f t="shared" si="57"/>
        <v>Fotos\\.jpg</v>
      </c>
      <c r="AB922" s="53">
        <f t="shared" si="58"/>
        <v>1.0845986984815619E-3</v>
      </c>
      <c r="AC922" s="25">
        <f t="shared" si="59"/>
        <v>922</v>
      </c>
      <c r="AD922" s="51">
        <f t="shared" si="60"/>
        <v>1</v>
      </c>
      <c r="AE922" s="25">
        <v>1</v>
      </c>
      <c r="AF922" s="25">
        <v>1</v>
      </c>
      <c r="AG922" s="25">
        <v>1</v>
      </c>
      <c r="AH922" s="25">
        <v>1</v>
      </c>
      <c r="AI922" s="25">
        <f>IF(OR(Apresentação!$E$3='Base de Dados e filtragem'!AI$2,Apresentação!$E$3='Base de Dados e filtragem'!E922),1,0)</f>
        <v>1</v>
      </c>
      <c r="AJ922" s="25">
        <f>IF(OR(Apresentação!$E$4='Base de Dados e filtragem'!AJ$2,Apresentação!$E$4='Base de Dados e filtragem'!F922),1,0)</f>
        <v>1</v>
      </c>
      <c r="AK922" s="25">
        <f>IF(OR(Apresentação!$E$5='Base de Dados e filtragem'!AK$2,Apresentação!$E$5='Base de Dados e filtragem'!G922),1,0)</f>
        <v>1</v>
      </c>
      <c r="AL922" s="25">
        <f>IF(OR(Apresentação!$E$6='Base de Dados e filtragem'!AL$2,Apresentação!$E$6='Base de Dados e filtragem'!H922),1,0)</f>
        <v>1</v>
      </c>
      <c r="AM922" s="25">
        <f>IF(OR(Apresentação!$I$2='Base de Dados e filtragem'!AM$2,Apresentação!$I$2='Base de Dados e filtragem'!I922),1,0)</f>
        <v>1</v>
      </c>
      <c r="AN922" s="25">
        <f>IF(OR(Apresentação!$I$3='Base de Dados e filtragem'!AN$2,Apresentação!$I$3='Base de Dados e filtragem'!J922),1,0)</f>
        <v>1</v>
      </c>
      <c r="AO922" s="25">
        <f>IF(OR(Apresentação!$I$4='Base de Dados e filtragem'!AO$2,Apresentação!$I$4='Base de Dados e filtragem'!K922),1,0)</f>
        <v>1</v>
      </c>
      <c r="AP922" s="25">
        <f>IF(OR(Apresentação!$I$5='Base de Dados e filtragem'!AP$2,Apresentação!$I$5='Base de Dados e filtragem'!L922),1,0)</f>
        <v>1</v>
      </c>
      <c r="AQ922" s="25">
        <f>IF(OR(Apresentação!$I$6='Base de Dados e filtragem'!AQ$2,Apresentação!$I$6='Base de Dados e filtragem'!M922),1,0)</f>
        <v>1</v>
      </c>
      <c r="AR922" s="25">
        <v>1</v>
      </c>
      <c r="AS922" s="25">
        <v>1</v>
      </c>
      <c r="AT922" s="25">
        <v>1</v>
      </c>
      <c r="AU922" s="25">
        <v>1</v>
      </c>
      <c r="AV922" s="25">
        <v>1</v>
      </c>
      <c r="AW922" s="25">
        <v>1</v>
      </c>
      <c r="AX922" s="25">
        <v>1</v>
      </c>
      <c r="AY922" s="25">
        <v>1</v>
      </c>
      <c r="AZ922" s="25">
        <v>1</v>
      </c>
      <c r="BA922" s="25">
        <v>1</v>
      </c>
      <c r="BB922" s="25">
        <v>1</v>
      </c>
      <c r="BC922" s="25">
        <v>1</v>
      </c>
      <c r="BD922" s="25">
        <v>1</v>
      </c>
    </row>
    <row r="923" spans="27:56" x14ac:dyDescent="0.25">
      <c r="AA923" s="68" t="str">
        <f t="shared" si="57"/>
        <v>Fotos\\.jpg</v>
      </c>
      <c r="AB923" s="53">
        <f t="shared" si="58"/>
        <v>1.0834236186348862E-3</v>
      </c>
      <c r="AC923" s="25">
        <f t="shared" si="59"/>
        <v>923</v>
      </c>
      <c r="AD923" s="51">
        <f t="shared" si="60"/>
        <v>1</v>
      </c>
      <c r="AE923" s="25">
        <v>1</v>
      </c>
      <c r="AF923" s="25">
        <v>1</v>
      </c>
      <c r="AG923" s="25">
        <v>1</v>
      </c>
      <c r="AH923" s="25">
        <v>1</v>
      </c>
      <c r="AI923" s="25">
        <f>IF(OR(Apresentação!$E$3='Base de Dados e filtragem'!AI$2,Apresentação!$E$3='Base de Dados e filtragem'!E923),1,0)</f>
        <v>1</v>
      </c>
      <c r="AJ923" s="25">
        <f>IF(OR(Apresentação!$E$4='Base de Dados e filtragem'!AJ$2,Apresentação!$E$4='Base de Dados e filtragem'!F923),1,0)</f>
        <v>1</v>
      </c>
      <c r="AK923" s="25">
        <f>IF(OR(Apresentação!$E$5='Base de Dados e filtragem'!AK$2,Apresentação!$E$5='Base de Dados e filtragem'!G923),1,0)</f>
        <v>1</v>
      </c>
      <c r="AL923" s="25">
        <f>IF(OR(Apresentação!$E$6='Base de Dados e filtragem'!AL$2,Apresentação!$E$6='Base de Dados e filtragem'!H923),1,0)</f>
        <v>1</v>
      </c>
      <c r="AM923" s="25">
        <f>IF(OR(Apresentação!$I$2='Base de Dados e filtragem'!AM$2,Apresentação!$I$2='Base de Dados e filtragem'!I923),1,0)</f>
        <v>1</v>
      </c>
      <c r="AN923" s="25">
        <f>IF(OR(Apresentação!$I$3='Base de Dados e filtragem'!AN$2,Apresentação!$I$3='Base de Dados e filtragem'!J923),1,0)</f>
        <v>1</v>
      </c>
      <c r="AO923" s="25">
        <f>IF(OR(Apresentação!$I$4='Base de Dados e filtragem'!AO$2,Apresentação!$I$4='Base de Dados e filtragem'!K923),1,0)</f>
        <v>1</v>
      </c>
      <c r="AP923" s="25">
        <f>IF(OR(Apresentação!$I$5='Base de Dados e filtragem'!AP$2,Apresentação!$I$5='Base de Dados e filtragem'!L923),1,0)</f>
        <v>1</v>
      </c>
      <c r="AQ923" s="25">
        <f>IF(OR(Apresentação!$I$6='Base de Dados e filtragem'!AQ$2,Apresentação!$I$6='Base de Dados e filtragem'!M923),1,0)</f>
        <v>1</v>
      </c>
      <c r="AR923" s="25">
        <v>1</v>
      </c>
      <c r="AS923" s="25">
        <v>1</v>
      </c>
      <c r="AT923" s="25">
        <v>1</v>
      </c>
      <c r="AU923" s="25">
        <v>1</v>
      </c>
      <c r="AV923" s="25">
        <v>1</v>
      </c>
      <c r="AW923" s="25">
        <v>1</v>
      </c>
      <c r="AX923" s="25">
        <v>1</v>
      </c>
      <c r="AY923" s="25">
        <v>1</v>
      </c>
      <c r="AZ923" s="25">
        <v>1</v>
      </c>
      <c r="BA923" s="25">
        <v>1</v>
      </c>
      <c r="BB923" s="25">
        <v>1</v>
      </c>
      <c r="BC923" s="25">
        <v>1</v>
      </c>
      <c r="BD923" s="25">
        <v>1</v>
      </c>
    </row>
    <row r="924" spans="27:56" x14ac:dyDescent="0.25">
      <c r="AA924" s="68" t="str">
        <f t="shared" si="57"/>
        <v>Fotos\\.jpg</v>
      </c>
      <c r="AB924" s="53">
        <f t="shared" si="58"/>
        <v>1.0822510822510823E-3</v>
      </c>
      <c r="AC924" s="25">
        <f t="shared" si="59"/>
        <v>924</v>
      </c>
      <c r="AD924" s="51">
        <f t="shared" si="60"/>
        <v>1</v>
      </c>
      <c r="AE924" s="25">
        <v>1</v>
      </c>
      <c r="AF924" s="25">
        <v>1</v>
      </c>
      <c r="AG924" s="25">
        <v>1</v>
      </c>
      <c r="AH924" s="25">
        <v>1</v>
      </c>
      <c r="AI924" s="25">
        <f>IF(OR(Apresentação!$E$3='Base de Dados e filtragem'!AI$2,Apresentação!$E$3='Base de Dados e filtragem'!E924),1,0)</f>
        <v>1</v>
      </c>
      <c r="AJ924" s="25">
        <f>IF(OR(Apresentação!$E$4='Base de Dados e filtragem'!AJ$2,Apresentação!$E$4='Base de Dados e filtragem'!F924),1,0)</f>
        <v>1</v>
      </c>
      <c r="AK924" s="25">
        <f>IF(OR(Apresentação!$E$5='Base de Dados e filtragem'!AK$2,Apresentação!$E$5='Base de Dados e filtragem'!G924),1,0)</f>
        <v>1</v>
      </c>
      <c r="AL924" s="25">
        <f>IF(OR(Apresentação!$E$6='Base de Dados e filtragem'!AL$2,Apresentação!$E$6='Base de Dados e filtragem'!H924),1,0)</f>
        <v>1</v>
      </c>
      <c r="AM924" s="25">
        <f>IF(OR(Apresentação!$I$2='Base de Dados e filtragem'!AM$2,Apresentação!$I$2='Base de Dados e filtragem'!I924),1,0)</f>
        <v>1</v>
      </c>
      <c r="AN924" s="25">
        <f>IF(OR(Apresentação!$I$3='Base de Dados e filtragem'!AN$2,Apresentação!$I$3='Base de Dados e filtragem'!J924),1,0)</f>
        <v>1</v>
      </c>
      <c r="AO924" s="25">
        <f>IF(OR(Apresentação!$I$4='Base de Dados e filtragem'!AO$2,Apresentação!$I$4='Base de Dados e filtragem'!K924),1,0)</f>
        <v>1</v>
      </c>
      <c r="AP924" s="25">
        <f>IF(OR(Apresentação!$I$5='Base de Dados e filtragem'!AP$2,Apresentação!$I$5='Base de Dados e filtragem'!L924),1,0)</f>
        <v>1</v>
      </c>
      <c r="AQ924" s="25">
        <f>IF(OR(Apresentação!$I$6='Base de Dados e filtragem'!AQ$2,Apresentação!$I$6='Base de Dados e filtragem'!M924),1,0)</f>
        <v>1</v>
      </c>
      <c r="AR924" s="25">
        <v>1</v>
      </c>
      <c r="AS924" s="25">
        <v>1</v>
      </c>
      <c r="AT924" s="25">
        <v>1</v>
      </c>
      <c r="AU924" s="25">
        <v>1</v>
      </c>
      <c r="AV924" s="25">
        <v>1</v>
      </c>
      <c r="AW924" s="25">
        <v>1</v>
      </c>
      <c r="AX924" s="25">
        <v>1</v>
      </c>
      <c r="AY924" s="25">
        <v>1</v>
      </c>
      <c r="AZ924" s="25">
        <v>1</v>
      </c>
      <c r="BA924" s="25">
        <v>1</v>
      </c>
      <c r="BB924" s="25">
        <v>1</v>
      </c>
      <c r="BC924" s="25">
        <v>1</v>
      </c>
      <c r="BD924" s="25">
        <v>1</v>
      </c>
    </row>
    <row r="925" spans="27:56" x14ac:dyDescent="0.25">
      <c r="AA925" s="68" t="str">
        <f t="shared" si="57"/>
        <v>Fotos\\.jpg</v>
      </c>
      <c r="AB925" s="53">
        <f t="shared" si="58"/>
        <v>1.0810810810810811E-3</v>
      </c>
      <c r="AC925" s="25">
        <f t="shared" si="59"/>
        <v>925</v>
      </c>
      <c r="AD925" s="51">
        <f t="shared" si="60"/>
        <v>1</v>
      </c>
      <c r="AE925" s="25">
        <v>1</v>
      </c>
      <c r="AF925" s="25">
        <v>1</v>
      </c>
      <c r="AG925" s="25">
        <v>1</v>
      </c>
      <c r="AH925" s="25">
        <v>1</v>
      </c>
      <c r="AI925" s="25">
        <f>IF(OR(Apresentação!$E$3='Base de Dados e filtragem'!AI$2,Apresentação!$E$3='Base de Dados e filtragem'!E925),1,0)</f>
        <v>1</v>
      </c>
      <c r="AJ925" s="25">
        <f>IF(OR(Apresentação!$E$4='Base de Dados e filtragem'!AJ$2,Apresentação!$E$4='Base de Dados e filtragem'!F925),1,0)</f>
        <v>1</v>
      </c>
      <c r="AK925" s="25">
        <f>IF(OR(Apresentação!$E$5='Base de Dados e filtragem'!AK$2,Apresentação!$E$5='Base de Dados e filtragem'!G925),1,0)</f>
        <v>1</v>
      </c>
      <c r="AL925" s="25">
        <f>IF(OR(Apresentação!$E$6='Base de Dados e filtragem'!AL$2,Apresentação!$E$6='Base de Dados e filtragem'!H925),1,0)</f>
        <v>1</v>
      </c>
      <c r="AM925" s="25">
        <f>IF(OR(Apresentação!$I$2='Base de Dados e filtragem'!AM$2,Apresentação!$I$2='Base de Dados e filtragem'!I925),1,0)</f>
        <v>1</v>
      </c>
      <c r="AN925" s="25">
        <f>IF(OR(Apresentação!$I$3='Base de Dados e filtragem'!AN$2,Apresentação!$I$3='Base de Dados e filtragem'!J925),1,0)</f>
        <v>1</v>
      </c>
      <c r="AO925" s="25">
        <f>IF(OR(Apresentação!$I$4='Base de Dados e filtragem'!AO$2,Apresentação!$I$4='Base de Dados e filtragem'!K925),1,0)</f>
        <v>1</v>
      </c>
      <c r="AP925" s="25">
        <f>IF(OR(Apresentação!$I$5='Base de Dados e filtragem'!AP$2,Apresentação!$I$5='Base de Dados e filtragem'!L925),1,0)</f>
        <v>1</v>
      </c>
      <c r="AQ925" s="25">
        <f>IF(OR(Apresentação!$I$6='Base de Dados e filtragem'!AQ$2,Apresentação!$I$6='Base de Dados e filtragem'!M925),1,0)</f>
        <v>1</v>
      </c>
      <c r="AR925" s="25">
        <v>1</v>
      </c>
      <c r="AS925" s="25">
        <v>1</v>
      </c>
      <c r="AT925" s="25">
        <v>1</v>
      </c>
      <c r="AU925" s="25">
        <v>1</v>
      </c>
      <c r="AV925" s="25">
        <v>1</v>
      </c>
      <c r="AW925" s="25">
        <v>1</v>
      </c>
      <c r="AX925" s="25">
        <v>1</v>
      </c>
      <c r="AY925" s="25">
        <v>1</v>
      </c>
      <c r="AZ925" s="25">
        <v>1</v>
      </c>
      <c r="BA925" s="25">
        <v>1</v>
      </c>
      <c r="BB925" s="25">
        <v>1</v>
      </c>
      <c r="BC925" s="25">
        <v>1</v>
      </c>
      <c r="BD925" s="25">
        <v>1</v>
      </c>
    </row>
    <row r="926" spans="27:56" x14ac:dyDescent="0.25">
      <c r="AA926" s="68" t="str">
        <f t="shared" si="57"/>
        <v>Fotos\\.jpg</v>
      </c>
      <c r="AB926" s="53">
        <f t="shared" si="58"/>
        <v>1.0799136069114472E-3</v>
      </c>
      <c r="AC926" s="25">
        <f t="shared" si="59"/>
        <v>926</v>
      </c>
      <c r="AD926" s="51">
        <f t="shared" si="60"/>
        <v>1</v>
      </c>
      <c r="AE926" s="25">
        <v>1</v>
      </c>
      <c r="AF926" s="25">
        <v>1</v>
      </c>
      <c r="AG926" s="25">
        <v>1</v>
      </c>
      <c r="AH926" s="25">
        <v>1</v>
      </c>
      <c r="AI926" s="25">
        <f>IF(OR(Apresentação!$E$3='Base de Dados e filtragem'!AI$2,Apresentação!$E$3='Base de Dados e filtragem'!E926),1,0)</f>
        <v>1</v>
      </c>
      <c r="AJ926" s="25">
        <f>IF(OR(Apresentação!$E$4='Base de Dados e filtragem'!AJ$2,Apresentação!$E$4='Base de Dados e filtragem'!F926),1,0)</f>
        <v>1</v>
      </c>
      <c r="AK926" s="25">
        <f>IF(OR(Apresentação!$E$5='Base de Dados e filtragem'!AK$2,Apresentação!$E$5='Base de Dados e filtragem'!G926),1,0)</f>
        <v>1</v>
      </c>
      <c r="AL926" s="25">
        <f>IF(OR(Apresentação!$E$6='Base de Dados e filtragem'!AL$2,Apresentação!$E$6='Base de Dados e filtragem'!H926),1,0)</f>
        <v>1</v>
      </c>
      <c r="AM926" s="25">
        <f>IF(OR(Apresentação!$I$2='Base de Dados e filtragem'!AM$2,Apresentação!$I$2='Base de Dados e filtragem'!I926),1,0)</f>
        <v>1</v>
      </c>
      <c r="AN926" s="25">
        <f>IF(OR(Apresentação!$I$3='Base de Dados e filtragem'!AN$2,Apresentação!$I$3='Base de Dados e filtragem'!J926),1,0)</f>
        <v>1</v>
      </c>
      <c r="AO926" s="25">
        <f>IF(OR(Apresentação!$I$4='Base de Dados e filtragem'!AO$2,Apresentação!$I$4='Base de Dados e filtragem'!K926),1,0)</f>
        <v>1</v>
      </c>
      <c r="AP926" s="25">
        <f>IF(OR(Apresentação!$I$5='Base de Dados e filtragem'!AP$2,Apresentação!$I$5='Base de Dados e filtragem'!L926),1,0)</f>
        <v>1</v>
      </c>
      <c r="AQ926" s="25">
        <f>IF(OR(Apresentação!$I$6='Base de Dados e filtragem'!AQ$2,Apresentação!$I$6='Base de Dados e filtragem'!M926),1,0)</f>
        <v>1</v>
      </c>
      <c r="AR926" s="25">
        <v>1</v>
      </c>
      <c r="AS926" s="25">
        <v>1</v>
      </c>
      <c r="AT926" s="25">
        <v>1</v>
      </c>
      <c r="AU926" s="25">
        <v>1</v>
      </c>
      <c r="AV926" s="25">
        <v>1</v>
      </c>
      <c r="AW926" s="25">
        <v>1</v>
      </c>
      <c r="AX926" s="25">
        <v>1</v>
      </c>
      <c r="AY926" s="25">
        <v>1</v>
      </c>
      <c r="AZ926" s="25">
        <v>1</v>
      </c>
      <c r="BA926" s="25">
        <v>1</v>
      </c>
      <c r="BB926" s="25">
        <v>1</v>
      </c>
      <c r="BC926" s="25">
        <v>1</v>
      </c>
      <c r="BD926" s="25">
        <v>1</v>
      </c>
    </row>
    <row r="927" spans="27:56" x14ac:dyDescent="0.25">
      <c r="AA927" s="68" t="str">
        <f t="shared" si="57"/>
        <v>Fotos\\.jpg</v>
      </c>
      <c r="AB927" s="53">
        <f t="shared" si="58"/>
        <v>1.0787486515641855E-3</v>
      </c>
      <c r="AC927" s="25">
        <f t="shared" si="59"/>
        <v>927</v>
      </c>
      <c r="AD927" s="51">
        <f t="shared" si="60"/>
        <v>1</v>
      </c>
      <c r="AE927" s="25">
        <v>1</v>
      </c>
      <c r="AF927" s="25">
        <v>1</v>
      </c>
      <c r="AG927" s="25">
        <v>1</v>
      </c>
      <c r="AH927" s="25">
        <v>1</v>
      </c>
      <c r="AI927" s="25">
        <f>IF(OR(Apresentação!$E$3='Base de Dados e filtragem'!AI$2,Apresentação!$E$3='Base de Dados e filtragem'!E927),1,0)</f>
        <v>1</v>
      </c>
      <c r="AJ927" s="25">
        <f>IF(OR(Apresentação!$E$4='Base de Dados e filtragem'!AJ$2,Apresentação!$E$4='Base de Dados e filtragem'!F927),1,0)</f>
        <v>1</v>
      </c>
      <c r="AK927" s="25">
        <f>IF(OR(Apresentação!$E$5='Base de Dados e filtragem'!AK$2,Apresentação!$E$5='Base de Dados e filtragem'!G927),1,0)</f>
        <v>1</v>
      </c>
      <c r="AL927" s="25">
        <f>IF(OR(Apresentação!$E$6='Base de Dados e filtragem'!AL$2,Apresentação!$E$6='Base de Dados e filtragem'!H927),1,0)</f>
        <v>1</v>
      </c>
      <c r="AM927" s="25">
        <f>IF(OR(Apresentação!$I$2='Base de Dados e filtragem'!AM$2,Apresentação!$I$2='Base de Dados e filtragem'!I927),1,0)</f>
        <v>1</v>
      </c>
      <c r="AN927" s="25">
        <f>IF(OR(Apresentação!$I$3='Base de Dados e filtragem'!AN$2,Apresentação!$I$3='Base de Dados e filtragem'!J927),1,0)</f>
        <v>1</v>
      </c>
      <c r="AO927" s="25">
        <f>IF(OR(Apresentação!$I$4='Base de Dados e filtragem'!AO$2,Apresentação!$I$4='Base de Dados e filtragem'!K927),1,0)</f>
        <v>1</v>
      </c>
      <c r="AP927" s="25">
        <f>IF(OR(Apresentação!$I$5='Base de Dados e filtragem'!AP$2,Apresentação!$I$5='Base de Dados e filtragem'!L927),1,0)</f>
        <v>1</v>
      </c>
      <c r="AQ927" s="25">
        <f>IF(OR(Apresentação!$I$6='Base de Dados e filtragem'!AQ$2,Apresentação!$I$6='Base de Dados e filtragem'!M927),1,0)</f>
        <v>1</v>
      </c>
      <c r="AR927" s="25">
        <v>1</v>
      </c>
      <c r="AS927" s="25">
        <v>1</v>
      </c>
      <c r="AT927" s="25">
        <v>1</v>
      </c>
      <c r="AU927" s="25">
        <v>1</v>
      </c>
      <c r="AV927" s="25">
        <v>1</v>
      </c>
      <c r="AW927" s="25">
        <v>1</v>
      </c>
      <c r="AX927" s="25">
        <v>1</v>
      </c>
      <c r="AY927" s="25">
        <v>1</v>
      </c>
      <c r="AZ927" s="25">
        <v>1</v>
      </c>
      <c r="BA927" s="25">
        <v>1</v>
      </c>
      <c r="BB927" s="25">
        <v>1</v>
      </c>
      <c r="BC927" s="25">
        <v>1</v>
      </c>
      <c r="BD927" s="25">
        <v>1</v>
      </c>
    </row>
    <row r="928" spans="27:56" x14ac:dyDescent="0.25">
      <c r="AA928" s="68" t="str">
        <f t="shared" si="57"/>
        <v>Fotos\\.jpg</v>
      </c>
      <c r="AB928" s="53">
        <f t="shared" si="58"/>
        <v>1.0775862068965517E-3</v>
      </c>
      <c r="AC928" s="25">
        <f t="shared" si="59"/>
        <v>928</v>
      </c>
      <c r="AD928" s="51">
        <f t="shared" si="60"/>
        <v>1</v>
      </c>
      <c r="AE928" s="25">
        <v>1</v>
      </c>
      <c r="AF928" s="25">
        <v>1</v>
      </c>
      <c r="AG928" s="25">
        <v>1</v>
      </c>
      <c r="AH928" s="25">
        <v>1</v>
      </c>
      <c r="AI928" s="25">
        <f>IF(OR(Apresentação!$E$3='Base de Dados e filtragem'!AI$2,Apresentação!$E$3='Base de Dados e filtragem'!E928),1,0)</f>
        <v>1</v>
      </c>
      <c r="AJ928" s="25">
        <f>IF(OR(Apresentação!$E$4='Base de Dados e filtragem'!AJ$2,Apresentação!$E$4='Base de Dados e filtragem'!F928),1,0)</f>
        <v>1</v>
      </c>
      <c r="AK928" s="25">
        <f>IF(OR(Apresentação!$E$5='Base de Dados e filtragem'!AK$2,Apresentação!$E$5='Base de Dados e filtragem'!G928),1,0)</f>
        <v>1</v>
      </c>
      <c r="AL928" s="25">
        <f>IF(OR(Apresentação!$E$6='Base de Dados e filtragem'!AL$2,Apresentação!$E$6='Base de Dados e filtragem'!H928),1,0)</f>
        <v>1</v>
      </c>
      <c r="AM928" s="25">
        <f>IF(OR(Apresentação!$I$2='Base de Dados e filtragem'!AM$2,Apresentação!$I$2='Base de Dados e filtragem'!I928),1,0)</f>
        <v>1</v>
      </c>
      <c r="AN928" s="25">
        <f>IF(OR(Apresentação!$I$3='Base de Dados e filtragem'!AN$2,Apresentação!$I$3='Base de Dados e filtragem'!J928),1,0)</f>
        <v>1</v>
      </c>
      <c r="AO928" s="25">
        <f>IF(OR(Apresentação!$I$4='Base de Dados e filtragem'!AO$2,Apresentação!$I$4='Base de Dados e filtragem'!K928),1,0)</f>
        <v>1</v>
      </c>
      <c r="AP928" s="25">
        <f>IF(OR(Apresentação!$I$5='Base de Dados e filtragem'!AP$2,Apresentação!$I$5='Base de Dados e filtragem'!L928),1,0)</f>
        <v>1</v>
      </c>
      <c r="AQ928" s="25">
        <f>IF(OR(Apresentação!$I$6='Base de Dados e filtragem'!AQ$2,Apresentação!$I$6='Base de Dados e filtragem'!M928),1,0)</f>
        <v>1</v>
      </c>
      <c r="AR928" s="25">
        <v>1</v>
      </c>
      <c r="AS928" s="25">
        <v>1</v>
      </c>
      <c r="AT928" s="25">
        <v>1</v>
      </c>
      <c r="AU928" s="25">
        <v>1</v>
      </c>
      <c r="AV928" s="25">
        <v>1</v>
      </c>
      <c r="AW928" s="25">
        <v>1</v>
      </c>
      <c r="AX928" s="25">
        <v>1</v>
      </c>
      <c r="AY928" s="25">
        <v>1</v>
      </c>
      <c r="AZ928" s="25">
        <v>1</v>
      </c>
      <c r="BA928" s="25">
        <v>1</v>
      </c>
      <c r="BB928" s="25">
        <v>1</v>
      </c>
      <c r="BC928" s="25">
        <v>1</v>
      </c>
      <c r="BD928" s="25">
        <v>1</v>
      </c>
    </row>
    <row r="929" spans="27:56" x14ac:dyDescent="0.25">
      <c r="AA929" s="68" t="str">
        <f t="shared" si="57"/>
        <v>Fotos\\.jpg</v>
      </c>
      <c r="AB929" s="53">
        <f t="shared" si="58"/>
        <v>1.076426264800861E-3</v>
      </c>
      <c r="AC929" s="25">
        <f t="shared" si="59"/>
        <v>929</v>
      </c>
      <c r="AD929" s="51">
        <f t="shared" si="60"/>
        <v>1</v>
      </c>
      <c r="AE929" s="25">
        <v>1</v>
      </c>
      <c r="AF929" s="25">
        <v>1</v>
      </c>
      <c r="AG929" s="25">
        <v>1</v>
      </c>
      <c r="AH929" s="25">
        <v>1</v>
      </c>
      <c r="AI929" s="25">
        <f>IF(OR(Apresentação!$E$3='Base de Dados e filtragem'!AI$2,Apresentação!$E$3='Base de Dados e filtragem'!E929),1,0)</f>
        <v>1</v>
      </c>
      <c r="AJ929" s="25">
        <f>IF(OR(Apresentação!$E$4='Base de Dados e filtragem'!AJ$2,Apresentação!$E$4='Base de Dados e filtragem'!F929),1,0)</f>
        <v>1</v>
      </c>
      <c r="AK929" s="25">
        <f>IF(OR(Apresentação!$E$5='Base de Dados e filtragem'!AK$2,Apresentação!$E$5='Base de Dados e filtragem'!G929),1,0)</f>
        <v>1</v>
      </c>
      <c r="AL929" s="25">
        <f>IF(OR(Apresentação!$E$6='Base de Dados e filtragem'!AL$2,Apresentação!$E$6='Base de Dados e filtragem'!H929),1,0)</f>
        <v>1</v>
      </c>
      <c r="AM929" s="25">
        <f>IF(OR(Apresentação!$I$2='Base de Dados e filtragem'!AM$2,Apresentação!$I$2='Base de Dados e filtragem'!I929),1,0)</f>
        <v>1</v>
      </c>
      <c r="AN929" s="25">
        <f>IF(OR(Apresentação!$I$3='Base de Dados e filtragem'!AN$2,Apresentação!$I$3='Base de Dados e filtragem'!J929),1,0)</f>
        <v>1</v>
      </c>
      <c r="AO929" s="25">
        <f>IF(OR(Apresentação!$I$4='Base de Dados e filtragem'!AO$2,Apresentação!$I$4='Base de Dados e filtragem'!K929),1,0)</f>
        <v>1</v>
      </c>
      <c r="AP929" s="25">
        <f>IF(OR(Apresentação!$I$5='Base de Dados e filtragem'!AP$2,Apresentação!$I$5='Base de Dados e filtragem'!L929),1,0)</f>
        <v>1</v>
      </c>
      <c r="AQ929" s="25">
        <f>IF(OR(Apresentação!$I$6='Base de Dados e filtragem'!AQ$2,Apresentação!$I$6='Base de Dados e filtragem'!M929),1,0)</f>
        <v>1</v>
      </c>
      <c r="AR929" s="25">
        <v>1</v>
      </c>
      <c r="AS929" s="25">
        <v>1</v>
      </c>
      <c r="AT929" s="25">
        <v>1</v>
      </c>
      <c r="AU929" s="25">
        <v>1</v>
      </c>
      <c r="AV929" s="25">
        <v>1</v>
      </c>
      <c r="AW929" s="25">
        <v>1</v>
      </c>
      <c r="AX929" s="25">
        <v>1</v>
      </c>
      <c r="AY929" s="25">
        <v>1</v>
      </c>
      <c r="AZ929" s="25">
        <v>1</v>
      </c>
      <c r="BA929" s="25">
        <v>1</v>
      </c>
      <c r="BB929" s="25">
        <v>1</v>
      </c>
      <c r="BC929" s="25">
        <v>1</v>
      </c>
      <c r="BD929" s="25">
        <v>1</v>
      </c>
    </row>
    <row r="930" spans="27:56" x14ac:dyDescent="0.25">
      <c r="AA930" s="68" t="str">
        <f t="shared" si="57"/>
        <v>Fotos\\.jpg</v>
      </c>
      <c r="AB930" s="53">
        <f t="shared" si="58"/>
        <v>1.0752688172043011E-3</v>
      </c>
      <c r="AC930" s="25">
        <f t="shared" si="59"/>
        <v>930</v>
      </c>
      <c r="AD930" s="51">
        <f t="shared" si="60"/>
        <v>1</v>
      </c>
      <c r="AE930" s="25">
        <v>1</v>
      </c>
      <c r="AF930" s="25">
        <v>1</v>
      </c>
      <c r="AG930" s="25">
        <v>1</v>
      </c>
      <c r="AH930" s="25">
        <v>1</v>
      </c>
      <c r="AI930" s="25">
        <f>IF(OR(Apresentação!$E$3='Base de Dados e filtragem'!AI$2,Apresentação!$E$3='Base de Dados e filtragem'!E930),1,0)</f>
        <v>1</v>
      </c>
      <c r="AJ930" s="25">
        <f>IF(OR(Apresentação!$E$4='Base de Dados e filtragem'!AJ$2,Apresentação!$E$4='Base de Dados e filtragem'!F930),1,0)</f>
        <v>1</v>
      </c>
      <c r="AK930" s="25">
        <f>IF(OR(Apresentação!$E$5='Base de Dados e filtragem'!AK$2,Apresentação!$E$5='Base de Dados e filtragem'!G930),1,0)</f>
        <v>1</v>
      </c>
      <c r="AL930" s="25">
        <f>IF(OR(Apresentação!$E$6='Base de Dados e filtragem'!AL$2,Apresentação!$E$6='Base de Dados e filtragem'!H930),1,0)</f>
        <v>1</v>
      </c>
      <c r="AM930" s="25">
        <f>IF(OR(Apresentação!$I$2='Base de Dados e filtragem'!AM$2,Apresentação!$I$2='Base de Dados e filtragem'!I930),1,0)</f>
        <v>1</v>
      </c>
      <c r="AN930" s="25">
        <f>IF(OR(Apresentação!$I$3='Base de Dados e filtragem'!AN$2,Apresentação!$I$3='Base de Dados e filtragem'!J930),1,0)</f>
        <v>1</v>
      </c>
      <c r="AO930" s="25">
        <f>IF(OR(Apresentação!$I$4='Base de Dados e filtragem'!AO$2,Apresentação!$I$4='Base de Dados e filtragem'!K930),1,0)</f>
        <v>1</v>
      </c>
      <c r="AP930" s="25">
        <f>IF(OR(Apresentação!$I$5='Base de Dados e filtragem'!AP$2,Apresentação!$I$5='Base de Dados e filtragem'!L930),1,0)</f>
        <v>1</v>
      </c>
      <c r="AQ930" s="25">
        <f>IF(OR(Apresentação!$I$6='Base de Dados e filtragem'!AQ$2,Apresentação!$I$6='Base de Dados e filtragem'!M930),1,0)</f>
        <v>1</v>
      </c>
      <c r="AR930" s="25">
        <v>1</v>
      </c>
      <c r="AS930" s="25">
        <v>1</v>
      </c>
      <c r="AT930" s="25">
        <v>1</v>
      </c>
      <c r="AU930" s="25">
        <v>1</v>
      </c>
      <c r="AV930" s="25">
        <v>1</v>
      </c>
      <c r="AW930" s="25">
        <v>1</v>
      </c>
      <c r="AX930" s="25">
        <v>1</v>
      </c>
      <c r="AY930" s="25">
        <v>1</v>
      </c>
      <c r="AZ930" s="25">
        <v>1</v>
      </c>
      <c r="BA930" s="25">
        <v>1</v>
      </c>
      <c r="BB930" s="25">
        <v>1</v>
      </c>
      <c r="BC930" s="25">
        <v>1</v>
      </c>
      <c r="BD930" s="25">
        <v>1</v>
      </c>
    </row>
    <row r="931" spans="27:56" x14ac:dyDescent="0.25">
      <c r="AA931" s="68" t="str">
        <f t="shared" si="57"/>
        <v>Fotos\\.jpg</v>
      </c>
      <c r="AB931" s="53">
        <f t="shared" si="58"/>
        <v>1.0741138560687433E-3</v>
      </c>
      <c r="AC931" s="25">
        <f t="shared" si="59"/>
        <v>931</v>
      </c>
      <c r="AD931" s="51">
        <f t="shared" si="60"/>
        <v>1</v>
      </c>
      <c r="AE931" s="25">
        <v>1</v>
      </c>
      <c r="AF931" s="25">
        <v>1</v>
      </c>
      <c r="AG931" s="25">
        <v>1</v>
      </c>
      <c r="AH931" s="25">
        <v>1</v>
      </c>
      <c r="AI931" s="25">
        <f>IF(OR(Apresentação!$E$3='Base de Dados e filtragem'!AI$2,Apresentação!$E$3='Base de Dados e filtragem'!E931),1,0)</f>
        <v>1</v>
      </c>
      <c r="AJ931" s="25">
        <f>IF(OR(Apresentação!$E$4='Base de Dados e filtragem'!AJ$2,Apresentação!$E$4='Base de Dados e filtragem'!F931),1,0)</f>
        <v>1</v>
      </c>
      <c r="AK931" s="25">
        <f>IF(OR(Apresentação!$E$5='Base de Dados e filtragem'!AK$2,Apresentação!$E$5='Base de Dados e filtragem'!G931),1,0)</f>
        <v>1</v>
      </c>
      <c r="AL931" s="25">
        <f>IF(OR(Apresentação!$E$6='Base de Dados e filtragem'!AL$2,Apresentação!$E$6='Base de Dados e filtragem'!H931),1,0)</f>
        <v>1</v>
      </c>
      <c r="AM931" s="25">
        <f>IF(OR(Apresentação!$I$2='Base de Dados e filtragem'!AM$2,Apresentação!$I$2='Base de Dados e filtragem'!I931),1,0)</f>
        <v>1</v>
      </c>
      <c r="AN931" s="25">
        <f>IF(OR(Apresentação!$I$3='Base de Dados e filtragem'!AN$2,Apresentação!$I$3='Base de Dados e filtragem'!J931),1,0)</f>
        <v>1</v>
      </c>
      <c r="AO931" s="25">
        <f>IF(OR(Apresentação!$I$4='Base de Dados e filtragem'!AO$2,Apresentação!$I$4='Base de Dados e filtragem'!K931),1,0)</f>
        <v>1</v>
      </c>
      <c r="AP931" s="25">
        <f>IF(OR(Apresentação!$I$5='Base de Dados e filtragem'!AP$2,Apresentação!$I$5='Base de Dados e filtragem'!L931),1,0)</f>
        <v>1</v>
      </c>
      <c r="AQ931" s="25">
        <f>IF(OR(Apresentação!$I$6='Base de Dados e filtragem'!AQ$2,Apresentação!$I$6='Base de Dados e filtragem'!M931),1,0)</f>
        <v>1</v>
      </c>
      <c r="AR931" s="25">
        <v>1</v>
      </c>
      <c r="AS931" s="25">
        <v>1</v>
      </c>
      <c r="AT931" s="25">
        <v>1</v>
      </c>
      <c r="AU931" s="25">
        <v>1</v>
      </c>
      <c r="AV931" s="25">
        <v>1</v>
      </c>
      <c r="AW931" s="25">
        <v>1</v>
      </c>
      <c r="AX931" s="25">
        <v>1</v>
      </c>
      <c r="AY931" s="25">
        <v>1</v>
      </c>
      <c r="AZ931" s="25">
        <v>1</v>
      </c>
      <c r="BA931" s="25">
        <v>1</v>
      </c>
      <c r="BB931" s="25">
        <v>1</v>
      </c>
      <c r="BC931" s="25">
        <v>1</v>
      </c>
      <c r="BD931" s="25">
        <v>1</v>
      </c>
    </row>
    <row r="932" spans="27:56" x14ac:dyDescent="0.25">
      <c r="AA932" s="68" t="str">
        <f t="shared" si="57"/>
        <v>Fotos\\.jpg</v>
      </c>
      <c r="AB932" s="53">
        <f t="shared" si="58"/>
        <v>1.0729613733905579E-3</v>
      </c>
      <c r="AC932" s="25">
        <f t="shared" si="59"/>
        <v>932</v>
      </c>
      <c r="AD932" s="51">
        <f t="shared" si="60"/>
        <v>1</v>
      </c>
      <c r="AE932" s="25">
        <v>1</v>
      </c>
      <c r="AF932" s="25">
        <v>1</v>
      </c>
      <c r="AG932" s="25">
        <v>1</v>
      </c>
      <c r="AH932" s="25">
        <v>1</v>
      </c>
      <c r="AI932" s="25">
        <f>IF(OR(Apresentação!$E$3='Base de Dados e filtragem'!AI$2,Apresentação!$E$3='Base de Dados e filtragem'!E932),1,0)</f>
        <v>1</v>
      </c>
      <c r="AJ932" s="25">
        <f>IF(OR(Apresentação!$E$4='Base de Dados e filtragem'!AJ$2,Apresentação!$E$4='Base de Dados e filtragem'!F932),1,0)</f>
        <v>1</v>
      </c>
      <c r="AK932" s="25">
        <f>IF(OR(Apresentação!$E$5='Base de Dados e filtragem'!AK$2,Apresentação!$E$5='Base de Dados e filtragem'!G932),1,0)</f>
        <v>1</v>
      </c>
      <c r="AL932" s="25">
        <f>IF(OR(Apresentação!$E$6='Base de Dados e filtragem'!AL$2,Apresentação!$E$6='Base de Dados e filtragem'!H932),1,0)</f>
        <v>1</v>
      </c>
      <c r="AM932" s="25">
        <f>IF(OR(Apresentação!$I$2='Base de Dados e filtragem'!AM$2,Apresentação!$I$2='Base de Dados e filtragem'!I932),1,0)</f>
        <v>1</v>
      </c>
      <c r="AN932" s="25">
        <f>IF(OR(Apresentação!$I$3='Base de Dados e filtragem'!AN$2,Apresentação!$I$3='Base de Dados e filtragem'!J932),1,0)</f>
        <v>1</v>
      </c>
      <c r="AO932" s="25">
        <f>IF(OR(Apresentação!$I$4='Base de Dados e filtragem'!AO$2,Apresentação!$I$4='Base de Dados e filtragem'!K932),1,0)</f>
        <v>1</v>
      </c>
      <c r="AP932" s="25">
        <f>IF(OR(Apresentação!$I$5='Base de Dados e filtragem'!AP$2,Apresentação!$I$5='Base de Dados e filtragem'!L932),1,0)</f>
        <v>1</v>
      </c>
      <c r="AQ932" s="25">
        <f>IF(OR(Apresentação!$I$6='Base de Dados e filtragem'!AQ$2,Apresentação!$I$6='Base de Dados e filtragem'!M932),1,0)</f>
        <v>1</v>
      </c>
      <c r="AR932" s="25">
        <v>1</v>
      </c>
      <c r="AS932" s="25">
        <v>1</v>
      </c>
      <c r="AT932" s="25">
        <v>1</v>
      </c>
      <c r="AU932" s="25">
        <v>1</v>
      </c>
      <c r="AV932" s="25">
        <v>1</v>
      </c>
      <c r="AW932" s="25">
        <v>1</v>
      </c>
      <c r="AX932" s="25">
        <v>1</v>
      </c>
      <c r="AY932" s="25">
        <v>1</v>
      </c>
      <c r="AZ932" s="25">
        <v>1</v>
      </c>
      <c r="BA932" s="25">
        <v>1</v>
      </c>
      <c r="BB932" s="25">
        <v>1</v>
      </c>
      <c r="BC932" s="25">
        <v>1</v>
      </c>
      <c r="BD932" s="25">
        <v>1</v>
      </c>
    </row>
    <row r="933" spans="27:56" x14ac:dyDescent="0.25">
      <c r="AA933" s="68" t="str">
        <f t="shared" si="57"/>
        <v>Fotos\\.jpg</v>
      </c>
      <c r="AB933" s="53">
        <f t="shared" si="58"/>
        <v>1.0718113612004287E-3</v>
      </c>
      <c r="AC933" s="25">
        <f t="shared" si="59"/>
        <v>933</v>
      </c>
      <c r="AD933" s="51">
        <f t="shared" si="60"/>
        <v>1</v>
      </c>
      <c r="AE933" s="25">
        <v>1</v>
      </c>
      <c r="AF933" s="25">
        <v>1</v>
      </c>
      <c r="AG933" s="25">
        <v>1</v>
      </c>
      <c r="AH933" s="25">
        <v>1</v>
      </c>
      <c r="AI933" s="25">
        <f>IF(OR(Apresentação!$E$3='Base de Dados e filtragem'!AI$2,Apresentação!$E$3='Base de Dados e filtragem'!E933),1,0)</f>
        <v>1</v>
      </c>
      <c r="AJ933" s="25">
        <f>IF(OR(Apresentação!$E$4='Base de Dados e filtragem'!AJ$2,Apresentação!$E$4='Base de Dados e filtragem'!F933),1,0)</f>
        <v>1</v>
      </c>
      <c r="AK933" s="25">
        <f>IF(OR(Apresentação!$E$5='Base de Dados e filtragem'!AK$2,Apresentação!$E$5='Base de Dados e filtragem'!G933),1,0)</f>
        <v>1</v>
      </c>
      <c r="AL933" s="25">
        <f>IF(OR(Apresentação!$E$6='Base de Dados e filtragem'!AL$2,Apresentação!$E$6='Base de Dados e filtragem'!H933),1,0)</f>
        <v>1</v>
      </c>
      <c r="AM933" s="25">
        <f>IF(OR(Apresentação!$I$2='Base de Dados e filtragem'!AM$2,Apresentação!$I$2='Base de Dados e filtragem'!I933),1,0)</f>
        <v>1</v>
      </c>
      <c r="AN933" s="25">
        <f>IF(OR(Apresentação!$I$3='Base de Dados e filtragem'!AN$2,Apresentação!$I$3='Base de Dados e filtragem'!J933),1,0)</f>
        <v>1</v>
      </c>
      <c r="AO933" s="25">
        <f>IF(OR(Apresentação!$I$4='Base de Dados e filtragem'!AO$2,Apresentação!$I$4='Base de Dados e filtragem'!K933),1,0)</f>
        <v>1</v>
      </c>
      <c r="AP933" s="25">
        <f>IF(OR(Apresentação!$I$5='Base de Dados e filtragem'!AP$2,Apresentação!$I$5='Base de Dados e filtragem'!L933),1,0)</f>
        <v>1</v>
      </c>
      <c r="AQ933" s="25">
        <f>IF(OR(Apresentação!$I$6='Base de Dados e filtragem'!AQ$2,Apresentação!$I$6='Base de Dados e filtragem'!M933),1,0)</f>
        <v>1</v>
      </c>
      <c r="AR933" s="25">
        <v>1</v>
      </c>
      <c r="AS933" s="25">
        <v>1</v>
      </c>
      <c r="AT933" s="25">
        <v>1</v>
      </c>
      <c r="AU933" s="25">
        <v>1</v>
      </c>
      <c r="AV933" s="25">
        <v>1</v>
      </c>
      <c r="AW933" s="25">
        <v>1</v>
      </c>
      <c r="AX933" s="25">
        <v>1</v>
      </c>
      <c r="AY933" s="25">
        <v>1</v>
      </c>
      <c r="AZ933" s="25">
        <v>1</v>
      </c>
      <c r="BA933" s="25">
        <v>1</v>
      </c>
      <c r="BB933" s="25">
        <v>1</v>
      </c>
      <c r="BC933" s="25">
        <v>1</v>
      </c>
      <c r="BD933" s="25">
        <v>1</v>
      </c>
    </row>
    <row r="934" spans="27:56" x14ac:dyDescent="0.25">
      <c r="AA934" s="68" t="str">
        <f t="shared" si="57"/>
        <v>Fotos\\.jpg</v>
      </c>
      <c r="AB934" s="53">
        <f t="shared" si="58"/>
        <v>1.0706638115631692E-3</v>
      </c>
      <c r="AC934" s="25">
        <f t="shared" si="59"/>
        <v>934</v>
      </c>
      <c r="AD934" s="51">
        <f t="shared" si="60"/>
        <v>1</v>
      </c>
      <c r="AE934" s="25">
        <v>1</v>
      </c>
      <c r="AF934" s="25">
        <v>1</v>
      </c>
      <c r="AG934" s="25">
        <v>1</v>
      </c>
      <c r="AH934" s="25">
        <v>1</v>
      </c>
      <c r="AI934" s="25">
        <f>IF(OR(Apresentação!$E$3='Base de Dados e filtragem'!AI$2,Apresentação!$E$3='Base de Dados e filtragem'!E934),1,0)</f>
        <v>1</v>
      </c>
      <c r="AJ934" s="25">
        <f>IF(OR(Apresentação!$E$4='Base de Dados e filtragem'!AJ$2,Apresentação!$E$4='Base de Dados e filtragem'!F934),1,0)</f>
        <v>1</v>
      </c>
      <c r="AK934" s="25">
        <f>IF(OR(Apresentação!$E$5='Base de Dados e filtragem'!AK$2,Apresentação!$E$5='Base de Dados e filtragem'!G934),1,0)</f>
        <v>1</v>
      </c>
      <c r="AL934" s="25">
        <f>IF(OR(Apresentação!$E$6='Base de Dados e filtragem'!AL$2,Apresentação!$E$6='Base de Dados e filtragem'!H934),1,0)</f>
        <v>1</v>
      </c>
      <c r="AM934" s="25">
        <f>IF(OR(Apresentação!$I$2='Base de Dados e filtragem'!AM$2,Apresentação!$I$2='Base de Dados e filtragem'!I934),1,0)</f>
        <v>1</v>
      </c>
      <c r="AN934" s="25">
        <f>IF(OR(Apresentação!$I$3='Base de Dados e filtragem'!AN$2,Apresentação!$I$3='Base de Dados e filtragem'!J934),1,0)</f>
        <v>1</v>
      </c>
      <c r="AO934" s="25">
        <f>IF(OR(Apresentação!$I$4='Base de Dados e filtragem'!AO$2,Apresentação!$I$4='Base de Dados e filtragem'!K934),1,0)</f>
        <v>1</v>
      </c>
      <c r="AP934" s="25">
        <f>IF(OR(Apresentação!$I$5='Base de Dados e filtragem'!AP$2,Apresentação!$I$5='Base de Dados e filtragem'!L934),1,0)</f>
        <v>1</v>
      </c>
      <c r="AQ934" s="25">
        <f>IF(OR(Apresentação!$I$6='Base de Dados e filtragem'!AQ$2,Apresentação!$I$6='Base de Dados e filtragem'!M934),1,0)</f>
        <v>1</v>
      </c>
      <c r="AR934" s="25">
        <v>1</v>
      </c>
      <c r="AS934" s="25">
        <v>1</v>
      </c>
      <c r="AT934" s="25">
        <v>1</v>
      </c>
      <c r="AU934" s="25">
        <v>1</v>
      </c>
      <c r="AV934" s="25">
        <v>1</v>
      </c>
      <c r="AW934" s="25">
        <v>1</v>
      </c>
      <c r="AX934" s="25">
        <v>1</v>
      </c>
      <c r="AY934" s="25">
        <v>1</v>
      </c>
      <c r="AZ934" s="25">
        <v>1</v>
      </c>
      <c r="BA934" s="25">
        <v>1</v>
      </c>
      <c r="BB934" s="25">
        <v>1</v>
      </c>
      <c r="BC934" s="25">
        <v>1</v>
      </c>
      <c r="BD934" s="25">
        <v>1</v>
      </c>
    </row>
    <row r="935" spans="27:56" x14ac:dyDescent="0.25">
      <c r="AA935" s="68" t="str">
        <f t="shared" si="57"/>
        <v>Fotos\\.jpg</v>
      </c>
      <c r="AB935" s="53">
        <f t="shared" si="58"/>
        <v>1.0695187165775401E-3</v>
      </c>
      <c r="AC935" s="25">
        <f t="shared" si="59"/>
        <v>935</v>
      </c>
      <c r="AD935" s="51">
        <f t="shared" si="60"/>
        <v>1</v>
      </c>
      <c r="AE935" s="25">
        <v>1</v>
      </c>
      <c r="AF935" s="25">
        <v>1</v>
      </c>
      <c r="AG935" s="25">
        <v>1</v>
      </c>
      <c r="AH935" s="25">
        <v>1</v>
      </c>
      <c r="AI935" s="25">
        <f>IF(OR(Apresentação!$E$3='Base de Dados e filtragem'!AI$2,Apresentação!$E$3='Base de Dados e filtragem'!E935),1,0)</f>
        <v>1</v>
      </c>
      <c r="AJ935" s="25">
        <f>IF(OR(Apresentação!$E$4='Base de Dados e filtragem'!AJ$2,Apresentação!$E$4='Base de Dados e filtragem'!F935),1,0)</f>
        <v>1</v>
      </c>
      <c r="AK935" s="25">
        <f>IF(OR(Apresentação!$E$5='Base de Dados e filtragem'!AK$2,Apresentação!$E$5='Base de Dados e filtragem'!G935),1,0)</f>
        <v>1</v>
      </c>
      <c r="AL935" s="25">
        <f>IF(OR(Apresentação!$E$6='Base de Dados e filtragem'!AL$2,Apresentação!$E$6='Base de Dados e filtragem'!H935),1,0)</f>
        <v>1</v>
      </c>
      <c r="AM935" s="25">
        <f>IF(OR(Apresentação!$I$2='Base de Dados e filtragem'!AM$2,Apresentação!$I$2='Base de Dados e filtragem'!I935),1,0)</f>
        <v>1</v>
      </c>
      <c r="AN935" s="25">
        <f>IF(OR(Apresentação!$I$3='Base de Dados e filtragem'!AN$2,Apresentação!$I$3='Base de Dados e filtragem'!J935),1,0)</f>
        <v>1</v>
      </c>
      <c r="AO935" s="25">
        <f>IF(OR(Apresentação!$I$4='Base de Dados e filtragem'!AO$2,Apresentação!$I$4='Base de Dados e filtragem'!K935),1,0)</f>
        <v>1</v>
      </c>
      <c r="AP935" s="25">
        <f>IF(OR(Apresentação!$I$5='Base de Dados e filtragem'!AP$2,Apresentação!$I$5='Base de Dados e filtragem'!L935),1,0)</f>
        <v>1</v>
      </c>
      <c r="AQ935" s="25">
        <f>IF(OR(Apresentação!$I$6='Base de Dados e filtragem'!AQ$2,Apresentação!$I$6='Base de Dados e filtragem'!M935),1,0)</f>
        <v>1</v>
      </c>
      <c r="AR935" s="25">
        <v>1</v>
      </c>
      <c r="AS935" s="25">
        <v>1</v>
      </c>
      <c r="AT935" s="25">
        <v>1</v>
      </c>
      <c r="AU935" s="25">
        <v>1</v>
      </c>
      <c r="AV935" s="25">
        <v>1</v>
      </c>
      <c r="AW935" s="25">
        <v>1</v>
      </c>
      <c r="AX935" s="25">
        <v>1</v>
      </c>
      <c r="AY935" s="25">
        <v>1</v>
      </c>
      <c r="AZ935" s="25">
        <v>1</v>
      </c>
      <c r="BA935" s="25">
        <v>1</v>
      </c>
      <c r="BB935" s="25">
        <v>1</v>
      </c>
      <c r="BC935" s="25">
        <v>1</v>
      </c>
      <c r="BD935" s="25">
        <v>1</v>
      </c>
    </row>
    <row r="936" spans="27:56" x14ac:dyDescent="0.25">
      <c r="AA936" s="68" t="str">
        <f t="shared" si="57"/>
        <v>Fotos\\.jpg</v>
      </c>
      <c r="AB936" s="53">
        <f t="shared" si="58"/>
        <v>1.0683760683760685E-3</v>
      </c>
      <c r="AC936" s="25">
        <f t="shared" si="59"/>
        <v>936</v>
      </c>
      <c r="AD936" s="51">
        <f t="shared" si="60"/>
        <v>1</v>
      </c>
      <c r="AE936" s="25">
        <v>1</v>
      </c>
      <c r="AF936" s="25">
        <v>1</v>
      </c>
      <c r="AG936" s="25">
        <v>1</v>
      </c>
      <c r="AH936" s="25">
        <v>1</v>
      </c>
      <c r="AI936" s="25">
        <f>IF(OR(Apresentação!$E$3='Base de Dados e filtragem'!AI$2,Apresentação!$E$3='Base de Dados e filtragem'!E936),1,0)</f>
        <v>1</v>
      </c>
      <c r="AJ936" s="25">
        <f>IF(OR(Apresentação!$E$4='Base de Dados e filtragem'!AJ$2,Apresentação!$E$4='Base de Dados e filtragem'!F936),1,0)</f>
        <v>1</v>
      </c>
      <c r="AK936" s="25">
        <f>IF(OR(Apresentação!$E$5='Base de Dados e filtragem'!AK$2,Apresentação!$E$5='Base de Dados e filtragem'!G936),1,0)</f>
        <v>1</v>
      </c>
      <c r="AL936" s="25">
        <f>IF(OR(Apresentação!$E$6='Base de Dados e filtragem'!AL$2,Apresentação!$E$6='Base de Dados e filtragem'!H936),1,0)</f>
        <v>1</v>
      </c>
      <c r="AM936" s="25">
        <f>IF(OR(Apresentação!$I$2='Base de Dados e filtragem'!AM$2,Apresentação!$I$2='Base de Dados e filtragem'!I936),1,0)</f>
        <v>1</v>
      </c>
      <c r="AN936" s="25">
        <f>IF(OR(Apresentação!$I$3='Base de Dados e filtragem'!AN$2,Apresentação!$I$3='Base de Dados e filtragem'!J936),1,0)</f>
        <v>1</v>
      </c>
      <c r="AO936" s="25">
        <f>IF(OR(Apresentação!$I$4='Base de Dados e filtragem'!AO$2,Apresentação!$I$4='Base de Dados e filtragem'!K936),1,0)</f>
        <v>1</v>
      </c>
      <c r="AP936" s="25">
        <f>IF(OR(Apresentação!$I$5='Base de Dados e filtragem'!AP$2,Apresentação!$I$5='Base de Dados e filtragem'!L936),1,0)</f>
        <v>1</v>
      </c>
      <c r="AQ936" s="25">
        <f>IF(OR(Apresentação!$I$6='Base de Dados e filtragem'!AQ$2,Apresentação!$I$6='Base de Dados e filtragem'!M936),1,0)</f>
        <v>1</v>
      </c>
      <c r="AR936" s="25">
        <v>1</v>
      </c>
      <c r="AS936" s="25">
        <v>1</v>
      </c>
      <c r="AT936" s="25">
        <v>1</v>
      </c>
      <c r="AU936" s="25">
        <v>1</v>
      </c>
      <c r="AV936" s="25">
        <v>1</v>
      </c>
      <c r="AW936" s="25">
        <v>1</v>
      </c>
      <c r="AX936" s="25">
        <v>1</v>
      </c>
      <c r="AY936" s="25">
        <v>1</v>
      </c>
      <c r="AZ936" s="25">
        <v>1</v>
      </c>
      <c r="BA936" s="25">
        <v>1</v>
      </c>
      <c r="BB936" s="25">
        <v>1</v>
      </c>
      <c r="BC936" s="25">
        <v>1</v>
      </c>
      <c r="BD936" s="25">
        <v>1</v>
      </c>
    </row>
    <row r="937" spans="27:56" x14ac:dyDescent="0.25">
      <c r="AA937" s="68" t="str">
        <f t="shared" si="57"/>
        <v>Fotos\\.jpg</v>
      </c>
      <c r="AB937" s="53">
        <f t="shared" si="58"/>
        <v>1.0672358591248667E-3</v>
      </c>
      <c r="AC937" s="25">
        <f t="shared" si="59"/>
        <v>937</v>
      </c>
      <c r="AD937" s="51">
        <f t="shared" si="60"/>
        <v>1</v>
      </c>
      <c r="AE937" s="25">
        <v>1</v>
      </c>
      <c r="AF937" s="25">
        <v>1</v>
      </c>
      <c r="AG937" s="25">
        <v>1</v>
      </c>
      <c r="AH937" s="25">
        <v>1</v>
      </c>
      <c r="AI937" s="25">
        <f>IF(OR(Apresentação!$E$3='Base de Dados e filtragem'!AI$2,Apresentação!$E$3='Base de Dados e filtragem'!E937),1,0)</f>
        <v>1</v>
      </c>
      <c r="AJ937" s="25">
        <f>IF(OR(Apresentação!$E$4='Base de Dados e filtragem'!AJ$2,Apresentação!$E$4='Base de Dados e filtragem'!F937),1,0)</f>
        <v>1</v>
      </c>
      <c r="AK937" s="25">
        <f>IF(OR(Apresentação!$E$5='Base de Dados e filtragem'!AK$2,Apresentação!$E$5='Base de Dados e filtragem'!G937),1,0)</f>
        <v>1</v>
      </c>
      <c r="AL937" s="25">
        <f>IF(OR(Apresentação!$E$6='Base de Dados e filtragem'!AL$2,Apresentação!$E$6='Base de Dados e filtragem'!H937),1,0)</f>
        <v>1</v>
      </c>
      <c r="AM937" s="25">
        <f>IF(OR(Apresentação!$I$2='Base de Dados e filtragem'!AM$2,Apresentação!$I$2='Base de Dados e filtragem'!I937),1,0)</f>
        <v>1</v>
      </c>
      <c r="AN937" s="25">
        <f>IF(OR(Apresentação!$I$3='Base de Dados e filtragem'!AN$2,Apresentação!$I$3='Base de Dados e filtragem'!J937),1,0)</f>
        <v>1</v>
      </c>
      <c r="AO937" s="25">
        <f>IF(OR(Apresentação!$I$4='Base de Dados e filtragem'!AO$2,Apresentação!$I$4='Base de Dados e filtragem'!K937),1,0)</f>
        <v>1</v>
      </c>
      <c r="AP937" s="25">
        <f>IF(OR(Apresentação!$I$5='Base de Dados e filtragem'!AP$2,Apresentação!$I$5='Base de Dados e filtragem'!L937),1,0)</f>
        <v>1</v>
      </c>
      <c r="AQ937" s="25">
        <f>IF(OR(Apresentação!$I$6='Base de Dados e filtragem'!AQ$2,Apresentação!$I$6='Base de Dados e filtragem'!M937),1,0)</f>
        <v>1</v>
      </c>
      <c r="AR937" s="25">
        <v>1</v>
      </c>
      <c r="AS937" s="25">
        <v>1</v>
      </c>
      <c r="AT937" s="25">
        <v>1</v>
      </c>
      <c r="AU937" s="25">
        <v>1</v>
      </c>
      <c r="AV937" s="25">
        <v>1</v>
      </c>
      <c r="AW937" s="25">
        <v>1</v>
      </c>
      <c r="AX937" s="25">
        <v>1</v>
      </c>
      <c r="AY937" s="25">
        <v>1</v>
      </c>
      <c r="AZ937" s="25">
        <v>1</v>
      </c>
      <c r="BA937" s="25">
        <v>1</v>
      </c>
      <c r="BB937" s="25">
        <v>1</v>
      </c>
      <c r="BC937" s="25">
        <v>1</v>
      </c>
      <c r="BD937" s="25">
        <v>1</v>
      </c>
    </row>
    <row r="938" spans="27:56" x14ac:dyDescent="0.25">
      <c r="AA938" s="68" t="str">
        <f t="shared" si="57"/>
        <v>Fotos\\.jpg</v>
      </c>
      <c r="AB938" s="53">
        <f t="shared" si="58"/>
        <v>1.0660980810234541E-3</v>
      </c>
      <c r="AC938" s="25">
        <f t="shared" si="59"/>
        <v>938</v>
      </c>
      <c r="AD938" s="51">
        <f t="shared" si="60"/>
        <v>1</v>
      </c>
      <c r="AE938" s="25">
        <v>1</v>
      </c>
      <c r="AF938" s="25">
        <v>1</v>
      </c>
      <c r="AG938" s="25">
        <v>1</v>
      </c>
      <c r="AH938" s="25">
        <v>1</v>
      </c>
      <c r="AI938" s="25">
        <f>IF(OR(Apresentação!$E$3='Base de Dados e filtragem'!AI$2,Apresentação!$E$3='Base de Dados e filtragem'!E938),1,0)</f>
        <v>1</v>
      </c>
      <c r="AJ938" s="25">
        <f>IF(OR(Apresentação!$E$4='Base de Dados e filtragem'!AJ$2,Apresentação!$E$4='Base de Dados e filtragem'!F938),1,0)</f>
        <v>1</v>
      </c>
      <c r="AK938" s="25">
        <f>IF(OR(Apresentação!$E$5='Base de Dados e filtragem'!AK$2,Apresentação!$E$5='Base de Dados e filtragem'!G938),1,0)</f>
        <v>1</v>
      </c>
      <c r="AL938" s="25">
        <f>IF(OR(Apresentação!$E$6='Base de Dados e filtragem'!AL$2,Apresentação!$E$6='Base de Dados e filtragem'!H938),1,0)</f>
        <v>1</v>
      </c>
      <c r="AM938" s="25">
        <f>IF(OR(Apresentação!$I$2='Base de Dados e filtragem'!AM$2,Apresentação!$I$2='Base de Dados e filtragem'!I938),1,0)</f>
        <v>1</v>
      </c>
      <c r="AN938" s="25">
        <f>IF(OR(Apresentação!$I$3='Base de Dados e filtragem'!AN$2,Apresentação!$I$3='Base de Dados e filtragem'!J938),1,0)</f>
        <v>1</v>
      </c>
      <c r="AO938" s="25">
        <f>IF(OR(Apresentação!$I$4='Base de Dados e filtragem'!AO$2,Apresentação!$I$4='Base de Dados e filtragem'!K938),1,0)</f>
        <v>1</v>
      </c>
      <c r="AP938" s="25">
        <f>IF(OR(Apresentação!$I$5='Base de Dados e filtragem'!AP$2,Apresentação!$I$5='Base de Dados e filtragem'!L938),1,0)</f>
        <v>1</v>
      </c>
      <c r="AQ938" s="25">
        <f>IF(OR(Apresentação!$I$6='Base de Dados e filtragem'!AQ$2,Apresentação!$I$6='Base de Dados e filtragem'!M938),1,0)</f>
        <v>1</v>
      </c>
      <c r="AR938" s="25">
        <v>1</v>
      </c>
      <c r="AS938" s="25">
        <v>1</v>
      </c>
      <c r="AT938" s="25">
        <v>1</v>
      </c>
      <c r="AU938" s="25">
        <v>1</v>
      </c>
      <c r="AV938" s="25">
        <v>1</v>
      </c>
      <c r="AW938" s="25">
        <v>1</v>
      </c>
      <c r="AX938" s="25">
        <v>1</v>
      </c>
      <c r="AY938" s="25">
        <v>1</v>
      </c>
      <c r="AZ938" s="25">
        <v>1</v>
      </c>
      <c r="BA938" s="25">
        <v>1</v>
      </c>
      <c r="BB938" s="25">
        <v>1</v>
      </c>
      <c r="BC938" s="25">
        <v>1</v>
      </c>
      <c r="BD938" s="25">
        <v>1</v>
      </c>
    </row>
    <row r="939" spans="27:56" x14ac:dyDescent="0.25">
      <c r="AA939" s="68" t="str">
        <f t="shared" si="57"/>
        <v>Fotos\\.jpg</v>
      </c>
      <c r="AB939" s="53">
        <f t="shared" si="58"/>
        <v>1.0649627263045794E-3</v>
      </c>
      <c r="AC939" s="25">
        <f t="shared" si="59"/>
        <v>939</v>
      </c>
      <c r="AD939" s="51">
        <f t="shared" si="60"/>
        <v>1</v>
      </c>
      <c r="AE939" s="25">
        <v>1</v>
      </c>
      <c r="AF939" s="25">
        <v>1</v>
      </c>
      <c r="AG939" s="25">
        <v>1</v>
      </c>
      <c r="AH939" s="25">
        <v>1</v>
      </c>
      <c r="AI939" s="25">
        <f>IF(OR(Apresentação!$E$3='Base de Dados e filtragem'!AI$2,Apresentação!$E$3='Base de Dados e filtragem'!E939),1,0)</f>
        <v>1</v>
      </c>
      <c r="AJ939" s="25">
        <f>IF(OR(Apresentação!$E$4='Base de Dados e filtragem'!AJ$2,Apresentação!$E$4='Base de Dados e filtragem'!F939),1,0)</f>
        <v>1</v>
      </c>
      <c r="AK939" s="25">
        <f>IF(OR(Apresentação!$E$5='Base de Dados e filtragem'!AK$2,Apresentação!$E$5='Base de Dados e filtragem'!G939),1,0)</f>
        <v>1</v>
      </c>
      <c r="AL939" s="25">
        <f>IF(OR(Apresentação!$E$6='Base de Dados e filtragem'!AL$2,Apresentação!$E$6='Base de Dados e filtragem'!H939),1,0)</f>
        <v>1</v>
      </c>
      <c r="AM939" s="25">
        <f>IF(OR(Apresentação!$I$2='Base de Dados e filtragem'!AM$2,Apresentação!$I$2='Base de Dados e filtragem'!I939),1,0)</f>
        <v>1</v>
      </c>
      <c r="AN939" s="25">
        <f>IF(OR(Apresentação!$I$3='Base de Dados e filtragem'!AN$2,Apresentação!$I$3='Base de Dados e filtragem'!J939),1,0)</f>
        <v>1</v>
      </c>
      <c r="AO939" s="25">
        <f>IF(OR(Apresentação!$I$4='Base de Dados e filtragem'!AO$2,Apresentação!$I$4='Base de Dados e filtragem'!K939),1,0)</f>
        <v>1</v>
      </c>
      <c r="AP939" s="25">
        <f>IF(OR(Apresentação!$I$5='Base de Dados e filtragem'!AP$2,Apresentação!$I$5='Base de Dados e filtragem'!L939),1,0)</f>
        <v>1</v>
      </c>
      <c r="AQ939" s="25">
        <f>IF(OR(Apresentação!$I$6='Base de Dados e filtragem'!AQ$2,Apresentação!$I$6='Base de Dados e filtragem'!M939),1,0)</f>
        <v>1</v>
      </c>
      <c r="AR939" s="25">
        <v>1</v>
      </c>
      <c r="AS939" s="25">
        <v>1</v>
      </c>
      <c r="AT939" s="25">
        <v>1</v>
      </c>
      <c r="AU939" s="25">
        <v>1</v>
      </c>
      <c r="AV939" s="25">
        <v>1</v>
      </c>
      <c r="AW939" s="25">
        <v>1</v>
      </c>
      <c r="AX939" s="25">
        <v>1</v>
      </c>
      <c r="AY939" s="25">
        <v>1</v>
      </c>
      <c r="AZ939" s="25">
        <v>1</v>
      </c>
      <c r="BA939" s="25">
        <v>1</v>
      </c>
      <c r="BB939" s="25">
        <v>1</v>
      </c>
      <c r="BC939" s="25">
        <v>1</v>
      </c>
      <c r="BD939" s="25">
        <v>1</v>
      </c>
    </row>
    <row r="940" spans="27:56" x14ac:dyDescent="0.25">
      <c r="AA940" s="68" t="str">
        <f t="shared" si="57"/>
        <v>Fotos\\.jpg</v>
      </c>
      <c r="AB940" s="53">
        <f t="shared" si="58"/>
        <v>1.0638297872340426E-3</v>
      </c>
      <c r="AC940" s="25">
        <f t="shared" si="59"/>
        <v>940</v>
      </c>
      <c r="AD940" s="51">
        <f t="shared" si="60"/>
        <v>1</v>
      </c>
      <c r="AE940" s="25">
        <v>1</v>
      </c>
      <c r="AF940" s="25">
        <v>1</v>
      </c>
      <c r="AG940" s="25">
        <v>1</v>
      </c>
      <c r="AH940" s="25">
        <v>1</v>
      </c>
      <c r="AI940" s="25">
        <f>IF(OR(Apresentação!$E$3='Base de Dados e filtragem'!AI$2,Apresentação!$E$3='Base de Dados e filtragem'!E940),1,0)</f>
        <v>1</v>
      </c>
      <c r="AJ940" s="25">
        <f>IF(OR(Apresentação!$E$4='Base de Dados e filtragem'!AJ$2,Apresentação!$E$4='Base de Dados e filtragem'!F940),1,0)</f>
        <v>1</v>
      </c>
      <c r="AK940" s="25">
        <f>IF(OR(Apresentação!$E$5='Base de Dados e filtragem'!AK$2,Apresentação!$E$5='Base de Dados e filtragem'!G940),1,0)</f>
        <v>1</v>
      </c>
      <c r="AL940" s="25">
        <f>IF(OR(Apresentação!$E$6='Base de Dados e filtragem'!AL$2,Apresentação!$E$6='Base de Dados e filtragem'!H940),1,0)</f>
        <v>1</v>
      </c>
      <c r="AM940" s="25">
        <f>IF(OR(Apresentação!$I$2='Base de Dados e filtragem'!AM$2,Apresentação!$I$2='Base de Dados e filtragem'!I940),1,0)</f>
        <v>1</v>
      </c>
      <c r="AN940" s="25">
        <f>IF(OR(Apresentação!$I$3='Base de Dados e filtragem'!AN$2,Apresentação!$I$3='Base de Dados e filtragem'!J940),1,0)</f>
        <v>1</v>
      </c>
      <c r="AO940" s="25">
        <f>IF(OR(Apresentação!$I$4='Base de Dados e filtragem'!AO$2,Apresentação!$I$4='Base de Dados e filtragem'!K940),1,0)</f>
        <v>1</v>
      </c>
      <c r="AP940" s="25">
        <f>IF(OR(Apresentação!$I$5='Base de Dados e filtragem'!AP$2,Apresentação!$I$5='Base de Dados e filtragem'!L940),1,0)</f>
        <v>1</v>
      </c>
      <c r="AQ940" s="25">
        <f>IF(OR(Apresentação!$I$6='Base de Dados e filtragem'!AQ$2,Apresentação!$I$6='Base de Dados e filtragem'!M940),1,0)</f>
        <v>1</v>
      </c>
      <c r="AR940" s="25">
        <v>1</v>
      </c>
      <c r="AS940" s="25">
        <v>1</v>
      </c>
      <c r="AT940" s="25">
        <v>1</v>
      </c>
      <c r="AU940" s="25">
        <v>1</v>
      </c>
      <c r="AV940" s="25">
        <v>1</v>
      </c>
      <c r="AW940" s="25">
        <v>1</v>
      </c>
      <c r="AX940" s="25">
        <v>1</v>
      </c>
      <c r="AY940" s="25">
        <v>1</v>
      </c>
      <c r="AZ940" s="25">
        <v>1</v>
      </c>
      <c r="BA940" s="25">
        <v>1</v>
      </c>
      <c r="BB940" s="25">
        <v>1</v>
      </c>
      <c r="BC940" s="25">
        <v>1</v>
      </c>
      <c r="BD940" s="25">
        <v>1</v>
      </c>
    </row>
    <row r="941" spans="27:56" x14ac:dyDescent="0.25">
      <c r="AA941" s="68" t="str">
        <f t="shared" si="57"/>
        <v>Fotos\\.jpg</v>
      </c>
      <c r="AB941" s="53">
        <f t="shared" si="58"/>
        <v>1.0626992561105207E-3</v>
      </c>
      <c r="AC941" s="25">
        <f t="shared" si="59"/>
        <v>941</v>
      </c>
      <c r="AD941" s="51">
        <f t="shared" si="60"/>
        <v>1</v>
      </c>
      <c r="AE941" s="25">
        <v>1</v>
      </c>
      <c r="AF941" s="25">
        <v>1</v>
      </c>
      <c r="AG941" s="25">
        <v>1</v>
      </c>
      <c r="AH941" s="25">
        <v>1</v>
      </c>
      <c r="AI941" s="25">
        <f>IF(OR(Apresentação!$E$3='Base de Dados e filtragem'!AI$2,Apresentação!$E$3='Base de Dados e filtragem'!E941),1,0)</f>
        <v>1</v>
      </c>
      <c r="AJ941" s="25">
        <f>IF(OR(Apresentação!$E$4='Base de Dados e filtragem'!AJ$2,Apresentação!$E$4='Base de Dados e filtragem'!F941),1,0)</f>
        <v>1</v>
      </c>
      <c r="AK941" s="25">
        <f>IF(OR(Apresentação!$E$5='Base de Dados e filtragem'!AK$2,Apresentação!$E$5='Base de Dados e filtragem'!G941),1,0)</f>
        <v>1</v>
      </c>
      <c r="AL941" s="25">
        <f>IF(OR(Apresentação!$E$6='Base de Dados e filtragem'!AL$2,Apresentação!$E$6='Base de Dados e filtragem'!H941),1,0)</f>
        <v>1</v>
      </c>
      <c r="AM941" s="25">
        <f>IF(OR(Apresentação!$I$2='Base de Dados e filtragem'!AM$2,Apresentação!$I$2='Base de Dados e filtragem'!I941),1,0)</f>
        <v>1</v>
      </c>
      <c r="AN941" s="25">
        <f>IF(OR(Apresentação!$I$3='Base de Dados e filtragem'!AN$2,Apresentação!$I$3='Base de Dados e filtragem'!J941),1,0)</f>
        <v>1</v>
      </c>
      <c r="AO941" s="25">
        <f>IF(OR(Apresentação!$I$4='Base de Dados e filtragem'!AO$2,Apresentação!$I$4='Base de Dados e filtragem'!K941),1,0)</f>
        <v>1</v>
      </c>
      <c r="AP941" s="25">
        <f>IF(OR(Apresentação!$I$5='Base de Dados e filtragem'!AP$2,Apresentação!$I$5='Base de Dados e filtragem'!L941),1,0)</f>
        <v>1</v>
      </c>
      <c r="AQ941" s="25">
        <f>IF(OR(Apresentação!$I$6='Base de Dados e filtragem'!AQ$2,Apresentação!$I$6='Base de Dados e filtragem'!M941),1,0)</f>
        <v>1</v>
      </c>
      <c r="AR941" s="25">
        <v>1</v>
      </c>
      <c r="AS941" s="25">
        <v>1</v>
      </c>
      <c r="AT941" s="25">
        <v>1</v>
      </c>
      <c r="AU941" s="25">
        <v>1</v>
      </c>
      <c r="AV941" s="25">
        <v>1</v>
      </c>
      <c r="AW941" s="25">
        <v>1</v>
      </c>
      <c r="AX941" s="25">
        <v>1</v>
      </c>
      <c r="AY941" s="25">
        <v>1</v>
      </c>
      <c r="AZ941" s="25">
        <v>1</v>
      </c>
      <c r="BA941" s="25">
        <v>1</v>
      </c>
      <c r="BB941" s="25">
        <v>1</v>
      </c>
      <c r="BC941" s="25">
        <v>1</v>
      </c>
      <c r="BD941" s="25">
        <v>1</v>
      </c>
    </row>
    <row r="942" spans="27:56" x14ac:dyDescent="0.25">
      <c r="AA942" s="68" t="str">
        <f t="shared" si="57"/>
        <v>Fotos\\.jpg</v>
      </c>
      <c r="AB942" s="53">
        <f t="shared" si="58"/>
        <v>1.0615711252653928E-3</v>
      </c>
      <c r="AC942" s="25">
        <f t="shared" si="59"/>
        <v>942</v>
      </c>
      <c r="AD942" s="51">
        <f t="shared" si="60"/>
        <v>1</v>
      </c>
      <c r="AE942" s="25">
        <v>1</v>
      </c>
      <c r="AF942" s="25">
        <v>1</v>
      </c>
      <c r="AG942" s="25">
        <v>1</v>
      </c>
      <c r="AH942" s="25">
        <v>1</v>
      </c>
      <c r="AI942" s="25">
        <f>IF(OR(Apresentação!$E$3='Base de Dados e filtragem'!AI$2,Apresentação!$E$3='Base de Dados e filtragem'!E942),1,0)</f>
        <v>1</v>
      </c>
      <c r="AJ942" s="25">
        <f>IF(OR(Apresentação!$E$4='Base de Dados e filtragem'!AJ$2,Apresentação!$E$4='Base de Dados e filtragem'!F942),1,0)</f>
        <v>1</v>
      </c>
      <c r="AK942" s="25">
        <f>IF(OR(Apresentação!$E$5='Base de Dados e filtragem'!AK$2,Apresentação!$E$5='Base de Dados e filtragem'!G942),1,0)</f>
        <v>1</v>
      </c>
      <c r="AL942" s="25">
        <f>IF(OR(Apresentação!$E$6='Base de Dados e filtragem'!AL$2,Apresentação!$E$6='Base de Dados e filtragem'!H942),1,0)</f>
        <v>1</v>
      </c>
      <c r="AM942" s="25">
        <f>IF(OR(Apresentação!$I$2='Base de Dados e filtragem'!AM$2,Apresentação!$I$2='Base de Dados e filtragem'!I942),1,0)</f>
        <v>1</v>
      </c>
      <c r="AN942" s="25">
        <f>IF(OR(Apresentação!$I$3='Base de Dados e filtragem'!AN$2,Apresentação!$I$3='Base de Dados e filtragem'!J942),1,0)</f>
        <v>1</v>
      </c>
      <c r="AO942" s="25">
        <f>IF(OR(Apresentação!$I$4='Base de Dados e filtragem'!AO$2,Apresentação!$I$4='Base de Dados e filtragem'!K942),1,0)</f>
        <v>1</v>
      </c>
      <c r="AP942" s="25">
        <f>IF(OR(Apresentação!$I$5='Base de Dados e filtragem'!AP$2,Apresentação!$I$5='Base de Dados e filtragem'!L942),1,0)</f>
        <v>1</v>
      </c>
      <c r="AQ942" s="25">
        <f>IF(OR(Apresentação!$I$6='Base de Dados e filtragem'!AQ$2,Apresentação!$I$6='Base de Dados e filtragem'!M942),1,0)</f>
        <v>1</v>
      </c>
      <c r="AR942" s="25">
        <v>1</v>
      </c>
      <c r="AS942" s="25">
        <v>1</v>
      </c>
      <c r="AT942" s="25">
        <v>1</v>
      </c>
      <c r="AU942" s="25">
        <v>1</v>
      </c>
      <c r="AV942" s="25">
        <v>1</v>
      </c>
      <c r="AW942" s="25">
        <v>1</v>
      </c>
      <c r="AX942" s="25">
        <v>1</v>
      </c>
      <c r="AY942" s="25">
        <v>1</v>
      </c>
      <c r="AZ942" s="25">
        <v>1</v>
      </c>
      <c r="BA942" s="25">
        <v>1</v>
      </c>
      <c r="BB942" s="25">
        <v>1</v>
      </c>
      <c r="BC942" s="25">
        <v>1</v>
      </c>
      <c r="BD942" s="25">
        <v>1</v>
      </c>
    </row>
    <row r="943" spans="27:56" x14ac:dyDescent="0.25">
      <c r="AA943" s="68" t="str">
        <f t="shared" si="57"/>
        <v>Fotos\\.jpg</v>
      </c>
      <c r="AB943" s="53">
        <f t="shared" si="58"/>
        <v>1.0604453870625664E-3</v>
      </c>
      <c r="AC943" s="25">
        <f t="shared" si="59"/>
        <v>943</v>
      </c>
      <c r="AD943" s="51">
        <f t="shared" si="60"/>
        <v>1</v>
      </c>
      <c r="AE943" s="25">
        <v>1</v>
      </c>
      <c r="AF943" s="25">
        <v>1</v>
      </c>
      <c r="AG943" s="25">
        <v>1</v>
      </c>
      <c r="AH943" s="25">
        <v>1</v>
      </c>
      <c r="AI943" s="25">
        <f>IF(OR(Apresentação!$E$3='Base de Dados e filtragem'!AI$2,Apresentação!$E$3='Base de Dados e filtragem'!E943),1,0)</f>
        <v>1</v>
      </c>
      <c r="AJ943" s="25">
        <f>IF(OR(Apresentação!$E$4='Base de Dados e filtragem'!AJ$2,Apresentação!$E$4='Base de Dados e filtragem'!F943),1,0)</f>
        <v>1</v>
      </c>
      <c r="AK943" s="25">
        <f>IF(OR(Apresentação!$E$5='Base de Dados e filtragem'!AK$2,Apresentação!$E$5='Base de Dados e filtragem'!G943),1,0)</f>
        <v>1</v>
      </c>
      <c r="AL943" s="25">
        <f>IF(OR(Apresentação!$E$6='Base de Dados e filtragem'!AL$2,Apresentação!$E$6='Base de Dados e filtragem'!H943),1,0)</f>
        <v>1</v>
      </c>
      <c r="AM943" s="25">
        <f>IF(OR(Apresentação!$I$2='Base de Dados e filtragem'!AM$2,Apresentação!$I$2='Base de Dados e filtragem'!I943),1,0)</f>
        <v>1</v>
      </c>
      <c r="AN943" s="25">
        <f>IF(OR(Apresentação!$I$3='Base de Dados e filtragem'!AN$2,Apresentação!$I$3='Base de Dados e filtragem'!J943),1,0)</f>
        <v>1</v>
      </c>
      <c r="AO943" s="25">
        <f>IF(OR(Apresentação!$I$4='Base de Dados e filtragem'!AO$2,Apresentação!$I$4='Base de Dados e filtragem'!K943),1,0)</f>
        <v>1</v>
      </c>
      <c r="AP943" s="25">
        <f>IF(OR(Apresentação!$I$5='Base de Dados e filtragem'!AP$2,Apresentação!$I$5='Base de Dados e filtragem'!L943),1,0)</f>
        <v>1</v>
      </c>
      <c r="AQ943" s="25">
        <f>IF(OR(Apresentação!$I$6='Base de Dados e filtragem'!AQ$2,Apresentação!$I$6='Base de Dados e filtragem'!M943),1,0)</f>
        <v>1</v>
      </c>
      <c r="AR943" s="25">
        <v>1</v>
      </c>
      <c r="AS943" s="25">
        <v>1</v>
      </c>
      <c r="AT943" s="25">
        <v>1</v>
      </c>
      <c r="AU943" s="25">
        <v>1</v>
      </c>
      <c r="AV943" s="25">
        <v>1</v>
      </c>
      <c r="AW943" s="25">
        <v>1</v>
      </c>
      <c r="AX943" s="25">
        <v>1</v>
      </c>
      <c r="AY943" s="25">
        <v>1</v>
      </c>
      <c r="AZ943" s="25">
        <v>1</v>
      </c>
      <c r="BA943" s="25">
        <v>1</v>
      </c>
      <c r="BB943" s="25">
        <v>1</v>
      </c>
      <c r="BC943" s="25">
        <v>1</v>
      </c>
      <c r="BD943" s="25">
        <v>1</v>
      </c>
    </row>
    <row r="944" spans="27:56" x14ac:dyDescent="0.25">
      <c r="AA944" s="68" t="str">
        <f t="shared" si="57"/>
        <v>Fotos\\.jpg</v>
      </c>
      <c r="AB944" s="53">
        <f t="shared" si="58"/>
        <v>1.0593220338983051E-3</v>
      </c>
      <c r="AC944" s="25">
        <f t="shared" si="59"/>
        <v>944</v>
      </c>
      <c r="AD944" s="51">
        <f t="shared" si="60"/>
        <v>1</v>
      </c>
      <c r="AE944" s="25">
        <v>1</v>
      </c>
      <c r="AF944" s="25">
        <v>1</v>
      </c>
      <c r="AG944" s="25">
        <v>1</v>
      </c>
      <c r="AH944" s="25">
        <v>1</v>
      </c>
      <c r="AI944" s="25">
        <f>IF(OR(Apresentação!$E$3='Base de Dados e filtragem'!AI$2,Apresentação!$E$3='Base de Dados e filtragem'!E944),1,0)</f>
        <v>1</v>
      </c>
      <c r="AJ944" s="25">
        <f>IF(OR(Apresentação!$E$4='Base de Dados e filtragem'!AJ$2,Apresentação!$E$4='Base de Dados e filtragem'!F944),1,0)</f>
        <v>1</v>
      </c>
      <c r="AK944" s="25">
        <f>IF(OR(Apresentação!$E$5='Base de Dados e filtragem'!AK$2,Apresentação!$E$5='Base de Dados e filtragem'!G944),1,0)</f>
        <v>1</v>
      </c>
      <c r="AL944" s="25">
        <f>IF(OR(Apresentação!$E$6='Base de Dados e filtragem'!AL$2,Apresentação!$E$6='Base de Dados e filtragem'!H944),1,0)</f>
        <v>1</v>
      </c>
      <c r="AM944" s="25">
        <f>IF(OR(Apresentação!$I$2='Base de Dados e filtragem'!AM$2,Apresentação!$I$2='Base de Dados e filtragem'!I944),1,0)</f>
        <v>1</v>
      </c>
      <c r="AN944" s="25">
        <f>IF(OR(Apresentação!$I$3='Base de Dados e filtragem'!AN$2,Apresentação!$I$3='Base de Dados e filtragem'!J944),1,0)</f>
        <v>1</v>
      </c>
      <c r="AO944" s="25">
        <f>IF(OR(Apresentação!$I$4='Base de Dados e filtragem'!AO$2,Apresentação!$I$4='Base de Dados e filtragem'!K944),1,0)</f>
        <v>1</v>
      </c>
      <c r="AP944" s="25">
        <f>IF(OR(Apresentação!$I$5='Base de Dados e filtragem'!AP$2,Apresentação!$I$5='Base de Dados e filtragem'!L944),1,0)</f>
        <v>1</v>
      </c>
      <c r="AQ944" s="25">
        <f>IF(OR(Apresentação!$I$6='Base de Dados e filtragem'!AQ$2,Apresentação!$I$6='Base de Dados e filtragem'!M944),1,0)</f>
        <v>1</v>
      </c>
      <c r="AR944" s="25">
        <v>1</v>
      </c>
      <c r="AS944" s="25">
        <v>1</v>
      </c>
      <c r="AT944" s="25">
        <v>1</v>
      </c>
      <c r="AU944" s="25">
        <v>1</v>
      </c>
      <c r="AV944" s="25">
        <v>1</v>
      </c>
      <c r="AW944" s="25">
        <v>1</v>
      </c>
      <c r="AX944" s="25">
        <v>1</v>
      </c>
      <c r="AY944" s="25">
        <v>1</v>
      </c>
      <c r="AZ944" s="25">
        <v>1</v>
      </c>
      <c r="BA944" s="25">
        <v>1</v>
      </c>
      <c r="BB944" s="25">
        <v>1</v>
      </c>
      <c r="BC944" s="25">
        <v>1</v>
      </c>
      <c r="BD944" s="25">
        <v>1</v>
      </c>
    </row>
    <row r="945" spans="27:56" x14ac:dyDescent="0.25">
      <c r="AA945" s="68" t="str">
        <f t="shared" si="57"/>
        <v>Fotos\\.jpg</v>
      </c>
      <c r="AB945" s="53">
        <f t="shared" si="58"/>
        <v>1.0582010582010583E-3</v>
      </c>
      <c r="AC945" s="25">
        <f t="shared" si="59"/>
        <v>945</v>
      </c>
      <c r="AD945" s="51">
        <f t="shared" si="60"/>
        <v>1</v>
      </c>
      <c r="AE945" s="25">
        <v>1</v>
      </c>
      <c r="AF945" s="25">
        <v>1</v>
      </c>
      <c r="AG945" s="25">
        <v>1</v>
      </c>
      <c r="AH945" s="25">
        <v>1</v>
      </c>
      <c r="AI945" s="25">
        <f>IF(OR(Apresentação!$E$3='Base de Dados e filtragem'!AI$2,Apresentação!$E$3='Base de Dados e filtragem'!E945),1,0)</f>
        <v>1</v>
      </c>
      <c r="AJ945" s="25">
        <f>IF(OR(Apresentação!$E$4='Base de Dados e filtragem'!AJ$2,Apresentação!$E$4='Base de Dados e filtragem'!F945),1,0)</f>
        <v>1</v>
      </c>
      <c r="AK945" s="25">
        <f>IF(OR(Apresentação!$E$5='Base de Dados e filtragem'!AK$2,Apresentação!$E$5='Base de Dados e filtragem'!G945),1,0)</f>
        <v>1</v>
      </c>
      <c r="AL945" s="25">
        <f>IF(OR(Apresentação!$E$6='Base de Dados e filtragem'!AL$2,Apresentação!$E$6='Base de Dados e filtragem'!H945),1,0)</f>
        <v>1</v>
      </c>
      <c r="AM945" s="25">
        <f>IF(OR(Apresentação!$I$2='Base de Dados e filtragem'!AM$2,Apresentação!$I$2='Base de Dados e filtragem'!I945),1,0)</f>
        <v>1</v>
      </c>
      <c r="AN945" s="25">
        <f>IF(OR(Apresentação!$I$3='Base de Dados e filtragem'!AN$2,Apresentação!$I$3='Base de Dados e filtragem'!J945),1,0)</f>
        <v>1</v>
      </c>
      <c r="AO945" s="25">
        <f>IF(OR(Apresentação!$I$4='Base de Dados e filtragem'!AO$2,Apresentação!$I$4='Base de Dados e filtragem'!K945),1,0)</f>
        <v>1</v>
      </c>
      <c r="AP945" s="25">
        <f>IF(OR(Apresentação!$I$5='Base de Dados e filtragem'!AP$2,Apresentação!$I$5='Base de Dados e filtragem'!L945),1,0)</f>
        <v>1</v>
      </c>
      <c r="AQ945" s="25">
        <f>IF(OR(Apresentação!$I$6='Base de Dados e filtragem'!AQ$2,Apresentação!$I$6='Base de Dados e filtragem'!M945),1,0)</f>
        <v>1</v>
      </c>
      <c r="AR945" s="25">
        <v>1</v>
      </c>
      <c r="AS945" s="25">
        <v>1</v>
      </c>
      <c r="AT945" s="25">
        <v>1</v>
      </c>
      <c r="AU945" s="25">
        <v>1</v>
      </c>
      <c r="AV945" s="25">
        <v>1</v>
      </c>
      <c r="AW945" s="25">
        <v>1</v>
      </c>
      <c r="AX945" s="25">
        <v>1</v>
      </c>
      <c r="AY945" s="25">
        <v>1</v>
      </c>
      <c r="AZ945" s="25">
        <v>1</v>
      </c>
      <c r="BA945" s="25">
        <v>1</v>
      </c>
      <c r="BB945" s="25">
        <v>1</v>
      </c>
      <c r="BC945" s="25">
        <v>1</v>
      </c>
      <c r="BD945" s="25">
        <v>1</v>
      </c>
    </row>
    <row r="946" spans="27:56" x14ac:dyDescent="0.25">
      <c r="AA946" s="68" t="str">
        <f t="shared" si="57"/>
        <v>Fotos\\.jpg</v>
      </c>
      <c r="AB946" s="53">
        <f t="shared" si="58"/>
        <v>1.0570824524312897E-3</v>
      </c>
      <c r="AC946" s="25">
        <f t="shared" si="59"/>
        <v>946</v>
      </c>
      <c r="AD946" s="51">
        <f t="shared" si="60"/>
        <v>1</v>
      </c>
      <c r="AE946" s="25">
        <v>1</v>
      </c>
      <c r="AF946" s="25">
        <v>1</v>
      </c>
      <c r="AG946" s="25">
        <v>1</v>
      </c>
      <c r="AH946" s="25">
        <v>1</v>
      </c>
      <c r="AI946" s="25">
        <f>IF(OR(Apresentação!$E$3='Base de Dados e filtragem'!AI$2,Apresentação!$E$3='Base de Dados e filtragem'!E946),1,0)</f>
        <v>1</v>
      </c>
      <c r="AJ946" s="25">
        <f>IF(OR(Apresentação!$E$4='Base de Dados e filtragem'!AJ$2,Apresentação!$E$4='Base de Dados e filtragem'!F946),1,0)</f>
        <v>1</v>
      </c>
      <c r="AK946" s="25">
        <f>IF(OR(Apresentação!$E$5='Base de Dados e filtragem'!AK$2,Apresentação!$E$5='Base de Dados e filtragem'!G946),1,0)</f>
        <v>1</v>
      </c>
      <c r="AL946" s="25">
        <f>IF(OR(Apresentação!$E$6='Base de Dados e filtragem'!AL$2,Apresentação!$E$6='Base de Dados e filtragem'!H946),1,0)</f>
        <v>1</v>
      </c>
      <c r="AM946" s="25">
        <f>IF(OR(Apresentação!$I$2='Base de Dados e filtragem'!AM$2,Apresentação!$I$2='Base de Dados e filtragem'!I946),1,0)</f>
        <v>1</v>
      </c>
      <c r="AN946" s="25">
        <f>IF(OR(Apresentação!$I$3='Base de Dados e filtragem'!AN$2,Apresentação!$I$3='Base de Dados e filtragem'!J946),1,0)</f>
        <v>1</v>
      </c>
      <c r="AO946" s="25">
        <f>IF(OR(Apresentação!$I$4='Base de Dados e filtragem'!AO$2,Apresentação!$I$4='Base de Dados e filtragem'!K946),1,0)</f>
        <v>1</v>
      </c>
      <c r="AP946" s="25">
        <f>IF(OR(Apresentação!$I$5='Base de Dados e filtragem'!AP$2,Apresentação!$I$5='Base de Dados e filtragem'!L946),1,0)</f>
        <v>1</v>
      </c>
      <c r="AQ946" s="25">
        <f>IF(OR(Apresentação!$I$6='Base de Dados e filtragem'!AQ$2,Apresentação!$I$6='Base de Dados e filtragem'!M946),1,0)</f>
        <v>1</v>
      </c>
      <c r="AR946" s="25">
        <v>1</v>
      </c>
      <c r="AS946" s="25">
        <v>1</v>
      </c>
      <c r="AT946" s="25">
        <v>1</v>
      </c>
      <c r="AU946" s="25">
        <v>1</v>
      </c>
      <c r="AV946" s="25">
        <v>1</v>
      </c>
      <c r="AW946" s="25">
        <v>1</v>
      </c>
      <c r="AX946" s="25">
        <v>1</v>
      </c>
      <c r="AY946" s="25">
        <v>1</v>
      </c>
      <c r="AZ946" s="25">
        <v>1</v>
      </c>
      <c r="BA946" s="25">
        <v>1</v>
      </c>
      <c r="BB946" s="25">
        <v>1</v>
      </c>
      <c r="BC946" s="25">
        <v>1</v>
      </c>
      <c r="BD946" s="25">
        <v>1</v>
      </c>
    </row>
    <row r="947" spans="27:56" x14ac:dyDescent="0.25">
      <c r="AA947" s="68" t="str">
        <f t="shared" si="57"/>
        <v>Fotos\\.jpg</v>
      </c>
      <c r="AB947" s="53">
        <f t="shared" si="58"/>
        <v>1.0559662090813093E-3</v>
      </c>
      <c r="AC947" s="25">
        <f t="shared" si="59"/>
        <v>947</v>
      </c>
      <c r="AD947" s="51">
        <f t="shared" si="60"/>
        <v>1</v>
      </c>
      <c r="AE947" s="25">
        <v>1</v>
      </c>
      <c r="AF947" s="25">
        <v>1</v>
      </c>
      <c r="AG947" s="25">
        <v>1</v>
      </c>
      <c r="AH947" s="25">
        <v>1</v>
      </c>
      <c r="AI947" s="25">
        <f>IF(OR(Apresentação!$E$3='Base de Dados e filtragem'!AI$2,Apresentação!$E$3='Base de Dados e filtragem'!E947),1,0)</f>
        <v>1</v>
      </c>
      <c r="AJ947" s="25">
        <f>IF(OR(Apresentação!$E$4='Base de Dados e filtragem'!AJ$2,Apresentação!$E$4='Base de Dados e filtragem'!F947),1,0)</f>
        <v>1</v>
      </c>
      <c r="AK947" s="25">
        <f>IF(OR(Apresentação!$E$5='Base de Dados e filtragem'!AK$2,Apresentação!$E$5='Base de Dados e filtragem'!G947),1,0)</f>
        <v>1</v>
      </c>
      <c r="AL947" s="25">
        <f>IF(OR(Apresentação!$E$6='Base de Dados e filtragem'!AL$2,Apresentação!$E$6='Base de Dados e filtragem'!H947),1,0)</f>
        <v>1</v>
      </c>
      <c r="AM947" s="25">
        <f>IF(OR(Apresentação!$I$2='Base de Dados e filtragem'!AM$2,Apresentação!$I$2='Base de Dados e filtragem'!I947),1,0)</f>
        <v>1</v>
      </c>
      <c r="AN947" s="25">
        <f>IF(OR(Apresentação!$I$3='Base de Dados e filtragem'!AN$2,Apresentação!$I$3='Base de Dados e filtragem'!J947),1,0)</f>
        <v>1</v>
      </c>
      <c r="AO947" s="25">
        <f>IF(OR(Apresentação!$I$4='Base de Dados e filtragem'!AO$2,Apresentação!$I$4='Base de Dados e filtragem'!K947),1,0)</f>
        <v>1</v>
      </c>
      <c r="AP947" s="25">
        <f>IF(OR(Apresentação!$I$5='Base de Dados e filtragem'!AP$2,Apresentação!$I$5='Base de Dados e filtragem'!L947),1,0)</f>
        <v>1</v>
      </c>
      <c r="AQ947" s="25">
        <f>IF(OR(Apresentação!$I$6='Base de Dados e filtragem'!AQ$2,Apresentação!$I$6='Base de Dados e filtragem'!M947),1,0)</f>
        <v>1</v>
      </c>
      <c r="AR947" s="25">
        <v>1</v>
      </c>
      <c r="AS947" s="25">
        <v>1</v>
      </c>
      <c r="AT947" s="25">
        <v>1</v>
      </c>
      <c r="AU947" s="25">
        <v>1</v>
      </c>
      <c r="AV947" s="25">
        <v>1</v>
      </c>
      <c r="AW947" s="25">
        <v>1</v>
      </c>
      <c r="AX947" s="25">
        <v>1</v>
      </c>
      <c r="AY947" s="25">
        <v>1</v>
      </c>
      <c r="AZ947" s="25">
        <v>1</v>
      </c>
      <c r="BA947" s="25">
        <v>1</v>
      </c>
      <c r="BB947" s="25">
        <v>1</v>
      </c>
      <c r="BC947" s="25">
        <v>1</v>
      </c>
      <c r="BD947" s="25">
        <v>1</v>
      </c>
    </row>
    <row r="948" spans="27:56" x14ac:dyDescent="0.25">
      <c r="AA948" s="68" t="str">
        <f t="shared" si="57"/>
        <v>Fotos\\.jpg</v>
      </c>
      <c r="AB948" s="53">
        <f t="shared" si="58"/>
        <v>1.0548523206751054E-3</v>
      </c>
      <c r="AC948" s="25">
        <f t="shared" si="59"/>
        <v>948</v>
      </c>
      <c r="AD948" s="51">
        <f t="shared" si="60"/>
        <v>1</v>
      </c>
      <c r="AE948" s="25">
        <v>1</v>
      </c>
      <c r="AF948" s="25">
        <v>1</v>
      </c>
      <c r="AG948" s="25">
        <v>1</v>
      </c>
      <c r="AH948" s="25">
        <v>1</v>
      </c>
      <c r="AI948" s="25">
        <f>IF(OR(Apresentação!$E$3='Base de Dados e filtragem'!AI$2,Apresentação!$E$3='Base de Dados e filtragem'!E948),1,0)</f>
        <v>1</v>
      </c>
      <c r="AJ948" s="25">
        <f>IF(OR(Apresentação!$E$4='Base de Dados e filtragem'!AJ$2,Apresentação!$E$4='Base de Dados e filtragem'!F948),1,0)</f>
        <v>1</v>
      </c>
      <c r="AK948" s="25">
        <f>IF(OR(Apresentação!$E$5='Base de Dados e filtragem'!AK$2,Apresentação!$E$5='Base de Dados e filtragem'!G948),1,0)</f>
        <v>1</v>
      </c>
      <c r="AL948" s="25">
        <f>IF(OR(Apresentação!$E$6='Base de Dados e filtragem'!AL$2,Apresentação!$E$6='Base de Dados e filtragem'!H948),1,0)</f>
        <v>1</v>
      </c>
      <c r="AM948" s="25">
        <f>IF(OR(Apresentação!$I$2='Base de Dados e filtragem'!AM$2,Apresentação!$I$2='Base de Dados e filtragem'!I948),1,0)</f>
        <v>1</v>
      </c>
      <c r="AN948" s="25">
        <f>IF(OR(Apresentação!$I$3='Base de Dados e filtragem'!AN$2,Apresentação!$I$3='Base de Dados e filtragem'!J948),1,0)</f>
        <v>1</v>
      </c>
      <c r="AO948" s="25">
        <f>IF(OR(Apresentação!$I$4='Base de Dados e filtragem'!AO$2,Apresentação!$I$4='Base de Dados e filtragem'!K948),1,0)</f>
        <v>1</v>
      </c>
      <c r="AP948" s="25">
        <f>IF(OR(Apresentação!$I$5='Base de Dados e filtragem'!AP$2,Apresentação!$I$5='Base de Dados e filtragem'!L948),1,0)</f>
        <v>1</v>
      </c>
      <c r="AQ948" s="25">
        <f>IF(OR(Apresentação!$I$6='Base de Dados e filtragem'!AQ$2,Apresentação!$I$6='Base de Dados e filtragem'!M948),1,0)</f>
        <v>1</v>
      </c>
      <c r="AR948" s="25">
        <v>1</v>
      </c>
      <c r="AS948" s="25">
        <v>1</v>
      </c>
      <c r="AT948" s="25">
        <v>1</v>
      </c>
      <c r="AU948" s="25">
        <v>1</v>
      </c>
      <c r="AV948" s="25">
        <v>1</v>
      </c>
      <c r="AW948" s="25">
        <v>1</v>
      </c>
      <c r="AX948" s="25">
        <v>1</v>
      </c>
      <c r="AY948" s="25">
        <v>1</v>
      </c>
      <c r="AZ948" s="25">
        <v>1</v>
      </c>
      <c r="BA948" s="25">
        <v>1</v>
      </c>
      <c r="BB948" s="25">
        <v>1</v>
      </c>
      <c r="BC948" s="25">
        <v>1</v>
      </c>
      <c r="BD948" s="25">
        <v>1</v>
      </c>
    </row>
    <row r="949" spans="27:56" x14ac:dyDescent="0.25">
      <c r="AA949" s="68" t="str">
        <f t="shared" si="57"/>
        <v>Fotos\\.jpg</v>
      </c>
      <c r="AB949" s="53">
        <f t="shared" si="58"/>
        <v>1.053740779768177E-3</v>
      </c>
      <c r="AC949" s="25">
        <f t="shared" si="59"/>
        <v>949</v>
      </c>
      <c r="AD949" s="51">
        <f t="shared" si="60"/>
        <v>1</v>
      </c>
      <c r="AE949" s="25">
        <v>1</v>
      </c>
      <c r="AF949" s="25">
        <v>1</v>
      </c>
      <c r="AG949" s="25">
        <v>1</v>
      </c>
      <c r="AH949" s="25">
        <v>1</v>
      </c>
      <c r="AI949" s="25">
        <f>IF(OR(Apresentação!$E$3='Base de Dados e filtragem'!AI$2,Apresentação!$E$3='Base de Dados e filtragem'!E949),1,0)</f>
        <v>1</v>
      </c>
      <c r="AJ949" s="25">
        <f>IF(OR(Apresentação!$E$4='Base de Dados e filtragem'!AJ$2,Apresentação!$E$4='Base de Dados e filtragem'!F949),1,0)</f>
        <v>1</v>
      </c>
      <c r="AK949" s="25">
        <f>IF(OR(Apresentação!$E$5='Base de Dados e filtragem'!AK$2,Apresentação!$E$5='Base de Dados e filtragem'!G949),1,0)</f>
        <v>1</v>
      </c>
      <c r="AL949" s="25">
        <f>IF(OR(Apresentação!$E$6='Base de Dados e filtragem'!AL$2,Apresentação!$E$6='Base de Dados e filtragem'!H949),1,0)</f>
        <v>1</v>
      </c>
      <c r="AM949" s="25">
        <f>IF(OR(Apresentação!$I$2='Base de Dados e filtragem'!AM$2,Apresentação!$I$2='Base de Dados e filtragem'!I949),1,0)</f>
        <v>1</v>
      </c>
      <c r="AN949" s="25">
        <f>IF(OR(Apresentação!$I$3='Base de Dados e filtragem'!AN$2,Apresentação!$I$3='Base de Dados e filtragem'!J949),1,0)</f>
        <v>1</v>
      </c>
      <c r="AO949" s="25">
        <f>IF(OR(Apresentação!$I$4='Base de Dados e filtragem'!AO$2,Apresentação!$I$4='Base de Dados e filtragem'!K949),1,0)</f>
        <v>1</v>
      </c>
      <c r="AP949" s="25">
        <f>IF(OR(Apresentação!$I$5='Base de Dados e filtragem'!AP$2,Apresentação!$I$5='Base de Dados e filtragem'!L949),1,0)</f>
        <v>1</v>
      </c>
      <c r="AQ949" s="25">
        <f>IF(OR(Apresentação!$I$6='Base de Dados e filtragem'!AQ$2,Apresentação!$I$6='Base de Dados e filtragem'!M949),1,0)</f>
        <v>1</v>
      </c>
      <c r="AR949" s="25">
        <v>1</v>
      </c>
      <c r="AS949" s="25">
        <v>1</v>
      </c>
      <c r="AT949" s="25">
        <v>1</v>
      </c>
      <c r="AU949" s="25">
        <v>1</v>
      </c>
      <c r="AV949" s="25">
        <v>1</v>
      </c>
      <c r="AW949" s="25">
        <v>1</v>
      </c>
      <c r="AX949" s="25">
        <v>1</v>
      </c>
      <c r="AY949" s="25">
        <v>1</v>
      </c>
      <c r="AZ949" s="25">
        <v>1</v>
      </c>
      <c r="BA949" s="25">
        <v>1</v>
      </c>
      <c r="BB949" s="25">
        <v>1</v>
      </c>
      <c r="BC949" s="25">
        <v>1</v>
      </c>
      <c r="BD949" s="25">
        <v>1</v>
      </c>
    </row>
    <row r="950" spans="27:56" x14ac:dyDescent="0.25">
      <c r="AA950" s="68" t="str">
        <f t="shared" si="57"/>
        <v>Fotos\\.jpg</v>
      </c>
      <c r="AB950" s="53">
        <f t="shared" si="58"/>
        <v>1.0526315789473684E-3</v>
      </c>
      <c r="AC950" s="25">
        <f t="shared" si="59"/>
        <v>950</v>
      </c>
      <c r="AD950" s="51">
        <f t="shared" si="60"/>
        <v>1</v>
      </c>
      <c r="AE950" s="25">
        <v>1</v>
      </c>
      <c r="AF950" s="25">
        <v>1</v>
      </c>
      <c r="AG950" s="25">
        <v>1</v>
      </c>
      <c r="AH950" s="25">
        <v>1</v>
      </c>
      <c r="AI950" s="25">
        <f>IF(OR(Apresentação!$E$3='Base de Dados e filtragem'!AI$2,Apresentação!$E$3='Base de Dados e filtragem'!E950),1,0)</f>
        <v>1</v>
      </c>
      <c r="AJ950" s="25">
        <f>IF(OR(Apresentação!$E$4='Base de Dados e filtragem'!AJ$2,Apresentação!$E$4='Base de Dados e filtragem'!F950),1,0)</f>
        <v>1</v>
      </c>
      <c r="AK950" s="25">
        <f>IF(OR(Apresentação!$E$5='Base de Dados e filtragem'!AK$2,Apresentação!$E$5='Base de Dados e filtragem'!G950),1,0)</f>
        <v>1</v>
      </c>
      <c r="AL950" s="25">
        <f>IF(OR(Apresentação!$E$6='Base de Dados e filtragem'!AL$2,Apresentação!$E$6='Base de Dados e filtragem'!H950),1,0)</f>
        <v>1</v>
      </c>
      <c r="AM950" s="25">
        <f>IF(OR(Apresentação!$I$2='Base de Dados e filtragem'!AM$2,Apresentação!$I$2='Base de Dados e filtragem'!I950),1,0)</f>
        <v>1</v>
      </c>
      <c r="AN950" s="25">
        <f>IF(OR(Apresentação!$I$3='Base de Dados e filtragem'!AN$2,Apresentação!$I$3='Base de Dados e filtragem'!J950),1,0)</f>
        <v>1</v>
      </c>
      <c r="AO950" s="25">
        <f>IF(OR(Apresentação!$I$4='Base de Dados e filtragem'!AO$2,Apresentação!$I$4='Base de Dados e filtragem'!K950),1,0)</f>
        <v>1</v>
      </c>
      <c r="AP950" s="25">
        <f>IF(OR(Apresentação!$I$5='Base de Dados e filtragem'!AP$2,Apresentação!$I$5='Base de Dados e filtragem'!L950),1,0)</f>
        <v>1</v>
      </c>
      <c r="AQ950" s="25">
        <f>IF(OR(Apresentação!$I$6='Base de Dados e filtragem'!AQ$2,Apresentação!$I$6='Base de Dados e filtragem'!M950),1,0)</f>
        <v>1</v>
      </c>
      <c r="AR950" s="25">
        <v>1</v>
      </c>
      <c r="AS950" s="25">
        <v>1</v>
      </c>
      <c r="AT950" s="25">
        <v>1</v>
      </c>
      <c r="AU950" s="25">
        <v>1</v>
      </c>
      <c r="AV950" s="25">
        <v>1</v>
      </c>
      <c r="AW950" s="25">
        <v>1</v>
      </c>
      <c r="AX950" s="25">
        <v>1</v>
      </c>
      <c r="AY950" s="25">
        <v>1</v>
      </c>
      <c r="AZ950" s="25">
        <v>1</v>
      </c>
      <c r="BA950" s="25">
        <v>1</v>
      </c>
      <c r="BB950" s="25">
        <v>1</v>
      </c>
      <c r="BC950" s="25">
        <v>1</v>
      </c>
      <c r="BD950" s="25">
        <v>1</v>
      </c>
    </row>
    <row r="951" spans="27:56" x14ac:dyDescent="0.25">
      <c r="AA951" s="68" t="str">
        <f t="shared" si="57"/>
        <v>Fotos\\.jpg</v>
      </c>
      <c r="AB951" s="53">
        <f t="shared" si="58"/>
        <v>1.0515247108307045E-3</v>
      </c>
      <c r="AC951" s="25">
        <f t="shared" si="59"/>
        <v>951</v>
      </c>
      <c r="AD951" s="51">
        <f t="shared" si="60"/>
        <v>1</v>
      </c>
      <c r="AE951" s="25">
        <v>1</v>
      </c>
      <c r="AF951" s="25">
        <v>1</v>
      </c>
      <c r="AG951" s="25">
        <v>1</v>
      </c>
      <c r="AH951" s="25">
        <v>1</v>
      </c>
      <c r="AI951" s="25">
        <f>IF(OR(Apresentação!$E$3='Base de Dados e filtragem'!AI$2,Apresentação!$E$3='Base de Dados e filtragem'!E951),1,0)</f>
        <v>1</v>
      </c>
      <c r="AJ951" s="25">
        <f>IF(OR(Apresentação!$E$4='Base de Dados e filtragem'!AJ$2,Apresentação!$E$4='Base de Dados e filtragem'!F951),1,0)</f>
        <v>1</v>
      </c>
      <c r="AK951" s="25">
        <f>IF(OR(Apresentação!$E$5='Base de Dados e filtragem'!AK$2,Apresentação!$E$5='Base de Dados e filtragem'!G951),1,0)</f>
        <v>1</v>
      </c>
      <c r="AL951" s="25">
        <f>IF(OR(Apresentação!$E$6='Base de Dados e filtragem'!AL$2,Apresentação!$E$6='Base de Dados e filtragem'!H951),1,0)</f>
        <v>1</v>
      </c>
      <c r="AM951" s="25">
        <f>IF(OR(Apresentação!$I$2='Base de Dados e filtragem'!AM$2,Apresentação!$I$2='Base de Dados e filtragem'!I951),1,0)</f>
        <v>1</v>
      </c>
      <c r="AN951" s="25">
        <f>IF(OR(Apresentação!$I$3='Base de Dados e filtragem'!AN$2,Apresentação!$I$3='Base de Dados e filtragem'!J951),1,0)</f>
        <v>1</v>
      </c>
      <c r="AO951" s="25">
        <f>IF(OR(Apresentação!$I$4='Base de Dados e filtragem'!AO$2,Apresentação!$I$4='Base de Dados e filtragem'!K951),1,0)</f>
        <v>1</v>
      </c>
      <c r="AP951" s="25">
        <f>IF(OR(Apresentação!$I$5='Base de Dados e filtragem'!AP$2,Apresentação!$I$5='Base de Dados e filtragem'!L951),1,0)</f>
        <v>1</v>
      </c>
      <c r="AQ951" s="25">
        <f>IF(OR(Apresentação!$I$6='Base de Dados e filtragem'!AQ$2,Apresentação!$I$6='Base de Dados e filtragem'!M951),1,0)</f>
        <v>1</v>
      </c>
      <c r="AR951" s="25">
        <v>1</v>
      </c>
      <c r="AS951" s="25">
        <v>1</v>
      </c>
      <c r="AT951" s="25">
        <v>1</v>
      </c>
      <c r="AU951" s="25">
        <v>1</v>
      </c>
      <c r="AV951" s="25">
        <v>1</v>
      </c>
      <c r="AW951" s="25">
        <v>1</v>
      </c>
      <c r="AX951" s="25">
        <v>1</v>
      </c>
      <c r="AY951" s="25">
        <v>1</v>
      </c>
      <c r="AZ951" s="25">
        <v>1</v>
      </c>
      <c r="BA951" s="25">
        <v>1</v>
      </c>
      <c r="BB951" s="25">
        <v>1</v>
      </c>
      <c r="BC951" s="25">
        <v>1</v>
      </c>
      <c r="BD951" s="25">
        <v>1</v>
      </c>
    </row>
    <row r="952" spans="27:56" x14ac:dyDescent="0.25">
      <c r="AA952" s="68" t="str">
        <f t="shared" si="57"/>
        <v>Fotos\\.jpg</v>
      </c>
      <c r="AB952" s="53">
        <f t="shared" si="58"/>
        <v>1.0504201680672268E-3</v>
      </c>
      <c r="AC952" s="25">
        <f t="shared" si="59"/>
        <v>952</v>
      </c>
      <c r="AD952" s="51">
        <f t="shared" si="60"/>
        <v>1</v>
      </c>
      <c r="AE952" s="25">
        <v>1</v>
      </c>
      <c r="AF952" s="25">
        <v>1</v>
      </c>
      <c r="AG952" s="25">
        <v>1</v>
      </c>
      <c r="AH952" s="25">
        <v>1</v>
      </c>
      <c r="AI952" s="25">
        <f>IF(OR(Apresentação!$E$3='Base de Dados e filtragem'!AI$2,Apresentação!$E$3='Base de Dados e filtragem'!E952),1,0)</f>
        <v>1</v>
      </c>
      <c r="AJ952" s="25">
        <f>IF(OR(Apresentação!$E$4='Base de Dados e filtragem'!AJ$2,Apresentação!$E$4='Base de Dados e filtragem'!F952),1,0)</f>
        <v>1</v>
      </c>
      <c r="AK952" s="25">
        <f>IF(OR(Apresentação!$E$5='Base de Dados e filtragem'!AK$2,Apresentação!$E$5='Base de Dados e filtragem'!G952),1,0)</f>
        <v>1</v>
      </c>
      <c r="AL952" s="25">
        <f>IF(OR(Apresentação!$E$6='Base de Dados e filtragem'!AL$2,Apresentação!$E$6='Base de Dados e filtragem'!H952),1,0)</f>
        <v>1</v>
      </c>
      <c r="AM952" s="25">
        <f>IF(OR(Apresentação!$I$2='Base de Dados e filtragem'!AM$2,Apresentação!$I$2='Base de Dados e filtragem'!I952),1,0)</f>
        <v>1</v>
      </c>
      <c r="AN952" s="25">
        <f>IF(OR(Apresentação!$I$3='Base de Dados e filtragem'!AN$2,Apresentação!$I$3='Base de Dados e filtragem'!J952),1,0)</f>
        <v>1</v>
      </c>
      <c r="AO952" s="25">
        <f>IF(OR(Apresentação!$I$4='Base de Dados e filtragem'!AO$2,Apresentação!$I$4='Base de Dados e filtragem'!K952),1,0)</f>
        <v>1</v>
      </c>
      <c r="AP952" s="25">
        <f>IF(OR(Apresentação!$I$5='Base de Dados e filtragem'!AP$2,Apresentação!$I$5='Base de Dados e filtragem'!L952),1,0)</f>
        <v>1</v>
      </c>
      <c r="AQ952" s="25">
        <f>IF(OR(Apresentação!$I$6='Base de Dados e filtragem'!AQ$2,Apresentação!$I$6='Base de Dados e filtragem'!M952),1,0)</f>
        <v>1</v>
      </c>
      <c r="AR952" s="25">
        <v>1</v>
      </c>
      <c r="AS952" s="25">
        <v>1</v>
      </c>
      <c r="AT952" s="25">
        <v>1</v>
      </c>
      <c r="AU952" s="25">
        <v>1</v>
      </c>
      <c r="AV952" s="25">
        <v>1</v>
      </c>
      <c r="AW952" s="25">
        <v>1</v>
      </c>
      <c r="AX952" s="25">
        <v>1</v>
      </c>
      <c r="AY952" s="25">
        <v>1</v>
      </c>
      <c r="AZ952" s="25">
        <v>1</v>
      </c>
      <c r="BA952" s="25">
        <v>1</v>
      </c>
      <c r="BB952" s="25">
        <v>1</v>
      </c>
      <c r="BC952" s="25">
        <v>1</v>
      </c>
      <c r="BD952" s="25">
        <v>1</v>
      </c>
    </row>
    <row r="953" spans="27:56" x14ac:dyDescent="0.25">
      <c r="AA953" s="68" t="str">
        <f t="shared" si="57"/>
        <v>Fotos\\.jpg</v>
      </c>
      <c r="AB953" s="53">
        <f t="shared" si="58"/>
        <v>1.0493179433368311E-3</v>
      </c>
      <c r="AC953" s="25">
        <f t="shared" si="59"/>
        <v>953</v>
      </c>
      <c r="AD953" s="51">
        <f t="shared" si="60"/>
        <v>1</v>
      </c>
      <c r="AE953" s="25">
        <v>1</v>
      </c>
      <c r="AF953" s="25">
        <v>1</v>
      </c>
      <c r="AG953" s="25">
        <v>1</v>
      </c>
      <c r="AH953" s="25">
        <v>1</v>
      </c>
      <c r="AI953" s="25">
        <f>IF(OR(Apresentação!$E$3='Base de Dados e filtragem'!AI$2,Apresentação!$E$3='Base de Dados e filtragem'!E953),1,0)</f>
        <v>1</v>
      </c>
      <c r="AJ953" s="25">
        <f>IF(OR(Apresentação!$E$4='Base de Dados e filtragem'!AJ$2,Apresentação!$E$4='Base de Dados e filtragem'!F953),1,0)</f>
        <v>1</v>
      </c>
      <c r="AK953" s="25">
        <f>IF(OR(Apresentação!$E$5='Base de Dados e filtragem'!AK$2,Apresentação!$E$5='Base de Dados e filtragem'!G953),1,0)</f>
        <v>1</v>
      </c>
      <c r="AL953" s="25">
        <f>IF(OR(Apresentação!$E$6='Base de Dados e filtragem'!AL$2,Apresentação!$E$6='Base de Dados e filtragem'!H953),1,0)</f>
        <v>1</v>
      </c>
      <c r="AM953" s="25">
        <f>IF(OR(Apresentação!$I$2='Base de Dados e filtragem'!AM$2,Apresentação!$I$2='Base de Dados e filtragem'!I953),1,0)</f>
        <v>1</v>
      </c>
      <c r="AN953" s="25">
        <f>IF(OR(Apresentação!$I$3='Base de Dados e filtragem'!AN$2,Apresentação!$I$3='Base de Dados e filtragem'!J953),1,0)</f>
        <v>1</v>
      </c>
      <c r="AO953" s="25">
        <f>IF(OR(Apresentação!$I$4='Base de Dados e filtragem'!AO$2,Apresentação!$I$4='Base de Dados e filtragem'!K953),1,0)</f>
        <v>1</v>
      </c>
      <c r="AP953" s="25">
        <f>IF(OR(Apresentação!$I$5='Base de Dados e filtragem'!AP$2,Apresentação!$I$5='Base de Dados e filtragem'!L953),1,0)</f>
        <v>1</v>
      </c>
      <c r="AQ953" s="25">
        <f>IF(OR(Apresentação!$I$6='Base de Dados e filtragem'!AQ$2,Apresentação!$I$6='Base de Dados e filtragem'!M953),1,0)</f>
        <v>1</v>
      </c>
      <c r="AR953" s="25">
        <v>1</v>
      </c>
      <c r="AS953" s="25">
        <v>1</v>
      </c>
      <c r="AT953" s="25">
        <v>1</v>
      </c>
      <c r="AU953" s="25">
        <v>1</v>
      </c>
      <c r="AV953" s="25">
        <v>1</v>
      </c>
      <c r="AW953" s="25">
        <v>1</v>
      </c>
      <c r="AX953" s="25">
        <v>1</v>
      </c>
      <c r="AY953" s="25">
        <v>1</v>
      </c>
      <c r="AZ953" s="25">
        <v>1</v>
      </c>
      <c r="BA953" s="25">
        <v>1</v>
      </c>
      <c r="BB953" s="25">
        <v>1</v>
      </c>
      <c r="BC953" s="25">
        <v>1</v>
      </c>
      <c r="BD953" s="25">
        <v>1</v>
      </c>
    </row>
    <row r="954" spans="27:56" x14ac:dyDescent="0.25">
      <c r="AA954" s="68" t="str">
        <f t="shared" si="57"/>
        <v>Fotos\\.jpg</v>
      </c>
      <c r="AB954" s="53">
        <f t="shared" si="58"/>
        <v>1.0482180293501049E-3</v>
      </c>
      <c r="AC954" s="25">
        <f t="shared" si="59"/>
        <v>954</v>
      </c>
      <c r="AD954" s="51">
        <f t="shared" si="60"/>
        <v>1</v>
      </c>
      <c r="AE954" s="25">
        <v>1</v>
      </c>
      <c r="AF954" s="25">
        <v>1</v>
      </c>
      <c r="AG954" s="25">
        <v>1</v>
      </c>
      <c r="AH954" s="25">
        <v>1</v>
      </c>
      <c r="AI954" s="25">
        <f>IF(OR(Apresentação!$E$3='Base de Dados e filtragem'!AI$2,Apresentação!$E$3='Base de Dados e filtragem'!E954),1,0)</f>
        <v>1</v>
      </c>
      <c r="AJ954" s="25">
        <f>IF(OR(Apresentação!$E$4='Base de Dados e filtragem'!AJ$2,Apresentação!$E$4='Base de Dados e filtragem'!F954),1,0)</f>
        <v>1</v>
      </c>
      <c r="AK954" s="25">
        <f>IF(OR(Apresentação!$E$5='Base de Dados e filtragem'!AK$2,Apresentação!$E$5='Base de Dados e filtragem'!G954),1,0)</f>
        <v>1</v>
      </c>
      <c r="AL954" s="25">
        <f>IF(OR(Apresentação!$E$6='Base de Dados e filtragem'!AL$2,Apresentação!$E$6='Base de Dados e filtragem'!H954),1,0)</f>
        <v>1</v>
      </c>
      <c r="AM954" s="25">
        <f>IF(OR(Apresentação!$I$2='Base de Dados e filtragem'!AM$2,Apresentação!$I$2='Base de Dados e filtragem'!I954),1,0)</f>
        <v>1</v>
      </c>
      <c r="AN954" s="25">
        <f>IF(OR(Apresentação!$I$3='Base de Dados e filtragem'!AN$2,Apresentação!$I$3='Base de Dados e filtragem'!J954),1,0)</f>
        <v>1</v>
      </c>
      <c r="AO954" s="25">
        <f>IF(OR(Apresentação!$I$4='Base de Dados e filtragem'!AO$2,Apresentação!$I$4='Base de Dados e filtragem'!K954),1,0)</f>
        <v>1</v>
      </c>
      <c r="AP954" s="25">
        <f>IF(OR(Apresentação!$I$5='Base de Dados e filtragem'!AP$2,Apresentação!$I$5='Base de Dados e filtragem'!L954),1,0)</f>
        <v>1</v>
      </c>
      <c r="AQ954" s="25">
        <f>IF(OR(Apresentação!$I$6='Base de Dados e filtragem'!AQ$2,Apresentação!$I$6='Base de Dados e filtragem'!M954),1,0)</f>
        <v>1</v>
      </c>
      <c r="AR954" s="25">
        <v>1</v>
      </c>
      <c r="AS954" s="25">
        <v>1</v>
      </c>
      <c r="AT954" s="25">
        <v>1</v>
      </c>
      <c r="AU954" s="25">
        <v>1</v>
      </c>
      <c r="AV954" s="25">
        <v>1</v>
      </c>
      <c r="AW954" s="25">
        <v>1</v>
      </c>
      <c r="AX954" s="25">
        <v>1</v>
      </c>
      <c r="AY954" s="25">
        <v>1</v>
      </c>
      <c r="AZ954" s="25">
        <v>1</v>
      </c>
      <c r="BA954" s="25">
        <v>1</v>
      </c>
      <c r="BB954" s="25">
        <v>1</v>
      </c>
      <c r="BC954" s="25">
        <v>1</v>
      </c>
      <c r="BD954" s="25">
        <v>1</v>
      </c>
    </row>
    <row r="955" spans="27:56" x14ac:dyDescent="0.25">
      <c r="AA955" s="68" t="str">
        <f t="shared" si="57"/>
        <v>Fotos\\.jpg</v>
      </c>
      <c r="AB955" s="53">
        <f t="shared" si="58"/>
        <v>1.0471204188481676E-3</v>
      </c>
      <c r="AC955" s="25">
        <f t="shared" si="59"/>
        <v>955</v>
      </c>
      <c r="AD955" s="51">
        <f t="shared" si="60"/>
        <v>1</v>
      </c>
      <c r="AE955" s="25">
        <v>1</v>
      </c>
      <c r="AF955" s="25">
        <v>1</v>
      </c>
      <c r="AG955" s="25">
        <v>1</v>
      </c>
      <c r="AH955" s="25">
        <v>1</v>
      </c>
      <c r="AI955" s="25">
        <f>IF(OR(Apresentação!$E$3='Base de Dados e filtragem'!AI$2,Apresentação!$E$3='Base de Dados e filtragem'!E955),1,0)</f>
        <v>1</v>
      </c>
      <c r="AJ955" s="25">
        <f>IF(OR(Apresentação!$E$4='Base de Dados e filtragem'!AJ$2,Apresentação!$E$4='Base de Dados e filtragem'!F955),1,0)</f>
        <v>1</v>
      </c>
      <c r="AK955" s="25">
        <f>IF(OR(Apresentação!$E$5='Base de Dados e filtragem'!AK$2,Apresentação!$E$5='Base de Dados e filtragem'!G955),1,0)</f>
        <v>1</v>
      </c>
      <c r="AL955" s="25">
        <f>IF(OR(Apresentação!$E$6='Base de Dados e filtragem'!AL$2,Apresentação!$E$6='Base de Dados e filtragem'!H955),1,0)</f>
        <v>1</v>
      </c>
      <c r="AM955" s="25">
        <f>IF(OR(Apresentação!$I$2='Base de Dados e filtragem'!AM$2,Apresentação!$I$2='Base de Dados e filtragem'!I955),1,0)</f>
        <v>1</v>
      </c>
      <c r="AN955" s="25">
        <f>IF(OR(Apresentação!$I$3='Base de Dados e filtragem'!AN$2,Apresentação!$I$3='Base de Dados e filtragem'!J955),1,0)</f>
        <v>1</v>
      </c>
      <c r="AO955" s="25">
        <f>IF(OR(Apresentação!$I$4='Base de Dados e filtragem'!AO$2,Apresentação!$I$4='Base de Dados e filtragem'!K955),1,0)</f>
        <v>1</v>
      </c>
      <c r="AP955" s="25">
        <f>IF(OR(Apresentação!$I$5='Base de Dados e filtragem'!AP$2,Apresentação!$I$5='Base de Dados e filtragem'!L955),1,0)</f>
        <v>1</v>
      </c>
      <c r="AQ955" s="25">
        <f>IF(OR(Apresentação!$I$6='Base de Dados e filtragem'!AQ$2,Apresentação!$I$6='Base de Dados e filtragem'!M955),1,0)</f>
        <v>1</v>
      </c>
      <c r="AR955" s="25">
        <v>1</v>
      </c>
      <c r="AS955" s="25">
        <v>1</v>
      </c>
      <c r="AT955" s="25">
        <v>1</v>
      </c>
      <c r="AU955" s="25">
        <v>1</v>
      </c>
      <c r="AV955" s="25">
        <v>1</v>
      </c>
      <c r="AW955" s="25">
        <v>1</v>
      </c>
      <c r="AX955" s="25">
        <v>1</v>
      </c>
      <c r="AY955" s="25">
        <v>1</v>
      </c>
      <c r="AZ955" s="25">
        <v>1</v>
      </c>
      <c r="BA955" s="25">
        <v>1</v>
      </c>
      <c r="BB955" s="25">
        <v>1</v>
      </c>
      <c r="BC955" s="25">
        <v>1</v>
      </c>
      <c r="BD955" s="25">
        <v>1</v>
      </c>
    </row>
    <row r="956" spans="27:56" x14ac:dyDescent="0.25">
      <c r="AA956" s="68" t="str">
        <f t="shared" si="57"/>
        <v>Fotos\\.jpg</v>
      </c>
      <c r="AB956" s="53">
        <f t="shared" si="58"/>
        <v>1.0460251046025104E-3</v>
      </c>
      <c r="AC956" s="25">
        <f t="shared" si="59"/>
        <v>956</v>
      </c>
      <c r="AD956" s="51">
        <f t="shared" si="60"/>
        <v>1</v>
      </c>
      <c r="AE956" s="25">
        <v>1</v>
      </c>
      <c r="AF956" s="25">
        <v>1</v>
      </c>
      <c r="AG956" s="25">
        <v>1</v>
      </c>
      <c r="AH956" s="25">
        <v>1</v>
      </c>
      <c r="AI956" s="25">
        <f>IF(OR(Apresentação!$E$3='Base de Dados e filtragem'!AI$2,Apresentação!$E$3='Base de Dados e filtragem'!E956),1,0)</f>
        <v>1</v>
      </c>
      <c r="AJ956" s="25">
        <f>IF(OR(Apresentação!$E$4='Base de Dados e filtragem'!AJ$2,Apresentação!$E$4='Base de Dados e filtragem'!F956),1,0)</f>
        <v>1</v>
      </c>
      <c r="AK956" s="25">
        <f>IF(OR(Apresentação!$E$5='Base de Dados e filtragem'!AK$2,Apresentação!$E$5='Base de Dados e filtragem'!G956),1,0)</f>
        <v>1</v>
      </c>
      <c r="AL956" s="25">
        <f>IF(OR(Apresentação!$E$6='Base de Dados e filtragem'!AL$2,Apresentação!$E$6='Base de Dados e filtragem'!H956),1,0)</f>
        <v>1</v>
      </c>
      <c r="AM956" s="25">
        <f>IF(OR(Apresentação!$I$2='Base de Dados e filtragem'!AM$2,Apresentação!$I$2='Base de Dados e filtragem'!I956),1,0)</f>
        <v>1</v>
      </c>
      <c r="AN956" s="25">
        <f>IF(OR(Apresentação!$I$3='Base de Dados e filtragem'!AN$2,Apresentação!$I$3='Base de Dados e filtragem'!J956),1,0)</f>
        <v>1</v>
      </c>
      <c r="AO956" s="25">
        <f>IF(OR(Apresentação!$I$4='Base de Dados e filtragem'!AO$2,Apresentação!$I$4='Base de Dados e filtragem'!K956),1,0)</f>
        <v>1</v>
      </c>
      <c r="AP956" s="25">
        <f>IF(OR(Apresentação!$I$5='Base de Dados e filtragem'!AP$2,Apresentação!$I$5='Base de Dados e filtragem'!L956),1,0)</f>
        <v>1</v>
      </c>
      <c r="AQ956" s="25">
        <f>IF(OR(Apresentação!$I$6='Base de Dados e filtragem'!AQ$2,Apresentação!$I$6='Base de Dados e filtragem'!M956),1,0)</f>
        <v>1</v>
      </c>
      <c r="AR956" s="25">
        <v>1</v>
      </c>
      <c r="AS956" s="25">
        <v>1</v>
      </c>
      <c r="AT956" s="25">
        <v>1</v>
      </c>
      <c r="AU956" s="25">
        <v>1</v>
      </c>
      <c r="AV956" s="25">
        <v>1</v>
      </c>
      <c r="AW956" s="25">
        <v>1</v>
      </c>
      <c r="AX956" s="25">
        <v>1</v>
      </c>
      <c r="AY956" s="25">
        <v>1</v>
      </c>
      <c r="AZ956" s="25">
        <v>1</v>
      </c>
      <c r="BA956" s="25">
        <v>1</v>
      </c>
      <c r="BB956" s="25">
        <v>1</v>
      </c>
      <c r="BC956" s="25">
        <v>1</v>
      </c>
      <c r="BD956" s="25">
        <v>1</v>
      </c>
    </row>
    <row r="957" spans="27:56" x14ac:dyDescent="0.25">
      <c r="AA957" s="68" t="str">
        <f t="shared" si="57"/>
        <v>Fotos\\.jpg</v>
      </c>
      <c r="AB957" s="53">
        <f t="shared" si="58"/>
        <v>1.0449320794148381E-3</v>
      </c>
      <c r="AC957" s="25">
        <f t="shared" si="59"/>
        <v>957</v>
      </c>
      <c r="AD957" s="51">
        <f t="shared" si="60"/>
        <v>1</v>
      </c>
      <c r="AE957" s="25">
        <v>1</v>
      </c>
      <c r="AF957" s="25">
        <v>1</v>
      </c>
      <c r="AG957" s="25">
        <v>1</v>
      </c>
      <c r="AH957" s="25">
        <v>1</v>
      </c>
      <c r="AI957" s="25">
        <f>IF(OR(Apresentação!$E$3='Base de Dados e filtragem'!AI$2,Apresentação!$E$3='Base de Dados e filtragem'!E957),1,0)</f>
        <v>1</v>
      </c>
      <c r="AJ957" s="25">
        <f>IF(OR(Apresentação!$E$4='Base de Dados e filtragem'!AJ$2,Apresentação!$E$4='Base de Dados e filtragem'!F957),1,0)</f>
        <v>1</v>
      </c>
      <c r="AK957" s="25">
        <f>IF(OR(Apresentação!$E$5='Base de Dados e filtragem'!AK$2,Apresentação!$E$5='Base de Dados e filtragem'!G957),1,0)</f>
        <v>1</v>
      </c>
      <c r="AL957" s="25">
        <f>IF(OR(Apresentação!$E$6='Base de Dados e filtragem'!AL$2,Apresentação!$E$6='Base de Dados e filtragem'!H957),1,0)</f>
        <v>1</v>
      </c>
      <c r="AM957" s="25">
        <f>IF(OR(Apresentação!$I$2='Base de Dados e filtragem'!AM$2,Apresentação!$I$2='Base de Dados e filtragem'!I957),1,0)</f>
        <v>1</v>
      </c>
      <c r="AN957" s="25">
        <f>IF(OR(Apresentação!$I$3='Base de Dados e filtragem'!AN$2,Apresentação!$I$3='Base de Dados e filtragem'!J957),1,0)</f>
        <v>1</v>
      </c>
      <c r="AO957" s="25">
        <f>IF(OR(Apresentação!$I$4='Base de Dados e filtragem'!AO$2,Apresentação!$I$4='Base de Dados e filtragem'!K957),1,0)</f>
        <v>1</v>
      </c>
      <c r="AP957" s="25">
        <f>IF(OR(Apresentação!$I$5='Base de Dados e filtragem'!AP$2,Apresentação!$I$5='Base de Dados e filtragem'!L957),1,0)</f>
        <v>1</v>
      </c>
      <c r="AQ957" s="25">
        <f>IF(OR(Apresentação!$I$6='Base de Dados e filtragem'!AQ$2,Apresentação!$I$6='Base de Dados e filtragem'!M957),1,0)</f>
        <v>1</v>
      </c>
      <c r="AR957" s="25">
        <v>1</v>
      </c>
      <c r="AS957" s="25">
        <v>1</v>
      </c>
      <c r="AT957" s="25">
        <v>1</v>
      </c>
      <c r="AU957" s="25">
        <v>1</v>
      </c>
      <c r="AV957" s="25">
        <v>1</v>
      </c>
      <c r="AW957" s="25">
        <v>1</v>
      </c>
      <c r="AX957" s="25">
        <v>1</v>
      </c>
      <c r="AY957" s="25">
        <v>1</v>
      </c>
      <c r="AZ957" s="25">
        <v>1</v>
      </c>
      <c r="BA957" s="25">
        <v>1</v>
      </c>
      <c r="BB957" s="25">
        <v>1</v>
      </c>
      <c r="BC957" s="25">
        <v>1</v>
      </c>
      <c r="BD957" s="25">
        <v>1</v>
      </c>
    </row>
    <row r="958" spans="27:56" x14ac:dyDescent="0.25">
      <c r="AA958" s="68" t="str">
        <f t="shared" si="57"/>
        <v>Fotos\\.jpg</v>
      </c>
      <c r="AB958" s="53">
        <f t="shared" si="58"/>
        <v>1.0438413361169101E-3</v>
      </c>
      <c r="AC958" s="25">
        <f t="shared" si="59"/>
        <v>958</v>
      </c>
      <c r="AD958" s="51">
        <f t="shared" si="60"/>
        <v>1</v>
      </c>
      <c r="AE958" s="25">
        <v>1</v>
      </c>
      <c r="AF958" s="25">
        <v>1</v>
      </c>
      <c r="AG958" s="25">
        <v>1</v>
      </c>
      <c r="AH958" s="25">
        <v>1</v>
      </c>
      <c r="AI958" s="25">
        <f>IF(OR(Apresentação!$E$3='Base de Dados e filtragem'!AI$2,Apresentação!$E$3='Base de Dados e filtragem'!E958),1,0)</f>
        <v>1</v>
      </c>
      <c r="AJ958" s="25">
        <f>IF(OR(Apresentação!$E$4='Base de Dados e filtragem'!AJ$2,Apresentação!$E$4='Base de Dados e filtragem'!F958),1,0)</f>
        <v>1</v>
      </c>
      <c r="AK958" s="25">
        <f>IF(OR(Apresentação!$E$5='Base de Dados e filtragem'!AK$2,Apresentação!$E$5='Base de Dados e filtragem'!G958),1,0)</f>
        <v>1</v>
      </c>
      <c r="AL958" s="25">
        <f>IF(OR(Apresentação!$E$6='Base de Dados e filtragem'!AL$2,Apresentação!$E$6='Base de Dados e filtragem'!H958),1,0)</f>
        <v>1</v>
      </c>
      <c r="AM958" s="25">
        <f>IF(OR(Apresentação!$I$2='Base de Dados e filtragem'!AM$2,Apresentação!$I$2='Base de Dados e filtragem'!I958),1,0)</f>
        <v>1</v>
      </c>
      <c r="AN958" s="25">
        <f>IF(OR(Apresentação!$I$3='Base de Dados e filtragem'!AN$2,Apresentação!$I$3='Base de Dados e filtragem'!J958),1,0)</f>
        <v>1</v>
      </c>
      <c r="AO958" s="25">
        <f>IF(OR(Apresentação!$I$4='Base de Dados e filtragem'!AO$2,Apresentação!$I$4='Base de Dados e filtragem'!K958),1,0)</f>
        <v>1</v>
      </c>
      <c r="AP958" s="25">
        <f>IF(OR(Apresentação!$I$5='Base de Dados e filtragem'!AP$2,Apresentação!$I$5='Base de Dados e filtragem'!L958),1,0)</f>
        <v>1</v>
      </c>
      <c r="AQ958" s="25">
        <f>IF(OR(Apresentação!$I$6='Base de Dados e filtragem'!AQ$2,Apresentação!$I$6='Base de Dados e filtragem'!M958),1,0)</f>
        <v>1</v>
      </c>
      <c r="AR958" s="25">
        <v>1</v>
      </c>
      <c r="AS958" s="25">
        <v>1</v>
      </c>
      <c r="AT958" s="25">
        <v>1</v>
      </c>
      <c r="AU958" s="25">
        <v>1</v>
      </c>
      <c r="AV958" s="25">
        <v>1</v>
      </c>
      <c r="AW958" s="25">
        <v>1</v>
      </c>
      <c r="AX958" s="25">
        <v>1</v>
      </c>
      <c r="AY958" s="25">
        <v>1</v>
      </c>
      <c r="AZ958" s="25">
        <v>1</v>
      </c>
      <c r="BA958" s="25">
        <v>1</v>
      </c>
      <c r="BB958" s="25">
        <v>1</v>
      </c>
      <c r="BC958" s="25">
        <v>1</v>
      </c>
      <c r="BD958" s="25">
        <v>1</v>
      </c>
    </row>
    <row r="959" spans="27:56" x14ac:dyDescent="0.25">
      <c r="AA959" s="68" t="str">
        <f t="shared" si="57"/>
        <v>Fotos\\.jpg</v>
      </c>
      <c r="AB959" s="53">
        <f t="shared" si="58"/>
        <v>1.0427528675703858E-3</v>
      </c>
      <c r="AC959" s="25">
        <f t="shared" si="59"/>
        <v>959</v>
      </c>
      <c r="AD959" s="51">
        <f t="shared" si="60"/>
        <v>1</v>
      </c>
      <c r="AE959" s="25">
        <v>1</v>
      </c>
      <c r="AF959" s="25">
        <v>1</v>
      </c>
      <c r="AG959" s="25">
        <v>1</v>
      </c>
      <c r="AH959" s="25">
        <v>1</v>
      </c>
      <c r="AI959" s="25">
        <f>IF(OR(Apresentação!$E$3='Base de Dados e filtragem'!AI$2,Apresentação!$E$3='Base de Dados e filtragem'!E959),1,0)</f>
        <v>1</v>
      </c>
      <c r="AJ959" s="25">
        <f>IF(OR(Apresentação!$E$4='Base de Dados e filtragem'!AJ$2,Apresentação!$E$4='Base de Dados e filtragem'!F959),1,0)</f>
        <v>1</v>
      </c>
      <c r="AK959" s="25">
        <f>IF(OR(Apresentação!$E$5='Base de Dados e filtragem'!AK$2,Apresentação!$E$5='Base de Dados e filtragem'!G959),1,0)</f>
        <v>1</v>
      </c>
      <c r="AL959" s="25">
        <f>IF(OR(Apresentação!$E$6='Base de Dados e filtragem'!AL$2,Apresentação!$E$6='Base de Dados e filtragem'!H959),1,0)</f>
        <v>1</v>
      </c>
      <c r="AM959" s="25">
        <f>IF(OR(Apresentação!$I$2='Base de Dados e filtragem'!AM$2,Apresentação!$I$2='Base de Dados e filtragem'!I959),1,0)</f>
        <v>1</v>
      </c>
      <c r="AN959" s="25">
        <f>IF(OR(Apresentação!$I$3='Base de Dados e filtragem'!AN$2,Apresentação!$I$3='Base de Dados e filtragem'!J959),1,0)</f>
        <v>1</v>
      </c>
      <c r="AO959" s="25">
        <f>IF(OR(Apresentação!$I$4='Base de Dados e filtragem'!AO$2,Apresentação!$I$4='Base de Dados e filtragem'!K959),1,0)</f>
        <v>1</v>
      </c>
      <c r="AP959" s="25">
        <f>IF(OR(Apresentação!$I$5='Base de Dados e filtragem'!AP$2,Apresentação!$I$5='Base de Dados e filtragem'!L959),1,0)</f>
        <v>1</v>
      </c>
      <c r="AQ959" s="25">
        <f>IF(OR(Apresentação!$I$6='Base de Dados e filtragem'!AQ$2,Apresentação!$I$6='Base de Dados e filtragem'!M959),1,0)</f>
        <v>1</v>
      </c>
      <c r="AR959" s="25">
        <v>1</v>
      </c>
      <c r="AS959" s="25">
        <v>1</v>
      </c>
      <c r="AT959" s="25">
        <v>1</v>
      </c>
      <c r="AU959" s="25">
        <v>1</v>
      </c>
      <c r="AV959" s="25">
        <v>1</v>
      </c>
      <c r="AW959" s="25">
        <v>1</v>
      </c>
      <c r="AX959" s="25">
        <v>1</v>
      </c>
      <c r="AY959" s="25">
        <v>1</v>
      </c>
      <c r="AZ959" s="25">
        <v>1</v>
      </c>
      <c r="BA959" s="25">
        <v>1</v>
      </c>
      <c r="BB959" s="25">
        <v>1</v>
      </c>
      <c r="BC959" s="25">
        <v>1</v>
      </c>
      <c r="BD959" s="25">
        <v>1</v>
      </c>
    </row>
    <row r="960" spans="27:56" x14ac:dyDescent="0.25">
      <c r="AA960" s="68" t="str">
        <f t="shared" si="57"/>
        <v>Fotos\\.jpg</v>
      </c>
      <c r="AB960" s="53">
        <f t="shared" si="58"/>
        <v>1.0416666666666667E-3</v>
      </c>
      <c r="AC960" s="25">
        <f t="shared" si="59"/>
        <v>960</v>
      </c>
      <c r="AD960" s="51">
        <f t="shared" si="60"/>
        <v>1</v>
      </c>
      <c r="AE960" s="25">
        <v>1</v>
      </c>
      <c r="AF960" s="25">
        <v>1</v>
      </c>
      <c r="AG960" s="25">
        <v>1</v>
      </c>
      <c r="AH960" s="25">
        <v>1</v>
      </c>
      <c r="AI960" s="25">
        <f>IF(OR(Apresentação!$E$3='Base de Dados e filtragem'!AI$2,Apresentação!$E$3='Base de Dados e filtragem'!E960),1,0)</f>
        <v>1</v>
      </c>
      <c r="AJ960" s="25">
        <f>IF(OR(Apresentação!$E$4='Base de Dados e filtragem'!AJ$2,Apresentação!$E$4='Base de Dados e filtragem'!F960),1,0)</f>
        <v>1</v>
      </c>
      <c r="AK960" s="25">
        <f>IF(OR(Apresentação!$E$5='Base de Dados e filtragem'!AK$2,Apresentação!$E$5='Base de Dados e filtragem'!G960),1,0)</f>
        <v>1</v>
      </c>
      <c r="AL960" s="25">
        <f>IF(OR(Apresentação!$E$6='Base de Dados e filtragem'!AL$2,Apresentação!$E$6='Base de Dados e filtragem'!H960),1,0)</f>
        <v>1</v>
      </c>
      <c r="AM960" s="25">
        <f>IF(OR(Apresentação!$I$2='Base de Dados e filtragem'!AM$2,Apresentação!$I$2='Base de Dados e filtragem'!I960),1,0)</f>
        <v>1</v>
      </c>
      <c r="AN960" s="25">
        <f>IF(OR(Apresentação!$I$3='Base de Dados e filtragem'!AN$2,Apresentação!$I$3='Base de Dados e filtragem'!J960),1,0)</f>
        <v>1</v>
      </c>
      <c r="AO960" s="25">
        <f>IF(OR(Apresentação!$I$4='Base de Dados e filtragem'!AO$2,Apresentação!$I$4='Base de Dados e filtragem'!K960),1,0)</f>
        <v>1</v>
      </c>
      <c r="AP960" s="25">
        <f>IF(OR(Apresentação!$I$5='Base de Dados e filtragem'!AP$2,Apresentação!$I$5='Base de Dados e filtragem'!L960),1,0)</f>
        <v>1</v>
      </c>
      <c r="AQ960" s="25">
        <f>IF(OR(Apresentação!$I$6='Base de Dados e filtragem'!AQ$2,Apresentação!$I$6='Base de Dados e filtragem'!M960),1,0)</f>
        <v>1</v>
      </c>
      <c r="AR960" s="25">
        <v>1</v>
      </c>
      <c r="AS960" s="25">
        <v>1</v>
      </c>
      <c r="AT960" s="25">
        <v>1</v>
      </c>
      <c r="AU960" s="25">
        <v>1</v>
      </c>
      <c r="AV960" s="25">
        <v>1</v>
      </c>
      <c r="AW960" s="25">
        <v>1</v>
      </c>
      <c r="AX960" s="25">
        <v>1</v>
      </c>
      <c r="AY960" s="25">
        <v>1</v>
      </c>
      <c r="AZ960" s="25">
        <v>1</v>
      </c>
      <c r="BA960" s="25">
        <v>1</v>
      </c>
      <c r="BB960" s="25">
        <v>1</v>
      </c>
      <c r="BC960" s="25">
        <v>1</v>
      </c>
      <c r="BD960" s="25">
        <v>1</v>
      </c>
    </row>
    <row r="961" spans="27:56" x14ac:dyDescent="0.25">
      <c r="AA961" s="68" t="str">
        <f t="shared" si="57"/>
        <v>Fotos\\.jpg</v>
      </c>
      <c r="AB961" s="53">
        <f t="shared" si="58"/>
        <v>1.0405827263267431E-3</v>
      </c>
      <c r="AC961" s="25">
        <f t="shared" si="59"/>
        <v>961</v>
      </c>
      <c r="AD961" s="51">
        <f t="shared" si="60"/>
        <v>1</v>
      </c>
      <c r="AE961" s="25">
        <v>1</v>
      </c>
      <c r="AF961" s="25">
        <v>1</v>
      </c>
      <c r="AG961" s="25">
        <v>1</v>
      </c>
      <c r="AH961" s="25">
        <v>1</v>
      </c>
      <c r="AI961" s="25">
        <f>IF(OR(Apresentação!$E$3='Base de Dados e filtragem'!AI$2,Apresentação!$E$3='Base de Dados e filtragem'!E961),1,0)</f>
        <v>1</v>
      </c>
      <c r="AJ961" s="25">
        <f>IF(OR(Apresentação!$E$4='Base de Dados e filtragem'!AJ$2,Apresentação!$E$4='Base de Dados e filtragem'!F961),1,0)</f>
        <v>1</v>
      </c>
      <c r="AK961" s="25">
        <f>IF(OR(Apresentação!$E$5='Base de Dados e filtragem'!AK$2,Apresentação!$E$5='Base de Dados e filtragem'!G961),1,0)</f>
        <v>1</v>
      </c>
      <c r="AL961" s="25">
        <f>IF(OR(Apresentação!$E$6='Base de Dados e filtragem'!AL$2,Apresentação!$E$6='Base de Dados e filtragem'!H961),1,0)</f>
        <v>1</v>
      </c>
      <c r="AM961" s="25">
        <f>IF(OR(Apresentação!$I$2='Base de Dados e filtragem'!AM$2,Apresentação!$I$2='Base de Dados e filtragem'!I961),1,0)</f>
        <v>1</v>
      </c>
      <c r="AN961" s="25">
        <f>IF(OR(Apresentação!$I$3='Base de Dados e filtragem'!AN$2,Apresentação!$I$3='Base de Dados e filtragem'!J961),1,0)</f>
        <v>1</v>
      </c>
      <c r="AO961" s="25">
        <f>IF(OR(Apresentação!$I$4='Base de Dados e filtragem'!AO$2,Apresentação!$I$4='Base de Dados e filtragem'!K961),1,0)</f>
        <v>1</v>
      </c>
      <c r="AP961" s="25">
        <f>IF(OR(Apresentação!$I$5='Base de Dados e filtragem'!AP$2,Apresentação!$I$5='Base de Dados e filtragem'!L961),1,0)</f>
        <v>1</v>
      </c>
      <c r="AQ961" s="25">
        <f>IF(OR(Apresentação!$I$6='Base de Dados e filtragem'!AQ$2,Apresentação!$I$6='Base de Dados e filtragem'!M961),1,0)</f>
        <v>1</v>
      </c>
      <c r="AR961" s="25">
        <v>1</v>
      </c>
      <c r="AS961" s="25">
        <v>1</v>
      </c>
      <c r="AT961" s="25">
        <v>1</v>
      </c>
      <c r="AU961" s="25">
        <v>1</v>
      </c>
      <c r="AV961" s="25">
        <v>1</v>
      </c>
      <c r="AW961" s="25">
        <v>1</v>
      </c>
      <c r="AX961" s="25">
        <v>1</v>
      </c>
      <c r="AY961" s="25">
        <v>1</v>
      </c>
      <c r="AZ961" s="25">
        <v>1</v>
      </c>
      <c r="BA961" s="25">
        <v>1</v>
      </c>
      <c r="BB961" s="25">
        <v>1</v>
      </c>
      <c r="BC961" s="25">
        <v>1</v>
      </c>
      <c r="BD961" s="25">
        <v>1</v>
      </c>
    </row>
    <row r="962" spans="27:56" x14ac:dyDescent="0.25">
      <c r="AA962" s="68" t="str">
        <f t="shared" si="57"/>
        <v>Fotos\\.jpg</v>
      </c>
      <c r="AB962" s="53">
        <f t="shared" si="58"/>
        <v>1.0395010395010396E-3</v>
      </c>
      <c r="AC962" s="25">
        <f t="shared" si="59"/>
        <v>962</v>
      </c>
      <c r="AD962" s="51">
        <f t="shared" si="60"/>
        <v>1</v>
      </c>
      <c r="AE962" s="25">
        <v>1</v>
      </c>
      <c r="AF962" s="25">
        <v>1</v>
      </c>
      <c r="AG962" s="25">
        <v>1</v>
      </c>
      <c r="AH962" s="25">
        <v>1</v>
      </c>
      <c r="AI962" s="25">
        <f>IF(OR(Apresentação!$E$3='Base de Dados e filtragem'!AI$2,Apresentação!$E$3='Base de Dados e filtragem'!E962),1,0)</f>
        <v>1</v>
      </c>
      <c r="AJ962" s="25">
        <f>IF(OR(Apresentação!$E$4='Base de Dados e filtragem'!AJ$2,Apresentação!$E$4='Base de Dados e filtragem'!F962),1,0)</f>
        <v>1</v>
      </c>
      <c r="AK962" s="25">
        <f>IF(OR(Apresentação!$E$5='Base de Dados e filtragem'!AK$2,Apresentação!$E$5='Base de Dados e filtragem'!G962),1,0)</f>
        <v>1</v>
      </c>
      <c r="AL962" s="25">
        <f>IF(OR(Apresentação!$E$6='Base de Dados e filtragem'!AL$2,Apresentação!$E$6='Base de Dados e filtragem'!H962),1,0)</f>
        <v>1</v>
      </c>
      <c r="AM962" s="25">
        <f>IF(OR(Apresentação!$I$2='Base de Dados e filtragem'!AM$2,Apresentação!$I$2='Base de Dados e filtragem'!I962),1,0)</f>
        <v>1</v>
      </c>
      <c r="AN962" s="25">
        <f>IF(OR(Apresentação!$I$3='Base de Dados e filtragem'!AN$2,Apresentação!$I$3='Base de Dados e filtragem'!J962),1,0)</f>
        <v>1</v>
      </c>
      <c r="AO962" s="25">
        <f>IF(OR(Apresentação!$I$4='Base de Dados e filtragem'!AO$2,Apresentação!$I$4='Base de Dados e filtragem'!K962),1,0)</f>
        <v>1</v>
      </c>
      <c r="AP962" s="25">
        <f>IF(OR(Apresentação!$I$5='Base de Dados e filtragem'!AP$2,Apresentação!$I$5='Base de Dados e filtragem'!L962),1,0)</f>
        <v>1</v>
      </c>
      <c r="AQ962" s="25">
        <f>IF(OR(Apresentação!$I$6='Base de Dados e filtragem'!AQ$2,Apresentação!$I$6='Base de Dados e filtragem'!M962),1,0)</f>
        <v>1</v>
      </c>
      <c r="AR962" s="25">
        <v>1</v>
      </c>
      <c r="AS962" s="25">
        <v>1</v>
      </c>
      <c r="AT962" s="25">
        <v>1</v>
      </c>
      <c r="AU962" s="25">
        <v>1</v>
      </c>
      <c r="AV962" s="25">
        <v>1</v>
      </c>
      <c r="AW962" s="25">
        <v>1</v>
      </c>
      <c r="AX962" s="25">
        <v>1</v>
      </c>
      <c r="AY962" s="25">
        <v>1</v>
      </c>
      <c r="AZ962" s="25">
        <v>1</v>
      </c>
      <c r="BA962" s="25">
        <v>1</v>
      </c>
      <c r="BB962" s="25">
        <v>1</v>
      </c>
      <c r="BC962" s="25">
        <v>1</v>
      </c>
      <c r="BD962" s="25">
        <v>1</v>
      </c>
    </row>
    <row r="963" spans="27:56" x14ac:dyDescent="0.25">
      <c r="AA963" s="68" t="str">
        <f t="shared" si="57"/>
        <v>Fotos\\.jpg</v>
      </c>
      <c r="AB963" s="53">
        <f t="shared" si="58"/>
        <v>1.0384215991692627E-3</v>
      </c>
      <c r="AC963" s="25">
        <f t="shared" si="59"/>
        <v>963</v>
      </c>
      <c r="AD963" s="51">
        <f t="shared" si="60"/>
        <v>1</v>
      </c>
      <c r="AE963" s="25">
        <v>1</v>
      </c>
      <c r="AF963" s="25">
        <v>1</v>
      </c>
      <c r="AG963" s="25">
        <v>1</v>
      </c>
      <c r="AH963" s="25">
        <v>1</v>
      </c>
      <c r="AI963" s="25">
        <f>IF(OR(Apresentação!$E$3='Base de Dados e filtragem'!AI$2,Apresentação!$E$3='Base de Dados e filtragem'!E963),1,0)</f>
        <v>1</v>
      </c>
      <c r="AJ963" s="25">
        <f>IF(OR(Apresentação!$E$4='Base de Dados e filtragem'!AJ$2,Apresentação!$E$4='Base de Dados e filtragem'!F963),1,0)</f>
        <v>1</v>
      </c>
      <c r="AK963" s="25">
        <f>IF(OR(Apresentação!$E$5='Base de Dados e filtragem'!AK$2,Apresentação!$E$5='Base de Dados e filtragem'!G963),1,0)</f>
        <v>1</v>
      </c>
      <c r="AL963" s="25">
        <f>IF(OR(Apresentação!$E$6='Base de Dados e filtragem'!AL$2,Apresentação!$E$6='Base de Dados e filtragem'!H963),1,0)</f>
        <v>1</v>
      </c>
      <c r="AM963" s="25">
        <f>IF(OR(Apresentação!$I$2='Base de Dados e filtragem'!AM$2,Apresentação!$I$2='Base de Dados e filtragem'!I963),1,0)</f>
        <v>1</v>
      </c>
      <c r="AN963" s="25">
        <f>IF(OR(Apresentação!$I$3='Base de Dados e filtragem'!AN$2,Apresentação!$I$3='Base de Dados e filtragem'!J963),1,0)</f>
        <v>1</v>
      </c>
      <c r="AO963" s="25">
        <f>IF(OR(Apresentação!$I$4='Base de Dados e filtragem'!AO$2,Apresentação!$I$4='Base de Dados e filtragem'!K963),1,0)</f>
        <v>1</v>
      </c>
      <c r="AP963" s="25">
        <f>IF(OR(Apresentação!$I$5='Base de Dados e filtragem'!AP$2,Apresentação!$I$5='Base de Dados e filtragem'!L963),1,0)</f>
        <v>1</v>
      </c>
      <c r="AQ963" s="25">
        <f>IF(OR(Apresentação!$I$6='Base de Dados e filtragem'!AQ$2,Apresentação!$I$6='Base de Dados e filtragem'!M963),1,0)</f>
        <v>1</v>
      </c>
      <c r="AR963" s="25">
        <v>1</v>
      </c>
      <c r="AS963" s="25">
        <v>1</v>
      </c>
      <c r="AT963" s="25">
        <v>1</v>
      </c>
      <c r="AU963" s="25">
        <v>1</v>
      </c>
      <c r="AV963" s="25">
        <v>1</v>
      </c>
      <c r="AW963" s="25">
        <v>1</v>
      </c>
      <c r="AX963" s="25">
        <v>1</v>
      </c>
      <c r="AY963" s="25">
        <v>1</v>
      </c>
      <c r="AZ963" s="25">
        <v>1</v>
      </c>
      <c r="BA963" s="25">
        <v>1</v>
      </c>
      <c r="BB963" s="25">
        <v>1</v>
      </c>
      <c r="BC963" s="25">
        <v>1</v>
      </c>
      <c r="BD963" s="25">
        <v>1</v>
      </c>
    </row>
    <row r="964" spans="27:56" x14ac:dyDescent="0.25">
      <c r="AA964" s="68" t="str">
        <f t="shared" ref="AA964:AA1027" si="61">"Fotos\"&amp;I964&amp;"\"&amp;A964&amp;".jpg"</f>
        <v>Fotos\\.jpg</v>
      </c>
      <c r="AB964" s="53">
        <f t="shared" ref="AB964:AB1027" si="62">AD964/AC964</f>
        <v>1.037344398340249E-3</v>
      </c>
      <c r="AC964" s="25">
        <f t="shared" ref="AC964:AC1027" si="63">AC963+1</f>
        <v>964</v>
      </c>
      <c r="AD964" s="51">
        <f t="shared" ref="AD964:AD1027" si="64">PRODUCT(AE964:BD964)</f>
        <v>1</v>
      </c>
      <c r="AE964" s="25">
        <v>1</v>
      </c>
      <c r="AF964" s="25">
        <v>1</v>
      </c>
      <c r="AG964" s="25">
        <v>1</v>
      </c>
      <c r="AH964" s="25">
        <v>1</v>
      </c>
      <c r="AI964" s="25">
        <f>IF(OR(Apresentação!$E$3='Base de Dados e filtragem'!AI$2,Apresentação!$E$3='Base de Dados e filtragem'!E964),1,0)</f>
        <v>1</v>
      </c>
      <c r="AJ964" s="25">
        <f>IF(OR(Apresentação!$E$4='Base de Dados e filtragem'!AJ$2,Apresentação!$E$4='Base de Dados e filtragem'!F964),1,0)</f>
        <v>1</v>
      </c>
      <c r="AK964" s="25">
        <f>IF(OR(Apresentação!$E$5='Base de Dados e filtragem'!AK$2,Apresentação!$E$5='Base de Dados e filtragem'!G964),1,0)</f>
        <v>1</v>
      </c>
      <c r="AL964" s="25">
        <f>IF(OR(Apresentação!$E$6='Base de Dados e filtragem'!AL$2,Apresentação!$E$6='Base de Dados e filtragem'!H964),1,0)</f>
        <v>1</v>
      </c>
      <c r="AM964" s="25">
        <f>IF(OR(Apresentação!$I$2='Base de Dados e filtragem'!AM$2,Apresentação!$I$2='Base de Dados e filtragem'!I964),1,0)</f>
        <v>1</v>
      </c>
      <c r="AN964" s="25">
        <f>IF(OR(Apresentação!$I$3='Base de Dados e filtragem'!AN$2,Apresentação!$I$3='Base de Dados e filtragem'!J964),1,0)</f>
        <v>1</v>
      </c>
      <c r="AO964" s="25">
        <f>IF(OR(Apresentação!$I$4='Base de Dados e filtragem'!AO$2,Apresentação!$I$4='Base de Dados e filtragem'!K964),1,0)</f>
        <v>1</v>
      </c>
      <c r="AP964" s="25">
        <f>IF(OR(Apresentação!$I$5='Base de Dados e filtragem'!AP$2,Apresentação!$I$5='Base de Dados e filtragem'!L964),1,0)</f>
        <v>1</v>
      </c>
      <c r="AQ964" s="25">
        <f>IF(OR(Apresentação!$I$6='Base de Dados e filtragem'!AQ$2,Apresentação!$I$6='Base de Dados e filtragem'!M964),1,0)</f>
        <v>1</v>
      </c>
      <c r="AR964" s="25">
        <v>1</v>
      </c>
      <c r="AS964" s="25">
        <v>1</v>
      </c>
      <c r="AT964" s="25">
        <v>1</v>
      </c>
      <c r="AU964" s="25">
        <v>1</v>
      </c>
      <c r="AV964" s="25">
        <v>1</v>
      </c>
      <c r="AW964" s="25">
        <v>1</v>
      </c>
      <c r="AX964" s="25">
        <v>1</v>
      </c>
      <c r="AY964" s="25">
        <v>1</v>
      </c>
      <c r="AZ964" s="25">
        <v>1</v>
      </c>
      <c r="BA964" s="25">
        <v>1</v>
      </c>
      <c r="BB964" s="25">
        <v>1</v>
      </c>
      <c r="BC964" s="25">
        <v>1</v>
      </c>
      <c r="BD964" s="25">
        <v>1</v>
      </c>
    </row>
    <row r="965" spans="27:56" x14ac:dyDescent="0.25">
      <c r="AA965" s="68" t="str">
        <f t="shared" si="61"/>
        <v>Fotos\\.jpg</v>
      </c>
      <c r="AB965" s="53">
        <f t="shared" si="62"/>
        <v>1.0362694300518134E-3</v>
      </c>
      <c r="AC965" s="25">
        <f t="shared" si="63"/>
        <v>965</v>
      </c>
      <c r="AD965" s="51">
        <f t="shared" si="64"/>
        <v>1</v>
      </c>
      <c r="AE965" s="25">
        <v>1</v>
      </c>
      <c r="AF965" s="25">
        <v>1</v>
      </c>
      <c r="AG965" s="25">
        <v>1</v>
      </c>
      <c r="AH965" s="25">
        <v>1</v>
      </c>
      <c r="AI965" s="25">
        <f>IF(OR(Apresentação!$E$3='Base de Dados e filtragem'!AI$2,Apresentação!$E$3='Base de Dados e filtragem'!E965),1,0)</f>
        <v>1</v>
      </c>
      <c r="AJ965" s="25">
        <f>IF(OR(Apresentação!$E$4='Base de Dados e filtragem'!AJ$2,Apresentação!$E$4='Base de Dados e filtragem'!F965),1,0)</f>
        <v>1</v>
      </c>
      <c r="AK965" s="25">
        <f>IF(OR(Apresentação!$E$5='Base de Dados e filtragem'!AK$2,Apresentação!$E$5='Base de Dados e filtragem'!G965),1,0)</f>
        <v>1</v>
      </c>
      <c r="AL965" s="25">
        <f>IF(OR(Apresentação!$E$6='Base de Dados e filtragem'!AL$2,Apresentação!$E$6='Base de Dados e filtragem'!H965),1,0)</f>
        <v>1</v>
      </c>
      <c r="AM965" s="25">
        <f>IF(OR(Apresentação!$I$2='Base de Dados e filtragem'!AM$2,Apresentação!$I$2='Base de Dados e filtragem'!I965),1,0)</f>
        <v>1</v>
      </c>
      <c r="AN965" s="25">
        <f>IF(OR(Apresentação!$I$3='Base de Dados e filtragem'!AN$2,Apresentação!$I$3='Base de Dados e filtragem'!J965),1,0)</f>
        <v>1</v>
      </c>
      <c r="AO965" s="25">
        <f>IF(OR(Apresentação!$I$4='Base de Dados e filtragem'!AO$2,Apresentação!$I$4='Base de Dados e filtragem'!K965),1,0)</f>
        <v>1</v>
      </c>
      <c r="AP965" s="25">
        <f>IF(OR(Apresentação!$I$5='Base de Dados e filtragem'!AP$2,Apresentação!$I$5='Base de Dados e filtragem'!L965),1,0)</f>
        <v>1</v>
      </c>
      <c r="AQ965" s="25">
        <f>IF(OR(Apresentação!$I$6='Base de Dados e filtragem'!AQ$2,Apresentação!$I$6='Base de Dados e filtragem'!M965),1,0)</f>
        <v>1</v>
      </c>
      <c r="AR965" s="25">
        <v>1</v>
      </c>
      <c r="AS965" s="25">
        <v>1</v>
      </c>
      <c r="AT965" s="25">
        <v>1</v>
      </c>
      <c r="AU965" s="25">
        <v>1</v>
      </c>
      <c r="AV965" s="25">
        <v>1</v>
      </c>
      <c r="AW965" s="25">
        <v>1</v>
      </c>
      <c r="AX965" s="25">
        <v>1</v>
      </c>
      <c r="AY965" s="25">
        <v>1</v>
      </c>
      <c r="AZ965" s="25">
        <v>1</v>
      </c>
      <c r="BA965" s="25">
        <v>1</v>
      </c>
      <c r="BB965" s="25">
        <v>1</v>
      </c>
      <c r="BC965" s="25">
        <v>1</v>
      </c>
      <c r="BD965" s="25">
        <v>1</v>
      </c>
    </row>
    <row r="966" spans="27:56" x14ac:dyDescent="0.25">
      <c r="AA966" s="68" t="str">
        <f t="shared" si="61"/>
        <v>Fotos\\.jpg</v>
      </c>
      <c r="AB966" s="53">
        <f t="shared" si="62"/>
        <v>1.0351966873706005E-3</v>
      </c>
      <c r="AC966" s="25">
        <f t="shared" si="63"/>
        <v>966</v>
      </c>
      <c r="AD966" s="51">
        <f t="shared" si="64"/>
        <v>1</v>
      </c>
      <c r="AE966" s="25">
        <v>1</v>
      </c>
      <c r="AF966" s="25">
        <v>1</v>
      </c>
      <c r="AG966" s="25">
        <v>1</v>
      </c>
      <c r="AH966" s="25">
        <v>1</v>
      </c>
      <c r="AI966" s="25">
        <f>IF(OR(Apresentação!$E$3='Base de Dados e filtragem'!AI$2,Apresentação!$E$3='Base de Dados e filtragem'!E966),1,0)</f>
        <v>1</v>
      </c>
      <c r="AJ966" s="25">
        <f>IF(OR(Apresentação!$E$4='Base de Dados e filtragem'!AJ$2,Apresentação!$E$4='Base de Dados e filtragem'!F966),1,0)</f>
        <v>1</v>
      </c>
      <c r="AK966" s="25">
        <f>IF(OR(Apresentação!$E$5='Base de Dados e filtragem'!AK$2,Apresentação!$E$5='Base de Dados e filtragem'!G966),1,0)</f>
        <v>1</v>
      </c>
      <c r="AL966" s="25">
        <f>IF(OR(Apresentação!$E$6='Base de Dados e filtragem'!AL$2,Apresentação!$E$6='Base de Dados e filtragem'!H966),1,0)</f>
        <v>1</v>
      </c>
      <c r="AM966" s="25">
        <f>IF(OR(Apresentação!$I$2='Base de Dados e filtragem'!AM$2,Apresentação!$I$2='Base de Dados e filtragem'!I966),1,0)</f>
        <v>1</v>
      </c>
      <c r="AN966" s="25">
        <f>IF(OR(Apresentação!$I$3='Base de Dados e filtragem'!AN$2,Apresentação!$I$3='Base de Dados e filtragem'!J966),1,0)</f>
        <v>1</v>
      </c>
      <c r="AO966" s="25">
        <f>IF(OR(Apresentação!$I$4='Base de Dados e filtragem'!AO$2,Apresentação!$I$4='Base de Dados e filtragem'!K966),1,0)</f>
        <v>1</v>
      </c>
      <c r="AP966" s="25">
        <f>IF(OR(Apresentação!$I$5='Base de Dados e filtragem'!AP$2,Apresentação!$I$5='Base de Dados e filtragem'!L966),1,0)</f>
        <v>1</v>
      </c>
      <c r="AQ966" s="25">
        <f>IF(OR(Apresentação!$I$6='Base de Dados e filtragem'!AQ$2,Apresentação!$I$6='Base de Dados e filtragem'!M966),1,0)</f>
        <v>1</v>
      </c>
      <c r="AR966" s="25">
        <v>1</v>
      </c>
      <c r="AS966" s="25">
        <v>1</v>
      </c>
      <c r="AT966" s="25">
        <v>1</v>
      </c>
      <c r="AU966" s="25">
        <v>1</v>
      </c>
      <c r="AV966" s="25">
        <v>1</v>
      </c>
      <c r="AW966" s="25">
        <v>1</v>
      </c>
      <c r="AX966" s="25">
        <v>1</v>
      </c>
      <c r="AY966" s="25">
        <v>1</v>
      </c>
      <c r="AZ966" s="25">
        <v>1</v>
      </c>
      <c r="BA966" s="25">
        <v>1</v>
      </c>
      <c r="BB966" s="25">
        <v>1</v>
      </c>
      <c r="BC966" s="25">
        <v>1</v>
      </c>
      <c r="BD966" s="25">
        <v>1</v>
      </c>
    </row>
    <row r="967" spans="27:56" x14ac:dyDescent="0.25">
      <c r="AA967" s="68" t="str">
        <f t="shared" si="61"/>
        <v>Fotos\\.jpg</v>
      </c>
      <c r="AB967" s="53">
        <f t="shared" si="62"/>
        <v>1.0341261633919339E-3</v>
      </c>
      <c r="AC967" s="25">
        <f t="shared" si="63"/>
        <v>967</v>
      </c>
      <c r="AD967" s="51">
        <f t="shared" si="64"/>
        <v>1</v>
      </c>
      <c r="AE967" s="25">
        <v>1</v>
      </c>
      <c r="AF967" s="25">
        <v>1</v>
      </c>
      <c r="AG967" s="25">
        <v>1</v>
      </c>
      <c r="AH967" s="25">
        <v>1</v>
      </c>
      <c r="AI967" s="25">
        <f>IF(OR(Apresentação!$E$3='Base de Dados e filtragem'!AI$2,Apresentação!$E$3='Base de Dados e filtragem'!E967),1,0)</f>
        <v>1</v>
      </c>
      <c r="AJ967" s="25">
        <f>IF(OR(Apresentação!$E$4='Base de Dados e filtragem'!AJ$2,Apresentação!$E$4='Base de Dados e filtragem'!F967),1,0)</f>
        <v>1</v>
      </c>
      <c r="AK967" s="25">
        <f>IF(OR(Apresentação!$E$5='Base de Dados e filtragem'!AK$2,Apresentação!$E$5='Base de Dados e filtragem'!G967),1,0)</f>
        <v>1</v>
      </c>
      <c r="AL967" s="25">
        <f>IF(OR(Apresentação!$E$6='Base de Dados e filtragem'!AL$2,Apresentação!$E$6='Base de Dados e filtragem'!H967),1,0)</f>
        <v>1</v>
      </c>
      <c r="AM967" s="25">
        <f>IF(OR(Apresentação!$I$2='Base de Dados e filtragem'!AM$2,Apresentação!$I$2='Base de Dados e filtragem'!I967),1,0)</f>
        <v>1</v>
      </c>
      <c r="AN967" s="25">
        <f>IF(OR(Apresentação!$I$3='Base de Dados e filtragem'!AN$2,Apresentação!$I$3='Base de Dados e filtragem'!J967),1,0)</f>
        <v>1</v>
      </c>
      <c r="AO967" s="25">
        <f>IF(OR(Apresentação!$I$4='Base de Dados e filtragem'!AO$2,Apresentação!$I$4='Base de Dados e filtragem'!K967),1,0)</f>
        <v>1</v>
      </c>
      <c r="AP967" s="25">
        <f>IF(OR(Apresentação!$I$5='Base de Dados e filtragem'!AP$2,Apresentação!$I$5='Base de Dados e filtragem'!L967),1,0)</f>
        <v>1</v>
      </c>
      <c r="AQ967" s="25">
        <f>IF(OR(Apresentação!$I$6='Base de Dados e filtragem'!AQ$2,Apresentação!$I$6='Base de Dados e filtragem'!M967),1,0)</f>
        <v>1</v>
      </c>
      <c r="AR967" s="25">
        <v>1</v>
      </c>
      <c r="AS967" s="25">
        <v>1</v>
      </c>
      <c r="AT967" s="25">
        <v>1</v>
      </c>
      <c r="AU967" s="25">
        <v>1</v>
      </c>
      <c r="AV967" s="25">
        <v>1</v>
      </c>
      <c r="AW967" s="25">
        <v>1</v>
      </c>
      <c r="AX967" s="25">
        <v>1</v>
      </c>
      <c r="AY967" s="25">
        <v>1</v>
      </c>
      <c r="AZ967" s="25">
        <v>1</v>
      </c>
      <c r="BA967" s="25">
        <v>1</v>
      </c>
      <c r="BB967" s="25">
        <v>1</v>
      </c>
      <c r="BC967" s="25">
        <v>1</v>
      </c>
      <c r="BD967" s="25">
        <v>1</v>
      </c>
    </row>
    <row r="968" spans="27:56" x14ac:dyDescent="0.25">
      <c r="AA968" s="68" t="str">
        <f t="shared" si="61"/>
        <v>Fotos\\.jpg</v>
      </c>
      <c r="AB968" s="53">
        <f t="shared" si="62"/>
        <v>1.0330578512396695E-3</v>
      </c>
      <c r="AC968" s="25">
        <f t="shared" si="63"/>
        <v>968</v>
      </c>
      <c r="AD968" s="51">
        <f t="shared" si="64"/>
        <v>1</v>
      </c>
      <c r="AE968" s="25">
        <v>1</v>
      </c>
      <c r="AF968" s="25">
        <v>1</v>
      </c>
      <c r="AG968" s="25">
        <v>1</v>
      </c>
      <c r="AH968" s="25">
        <v>1</v>
      </c>
      <c r="AI968" s="25">
        <f>IF(OR(Apresentação!$E$3='Base de Dados e filtragem'!AI$2,Apresentação!$E$3='Base de Dados e filtragem'!E968),1,0)</f>
        <v>1</v>
      </c>
      <c r="AJ968" s="25">
        <f>IF(OR(Apresentação!$E$4='Base de Dados e filtragem'!AJ$2,Apresentação!$E$4='Base de Dados e filtragem'!F968),1,0)</f>
        <v>1</v>
      </c>
      <c r="AK968" s="25">
        <f>IF(OR(Apresentação!$E$5='Base de Dados e filtragem'!AK$2,Apresentação!$E$5='Base de Dados e filtragem'!G968),1,0)</f>
        <v>1</v>
      </c>
      <c r="AL968" s="25">
        <f>IF(OR(Apresentação!$E$6='Base de Dados e filtragem'!AL$2,Apresentação!$E$6='Base de Dados e filtragem'!H968),1,0)</f>
        <v>1</v>
      </c>
      <c r="AM968" s="25">
        <f>IF(OR(Apresentação!$I$2='Base de Dados e filtragem'!AM$2,Apresentação!$I$2='Base de Dados e filtragem'!I968),1,0)</f>
        <v>1</v>
      </c>
      <c r="AN968" s="25">
        <f>IF(OR(Apresentação!$I$3='Base de Dados e filtragem'!AN$2,Apresentação!$I$3='Base de Dados e filtragem'!J968),1,0)</f>
        <v>1</v>
      </c>
      <c r="AO968" s="25">
        <f>IF(OR(Apresentação!$I$4='Base de Dados e filtragem'!AO$2,Apresentação!$I$4='Base de Dados e filtragem'!K968),1,0)</f>
        <v>1</v>
      </c>
      <c r="AP968" s="25">
        <f>IF(OR(Apresentação!$I$5='Base de Dados e filtragem'!AP$2,Apresentação!$I$5='Base de Dados e filtragem'!L968),1,0)</f>
        <v>1</v>
      </c>
      <c r="AQ968" s="25">
        <f>IF(OR(Apresentação!$I$6='Base de Dados e filtragem'!AQ$2,Apresentação!$I$6='Base de Dados e filtragem'!M968),1,0)</f>
        <v>1</v>
      </c>
      <c r="AR968" s="25">
        <v>1</v>
      </c>
      <c r="AS968" s="25">
        <v>1</v>
      </c>
      <c r="AT968" s="25">
        <v>1</v>
      </c>
      <c r="AU968" s="25">
        <v>1</v>
      </c>
      <c r="AV968" s="25">
        <v>1</v>
      </c>
      <c r="AW968" s="25">
        <v>1</v>
      </c>
      <c r="AX968" s="25">
        <v>1</v>
      </c>
      <c r="AY968" s="25">
        <v>1</v>
      </c>
      <c r="AZ968" s="25">
        <v>1</v>
      </c>
      <c r="BA968" s="25">
        <v>1</v>
      </c>
      <c r="BB968" s="25">
        <v>1</v>
      </c>
      <c r="BC968" s="25">
        <v>1</v>
      </c>
      <c r="BD968" s="25">
        <v>1</v>
      </c>
    </row>
    <row r="969" spans="27:56" x14ac:dyDescent="0.25">
      <c r="AA969" s="68" t="str">
        <f t="shared" si="61"/>
        <v>Fotos\\.jpg</v>
      </c>
      <c r="AB969" s="53">
        <f t="shared" si="62"/>
        <v>1.0319917440660474E-3</v>
      </c>
      <c r="AC969" s="25">
        <f t="shared" si="63"/>
        <v>969</v>
      </c>
      <c r="AD969" s="51">
        <f t="shared" si="64"/>
        <v>1</v>
      </c>
      <c r="AE969" s="25">
        <v>1</v>
      </c>
      <c r="AF969" s="25">
        <v>1</v>
      </c>
      <c r="AG969" s="25">
        <v>1</v>
      </c>
      <c r="AH969" s="25">
        <v>1</v>
      </c>
      <c r="AI969" s="25">
        <f>IF(OR(Apresentação!$E$3='Base de Dados e filtragem'!AI$2,Apresentação!$E$3='Base de Dados e filtragem'!E969),1,0)</f>
        <v>1</v>
      </c>
      <c r="AJ969" s="25">
        <f>IF(OR(Apresentação!$E$4='Base de Dados e filtragem'!AJ$2,Apresentação!$E$4='Base de Dados e filtragem'!F969),1,0)</f>
        <v>1</v>
      </c>
      <c r="AK969" s="25">
        <f>IF(OR(Apresentação!$E$5='Base de Dados e filtragem'!AK$2,Apresentação!$E$5='Base de Dados e filtragem'!G969),1,0)</f>
        <v>1</v>
      </c>
      <c r="AL969" s="25">
        <f>IF(OR(Apresentação!$E$6='Base de Dados e filtragem'!AL$2,Apresentação!$E$6='Base de Dados e filtragem'!H969),1,0)</f>
        <v>1</v>
      </c>
      <c r="AM969" s="25">
        <f>IF(OR(Apresentação!$I$2='Base de Dados e filtragem'!AM$2,Apresentação!$I$2='Base de Dados e filtragem'!I969),1,0)</f>
        <v>1</v>
      </c>
      <c r="AN969" s="25">
        <f>IF(OR(Apresentação!$I$3='Base de Dados e filtragem'!AN$2,Apresentação!$I$3='Base de Dados e filtragem'!J969),1,0)</f>
        <v>1</v>
      </c>
      <c r="AO969" s="25">
        <f>IF(OR(Apresentação!$I$4='Base de Dados e filtragem'!AO$2,Apresentação!$I$4='Base de Dados e filtragem'!K969),1,0)</f>
        <v>1</v>
      </c>
      <c r="AP969" s="25">
        <f>IF(OR(Apresentação!$I$5='Base de Dados e filtragem'!AP$2,Apresentação!$I$5='Base de Dados e filtragem'!L969),1,0)</f>
        <v>1</v>
      </c>
      <c r="AQ969" s="25">
        <f>IF(OR(Apresentação!$I$6='Base de Dados e filtragem'!AQ$2,Apresentação!$I$6='Base de Dados e filtragem'!M969),1,0)</f>
        <v>1</v>
      </c>
      <c r="AR969" s="25">
        <v>1</v>
      </c>
      <c r="AS969" s="25">
        <v>1</v>
      </c>
      <c r="AT969" s="25">
        <v>1</v>
      </c>
      <c r="AU969" s="25">
        <v>1</v>
      </c>
      <c r="AV969" s="25">
        <v>1</v>
      </c>
      <c r="AW969" s="25">
        <v>1</v>
      </c>
      <c r="AX969" s="25">
        <v>1</v>
      </c>
      <c r="AY969" s="25">
        <v>1</v>
      </c>
      <c r="AZ969" s="25">
        <v>1</v>
      </c>
      <c r="BA969" s="25">
        <v>1</v>
      </c>
      <c r="BB969" s="25">
        <v>1</v>
      </c>
      <c r="BC969" s="25">
        <v>1</v>
      </c>
      <c r="BD969" s="25">
        <v>1</v>
      </c>
    </row>
    <row r="970" spans="27:56" x14ac:dyDescent="0.25">
      <c r="AA970" s="68" t="str">
        <f t="shared" si="61"/>
        <v>Fotos\\.jpg</v>
      </c>
      <c r="AB970" s="53">
        <f t="shared" si="62"/>
        <v>1.0309278350515464E-3</v>
      </c>
      <c r="AC970" s="25">
        <f t="shared" si="63"/>
        <v>970</v>
      </c>
      <c r="AD970" s="51">
        <f t="shared" si="64"/>
        <v>1</v>
      </c>
      <c r="AE970" s="25">
        <v>1</v>
      </c>
      <c r="AF970" s="25">
        <v>1</v>
      </c>
      <c r="AG970" s="25">
        <v>1</v>
      </c>
      <c r="AH970" s="25">
        <v>1</v>
      </c>
      <c r="AI970" s="25">
        <f>IF(OR(Apresentação!$E$3='Base de Dados e filtragem'!AI$2,Apresentação!$E$3='Base de Dados e filtragem'!E970),1,0)</f>
        <v>1</v>
      </c>
      <c r="AJ970" s="25">
        <f>IF(OR(Apresentação!$E$4='Base de Dados e filtragem'!AJ$2,Apresentação!$E$4='Base de Dados e filtragem'!F970),1,0)</f>
        <v>1</v>
      </c>
      <c r="AK970" s="25">
        <f>IF(OR(Apresentação!$E$5='Base de Dados e filtragem'!AK$2,Apresentação!$E$5='Base de Dados e filtragem'!G970),1,0)</f>
        <v>1</v>
      </c>
      <c r="AL970" s="25">
        <f>IF(OR(Apresentação!$E$6='Base de Dados e filtragem'!AL$2,Apresentação!$E$6='Base de Dados e filtragem'!H970),1,0)</f>
        <v>1</v>
      </c>
      <c r="AM970" s="25">
        <f>IF(OR(Apresentação!$I$2='Base de Dados e filtragem'!AM$2,Apresentação!$I$2='Base de Dados e filtragem'!I970),1,0)</f>
        <v>1</v>
      </c>
      <c r="AN970" s="25">
        <f>IF(OR(Apresentação!$I$3='Base de Dados e filtragem'!AN$2,Apresentação!$I$3='Base de Dados e filtragem'!J970),1,0)</f>
        <v>1</v>
      </c>
      <c r="AO970" s="25">
        <f>IF(OR(Apresentação!$I$4='Base de Dados e filtragem'!AO$2,Apresentação!$I$4='Base de Dados e filtragem'!K970),1,0)</f>
        <v>1</v>
      </c>
      <c r="AP970" s="25">
        <f>IF(OR(Apresentação!$I$5='Base de Dados e filtragem'!AP$2,Apresentação!$I$5='Base de Dados e filtragem'!L970),1,0)</f>
        <v>1</v>
      </c>
      <c r="AQ970" s="25">
        <f>IF(OR(Apresentação!$I$6='Base de Dados e filtragem'!AQ$2,Apresentação!$I$6='Base de Dados e filtragem'!M970),1,0)</f>
        <v>1</v>
      </c>
      <c r="AR970" s="25">
        <v>1</v>
      </c>
      <c r="AS970" s="25">
        <v>1</v>
      </c>
      <c r="AT970" s="25">
        <v>1</v>
      </c>
      <c r="AU970" s="25">
        <v>1</v>
      </c>
      <c r="AV970" s="25">
        <v>1</v>
      </c>
      <c r="AW970" s="25">
        <v>1</v>
      </c>
      <c r="AX970" s="25">
        <v>1</v>
      </c>
      <c r="AY970" s="25">
        <v>1</v>
      </c>
      <c r="AZ970" s="25">
        <v>1</v>
      </c>
      <c r="BA970" s="25">
        <v>1</v>
      </c>
      <c r="BB970" s="25">
        <v>1</v>
      </c>
      <c r="BC970" s="25">
        <v>1</v>
      </c>
      <c r="BD970" s="25">
        <v>1</v>
      </c>
    </row>
    <row r="971" spans="27:56" x14ac:dyDescent="0.25">
      <c r="AA971" s="68" t="str">
        <f t="shared" si="61"/>
        <v>Fotos\\.jpg</v>
      </c>
      <c r="AB971" s="53">
        <f t="shared" si="62"/>
        <v>1.0298661174047373E-3</v>
      </c>
      <c r="AC971" s="25">
        <f t="shared" si="63"/>
        <v>971</v>
      </c>
      <c r="AD971" s="51">
        <f t="shared" si="64"/>
        <v>1</v>
      </c>
      <c r="AE971" s="25">
        <v>1</v>
      </c>
      <c r="AF971" s="25">
        <v>1</v>
      </c>
      <c r="AG971" s="25">
        <v>1</v>
      </c>
      <c r="AH971" s="25">
        <v>1</v>
      </c>
      <c r="AI971" s="25">
        <f>IF(OR(Apresentação!$E$3='Base de Dados e filtragem'!AI$2,Apresentação!$E$3='Base de Dados e filtragem'!E971),1,0)</f>
        <v>1</v>
      </c>
      <c r="AJ971" s="25">
        <f>IF(OR(Apresentação!$E$4='Base de Dados e filtragem'!AJ$2,Apresentação!$E$4='Base de Dados e filtragem'!F971),1,0)</f>
        <v>1</v>
      </c>
      <c r="AK971" s="25">
        <f>IF(OR(Apresentação!$E$5='Base de Dados e filtragem'!AK$2,Apresentação!$E$5='Base de Dados e filtragem'!G971),1,0)</f>
        <v>1</v>
      </c>
      <c r="AL971" s="25">
        <f>IF(OR(Apresentação!$E$6='Base de Dados e filtragem'!AL$2,Apresentação!$E$6='Base de Dados e filtragem'!H971),1,0)</f>
        <v>1</v>
      </c>
      <c r="AM971" s="25">
        <f>IF(OR(Apresentação!$I$2='Base de Dados e filtragem'!AM$2,Apresentação!$I$2='Base de Dados e filtragem'!I971),1,0)</f>
        <v>1</v>
      </c>
      <c r="AN971" s="25">
        <f>IF(OR(Apresentação!$I$3='Base de Dados e filtragem'!AN$2,Apresentação!$I$3='Base de Dados e filtragem'!J971),1,0)</f>
        <v>1</v>
      </c>
      <c r="AO971" s="25">
        <f>IF(OR(Apresentação!$I$4='Base de Dados e filtragem'!AO$2,Apresentação!$I$4='Base de Dados e filtragem'!K971),1,0)</f>
        <v>1</v>
      </c>
      <c r="AP971" s="25">
        <f>IF(OR(Apresentação!$I$5='Base de Dados e filtragem'!AP$2,Apresentação!$I$5='Base de Dados e filtragem'!L971),1,0)</f>
        <v>1</v>
      </c>
      <c r="AQ971" s="25">
        <f>IF(OR(Apresentação!$I$6='Base de Dados e filtragem'!AQ$2,Apresentação!$I$6='Base de Dados e filtragem'!M971),1,0)</f>
        <v>1</v>
      </c>
      <c r="AR971" s="25">
        <v>1</v>
      </c>
      <c r="AS971" s="25">
        <v>1</v>
      </c>
      <c r="AT971" s="25">
        <v>1</v>
      </c>
      <c r="AU971" s="25">
        <v>1</v>
      </c>
      <c r="AV971" s="25">
        <v>1</v>
      </c>
      <c r="AW971" s="25">
        <v>1</v>
      </c>
      <c r="AX971" s="25">
        <v>1</v>
      </c>
      <c r="AY971" s="25">
        <v>1</v>
      </c>
      <c r="AZ971" s="25">
        <v>1</v>
      </c>
      <c r="BA971" s="25">
        <v>1</v>
      </c>
      <c r="BB971" s="25">
        <v>1</v>
      </c>
      <c r="BC971" s="25">
        <v>1</v>
      </c>
      <c r="BD971" s="25">
        <v>1</v>
      </c>
    </row>
    <row r="972" spans="27:56" x14ac:dyDescent="0.25">
      <c r="AA972" s="68" t="str">
        <f t="shared" si="61"/>
        <v>Fotos\\.jpg</v>
      </c>
      <c r="AB972" s="53">
        <f t="shared" si="62"/>
        <v>1.02880658436214E-3</v>
      </c>
      <c r="AC972" s="25">
        <f t="shared" si="63"/>
        <v>972</v>
      </c>
      <c r="AD972" s="51">
        <f t="shared" si="64"/>
        <v>1</v>
      </c>
      <c r="AE972" s="25">
        <v>1</v>
      </c>
      <c r="AF972" s="25">
        <v>1</v>
      </c>
      <c r="AG972" s="25">
        <v>1</v>
      </c>
      <c r="AH972" s="25">
        <v>1</v>
      </c>
      <c r="AI972" s="25">
        <f>IF(OR(Apresentação!$E$3='Base de Dados e filtragem'!AI$2,Apresentação!$E$3='Base de Dados e filtragem'!E972),1,0)</f>
        <v>1</v>
      </c>
      <c r="AJ972" s="25">
        <f>IF(OR(Apresentação!$E$4='Base de Dados e filtragem'!AJ$2,Apresentação!$E$4='Base de Dados e filtragem'!F972),1,0)</f>
        <v>1</v>
      </c>
      <c r="AK972" s="25">
        <f>IF(OR(Apresentação!$E$5='Base de Dados e filtragem'!AK$2,Apresentação!$E$5='Base de Dados e filtragem'!G972),1,0)</f>
        <v>1</v>
      </c>
      <c r="AL972" s="25">
        <f>IF(OR(Apresentação!$E$6='Base de Dados e filtragem'!AL$2,Apresentação!$E$6='Base de Dados e filtragem'!H972),1,0)</f>
        <v>1</v>
      </c>
      <c r="AM972" s="25">
        <f>IF(OR(Apresentação!$I$2='Base de Dados e filtragem'!AM$2,Apresentação!$I$2='Base de Dados e filtragem'!I972),1,0)</f>
        <v>1</v>
      </c>
      <c r="AN972" s="25">
        <f>IF(OR(Apresentação!$I$3='Base de Dados e filtragem'!AN$2,Apresentação!$I$3='Base de Dados e filtragem'!J972),1,0)</f>
        <v>1</v>
      </c>
      <c r="AO972" s="25">
        <f>IF(OR(Apresentação!$I$4='Base de Dados e filtragem'!AO$2,Apresentação!$I$4='Base de Dados e filtragem'!K972),1,0)</f>
        <v>1</v>
      </c>
      <c r="AP972" s="25">
        <f>IF(OR(Apresentação!$I$5='Base de Dados e filtragem'!AP$2,Apresentação!$I$5='Base de Dados e filtragem'!L972),1,0)</f>
        <v>1</v>
      </c>
      <c r="AQ972" s="25">
        <f>IF(OR(Apresentação!$I$6='Base de Dados e filtragem'!AQ$2,Apresentação!$I$6='Base de Dados e filtragem'!M972),1,0)</f>
        <v>1</v>
      </c>
      <c r="AR972" s="25">
        <v>1</v>
      </c>
      <c r="AS972" s="25">
        <v>1</v>
      </c>
      <c r="AT972" s="25">
        <v>1</v>
      </c>
      <c r="AU972" s="25">
        <v>1</v>
      </c>
      <c r="AV972" s="25">
        <v>1</v>
      </c>
      <c r="AW972" s="25">
        <v>1</v>
      </c>
      <c r="AX972" s="25">
        <v>1</v>
      </c>
      <c r="AY972" s="25">
        <v>1</v>
      </c>
      <c r="AZ972" s="25">
        <v>1</v>
      </c>
      <c r="BA972" s="25">
        <v>1</v>
      </c>
      <c r="BB972" s="25">
        <v>1</v>
      </c>
      <c r="BC972" s="25">
        <v>1</v>
      </c>
      <c r="BD972" s="25">
        <v>1</v>
      </c>
    </row>
    <row r="973" spans="27:56" x14ac:dyDescent="0.25">
      <c r="AA973" s="68" t="str">
        <f t="shared" si="61"/>
        <v>Fotos\\.jpg</v>
      </c>
      <c r="AB973" s="53">
        <f t="shared" si="62"/>
        <v>1.0277492291880781E-3</v>
      </c>
      <c r="AC973" s="25">
        <f t="shared" si="63"/>
        <v>973</v>
      </c>
      <c r="AD973" s="51">
        <f t="shared" si="64"/>
        <v>1</v>
      </c>
      <c r="AE973" s="25">
        <v>1</v>
      </c>
      <c r="AF973" s="25">
        <v>1</v>
      </c>
      <c r="AG973" s="25">
        <v>1</v>
      </c>
      <c r="AH973" s="25">
        <v>1</v>
      </c>
      <c r="AI973" s="25">
        <f>IF(OR(Apresentação!$E$3='Base de Dados e filtragem'!AI$2,Apresentação!$E$3='Base de Dados e filtragem'!E973),1,0)</f>
        <v>1</v>
      </c>
      <c r="AJ973" s="25">
        <f>IF(OR(Apresentação!$E$4='Base de Dados e filtragem'!AJ$2,Apresentação!$E$4='Base de Dados e filtragem'!F973),1,0)</f>
        <v>1</v>
      </c>
      <c r="AK973" s="25">
        <f>IF(OR(Apresentação!$E$5='Base de Dados e filtragem'!AK$2,Apresentação!$E$5='Base de Dados e filtragem'!G973),1,0)</f>
        <v>1</v>
      </c>
      <c r="AL973" s="25">
        <f>IF(OR(Apresentação!$E$6='Base de Dados e filtragem'!AL$2,Apresentação!$E$6='Base de Dados e filtragem'!H973),1,0)</f>
        <v>1</v>
      </c>
      <c r="AM973" s="25">
        <f>IF(OR(Apresentação!$I$2='Base de Dados e filtragem'!AM$2,Apresentação!$I$2='Base de Dados e filtragem'!I973),1,0)</f>
        <v>1</v>
      </c>
      <c r="AN973" s="25">
        <f>IF(OR(Apresentação!$I$3='Base de Dados e filtragem'!AN$2,Apresentação!$I$3='Base de Dados e filtragem'!J973),1,0)</f>
        <v>1</v>
      </c>
      <c r="AO973" s="25">
        <f>IF(OR(Apresentação!$I$4='Base de Dados e filtragem'!AO$2,Apresentação!$I$4='Base de Dados e filtragem'!K973),1,0)</f>
        <v>1</v>
      </c>
      <c r="AP973" s="25">
        <f>IF(OR(Apresentação!$I$5='Base de Dados e filtragem'!AP$2,Apresentação!$I$5='Base de Dados e filtragem'!L973),1,0)</f>
        <v>1</v>
      </c>
      <c r="AQ973" s="25">
        <f>IF(OR(Apresentação!$I$6='Base de Dados e filtragem'!AQ$2,Apresentação!$I$6='Base de Dados e filtragem'!M973),1,0)</f>
        <v>1</v>
      </c>
      <c r="AR973" s="25">
        <v>1</v>
      </c>
      <c r="AS973" s="25">
        <v>1</v>
      </c>
      <c r="AT973" s="25">
        <v>1</v>
      </c>
      <c r="AU973" s="25">
        <v>1</v>
      </c>
      <c r="AV973" s="25">
        <v>1</v>
      </c>
      <c r="AW973" s="25">
        <v>1</v>
      </c>
      <c r="AX973" s="25">
        <v>1</v>
      </c>
      <c r="AY973" s="25">
        <v>1</v>
      </c>
      <c r="AZ973" s="25">
        <v>1</v>
      </c>
      <c r="BA973" s="25">
        <v>1</v>
      </c>
      <c r="BB973" s="25">
        <v>1</v>
      </c>
      <c r="BC973" s="25">
        <v>1</v>
      </c>
      <c r="BD973" s="25">
        <v>1</v>
      </c>
    </row>
    <row r="974" spans="27:56" x14ac:dyDescent="0.25">
      <c r="AA974" s="68" t="str">
        <f t="shared" si="61"/>
        <v>Fotos\\.jpg</v>
      </c>
      <c r="AB974" s="53">
        <f t="shared" si="62"/>
        <v>1.026694045174538E-3</v>
      </c>
      <c r="AC974" s="25">
        <f t="shared" si="63"/>
        <v>974</v>
      </c>
      <c r="AD974" s="51">
        <f t="shared" si="64"/>
        <v>1</v>
      </c>
      <c r="AE974" s="25">
        <v>1</v>
      </c>
      <c r="AF974" s="25">
        <v>1</v>
      </c>
      <c r="AG974" s="25">
        <v>1</v>
      </c>
      <c r="AH974" s="25">
        <v>1</v>
      </c>
      <c r="AI974" s="25">
        <f>IF(OR(Apresentação!$E$3='Base de Dados e filtragem'!AI$2,Apresentação!$E$3='Base de Dados e filtragem'!E974),1,0)</f>
        <v>1</v>
      </c>
      <c r="AJ974" s="25">
        <f>IF(OR(Apresentação!$E$4='Base de Dados e filtragem'!AJ$2,Apresentação!$E$4='Base de Dados e filtragem'!F974),1,0)</f>
        <v>1</v>
      </c>
      <c r="AK974" s="25">
        <f>IF(OR(Apresentação!$E$5='Base de Dados e filtragem'!AK$2,Apresentação!$E$5='Base de Dados e filtragem'!G974),1,0)</f>
        <v>1</v>
      </c>
      <c r="AL974" s="25">
        <f>IF(OR(Apresentação!$E$6='Base de Dados e filtragem'!AL$2,Apresentação!$E$6='Base de Dados e filtragem'!H974),1,0)</f>
        <v>1</v>
      </c>
      <c r="AM974" s="25">
        <f>IF(OR(Apresentação!$I$2='Base de Dados e filtragem'!AM$2,Apresentação!$I$2='Base de Dados e filtragem'!I974),1,0)</f>
        <v>1</v>
      </c>
      <c r="AN974" s="25">
        <f>IF(OR(Apresentação!$I$3='Base de Dados e filtragem'!AN$2,Apresentação!$I$3='Base de Dados e filtragem'!J974),1,0)</f>
        <v>1</v>
      </c>
      <c r="AO974" s="25">
        <f>IF(OR(Apresentação!$I$4='Base de Dados e filtragem'!AO$2,Apresentação!$I$4='Base de Dados e filtragem'!K974),1,0)</f>
        <v>1</v>
      </c>
      <c r="AP974" s="25">
        <f>IF(OR(Apresentação!$I$5='Base de Dados e filtragem'!AP$2,Apresentação!$I$5='Base de Dados e filtragem'!L974),1,0)</f>
        <v>1</v>
      </c>
      <c r="AQ974" s="25">
        <f>IF(OR(Apresentação!$I$6='Base de Dados e filtragem'!AQ$2,Apresentação!$I$6='Base de Dados e filtragem'!M974),1,0)</f>
        <v>1</v>
      </c>
      <c r="AR974" s="25">
        <v>1</v>
      </c>
      <c r="AS974" s="25">
        <v>1</v>
      </c>
      <c r="AT974" s="25">
        <v>1</v>
      </c>
      <c r="AU974" s="25">
        <v>1</v>
      </c>
      <c r="AV974" s="25">
        <v>1</v>
      </c>
      <c r="AW974" s="25">
        <v>1</v>
      </c>
      <c r="AX974" s="25">
        <v>1</v>
      </c>
      <c r="AY974" s="25">
        <v>1</v>
      </c>
      <c r="AZ974" s="25">
        <v>1</v>
      </c>
      <c r="BA974" s="25">
        <v>1</v>
      </c>
      <c r="BB974" s="25">
        <v>1</v>
      </c>
      <c r="BC974" s="25">
        <v>1</v>
      </c>
      <c r="BD974" s="25">
        <v>1</v>
      </c>
    </row>
    <row r="975" spans="27:56" x14ac:dyDescent="0.25">
      <c r="AA975" s="68" t="str">
        <f t="shared" si="61"/>
        <v>Fotos\\.jpg</v>
      </c>
      <c r="AB975" s="53">
        <f t="shared" si="62"/>
        <v>1.0256410256410256E-3</v>
      </c>
      <c r="AC975" s="25">
        <f t="shared" si="63"/>
        <v>975</v>
      </c>
      <c r="AD975" s="51">
        <f t="shared" si="64"/>
        <v>1</v>
      </c>
      <c r="AE975" s="25">
        <v>1</v>
      </c>
      <c r="AF975" s="25">
        <v>1</v>
      </c>
      <c r="AG975" s="25">
        <v>1</v>
      </c>
      <c r="AH975" s="25">
        <v>1</v>
      </c>
      <c r="AI975" s="25">
        <f>IF(OR(Apresentação!$E$3='Base de Dados e filtragem'!AI$2,Apresentação!$E$3='Base de Dados e filtragem'!E975),1,0)</f>
        <v>1</v>
      </c>
      <c r="AJ975" s="25">
        <f>IF(OR(Apresentação!$E$4='Base de Dados e filtragem'!AJ$2,Apresentação!$E$4='Base de Dados e filtragem'!F975),1,0)</f>
        <v>1</v>
      </c>
      <c r="AK975" s="25">
        <f>IF(OR(Apresentação!$E$5='Base de Dados e filtragem'!AK$2,Apresentação!$E$5='Base de Dados e filtragem'!G975),1,0)</f>
        <v>1</v>
      </c>
      <c r="AL975" s="25">
        <f>IF(OR(Apresentação!$E$6='Base de Dados e filtragem'!AL$2,Apresentação!$E$6='Base de Dados e filtragem'!H975),1,0)</f>
        <v>1</v>
      </c>
      <c r="AM975" s="25">
        <f>IF(OR(Apresentação!$I$2='Base de Dados e filtragem'!AM$2,Apresentação!$I$2='Base de Dados e filtragem'!I975),1,0)</f>
        <v>1</v>
      </c>
      <c r="AN975" s="25">
        <f>IF(OR(Apresentação!$I$3='Base de Dados e filtragem'!AN$2,Apresentação!$I$3='Base de Dados e filtragem'!J975),1,0)</f>
        <v>1</v>
      </c>
      <c r="AO975" s="25">
        <f>IF(OR(Apresentação!$I$4='Base de Dados e filtragem'!AO$2,Apresentação!$I$4='Base de Dados e filtragem'!K975),1,0)</f>
        <v>1</v>
      </c>
      <c r="AP975" s="25">
        <f>IF(OR(Apresentação!$I$5='Base de Dados e filtragem'!AP$2,Apresentação!$I$5='Base de Dados e filtragem'!L975),1,0)</f>
        <v>1</v>
      </c>
      <c r="AQ975" s="25">
        <f>IF(OR(Apresentação!$I$6='Base de Dados e filtragem'!AQ$2,Apresentação!$I$6='Base de Dados e filtragem'!M975),1,0)</f>
        <v>1</v>
      </c>
      <c r="AR975" s="25">
        <v>1</v>
      </c>
      <c r="AS975" s="25">
        <v>1</v>
      </c>
      <c r="AT975" s="25">
        <v>1</v>
      </c>
      <c r="AU975" s="25">
        <v>1</v>
      </c>
      <c r="AV975" s="25">
        <v>1</v>
      </c>
      <c r="AW975" s="25">
        <v>1</v>
      </c>
      <c r="AX975" s="25">
        <v>1</v>
      </c>
      <c r="AY975" s="25">
        <v>1</v>
      </c>
      <c r="AZ975" s="25">
        <v>1</v>
      </c>
      <c r="BA975" s="25">
        <v>1</v>
      </c>
      <c r="BB975" s="25">
        <v>1</v>
      </c>
      <c r="BC975" s="25">
        <v>1</v>
      </c>
      <c r="BD975" s="25">
        <v>1</v>
      </c>
    </row>
    <row r="976" spans="27:56" x14ac:dyDescent="0.25">
      <c r="AA976" s="68" t="str">
        <f t="shared" si="61"/>
        <v>Fotos\\.jpg</v>
      </c>
      <c r="AB976" s="53">
        <f t="shared" si="62"/>
        <v>1.0245901639344263E-3</v>
      </c>
      <c r="AC976" s="25">
        <f t="shared" si="63"/>
        <v>976</v>
      </c>
      <c r="AD976" s="51">
        <f t="shared" si="64"/>
        <v>1</v>
      </c>
      <c r="AE976" s="25">
        <v>1</v>
      </c>
      <c r="AF976" s="25">
        <v>1</v>
      </c>
      <c r="AG976" s="25">
        <v>1</v>
      </c>
      <c r="AH976" s="25">
        <v>1</v>
      </c>
      <c r="AI976" s="25">
        <f>IF(OR(Apresentação!$E$3='Base de Dados e filtragem'!AI$2,Apresentação!$E$3='Base de Dados e filtragem'!E976),1,0)</f>
        <v>1</v>
      </c>
      <c r="AJ976" s="25">
        <f>IF(OR(Apresentação!$E$4='Base de Dados e filtragem'!AJ$2,Apresentação!$E$4='Base de Dados e filtragem'!F976),1,0)</f>
        <v>1</v>
      </c>
      <c r="AK976" s="25">
        <f>IF(OR(Apresentação!$E$5='Base de Dados e filtragem'!AK$2,Apresentação!$E$5='Base de Dados e filtragem'!G976),1,0)</f>
        <v>1</v>
      </c>
      <c r="AL976" s="25">
        <f>IF(OR(Apresentação!$E$6='Base de Dados e filtragem'!AL$2,Apresentação!$E$6='Base de Dados e filtragem'!H976),1,0)</f>
        <v>1</v>
      </c>
      <c r="AM976" s="25">
        <f>IF(OR(Apresentação!$I$2='Base de Dados e filtragem'!AM$2,Apresentação!$I$2='Base de Dados e filtragem'!I976),1,0)</f>
        <v>1</v>
      </c>
      <c r="AN976" s="25">
        <f>IF(OR(Apresentação!$I$3='Base de Dados e filtragem'!AN$2,Apresentação!$I$3='Base de Dados e filtragem'!J976),1,0)</f>
        <v>1</v>
      </c>
      <c r="AO976" s="25">
        <f>IF(OR(Apresentação!$I$4='Base de Dados e filtragem'!AO$2,Apresentação!$I$4='Base de Dados e filtragem'!K976),1,0)</f>
        <v>1</v>
      </c>
      <c r="AP976" s="25">
        <f>IF(OR(Apresentação!$I$5='Base de Dados e filtragem'!AP$2,Apresentação!$I$5='Base de Dados e filtragem'!L976),1,0)</f>
        <v>1</v>
      </c>
      <c r="AQ976" s="25">
        <f>IF(OR(Apresentação!$I$6='Base de Dados e filtragem'!AQ$2,Apresentação!$I$6='Base de Dados e filtragem'!M976),1,0)</f>
        <v>1</v>
      </c>
      <c r="AR976" s="25">
        <v>1</v>
      </c>
      <c r="AS976" s="25">
        <v>1</v>
      </c>
      <c r="AT976" s="25">
        <v>1</v>
      </c>
      <c r="AU976" s="25">
        <v>1</v>
      </c>
      <c r="AV976" s="25">
        <v>1</v>
      </c>
      <c r="AW976" s="25">
        <v>1</v>
      </c>
      <c r="AX976" s="25">
        <v>1</v>
      </c>
      <c r="AY976" s="25">
        <v>1</v>
      </c>
      <c r="AZ976" s="25">
        <v>1</v>
      </c>
      <c r="BA976" s="25">
        <v>1</v>
      </c>
      <c r="BB976" s="25">
        <v>1</v>
      </c>
      <c r="BC976" s="25">
        <v>1</v>
      </c>
      <c r="BD976" s="25">
        <v>1</v>
      </c>
    </row>
    <row r="977" spans="27:56" x14ac:dyDescent="0.25">
      <c r="AA977" s="68" t="str">
        <f t="shared" si="61"/>
        <v>Fotos\\.jpg</v>
      </c>
      <c r="AB977" s="53">
        <f t="shared" si="62"/>
        <v>1.0235414534288639E-3</v>
      </c>
      <c r="AC977" s="25">
        <f t="shared" si="63"/>
        <v>977</v>
      </c>
      <c r="AD977" s="51">
        <f t="shared" si="64"/>
        <v>1</v>
      </c>
      <c r="AE977" s="25">
        <v>1</v>
      </c>
      <c r="AF977" s="25">
        <v>1</v>
      </c>
      <c r="AG977" s="25">
        <v>1</v>
      </c>
      <c r="AH977" s="25">
        <v>1</v>
      </c>
      <c r="AI977" s="25">
        <f>IF(OR(Apresentação!$E$3='Base de Dados e filtragem'!AI$2,Apresentação!$E$3='Base de Dados e filtragem'!E977),1,0)</f>
        <v>1</v>
      </c>
      <c r="AJ977" s="25">
        <f>IF(OR(Apresentação!$E$4='Base de Dados e filtragem'!AJ$2,Apresentação!$E$4='Base de Dados e filtragem'!F977),1,0)</f>
        <v>1</v>
      </c>
      <c r="AK977" s="25">
        <f>IF(OR(Apresentação!$E$5='Base de Dados e filtragem'!AK$2,Apresentação!$E$5='Base de Dados e filtragem'!G977),1,0)</f>
        <v>1</v>
      </c>
      <c r="AL977" s="25">
        <f>IF(OR(Apresentação!$E$6='Base de Dados e filtragem'!AL$2,Apresentação!$E$6='Base de Dados e filtragem'!H977),1,0)</f>
        <v>1</v>
      </c>
      <c r="AM977" s="25">
        <f>IF(OR(Apresentação!$I$2='Base de Dados e filtragem'!AM$2,Apresentação!$I$2='Base de Dados e filtragem'!I977),1,0)</f>
        <v>1</v>
      </c>
      <c r="AN977" s="25">
        <f>IF(OR(Apresentação!$I$3='Base de Dados e filtragem'!AN$2,Apresentação!$I$3='Base de Dados e filtragem'!J977),1,0)</f>
        <v>1</v>
      </c>
      <c r="AO977" s="25">
        <f>IF(OR(Apresentação!$I$4='Base de Dados e filtragem'!AO$2,Apresentação!$I$4='Base de Dados e filtragem'!K977),1,0)</f>
        <v>1</v>
      </c>
      <c r="AP977" s="25">
        <f>IF(OR(Apresentação!$I$5='Base de Dados e filtragem'!AP$2,Apresentação!$I$5='Base de Dados e filtragem'!L977),1,0)</f>
        <v>1</v>
      </c>
      <c r="AQ977" s="25">
        <f>IF(OR(Apresentação!$I$6='Base de Dados e filtragem'!AQ$2,Apresentação!$I$6='Base de Dados e filtragem'!M977),1,0)</f>
        <v>1</v>
      </c>
      <c r="AR977" s="25">
        <v>1</v>
      </c>
      <c r="AS977" s="25">
        <v>1</v>
      </c>
      <c r="AT977" s="25">
        <v>1</v>
      </c>
      <c r="AU977" s="25">
        <v>1</v>
      </c>
      <c r="AV977" s="25">
        <v>1</v>
      </c>
      <c r="AW977" s="25">
        <v>1</v>
      </c>
      <c r="AX977" s="25">
        <v>1</v>
      </c>
      <c r="AY977" s="25">
        <v>1</v>
      </c>
      <c r="AZ977" s="25">
        <v>1</v>
      </c>
      <c r="BA977" s="25">
        <v>1</v>
      </c>
      <c r="BB977" s="25">
        <v>1</v>
      </c>
      <c r="BC977" s="25">
        <v>1</v>
      </c>
      <c r="BD977" s="25">
        <v>1</v>
      </c>
    </row>
    <row r="978" spans="27:56" x14ac:dyDescent="0.25">
      <c r="AA978" s="68" t="str">
        <f t="shared" si="61"/>
        <v>Fotos\\.jpg</v>
      </c>
      <c r="AB978" s="53">
        <f t="shared" si="62"/>
        <v>1.0224948875255625E-3</v>
      </c>
      <c r="AC978" s="25">
        <f t="shared" si="63"/>
        <v>978</v>
      </c>
      <c r="AD978" s="51">
        <f t="shared" si="64"/>
        <v>1</v>
      </c>
      <c r="AE978" s="25">
        <v>1</v>
      </c>
      <c r="AF978" s="25">
        <v>1</v>
      </c>
      <c r="AG978" s="25">
        <v>1</v>
      </c>
      <c r="AH978" s="25">
        <v>1</v>
      </c>
      <c r="AI978" s="25">
        <f>IF(OR(Apresentação!$E$3='Base de Dados e filtragem'!AI$2,Apresentação!$E$3='Base de Dados e filtragem'!E978),1,0)</f>
        <v>1</v>
      </c>
      <c r="AJ978" s="25">
        <f>IF(OR(Apresentação!$E$4='Base de Dados e filtragem'!AJ$2,Apresentação!$E$4='Base de Dados e filtragem'!F978),1,0)</f>
        <v>1</v>
      </c>
      <c r="AK978" s="25">
        <f>IF(OR(Apresentação!$E$5='Base de Dados e filtragem'!AK$2,Apresentação!$E$5='Base de Dados e filtragem'!G978),1,0)</f>
        <v>1</v>
      </c>
      <c r="AL978" s="25">
        <f>IF(OR(Apresentação!$E$6='Base de Dados e filtragem'!AL$2,Apresentação!$E$6='Base de Dados e filtragem'!H978),1,0)</f>
        <v>1</v>
      </c>
      <c r="AM978" s="25">
        <f>IF(OR(Apresentação!$I$2='Base de Dados e filtragem'!AM$2,Apresentação!$I$2='Base de Dados e filtragem'!I978),1,0)</f>
        <v>1</v>
      </c>
      <c r="AN978" s="25">
        <f>IF(OR(Apresentação!$I$3='Base de Dados e filtragem'!AN$2,Apresentação!$I$3='Base de Dados e filtragem'!J978),1,0)</f>
        <v>1</v>
      </c>
      <c r="AO978" s="25">
        <f>IF(OR(Apresentação!$I$4='Base de Dados e filtragem'!AO$2,Apresentação!$I$4='Base de Dados e filtragem'!K978),1,0)</f>
        <v>1</v>
      </c>
      <c r="AP978" s="25">
        <f>IF(OR(Apresentação!$I$5='Base de Dados e filtragem'!AP$2,Apresentação!$I$5='Base de Dados e filtragem'!L978),1,0)</f>
        <v>1</v>
      </c>
      <c r="AQ978" s="25">
        <f>IF(OR(Apresentação!$I$6='Base de Dados e filtragem'!AQ$2,Apresentação!$I$6='Base de Dados e filtragem'!M978),1,0)</f>
        <v>1</v>
      </c>
      <c r="AR978" s="25">
        <v>1</v>
      </c>
      <c r="AS978" s="25">
        <v>1</v>
      </c>
      <c r="AT978" s="25">
        <v>1</v>
      </c>
      <c r="AU978" s="25">
        <v>1</v>
      </c>
      <c r="AV978" s="25">
        <v>1</v>
      </c>
      <c r="AW978" s="25">
        <v>1</v>
      </c>
      <c r="AX978" s="25">
        <v>1</v>
      </c>
      <c r="AY978" s="25">
        <v>1</v>
      </c>
      <c r="AZ978" s="25">
        <v>1</v>
      </c>
      <c r="BA978" s="25">
        <v>1</v>
      </c>
      <c r="BB978" s="25">
        <v>1</v>
      </c>
      <c r="BC978" s="25">
        <v>1</v>
      </c>
      <c r="BD978" s="25">
        <v>1</v>
      </c>
    </row>
    <row r="979" spans="27:56" x14ac:dyDescent="0.25">
      <c r="AA979" s="68" t="str">
        <f t="shared" si="61"/>
        <v>Fotos\\.jpg</v>
      </c>
      <c r="AB979" s="53">
        <f t="shared" si="62"/>
        <v>1.0214504596527069E-3</v>
      </c>
      <c r="AC979" s="25">
        <f t="shared" si="63"/>
        <v>979</v>
      </c>
      <c r="AD979" s="51">
        <f t="shared" si="64"/>
        <v>1</v>
      </c>
      <c r="AE979" s="25">
        <v>1</v>
      </c>
      <c r="AF979" s="25">
        <v>1</v>
      </c>
      <c r="AG979" s="25">
        <v>1</v>
      </c>
      <c r="AH979" s="25">
        <v>1</v>
      </c>
      <c r="AI979" s="25">
        <f>IF(OR(Apresentação!$E$3='Base de Dados e filtragem'!AI$2,Apresentação!$E$3='Base de Dados e filtragem'!E979),1,0)</f>
        <v>1</v>
      </c>
      <c r="AJ979" s="25">
        <f>IF(OR(Apresentação!$E$4='Base de Dados e filtragem'!AJ$2,Apresentação!$E$4='Base de Dados e filtragem'!F979),1,0)</f>
        <v>1</v>
      </c>
      <c r="AK979" s="25">
        <f>IF(OR(Apresentação!$E$5='Base de Dados e filtragem'!AK$2,Apresentação!$E$5='Base de Dados e filtragem'!G979),1,0)</f>
        <v>1</v>
      </c>
      <c r="AL979" s="25">
        <f>IF(OR(Apresentação!$E$6='Base de Dados e filtragem'!AL$2,Apresentação!$E$6='Base de Dados e filtragem'!H979),1,0)</f>
        <v>1</v>
      </c>
      <c r="AM979" s="25">
        <f>IF(OR(Apresentação!$I$2='Base de Dados e filtragem'!AM$2,Apresentação!$I$2='Base de Dados e filtragem'!I979),1,0)</f>
        <v>1</v>
      </c>
      <c r="AN979" s="25">
        <f>IF(OR(Apresentação!$I$3='Base de Dados e filtragem'!AN$2,Apresentação!$I$3='Base de Dados e filtragem'!J979),1,0)</f>
        <v>1</v>
      </c>
      <c r="AO979" s="25">
        <f>IF(OR(Apresentação!$I$4='Base de Dados e filtragem'!AO$2,Apresentação!$I$4='Base de Dados e filtragem'!K979),1,0)</f>
        <v>1</v>
      </c>
      <c r="AP979" s="25">
        <f>IF(OR(Apresentação!$I$5='Base de Dados e filtragem'!AP$2,Apresentação!$I$5='Base de Dados e filtragem'!L979),1,0)</f>
        <v>1</v>
      </c>
      <c r="AQ979" s="25">
        <f>IF(OR(Apresentação!$I$6='Base de Dados e filtragem'!AQ$2,Apresentação!$I$6='Base de Dados e filtragem'!M979),1,0)</f>
        <v>1</v>
      </c>
      <c r="AR979" s="25">
        <v>1</v>
      </c>
      <c r="AS979" s="25">
        <v>1</v>
      </c>
      <c r="AT979" s="25">
        <v>1</v>
      </c>
      <c r="AU979" s="25">
        <v>1</v>
      </c>
      <c r="AV979" s="25">
        <v>1</v>
      </c>
      <c r="AW979" s="25">
        <v>1</v>
      </c>
      <c r="AX979" s="25">
        <v>1</v>
      </c>
      <c r="AY979" s="25">
        <v>1</v>
      </c>
      <c r="AZ979" s="25">
        <v>1</v>
      </c>
      <c r="BA979" s="25">
        <v>1</v>
      </c>
      <c r="BB979" s="25">
        <v>1</v>
      </c>
      <c r="BC979" s="25">
        <v>1</v>
      </c>
      <c r="BD979" s="25">
        <v>1</v>
      </c>
    </row>
    <row r="980" spans="27:56" x14ac:dyDescent="0.25">
      <c r="AA980" s="68" t="str">
        <f t="shared" si="61"/>
        <v>Fotos\\.jpg</v>
      </c>
      <c r="AB980" s="53">
        <f t="shared" si="62"/>
        <v>1.0204081632653062E-3</v>
      </c>
      <c r="AC980" s="25">
        <f t="shared" si="63"/>
        <v>980</v>
      </c>
      <c r="AD980" s="51">
        <f t="shared" si="64"/>
        <v>1</v>
      </c>
      <c r="AE980" s="25">
        <v>1</v>
      </c>
      <c r="AF980" s="25">
        <v>1</v>
      </c>
      <c r="AG980" s="25">
        <v>1</v>
      </c>
      <c r="AH980" s="25">
        <v>1</v>
      </c>
      <c r="AI980" s="25">
        <f>IF(OR(Apresentação!$E$3='Base de Dados e filtragem'!AI$2,Apresentação!$E$3='Base de Dados e filtragem'!E980),1,0)</f>
        <v>1</v>
      </c>
      <c r="AJ980" s="25">
        <f>IF(OR(Apresentação!$E$4='Base de Dados e filtragem'!AJ$2,Apresentação!$E$4='Base de Dados e filtragem'!F980),1,0)</f>
        <v>1</v>
      </c>
      <c r="AK980" s="25">
        <f>IF(OR(Apresentação!$E$5='Base de Dados e filtragem'!AK$2,Apresentação!$E$5='Base de Dados e filtragem'!G980),1,0)</f>
        <v>1</v>
      </c>
      <c r="AL980" s="25">
        <f>IF(OR(Apresentação!$E$6='Base de Dados e filtragem'!AL$2,Apresentação!$E$6='Base de Dados e filtragem'!H980),1,0)</f>
        <v>1</v>
      </c>
      <c r="AM980" s="25">
        <f>IF(OR(Apresentação!$I$2='Base de Dados e filtragem'!AM$2,Apresentação!$I$2='Base de Dados e filtragem'!I980),1,0)</f>
        <v>1</v>
      </c>
      <c r="AN980" s="25">
        <f>IF(OR(Apresentação!$I$3='Base de Dados e filtragem'!AN$2,Apresentação!$I$3='Base de Dados e filtragem'!J980),1,0)</f>
        <v>1</v>
      </c>
      <c r="AO980" s="25">
        <f>IF(OR(Apresentação!$I$4='Base de Dados e filtragem'!AO$2,Apresentação!$I$4='Base de Dados e filtragem'!K980),1,0)</f>
        <v>1</v>
      </c>
      <c r="AP980" s="25">
        <f>IF(OR(Apresentação!$I$5='Base de Dados e filtragem'!AP$2,Apresentação!$I$5='Base de Dados e filtragem'!L980),1,0)</f>
        <v>1</v>
      </c>
      <c r="AQ980" s="25">
        <f>IF(OR(Apresentação!$I$6='Base de Dados e filtragem'!AQ$2,Apresentação!$I$6='Base de Dados e filtragem'!M980),1,0)</f>
        <v>1</v>
      </c>
      <c r="AR980" s="25">
        <v>1</v>
      </c>
      <c r="AS980" s="25">
        <v>1</v>
      </c>
      <c r="AT980" s="25">
        <v>1</v>
      </c>
      <c r="AU980" s="25">
        <v>1</v>
      </c>
      <c r="AV980" s="25">
        <v>1</v>
      </c>
      <c r="AW980" s="25">
        <v>1</v>
      </c>
      <c r="AX980" s="25">
        <v>1</v>
      </c>
      <c r="AY980" s="25">
        <v>1</v>
      </c>
      <c r="AZ980" s="25">
        <v>1</v>
      </c>
      <c r="BA980" s="25">
        <v>1</v>
      </c>
      <c r="BB980" s="25">
        <v>1</v>
      </c>
      <c r="BC980" s="25">
        <v>1</v>
      </c>
      <c r="BD980" s="25">
        <v>1</v>
      </c>
    </row>
    <row r="981" spans="27:56" x14ac:dyDescent="0.25">
      <c r="AA981" s="68" t="str">
        <f t="shared" si="61"/>
        <v>Fotos\\.jpg</v>
      </c>
      <c r="AB981" s="53">
        <f t="shared" si="62"/>
        <v>1.0193679918450561E-3</v>
      </c>
      <c r="AC981" s="25">
        <f t="shared" si="63"/>
        <v>981</v>
      </c>
      <c r="AD981" s="51">
        <f t="shared" si="64"/>
        <v>1</v>
      </c>
      <c r="AE981" s="25">
        <v>1</v>
      </c>
      <c r="AF981" s="25">
        <v>1</v>
      </c>
      <c r="AG981" s="25">
        <v>1</v>
      </c>
      <c r="AH981" s="25">
        <v>1</v>
      </c>
      <c r="AI981" s="25">
        <f>IF(OR(Apresentação!$E$3='Base de Dados e filtragem'!AI$2,Apresentação!$E$3='Base de Dados e filtragem'!E981),1,0)</f>
        <v>1</v>
      </c>
      <c r="AJ981" s="25">
        <f>IF(OR(Apresentação!$E$4='Base de Dados e filtragem'!AJ$2,Apresentação!$E$4='Base de Dados e filtragem'!F981),1,0)</f>
        <v>1</v>
      </c>
      <c r="AK981" s="25">
        <f>IF(OR(Apresentação!$E$5='Base de Dados e filtragem'!AK$2,Apresentação!$E$5='Base de Dados e filtragem'!G981),1,0)</f>
        <v>1</v>
      </c>
      <c r="AL981" s="25">
        <f>IF(OR(Apresentação!$E$6='Base de Dados e filtragem'!AL$2,Apresentação!$E$6='Base de Dados e filtragem'!H981),1,0)</f>
        <v>1</v>
      </c>
      <c r="AM981" s="25">
        <f>IF(OR(Apresentação!$I$2='Base de Dados e filtragem'!AM$2,Apresentação!$I$2='Base de Dados e filtragem'!I981),1,0)</f>
        <v>1</v>
      </c>
      <c r="AN981" s="25">
        <f>IF(OR(Apresentação!$I$3='Base de Dados e filtragem'!AN$2,Apresentação!$I$3='Base de Dados e filtragem'!J981),1,0)</f>
        <v>1</v>
      </c>
      <c r="AO981" s="25">
        <f>IF(OR(Apresentação!$I$4='Base de Dados e filtragem'!AO$2,Apresentação!$I$4='Base de Dados e filtragem'!K981),1,0)</f>
        <v>1</v>
      </c>
      <c r="AP981" s="25">
        <f>IF(OR(Apresentação!$I$5='Base de Dados e filtragem'!AP$2,Apresentação!$I$5='Base de Dados e filtragem'!L981),1,0)</f>
        <v>1</v>
      </c>
      <c r="AQ981" s="25">
        <f>IF(OR(Apresentação!$I$6='Base de Dados e filtragem'!AQ$2,Apresentação!$I$6='Base de Dados e filtragem'!M981),1,0)</f>
        <v>1</v>
      </c>
      <c r="AR981" s="25">
        <v>1</v>
      </c>
      <c r="AS981" s="25">
        <v>1</v>
      </c>
      <c r="AT981" s="25">
        <v>1</v>
      </c>
      <c r="AU981" s="25">
        <v>1</v>
      </c>
      <c r="AV981" s="25">
        <v>1</v>
      </c>
      <c r="AW981" s="25">
        <v>1</v>
      </c>
      <c r="AX981" s="25">
        <v>1</v>
      </c>
      <c r="AY981" s="25">
        <v>1</v>
      </c>
      <c r="AZ981" s="25">
        <v>1</v>
      </c>
      <c r="BA981" s="25">
        <v>1</v>
      </c>
      <c r="BB981" s="25">
        <v>1</v>
      </c>
      <c r="BC981" s="25">
        <v>1</v>
      </c>
      <c r="BD981" s="25">
        <v>1</v>
      </c>
    </row>
    <row r="982" spans="27:56" x14ac:dyDescent="0.25">
      <c r="AA982" s="68" t="str">
        <f t="shared" si="61"/>
        <v>Fotos\\.jpg</v>
      </c>
      <c r="AB982" s="53">
        <f t="shared" si="62"/>
        <v>1.0183299389002036E-3</v>
      </c>
      <c r="AC982" s="25">
        <f t="shared" si="63"/>
        <v>982</v>
      </c>
      <c r="AD982" s="51">
        <f t="shared" si="64"/>
        <v>1</v>
      </c>
      <c r="AE982" s="25">
        <v>1</v>
      </c>
      <c r="AF982" s="25">
        <v>1</v>
      </c>
      <c r="AG982" s="25">
        <v>1</v>
      </c>
      <c r="AH982" s="25">
        <v>1</v>
      </c>
      <c r="AI982" s="25">
        <f>IF(OR(Apresentação!$E$3='Base de Dados e filtragem'!AI$2,Apresentação!$E$3='Base de Dados e filtragem'!E982),1,0)</f>
        <v>1</v>
      </c>
      <c r="AJ982" s="25">
        <f>IF(OR(Apresentação!$E$4='Base de Dados e filtragem'!AJ$2,Apresentação!$E$4='Base de Dados e filtragem'!F982),1,0)</f>
        <v>1</v>
      </c>
      <c r="AK982" s="25">
        <f>IF(OR(Apresentação!$E$5='Base de Dados e filtragem'!AK$2,Apresentação!$E$5='Base de Dados e filtragem'!G982),1,0)</f>
        <v>1</v>
      </c>
      <c r="AL982" s="25">
        <f>IF(OR(Apresentação!$E$6='Base de Dados e filtragem'!AL$2,Apresentação!$E$6='Base de Dados e filtragem'!H982),1,0)</f>
        <v>1</v>
      </c>
      <c r="AM982" s="25">
        <f>IF(OR(Apresentação!$I$2='Base de Dados e filtragem'!AM$2,Apresentação!$I$2='Base de Dados e filtragem'!I982),1,0)</f>
        <v>1</v>
      </c>
      <c r="AN982" s="25">
        <f>IF(OR(Apresentação!$I$3='Base de Dados e filtragem'!AN$2,Apresentação!$I$3='Base de Dados e filtragem'!J982),1,0)</f>
        <v>1</v>
      </c>
      <c r="AO982" s="25">
        <f>IF(OR(Apresentação!$I$4='Base de Dados e filtragem'!AO$2,Apresentação!$I$4='Base de Dados e filtragem'!K982),1,0)</f>
        <v>1</v>
      </c>
      <c r="AP982" s="25">
        <f>IF(OR(Apresentação!$I$5='Base de Dados e filtragem'!AP$2,Apresentação!$I$5='Base de Dados e filtragem'!L982),1,0)</f>
        <v>1</v>
      </c>
      <c r="AQ982" s="25">
        <f>IF(OR(Apresentação!$I$6='Base de Dados e filtragem'!AQ$2,Apresentação!$I$6='Base de Dados e filtragem'!M982),1,0)</f>
        <v>1</v>
      </c>
      <c r="AR982" s="25">
        <v>1</v>
      </c>
      <c r="AS982" s="25">
        <v>1</v>
      </c>
      <c r="AT982" s="25">
        <v>1</v>
      </c>
      <c r="AU982" s="25">
        <v>1</v>
      </c>
      <c r="AV982" s="25">
        <v>1</v>
      </c>
      <c r="AW982" s="25">
        <v>1</v>
      </c>
      <c r="AX982" s="25">
        <v>1</v>
      </c>
      <c r="AY982" s="25">
        <v>1</v>
      </c>
      <c r="AZ982" s="25">
        <v>1</v>
      </c>
      <c r="BA982" s="25">
        <v>1</v>
      </c>
      <c r="BB982" s="25">
        <v>1</v>
      </c>
      <c r="BC982" s="25">
        <v>1</v>
      </c>
      <c r="BD982" s="25">
        <v>1</v>
      </c>
    </row>
    <row r="983" spans="27:56" x14ac:dyDescent="0.25">
      <c r="AA983" s="68" t="str">
        <f t="shared" si="61"/>
        <v>Fotos\\.jpg</v>
      </c>
      <c r="AB983" s="53">
        <f t="shared" si="62"/>
        <v>1.017293997965412E-3</v>
      </c>
      <c r="AC983" s="25">
        <f t="shared" si="63"/>
        <v>983</v>
      </c>
      <c r="AD983" s="51">
        <f t="shared" si="64"/>
        <v>1</v>
      </c>
      <c r="AE983" s="25">
        <v>1</v>
      </c>
      <c r="AF983" s="25">
        <v>1</v>
      </c>
      <c r="AG983" s="25">
        <v>1</v>
      </c>
      <c r="AH983" s="25">
        <v>1</v>
      </c>
      <c r="AI983" s="25">
        <f>IF(OR(Apresentação!$E$3='Base de Dados e filtragem'!AI$2,Apresentação!$E$3='Base de Dados e filtragem'!E983),1,0)</f>
        <v>1</v>
      </c>
      <c r="AJ983" s="25">
        <f>IF(OR(Apresentação!$E$4='Base de Dados e filtragem'!AJ$2,Apresentação!$E$4='Base de Dados e filtragem'!F983),1,0)</f>
        <v>1</v>
      </c>
      <c r="AK983" s="25">
        <f>IF(OR(Apresentação!$E$5='Base de Dados e filtragem'!AK$2,Apresentação!$E$5='Base de Dados e filtragem'!G983),1,0)</f>
        <v>1</v>
      </c>
      <c r="AL983" s="25">
        <f>IF(OR(Apresentação!$E$6='Base de Dados e filtragem'!AL$2,Apresentação!$E$6='Base de Dados e filtragem'!H983),1,0)</f>
        <v>1</v>
      </c>
      <c r="AM983" s="25">
        <f>IF(OR(Apresentação!$I$2='Base de Dados e filtragem'!AM$2,Apresentação!$I$2='Base de Dados e filtragem'!I983),1,0)</f>
        <v>1</v>
      </c>
      <c r="AN983" s="25">
        <f>IF(OR(Apresentação!$I$3='Base de Dados e filtragem'!AN$2,Apresentação!$I$3='Base de Dados e filtragem'!J983),1,0)</f>
        <v>1</v>
      </c>
      <c r="AO983" s="25">
        <f>IF(OR(Apresentação!$I$4='Base de Dados e filtragem'!AO$2,Apresentação!$I$4='Base de Dados e filtragem'!K983),1,0)</f>
        <v>1</v>
      </c>
      <c r="AP983" s="25">
        <f>IF(OR(Apresentação!$I$5='Base de Dados e filtragem'!AP$2,Apresentação!$I$5='Base de Dados e filtragem'!L983),1,0)</f>
        <v>1</v>
      </c>
      <c r="AQ983" s="25">
        <f>IF(OR(Apresentação!$I$6='Base de Dados e filtragem'!AQ$2,Apresentação!$I$6='Base de Dados e filtragem'!M983),1,0)</f>
        <v>1</v>
      </c>
      <c r="AR983" s="25">
        <v>1</v>
      </c>
      <c r="AS983" s="25">
        <v>1</v>
      </c>
      <c r="AT983" s="25">
        <v>1</v>
      </c>
      <c r="AU983" s="25">
        <v>1</v>
      </c>
      <c r="AV983" s="25">
        <v>1</v>
      </c>
      <c r="AW983" s="25">
        <v>1</v>
      </c>
      <c r="AX983" s="25">
        <v>1</v>
      </c>
      <c r="AY983" s="25">
        <v>1</v>
      </c>
      <c r="AZ983" s="25">
        <v>1</v>
      </c>
      <c r="BA983" s="25">
        <v>1</v>
      </c>
      <c r="BB983" s="25">
        <v>1</v>
      </c>
      <c r="BC983" s="25">
        <v>1</v>
      </c>
      <c r="BD983" s="25">
        <v>1</v>
      </c>
    </row>
    <row r="984" spans="27:56" x14ac:dyDescent="0.25">
      <c r="AA984" s="68" t="str">
        <f t="shared" si="61"/>
        <v>Fotos\\.jpg</v>
      </c>
      <c r="AB984" s="53">
        <f t="shared" si="62"/>
        <v>1.0162601626016261E-3</v>
      </c>
      <c r="AC984" s="25">
        <f t="shared" si="63"/>
        <v>984</v>
      </c>
      <c r="AD984" s="51">
        <f t="shared" si="64"/>
        <v>1</v>
      </c>
      <c r="AE984" s="25">
        <v>1</v>
      </c>
      <c r="AF984" s="25">
        <v>1</v>
      </c>
      <c r="AG984" s="25">
        <v>1</v>
      </c>
      <c r="AH984" s="25">
        <v>1</v>
      </c>
      <c r="AI984" s="25">
        <f>IF(OR(Apresentação!$E$3='Base de Dados e filtragem'!AI$2,Apresentação!$E$3='Base de Dados e filtragem'!E984),1,0)</f>
        <v>1</v>
      </c>
      <c r="AJ984" s="25">
        <f>IF(OR(Apresentação!$E$4='Base de Dados e filtragem'!AJ$2,Apresentação!$E$4='Base de Dados e filtragem'!F984),1,0)</f>
        <v>1</v>
      </c>
      <c r="AK984" s="25">
        <f>IF(OR(Apresentação!$E$5='Base de Dados e filtragem'!AK$2,Apresentação!$E$5='Base de Dados e filtragem'!G984),1,0)</f>
        <v>1</v>
      </c>
      <c r="AL984" s="25">
        <f>IF(OR(Apresentação!$E$6='Base de Dados e filtragem'!AL$2,Apresentação!$E$6='Base de Dados e filtragem'!H984),1,0)</f>
        <v>1</v>
      </c>
      <c r="AM984" s="25">
        <f>IF(OR(Apresentação!$I$2='Base de Dados e filtragem'!AM$2,Apresentação!$I$2='Base de Dados e filtragem'!I984),1,0)</f>
        <v>1</v>
      </c>
      <c r="AN984" s="25">
        <f>IF(OR(Apresentação!$I$3='Base de Dados e filtragem'!AN$2,Apresentação!$I$3='Base de Dados e filtragem'!J984),1,0)</f>
        <v>1</v>
      </c>
      <c r="AO984" s="25">
        <f>IF(OR(Apresentação!$I$4='Base de Dados e filtragem'!AO$2,Apresentação!$I$4='Base de Dados e filtragem'!K984),1,0)</f>
        <v>1</v>
      </c>
      <c r="AP984" s="25">
        <f>IF(OR(Apresentação!$I$5='Base de Dados e filtragem'!AP$2,Apresentação!$I$5='Base de Dados e filtragem'!L984),1,0)</f>
        <v>1</v>
      </c>
      <c r="AQ984" s="25">
        <f>IF(OR(Apresentação!$I$6='Base de Dados e filtragem'!AQ$2,Apresentação!$I$6='Base de Dados e filtragem'!M984),1,0)</f>
        <v>1</v>
      </c>
      <c r="AR984" s="25">
        <v>1</v>
      </c>
      <c r="AS984" s="25">
        <v>1</v>
      </c>
      <c r="AT984" s="25">
        <v>1</v>
      </c>
      <c r="AU984" s="25">
        <v>1</v>
      </c>
      <c r="AV984" s="25">
        <v>1</v>
      </c>
      <c r="AW984" s="25">
        <v>1</v>
      </c>
      <c r="AX984" s="25">
        <v>1</v>
      </c>
      <c r="AY984" s="25">
        <v>1</v>
      </c>
      <c r="AZ984" s="25">
        <v>1</v>
      </c>
      <c r="BA984" s="25">
        <v>1</v>
      </c>
      <c r="BB984" s="25">
        <v>1</v>
      </c>
      <c r="BC984" s="25">
        <v>1</v>
      </c>
      <c r="BD984" s="25">
        <v>1</v>
      </c>
    </row>
    <row r="985" spans="27:56" x14ac:dyDescent="0.25">
      <c r="AA985" s="68" t="str">
        <f t="shared" si="61"/>
        <v>Fotos\\.jpg</v>
      </c>
      <c r="AB985" s="53">
        <f t="shared" si="62"/>
        <v>1.0152284263959391E-3</v>
      </c>
      <c r="AC985" s="25">
        <f t="shared" si="63"/>
        <v>985</v>
      </c>
      <c r="AD985" s="51">
        <f t="shared" si="64"/>
        <v>1</v>
      </c>
      <c r="AE985" s="25">
        <v>1</v>
      </c>
      <c r="AF985" s="25">
        <v>1</v>
      </c>
      <c r="AG985" s="25">
        <v>1</v>
      </c>
      <c r="AH985" s="25">
        <v>1</v>
      </c>
      <c r="AI985" s="25">
        <f>IF(OR(Apresentação!$E$3='Base de Dados e filtragem'!AI$2,Apresentação!$E$3='Base de Dados e filtragem'!E985),1,0)</f>
        <v>1</v>
      </c>
      <c r="AJ985" s="25">
        <f>IF(OR(Apresentação!$E$4='Base de Dados e filtragem'!AJ$2,Apresentação!$E$4='Base de Dados e filtragem'!F985),1,0)</f>
        <v>1</v>
      </c>
      <c r="AK985" s="25">
        <f>IF(OR(Apresentação!$E$5='Base de Dados e filtragem'!AK$2,Apresentação!$E$5='Base de Dados e filtragem'!G985),1,0)</f>
        <v>1</v>
      </c>
      <c r="AL985" s="25">
        <f>IF(OR(Apresentação!$E$6='Base de Dados e filtragem'!AL$2,Apresentação!$E$6='Base de Dados e filtragem'!H985),1,0)</f>
        <v>1</v>
      </c>
      <c r="AM985" s="25">
        <f>IF(OR(Apresentação!$I$2='Base de Dados e filtragem'!AM$2,Apresentação!$I$2='Base de Dados e filtragem'!I985),1,0)</f>
        <v>1</v>
      </c>
      <c r="AN985" s="25">
        <f>IF(OR(Apresentação!$I$3='Base de Dados e filtragem'!AN$2,Apresentação!$I$3='Base de Dados e filtragem'!J985),1,0)</f>
        <v>1</v>
      </c>
      <c r="AO985" s="25">
        <f>IF(OR(Apresentação!$I$4='Base de Dados e filtragem'!AO$2,Apresentação!$I$4='Base de Dados e filtragem'!K985),1,0)</f>
        <v>1</v>
      </c>
      <c r="AP985" s="25">
        <f>IF(OR(Apresentação!$I$5='Base de Dados e filtragem'!AP$2,Apresentação!$I$5='Base de Dados e filtragem'!L985),1,0)</f>
        <v>1</v>
      </c>
      <c r="AQ985" s="25">
        <f>IF(OR(Apresentação!$I$6='Base de Dados e filtragem'!AQ$2,Apresentação!$I$6='Base de Dados e filtragem'!M985),1,0)</f>
        <v>1</v>
      </c>
      <c r="AR985" s="25">
        <v>1</v>
      </c>
      <c r="AS985" s="25">
        <v>1</v>
      </c>
      <c r="AT985" s="25">
        <v>1</v>
      </c>
      <c r="AU985" s="25">
        <v>1</v>
      </c>
      <c r="AV985" s="25">
        <v>1</v>
      </c>
      <c r="AW985" s="25">
        <v>1</v>
      </c>
      <c r="AX985" s="25">
        <v>1</v>
      </c>
      <c r="AY985" s="25">
        <v>1</v>
      </c>
      <c r="AZ985" s="25">
        <v>1</v>
      </c>
      <c r="BA985" s="25">
        <v>1</v>
      </c>
      <c r="BB985" s="25">
        <v>1</v>
      </c>
      <c r="BC985" s="25">
        <v>1</v>
      </c>
      <c r="BD985" s="25">
        <v>1</v>
      </c>
    </row>
    <row r="986" spans="27:56" x14ac:dyDescent="0.25">
      <c r="AA986" s="68" t="str">
        <f t="shared" si="61"/>
        <v>Fotos\\.jpg</v>
      </c>
      <c r="AB986" s="53">
        <f t="shared" si="62"/>
        <v>1.0141987829614604E-3</v>
      </c>
      <c r="AC986" s="25">
        <f t="shared" si="63"/>
        <v>986</v>
      </c>
      <c r="AD986" s="51">
        <f t="shared" si="64"/>
        <v>1</v>
      </c>
      <c r="AE986" s="25">
        <v>1</v>
      </c>
      <c r="AF986" s="25">
        <v>1</v>
      </c>
      <c r="AG986" s="25">
        <v>1</v>
      </c>
      <c r="AH986" s="25">
        <v>1</v>
      </c>
      <c r="AI986" s="25">
        <f>IF(OR(Apresentação!$E$3='Base de Dados e filtragem'!AI$2,Apresentação!$E$3='Base de Dados e filtragem'!E986),1,0)</f>
        <v>1</v>
      </c>
      <c r="AJ986" s="25">
        <f>IF(OR(Apresentação!$E$4='Base de Dados e filtragem'!AJ$2,Apresentação!$E$4='Base de Dados e filtragem'!F986),1,0)</f>
        <v>1</v>
      </c>
      <c r="AK986" s="25">
        <f>IF(OR(Apresentação!$E$5='Base de Dados e filtragem'!AK$2,Apresentação!$E$5='Base de Dados e filtragem'!G986),1,0)</f>
        <v>1</v>
      </c>
      <c r="AL986" s="25">
        <f>IF(OR(Apresentação!$E$6='Base de Dados e filtragem'!AL$2,Apresentação!$E$6='Base de Dados e filtragem'!H986),1,0)</f>
        <v>1</v>
      </c>
      <c r="AM986" s="25">
        <f>IF(OR(Apresentação!$I$2='Base de Dados e filtragem'!AM$2,Apresentação!$I$2='Base de Dados e filtragem'!I986),1,0)</f>
        <v>1</v>
      </c>
      <c r="AN986" s="25">
        <f>IF(OR(Apresentação!$I$3='Base de Dados e filtragem'!AN$2,Apresentação!$I$3='Base de Dados e filtragem'!J986),1,0)</f>
        <v>1</v>
      </c>
      <c r="AO986" s="25">
        <f>IF(OR(Apresentação!$I$4='Base de Dados e filtragem'!AO$2,Apresentação!$I$4='Base de Dados e filtragem'!K986),1,0)</f>
        <v>1</v>
      </c>
      <c r="AP986" s="25">
        <f>IF(OR(Apresentação!$I$5='Base de Dados e filtragem'!AP$2,Apresentação!$I$5='Base de Dados e filtragem'!L986),1,0)</f>
        <v>1</v>
      </c>
      <c r="AQ986" s="25">
        <f>IF(OR(Apresentação!$I$6='Base de Dados e filtragem'!AQ$2,Apresentação!$I$6='Base de Dados e filtragem'!M986),1,0)</f>
        <v>1</v>
      </c>
      <c r="AR986" s="25">
        <v>1</v>
      </c>
      <c r="AS986" s="25">
        <v>1</v>
      </c>
      <c r="AT986" s="25">
        <v>1</v>
      </c>
      <c r="AU986" s="25">
        <v>1</v>
      </c>
      <c r="AV986" s="25">
        <v>1</v>
      </c>
      <c r="AW986" s="25">
        <v>1</v>
      </c>
      <c r="AX986" s="25">
        <v>1</v>
      </c>
      <c r="AY986" s="25">
        <v>1</v>
      </c>
      <c r="AZ986" s="25">
        <v>1</v>
      </c>
      <c r="BA986" s="25">
        <v>1</v>
      </c>
      <c r="BB986" s="25">
        <v>1</v>
      </c>
      <c r="BC986" s="25">
        <v>1</v>
      </c>
      <c r="BD986" s="25">
        <v>1</v>
      </c>
    </row>
    <row r="987" spans="27:56" x14ac:dyDescent="0.25">
      <c r="AA987" s="68" t="str">
        <f t="shared" si="61"/>
        <v>Fotos\\.jpg</v>
      </c>
      <c r="AB987" s="53">
        <f t="shared" si="62"/>
        <v>1.0131712259371835E-3</v>
      </c>
      <c r="AC987" s="25">
        <f t="shared" si="63"/>
        <v>987</v>
      </c>
      <c r="AD987" s="51">
        <f t="shared" si="64"/>
        <v>1</v>
      </c>
      <c r="AE987" s="25">
        <v>1</v>
      </c>
      <c r="AF987" s="25">
        <v>1</v>
      </c>
      <c r="AG987" s="25">
        <v>1</v>
      </c>
      <c r="AH987" s="25">
        <v>1</v>
      </c>
      <c r="AI987" s="25">
        <f>IF(OR(Apresentação!$E$3='Base de Dados e filtragem'!AI$2,Apresentação!$E$3='Base de Dados e filtragem'!E987),1,0)</f>
        <v>1</v>
      </c>
      <c r="AJ987" s="25">
        <f>IF(OR(Apresentação!$E$4='Base de Dados e filtragem'!AJ$2,Apresentação!$E$4='Base de Dados e filtragem'!F987),1,0)</f>
        <v>1</v>
      </c>
      <c r="AK987" s="25">
        <f>IF(OR(Apresentação!$E$5='Base de Dados e filtragem'!AK$2,Apresentação!$E$5='Base de Dados e filtragem'!G987),1,0)</f>
        <v>1</v>
      </c>
      <c r="AL987" s="25">
        <f>IF(OR(Apresentação!$E$6='Base de Dados e filtragem'!AL$2,Apresentação!$E$6='Base de Dados e filtragem'!H987),1,0)</f>
        <v>1</v>
      </c>
      <c r="AM987" s="25">
        <f>IF(OR(Apresentação!$I$2='Base de Dados e filtragem'!AM$2,Apresentação!$I$2='Base de Dados e filtragem'!I987),1,0)</f>
        <v>1</v>
      </c>
      <c r="AN987" s="25">
        <f>IF(OR(Apresentação!$I$3='Base de Dados e filtragem'!AN$2,Apresentação!$I$3='Base de Dados e filtragem'!J987),1,0)</f>
        <v>1</v>
      </c>
      <c r="AO987" s="25">
        <f>IF(OR(Apresentação!$I$4='Base de Dados e filtragem'!AO$2,Apresentação!$I$4='Base de Dados e filtragem'!K987),1,0)</f>
        <v>1</v>
      </c>
      <c r="AP987" s="25">
        <f>IF(OR(Apresentação!$I$5='Base de Dados e filtragem'!AP$2,Apresentação!$I$5='Base de Dados e filtragem'!L987),1,0)</f>
        <v>1</v>
      </c>
      <c r="AQ987" s="25">
        <f>IF(OR(Apresentação!$I$6='Base de Dados e filtragem'!AQ$2,Apresentação!$I$6='Base de Dados e filtragem'!M987),1,0)</f>
        <v>1</v>
      </c>
      <c r="AR987" s="25">
        <v>1</v>
      </c>
      <c r="AS987" s="25">
        <v>1</v>
      </c>
      <c r="AT987" s="25">
        <v>1</v>
      </c>
      <c r="AU987" s="25">
        <v>1</v>
      </c>
      <c r="AV987" s="25">
        <v>1</v>
      </c>
      <c r="AW987" s="25">
        <v>1</v>
      </c>
      <c r="AX987" s="25">
        <v>1</v>
      </c>
      <c r="AY987" s="25">
        <v>1</v>
      </c>
      <c r="AZ987" s="25">
        <v>1</v>
      </c>
      <c r="BA987" s="25">
        <v>1</v>
      </c>
      <c r="BB987" s="25">
        <v>1</v>
      </c>
      <c r="BC987" s="25">
        <v>1</v>
      </c>
      <c r="BD987" s="25">
        <v>1</v>
      </c>
    </row>
    <row r="988" spans="27:56" x14ac:dyDescent="0.25">
      <c r="AA988" s="68" t="str">
        <f t="shared" si="61"/>
        <v>Fotos\\.jpg</v>
      </c>
      <c r="AB988" s="53">
        <f t="shared" si="62"/>
        <v>1.0121457489878543E-3</v>
      </c>
      <c r="AC988" s="25">
        <f t="shared" si="63"/>
        <v>988</v>
      </c>
      <c r="AD988" s="51">
        <f t="shared" si="64"/>
        <v>1</v>
      </c>
      <c r="AE988" s="25">
        <v>1</v>
      </c>
      <c r="AF988" s="25">
        <v>1</v>
      </c>
      <c r="AG988" s="25">
        <v>1</v>
      </c>
      <c r="AH988" s="25">
        <v>1</v>
      </c>
      <c r="AI988" s="25">
        <f>IF(OR(Apresentação!$E$3='Base de Dados e filtragem'!AI$2,Apresentação!$E$3='Base de Dados e filtragem'!E988),1,0)</f>
        <v>1</v>
      </c>
      <c r="AJ988" s="25">
        <f>IF(OR(Apresentação!$E$4='Base de Dados e filtragem'!AJ$2,Apresentação!$E$4='Base de Dados e filtragem'!F988),1,0)</f>
        <v>1</v>
      </c>
      <c r="AK988" s="25">
        <f>IF(OR(Apresentação!$E$5='Base de Dados e filtragem'!AK$2,Apresentação!$E$5='Base de Dados e filtragem'!G988),1,0)</f>
        <v>1</v>
      </c>
      <c r="AL988" s="25">
        <f>IF(OR(Apresentação!$E$6='Base de Dados e filtragem'!AL$2,Apresentação!$E$6='Base de Dados e filtragem'!H988),1,0)</f>
        <v>1</v>
      </c>
      <c r="AM988" s="25">
        <f>IF(OR(Apresentação!$I$2='Base de Dados e filtragem'!AM$2,Apresentação!$I$2='Base de Dados e filtragem'!I988),1,0)</f>
        <v>1</v>
      </c>
      <c r="AN988" s="25">
        <f>IF(OR(Apresentação!$I$3='Base de Dados e filtragem'!AN$2,Apresentação!$I$3='Base de Dados e filtragem'!J988),1,0)</f>
        <v>1</v>
      </c>
      <c r="AO988" s="25">
        <f>IF(OR(Apresentação!$I$4='Base de Dados e filtragem'!AO$2,Apresentação!$I$4='Base de Dados e filtragem'!K988),1,0)</f>
        <v>1</v>
      </c>
      <c r="AP988" s="25">
        <f>IF(OR(Apresentação!$I$5='Base de Dados e filtragem'!AP$2,Apresentação!$I$5='Base de Dados e filtragem'!L988),1,0)</f>
        <v>1</v>
      </c>
      <c r="AQ988" s="25">
        <f>IF(OR(Apresentação!$I$6='Base de Dados e filtragem'!AQ$2,Apresentação!$I$6='Base de Dados e filtragem'!M988),1,0)</f>
        <v>1</v>
      </c>
      <c r="AR988" s="25">
        <v>1</v>
      </c>
      <c r="AS988" s="25">
        <v>1</v>
      </c>
      <c r="AT988" s="25">
        <v>1</v>
      </c>
      <c r="AU988" s="25">
        <v>1</v>
      </c>
      <c r="AV988" s="25">
        <v>1</v>
      </c>
      <c r="AW988" s="25">
        <v>1</v>
      </c>
      <c r="AX988" s="25">
        <v>1</v>
      </c>
      <c r="AY988" s="25">
        <v>1</v>
      </c>
      <c r="AZ988" s="25">
        <v>1</v>
      </c>
      <c r="BA988" s="25">
        <v>1</v>
      </c>
      <c r="BB988" s="25">
        <v>1</v>
      </c>
      <c r="BC988" s="25">
        <v>1</v>
      </c>
      <c r="BD988" s="25">
        <v>1</v>
      </c>
    </row>
    <row r="989" spans="27:56" x14ac:dyDescent="0.25">
      <c r="AA989" s="68" t="str">
        <f t="shared" si="61"/>
        <v>Fotos\\.jpg</v>
      </c>
      <c r="AB989" s="53">
        <f t="shared" si="62"/>
        <v>1.0111223458038423E-3</v>
      </c>
      <c r="AC989" s="25">
        <f t="shared" si="63"/>
        <v>989</v>
      </c>
      <c r="AD989" s="51">
        <f t="shared" si="64"/>
        <v>1</v>
      </c>
      <c r="AE989" s="25">
        <v>1</v>
      </c>
      <c r="AF989" s="25">
        <v>1</v>
      </c>
      <c r="AG989" s="25">
        <v>1</v>
      </c>
      <c r="AH989" s="25">
        <v>1</v>
      </c>
      <c r="AI989" s="25">
        <f>IF(OR(Apresentação!$E$3='Base de Dados e filtragem'!AI$2,Apresentação!$E$3='Base de Dados e filtragem'!E989),1,0)</f>
        <v>1</v>
      </c>
      <c r="AJ989" s="25">
        <f>IF(OR(Apresentação!$E$4='Base de Dados e filtragem'!AJ$2,Apresentação!$E$4='Base de Dados e filtragem'!F989),1,0)</f>
        <v>1</v>
      </c>
      <c r="AK989" s="25">
        <f>IF(OR(Apresentação!$E$5='Base de Dados e filtragem'!AK$2,Apresentação!$E$5='Base de Dados e filtragem'!G989),1,0)</f>
        <v>1</v>
      </c>
      <c r="AL989" s="25">
        <f>IF(OR(Apresentação!$E$6='Base de Dados e filtragem'!AL$2,Apresentação!$E$6='Base de Dados e filtragem'!H989),1,0)</f>
        <v>1</v>
      </c>
      <c r="AM989" s="25">
        <f>IF(OR(Apresentação!$I$2='Base de Dados e filtragem'!AM$2,Apresentação!$I$2='Base de Dados e filtragem'!I989),1,0)</f>
        <v>1</v>
      </c>
      <c r="AN989" s="25">
        <f>IF(OR(Apresentação!$I$3='Base de Dados e filtragem'!AN$2,Apresentação!$I$3='Base de Dados e filtragem'!J989),1,0)</f>
        <v>1</v>
      </c>
      <c r="AO989" s="25">
        <f>IF(OR(Apresentação!$I$4='Base de Dados e filtragem'!AO$2,Apresentação!$I$4='Base de Dados e filtragem'!K989),1,0)</f>
        <v>1</v>
      </c>
      <c r="AP989" s="25">
        <f>IF(OR(Apresentação!$I$5='Base de Dados e filtragem'!AP$2,Apresentação!$I$5='Base de Dados e filtragem'!L989),1,0)</f>
        <v>1</v>
      </c>
      <c r="AQ989" s="25">
        <f>IF(OR(Apresentação!$I$6='Base de Dados e filtragem'!AQ$2,Apresentação!$I$6='Base de Dados e filtragem'!M989),1,0)</f>
        <v>1</v>
      </c>
      <c r="AR989" s="25">
        <v>1</v>
      </c>
      <c r="AS989" s="25">
        <v>1</v>
      </c>
      <c r="AT989" s="25">
        <v>1</v>
      </c>
      <c r="AU989" s="25">
        <v>1</v>
      </c>
      <c r="AV989" s="25">
        <v>1</v>
      </c>
      <c r="AW989" s="25">
        <v>1</v>
      </c>
      <c r="AX989" s="25">
        <v>1</v>
      </c>
      <c r="AY989" s="25">
        <v>1</v>
      </c>
      <c r="AZ989" s="25">
        <v>1</v>
      </c>
      <c r="BA989" s="25">
        <v>1</v>
      </c>
      <c r="BB989" s="25">
        <v>1</v>
      </c>
      <c r="BC989" s="25">
        <v>1</v>
      </c>
      <c r="BD989" s="25">
        <v>1</v>
      </c>
    </row>
    <row r="990" spans="27:56" x14ac:dyDescent="0.25">
      <c r="AA990" s="68" t="str">
        <f t="shared" si="61"/>
        <v>Fotos\\.jpg</v>
      </c>
      <c r="AB990" s="53">
        <f t="shared" si="62"/>
        <v>1.0101010101010101E-3</v>
      </c>
      <c r="AC990" s="25">
        <f t="shared" si="63"/>
        <v>990</v>
      </c>
      <c r="AD990" s="51">
        <f t="shared" si="64"/>
        <v>1</v>
      </c>
      <c r="AE990" s="25">
        <v>1</v>
      </c>
      <c r="AF990" s="25">
        <v>1</v>
      </c>
      <c r="AG990" s="25">
        <v>1</v>
      </c>
      <c r="AH990" s="25">
        <v>1</v>
      </c>
      <c r="AI990" s="25">
        <f>IF(OR(Apresentação!$E$3='Base de Dados e filtragem'!AI$2,Apresentação!$E$3='Base de Dados e filtragem'!E990),1,0)</f>
        <v>1</v>
      </c>
      <c r="AJ990" s="25">
        <f>IF(OR(Apresentação!$E$4='Base de Dados e filtragem'!AJ$2,Apresentação!$E$4='Base de Dados e filtragem'!F990),1,0)</f>
        <v>1</v>
      </c>
      <c r="AK990" s="25">
        <f>IF(OR(Apresentação!$E$5='Base de Dados e filtragem'!AK$2,Apresentação!$E$5='Base de Dados e filtragem'!G990),1,0)</f>
        <v>1</v>
      </c>
      <c r="AL990" s="25">
        <f>IF(OR(Apresentação!$E$6='Base de Dados e filtragem'!AL$2,Apresentação!$E$6='Base de Dados e filtragem'!H990),1,0)</f>
        <v>1</v>
      </c>
      <c r="AM990" s="25">
        <f>IF(OR(Apresentação!$I$2='Base de Dados e filtragem'!AM$2,Apresentação!$I$2='Base de Dados e filtragem'!I990),1,0)</f>
        <v>1</v>
      </c>
      <c r="AN990" s="25">
        <f>IF(OR(Apresentação!$I$3='Base de Dados e filtragem'!AN$2,Apresentação!$I$3='Base de Dados e filtragem'!J990),1,0)</f>
        <v>1</v>
      </c>
      <c r="AO990" s="25">
        <f>IF(OR(Apresentação!$I$4='Base de Dados e filtragem'!AO$2,Apresentação!$I$4='Base de Dados e filtragem'!K990),1,0)</f>
        <v>1</v>
      </c>
      <c r="AP990" s="25">
        <f>IF(OR(Apresentação!$I$5='Base de Dados e filtragem'!AP$2,Apresentação!$I$5='Base de Dados e filtragem'!L990),1,0)</f>
        <v>1</v>
      </c>
      <c r="AQ990" s="25">
        <f>IF(OR(Apresentação!$I$6='Base de Dados e filtragem'!AQ$2,Apresentação!$I$6='Base de Dados e filtragem'!M990),1,0)</f>
        <v>1</v>
      </c>
      <c r="AR990" s="25">
        <v>1</v>
      </c>
      <c r="AS990" s="25">
        <v>1</v>
      </c>
      <c r="AT990" s="25">
        <v>1</v>
      </c>
      <c r="AU990" s="25">
        <v>1</v>
      </c>
      <c r="AV990" s="25">
        <v>1</v>
      </c>
      <c r="AW990" s="25">
        <v>1</v>
      </c>
      <c r="AX990" s="25">
        <v>1</v>
      </c>
      <c r="AY990" s="25">
        <v>1</v>
      </c>
      <c r="AZ990" s="25">
        <v>1</v>
      </c>
      <c r="BA990" s="25">
        <v>1</v>
      </c>
      <c r="BB990" s="25">
        <v>1</v>
      </c>
      <c r="BC990" s="25">
        <v>1</v>
      </c>
      <c r="BD990" s="25">
        <v>1</v>
      </c>
    </row>
    <row r="991" spans="27:56" x14ac:dyDescent="0.25">
      <c r="AA991" s="68" t="str">
        <f t="shared" si="61"/>
        <v>Fotos\\.jpg</v>
      </c>
      <c r="AB991" s="53">
        <f t="shared" si="62"/>
        <v>1.0090817356205853E-3</v>
      </c>
      <c r="AC991" s="25">
        <f t="shared" si="63"/>
        <v>991</v>
      </c>
      <c r="AD991" s="51">
        <f t="shared" si="64"/>
        <v>1</v>
      </c>
      <c r="AE991" s="25">
        <v>1</v>
      </c>
      <c r="AF991" s="25">
        <v>1</v>
      </c>
      <c r="AG991" s="25">
        <v>1</v>
      </c>
      <c r="AH991" s="25">
        <v>1</v>
      </c>
      <c r="AI991" s="25">
        <f>IF(OR(Apresentação!$E$3='Base de Dados e filtragem'!AI$2,Apresentação!$E$3='Base de Dados e filtragem'!E991),1,0)</f>
        <v>1</v>
      </c>
      <c r="AJ991" s="25">
        <f>IF(OR(Apresentação!$E$4='Base de Dados e filtragem'!AJ$2,Apresentação!$E$4='Base de Dados e filtragem'!F991),1,0)</f>
        <v>1</v>
      </c>
      <c r="AK991" s="25">
        <f>IF(OR(Apresentação!$E$5='Base de Dados e filtragem'!AK$2,Apresentação!$E$5='Base de Dados e filtragem'!G991),1,0)</f>
        <v>1</v>
      </c>
      <c r="AL991" s="25">
        <f>IF(OR(Apresentação!$E$6='Base de Dados e filtragem'!AL$2,Apresentação!$E$6='Base de Dados e filtragem'!H991),1,0)</f>
        <v>1</v>
      </c>
      <c r="AM991" s="25">
        <f>IF(OR(Apresentação!$I$2='Base de Dados e filtragem'!AM$2,Apresentação!$I$2='Base de Dados e filtragem'!I991),1,0)</f>
        <v>1</v>
      </c>
      <c r="AN991" s="25">
        <f>IF(OR(Apresentação!$I$3='Base de Dados e filtragem'!AN$2,Apresentação!$I$3='Base de Dados e filtragem'!J991),1,0)</f>
        <v>1</v>
      </c>
      <c r="AO991" s="25">
        <f>IF(OR(Apresentação!$I$4='Base de Dados e filtragem'!AO$2,Apresentação!$I$4='Base de Dados e filtragem'!K991),1,0)</f>
        <v>1</v>
      </c>
      <c r="AP991" s="25">
        <f>IF(OR(Apresentação!$I$5='Base de Dados e filtragem'!AP$2,Apresentação!$I$5='Base de Dados e filtragem'!L991),1,0)</f>
        <v>1</v>
      </c>
      <c r="AQ991" s="25">
        <f>IF(OR(Apresentação!$I$6='Base de Dados e filtragem'!AQ$2,Apresentação!$I$6='Base de Dados e filtragem'!M991),1,0)</f>
        <v>1</v>
      </c>
      <c r="AR991" s="25">
        <v>1</v>
      </c>
      <c r="AS991" s="25">
        <v>1</v>
      </c>
      <c r="AT991" s="25">
        <v>1</v>
      </c>
      <c r="AU991" s="25">
        <v>1</v>
      </c>
      <c r="AV991" s="25">
        <v>1</v>
      </c>
      <c r="AW991" s="25">
        <v>1</v>
      </c>
      <c r="AX991" s="25">
        <v>1</v>
      </c>
      <c r="AY991" s="25">
        <v>1</v>
      </c>
      <c r="AZ991" s="25">
        <v>1</v>
      </c>
      <c r="BA991" s="25">
        <v>1</v>
      </c>
      <c r="BB991" s="25">
        <v>1</v>
      </c>
      <c r="BC991" s="25">
        <v>1</v>
      </c>
      <c r="BD991" s="25">
        <v>1</v>
      </c>
    </row>
    <row r="992" spans="27:56" x14ac:dyDescent="0.25">
      <c r="AA992" s="68" t="str">
        <f t="shared" si="61"/>
        <v>Fotos\\.jpg</v>
      </c>
      <c r="AB992" s="53">
        <f t="shared" si="62"/>
        <v>1.0080645161290322E-3</v>
      </c>
      <c r="AC992" s="25">
        <f t="shared" si="63"/>
        <v>992</v>
      </c>
      <c r="AD992" s="51">
        <f t="shared" si="64"/>
        <v>1</v>
      </c>
      <c r="AE992" s="25">
        <v>1</v>
      </c>
      <c r="AF992" s="25">
        <v>1</v>
      </c>
      <c r="AG992" s="25">
        <v>1</v>
      </c>
      <c r="AH992" s="25">
        <v>1</v>
      </c>
      <c r="AI992" s="25">
        <f>IF(OR(Apresentação!$E$3='Base de Dados e filtragem'!AI$2,Apresentação!$E$3='Base de Dados e filtragem'!E992),1,0)</f>
        <v>1</v>
      </c>
      <c r="AJ992" s="25">
        <f>IF(OR(Apresentação!$E$4='Base de Dados e filtragem'!AJ$2,Apresentação!$E$4='Base de Dados e filtragem'!F992),1,0)</f>
        <v>1</v>
      </c>
      <c r="AK992" s="25">
        <f>IF(OR(Apresentação!$E$5='Base de Dados e filtragem'!AK$2,Apresentação!$E$5='Base de Dados e filtragem'!G992),1,0)</f>
        <v>1</v>
      </c>
      <c r="AL992" s="25">
        <f>IF(OR(Apresentação!$E$6='Base de Dados e filtragem'!AL$2,Apresentação!$E$6='Base de Dados e filtragem'!H992),1,0)</f>
        <v>1</v>
      </c>
      <c r="AM992" s="25">
        <f>IF(OR(Apresentação!$I$2='Base de Dados e filtragem'!AM$2,Apresentação!$I$2='Base de Dados e filtragem'!I992),1,0)</f>
        <v>1</v>
      </c>
      <c r="AN992" s="25">
        <f>IF(OR(Apresentação!$I$3='Base de Dados e filtragem'!AN$2,Apresentação!$I$3='Base de Dados e filtragem'!J992),1,0)</f>
        <v>1</v>
      </c>
      <c r="AO992" s="25">
        <f>IF(OR(Apresentação!$I$4='Base de Dados e filtragem'!AO$2,Apresentação!$I$4='Base de Dados e filtragem'!K992),1,0)</f>
        <v>1</v>
      </c>
      <c r="AP992" s="25">
        <f>IF(OR(Apresentação!$I$5='Base de Dados e filtragem'!AP$2,Apresentação!$I$5='Base de Dados e filtragem'!L992),1,0)</f>
        <v>1</v>
      </c>
      <c r="AQ992" s="25">
        <f>IF(OR(Apresentação!$I$6='Base de Dados e filtragem'!AQ$2,Apresentação!$I$6='Base de Dados e filtragem'!M992),1,0)</f>
        <v>1</v>
      </c>
      <c r="AR992" s="25">
        <v>1</v>
      </c>
      <c r="AS992" s="25">
        <v>1</v>
      </c>
      <c r="AT992" s="25">
        <v>1</v>
      </c>
      <c r="AU992" s="25">
        <v>1</v>
      </c>
      <c r="AV992" s="25">
        <v>1</v>
      </c>
      <c r="AW992" s="25">
        <v>1</v>
      </c>
      <c r="AX992" s="25">
        <v>1</v>
      </c>
      <c r="AY992" s="25">
        <v>1</v>
      </c>
      <c r="AZ992" s="25">
        <v>1</v>
      </c>
      <c r="BA992" s="25">
        <v>1</v>
      </c>
      <c r="BB992" s="25">
        <v>1</v>
      </c>
      <c r="BC992" s="25">
        <v>1</v>
      </c>
      <c r="BD992" s="25">
        <v>1</v>
      </c>
    </row>
    <row r="993" spans="27:56" x14ac:dyDescent="0.25">
      <c r="AA993" s="68" t="str">
        <f t="shared" si="61"/>
        <v>Fotos\\.jpg</v>
      </c>
      <c r="AB993" s="53">
        <f t="shared" si="62"/>
        <v>1.0070493454179255E-3</v>
      </c>
      <c r="AC993" s="25">
        <f t="shared" si="63"/>
        <v>993</v>
      </c>
      <c r="AD993" s="51">
        <f t="shared" si="64"/>
        <v>1</v>
      </c>
      <c r="AE993" s="25">
        <v>1</v>
      </c>
      <c r="AF993" s="25">
        <v>1</v>
      </c>
      <c r="AG993" s="25">
        <v>1</v>
      </c>
      <c r="AH993" s="25">
        <v>1</v>
      </c>
      <c r="AI993" s="25">
        <f>IF(OR(Apresentação!$E$3='Base de Dados e filtragem'!AI$2,Apresentação!$E$3='Base de Dados e filtragem'!E993),1,0)</f>
        <v>1</v>
      </c>
      <c r="AJ993" s="25">
        <f>IF(OR(Apresentação!$E$4='Base de Dados e filtragem'!AJ$2,Apresentação!$E$4='Base de Dados e filtragem'!F993),1,0)</f>
        <v>1</v>
      </c>
      <c r="AK993" s="25">
        <f>IF(OR(Apresentação!$E$5='Base de Dados e filtragem'!AK$2,Apresentação!$E$5='Base de Dados e filtragem'!G993),1,0)</f>
        <v>1</v>
      </c>
      <c r="AL993" s="25">
        <f>IF(OR(Apresentação!$E$6='Base de Dados e filtragem'!AL$2,Apresentação!$E$6='Base de Dados e filtragem'!H993),1,0)</f>
        <v>1</v>
      </c>
      <c r="AM993" s="25">
        <f>IF(OR(Apresentação!$I$2='Base de Dados e filtragem'!AM$2,Apresentação!$I$2='Base de Dados e filtragem'!I993),1,0)</f>
        <v>1</v>
      </c>
      <c r="AN993" s="25">
        <f>IF(OR(Apresentação!$I$3='Base de Dados e filtragem'!AN$2,Apresentação!$I$3='Base de Dados e filtragem'!J993),1,0)</f>
        <v>1</v>
      </c>
      <c r="AO993" s="25">
        <f>IF(OR(Apresentação!$I$4='Base de Dados e filtragem'!AO$2,Apresentação!$I$4='Base de Dados e filtragem'!K993),1,0)</f>
        <v>1</v>
      </c>
      <c r="AP993" s="25">
        <f>IF(OR(Apresentação!$I$5='Base de Dados e filtragem'!AP$2,Apresentação!$I$5='Base de Dados e filtragem'!L993),1,0)</f>
        <v>1</v>
      </c>
      <c r="AQ993" s="25">
        <f>IF(OR(Apresentação!$I$6='Base de Dados e filtragem'!AQ$2,Apresentação!$I$6='Base de Dados e filtragem'!M993),1,0)</f>
        <v>1</v>
      </c>
      <c r="AR993" s="25">
        <v>1</v>
      </c>
      <c r="AS993" s="25">
        <v>1</v>
      </c>
      <c r="AT993" s="25">
        <v>1</v>
      </c>
      <c r="AU993" s="25">
        <v>1</v>
      </c>
      <c r="AV993" s="25">
        <v>1</v>
      </c>
      <c r="AW993" s="25">
        <v>1</v>
      </c>
      <c r="AX993" s="25">
        <v>1</v>
      </c>
      <c r="AY993" s="25">
        <v>1</v>
      </c>
      <c r="AZ993" s="25">
        <v>1</v>
      </c>
      <c r="BA993" s="25">
        <v>1</v>
      </c>
      <c r="BB993" s="25">
        <v>1</v>
      </c>
      <c r="BC993" s="25">
        <v>1</v>
      </c>
      <c r="BD993" s="25">
        <v>1</v>
      </c>
    </row>
    <row r="994" spans="27:56" x14ac:dyDescent="0.25">
      <c r="AA994" s="68" t="str">
        <f t="shared" si="61"/>
        <v>Fotos\\.jpg</v>
      </c>
      <c r="AB994" s="53">
        <f t="shared" si="62"/>
        <v>1.006036217303823E-3</v>
      </c>
      <c r="AC994" s="25">
        <f t="shared" si="63"/>
        <v>994</v>
      </c>
      <c r="AD994" s="51">
        <f t="shared" si="64"/>
        <v>1</v>
      </c>
      <c r="AE994" s="25">
        <v>1</v>
      </c>
      <c r="AF994" s="25">
        <v>1</v>
      </c>
      <c r="AG994" s="25">
        <v>1</v>
      </c>
      <c r="AH994" s="25">
        <v>1</v>
      </c>
      <c r="AI994" s="25">
        <f>IF(OR(Apresentação!$E$3='Base de Dados e filtragem'!AI$2,Apresentação!$E$3='Base de Dados e filtragem'!E994),1,0)</f>
        <v>1</v>
      </c>
      <c r="AJ994" s="25">
        <f>IF(OR(Apresentação!$E$4='Base de Dados e filtragem'!AJ$2,Apresentação!$E$4='Base de Dados e filtragem'!F994),1,0)</f>
        <v>1</v>
      </c>
      <c r="AK994" s="25">
        <f>IF(OR(Apresentação!$E$5='Base de Dados e filtragem'!AK$2,Apresentação!$E$5='Base de Dados e filtragem'!G994),1,0)</f>
        <v>1</v>
      </c>
      <c r="AL994" s="25">
        <f>IF(OR(Apresentação!$E$6='Base de Dados e filtragem'!AL$2,Apresentação!$E$6='Base de Dados e filtragem'!H994),1,0)</f>
        <v>1</v>
      </c>
      <c r="AM994" s="25">
        <f>IF(OR(Apresentação!$I$2='Base de Dados e filtragem'!AM$2,Apresentação!$I$2='Base de Dados e filtragem'!I994),1,0)</f>
        <v>1</v>
      </c>
      <c r="AN994" s="25">
        <f>IF(OR(Apresentação!$I$3='Base de Dados e filtragem'!AN$2,Apresentação!$I$3='Base de Dados e filtragem'!J994),1,0)</f>
        <v>1</v>
      </c>
      <c r="AO994" s="25">
        <f>IF(OR(Apresentação!$I$4='Base de Dados e filtragem'!AO$2,Apresentação!$I$4='Base de Dados e filtragem'!K994),1,0)</f>
        <v>1</v>
      </c>
      <c r="AP994" s="25">
        <f>IF(OR(Apresentação!$I$5='Base de Dados e filtragem'!AP$2,Apresentação!$I$5='Base de Dados e filtragem'!L994),1,0)</f>
        <v>1</v>
      </c>
      <c r="AQ994" s="25">
        <f>IF(OR(Apresentação!$I$6='Base de Dados e filtragem'!AQ$2,Apresentação!$I$6='Base de Dados e filtragem'!M994),1,0)</f>
        <v>1</v>
      </c>
      <c r="AR994" s="25">
        <v>1</v>
      </c>
      <c r="AS994" s="25">
        <v>1</v>
      </c>
      <c r="AT994" s="25">
        <v>1</v>
      </c>
      <c r="AU994" s="25">
        <v>1</v>
      </c>
      <c r="AV994" s="25">
        <v>1</v>
      </c>
      <c r="AW994" s="25">
        <v>1</v>
      </c>
      <c r="AX994" s="25">
        <v>1</v>
      </c>
      <c r="AY994" s="25">
        <v>1</v>
      </c>
      <c r="AZ994" s="25">
        <v>1</v>
      </c>
      <c r="BA994" s="25">
        <v>1</v>
      </c>
      <c r="BB994" s="25">
        <v>1</v>
      </c>
      <c r="BC994" s="25">
        <v>1</v>
      </c>
      <c r="BD994" s="25">
        <v>1</v>
      </c>
    </row>
    <row r="995" spans="27:56" x14ac:dyDescent="0.25">
      <c r="AA995" s="68" t="str">
        <f t="shared" si="61"/>
        <v>Fotos\\.jpg</v>
      </c>
      <c r="AB995" s="53">
        <f t="shared" si="62"/>
        <v>1.0050251256281408E-3</v>
      </c>
      <c r="AC995" s="25">
        <f t="shared" si="63"/>
        <v>995</v>
      </c>
      <c r="AD995" s="51">
        <f t="shared" si="64"/>
        <v>1</v>
      </c>
      <c r="AE995" s="25">
        <v>1</v>
      </c>
      <c r="AF995" s="25">
        <v>1</v>
      </c>
      <c r="AG995" s="25">
        <v>1</v>
      </c>
      <c r="AH995" s="25">
        <v>1</v>
      </c>
      <c r="AI995" s="25">
        <f>IF(OR(Apresentação!$E$3='Base de Dados e filtragem'!AI$2,Apresentação!$E$3='Base de Dados e filtragem'!E995),1,0)</f>
        <v>1</v>
      </c>
      <c r="AJ995" s="25">
        <f>IF(OR(Apresentação!$E$4='Base de Dados e filtragem'!AJ$2,Apresentação!$E$4='Base de Dados e filtragem'!F995),1,0)</f>
        <v>1</v>
      </c>
      <c r="AK995" s="25">
        <f>IF(OR(Apresentação!$E$5='Base de Dados e filtragem'!AK$2,Apresentação!$E$5='Base de Dados e filtragem'!G995),1,0)</f>
        <v>1</v>
      </c>
      <c r="AL995" s="25">
        <f>IF(OR(Apresentação!$E$6='Base de Dados e filtragem'!AL$2,Apresentação!$E$6='Base de Dados e filtragem'!H995),1,0)</f>
        <v>1</v>
      </c>
      <c r="AM995" s="25">
        <f>IF(OR(Apresentação!$I$2='Base de Dados e filtragem'!AM$2,Apresentação!$I$2='Base de Dados e filtragem'!I995),1,0)</f>
        <v>1</v>
      </c>
      <c r="AN995" s="25">
        <f>IF(OR(Apresentação!$I$3='Base de Dados e filtragem'!AN$2,Apresentação!$I$3='Base de Dados e filtragem'!J995),1,0)</f>
        <v>1</v>
      </c>
      <c r="AO995" s="25">
        <f>IF(OR(Apresentação!$I$4='Base de Dados e filtragem'!AO$2,Apresentação!$I$4='Base de Dados e filtragem'!K995),1,0)</f>
        <v>1</v>
      </c>
      <c r="AP995" s="25">
        <f>IF(OR(Apresentação!$I$5='Base de Dados e filtragem'!AP$2,Apresentação!$I$5='Base de Dados e filtragem'!L995),1,0)</f>
        <v>1</v>
      </c>
      <c r="AQ995" s="25">
        <f>IF(OR(Apresentação!$I$6='Base de Dados e filtragem'!AQ$2,Apresentação!$I$6='Base de Dados e filtragem'!M995),1,0)</f>
        <v>1</v>
      </c>
      <c r="AR995" s="25">
        <v>1</v>
      </c>
      <c r="AS995" s="25">
        <v>1</v>
      </c>
      <c r="AT995" s="25">
        <v>1</v>
      </c>
      <c r="AU995" s="25">
        <v>1</v>
      </c>
      <c r="AV995" s="25">
        <v>1</v>
      </c>
      <c r="AW995" s="25">
        <v>1</v>
      </c>
      <c r="AX995" s="25">
        <v>1</v>
      </c>
      <c r="AY995" s="25">
        <v>1</v>
      </c>
      <c r="AZ995" s="25">
        <v>1</v>
      </c>
      <c r="BA995" s="25">
        <v>1</v>
      </c>
      <c r="BB995" s="25">
        <v>1</v>
      </c>
      <c r="BC995" s="25">
        <v>1</v>
      </c>
      <c r="BD995" s="25">
        <v>1</v>
      </c>
    </row>
    <row r="996" spans="27:56" x14ac:dyDescent="0.25">
      <c r="AA996" s="68" t="str">
        <f t="shared" si="61"/>
        <v>Fotos\\.jpg</v>
      </c>
      <c r="AB996" s="53">
        <f t="shared" si="62"/>
        <v>1.004016064257028E-3</v>
      </c>
      <c r="AC996" s="25">
        <f t="shared" si="63"/>
        <v>996</v>
      </c>
      <c r="AD996" s="51">
        <f t="shared" si="64"/>
        <v>1</v>
      </c>
      <c r="AE996" s="25">
        <v>1</v>
      </c>
      <c r="AF996" s="25">
        <v>1</v>
      </c>
      <c r="AG996" s="25">
        <v>1</v>
      </c>
      <c r="AH996" s="25">
        <v>1</v>
      </c>
      <c r="AI996" s="25">
        <f>IF(OR(Apresentação!$E$3='Base de Dados e filtragem'!AI$2,Apresentação!$E$3='Base de Dados e filtragem'!E996),1,0)</f>
        <v>1</v>
      </c>
      <c r="AJ996" s="25">
        <f>IF(OR(Apresentação!$E$4='Base de Dados e filtragem'!AJ$2,Apresentação!$E$4='Base de Dados e filtragem'!F996),1,0)</f>
        <v>1</v>
      </c>
      <c r="AK996" s="25">
        <f>IF(OR(Apresentação!$E$5='Base de Dados e filtragem'!AK$2,Apresentação!$E$5='Base de Dados e filtragem'!G996),1,0)</f>
        <v>1</v>
      </c>
      <c r="AL996" s="25">
        <f>IF(OR(Apresentação!$E$6='Base de Dados e filtragem'!AL$2,Apresentação!$E$6='Base de Dados e filtragem'!H996),1,0)</f>
        <v>1</v>
      </c>
      <c r="AM996" s="25">
        <f>IF(OR(Apresentação!$I$2='Base de Dados e filtragem'!AM$2,Apresentação!$I$2='Base de Dados e filtragem'!I996),1,0)</f>
        <v>1</v>
      </c>
      <c r="AN996" s="25">
        <f>IF(OR(Apresentação!$I$3='Base de Dados e filtragem'!AN$2,Apresentação!$I$3='Base de Dados e filtragem'!J996),1,0)</f>
        <v>1</v>
      </c>
      <c r="AO996" s="25">
        <f>IF(OR(Apresentação!$I$4='Base de Dados e filtragem'!AO$2,Apresentação!$I$4='Base de Dados e filtragem'!K996),1,0)</f>
        <v>1</v>
      </c>
      <c r="AP996" s="25">
        <f>IF(OR(Apresentação!$I$5='Base de Dados e filtragem'!AP$2,Apresentação!$I$5='Base de Dados e filtragem'!L996),1,0)</f>
        <v>1</v>
      </c>
      <c r="AQ996" s="25">
        <f>IF(OR(Apresentação!$I$6='Base de Dados e filtragem'!AQ$2,Apresentação!$I$6='Base de Dados e filtragem'!M996),1,0)</f>
        <v>1</v>
      </c>
      <c r="AR996" s="25">
        <v>1</v>
      </c>
      <c r="AS996" s="25">
        <v>1</v>
      </c>
      <c r="AT996" s="25">
        <v>1</v>
      </c>
      <c r="AU996" s="25">
        <v>1</v>
      </c>
      <c r="AV996" s="25">
        <v>1</v>
      </c>
      <c r="AW996" s="25">
        <v>1</v>
      </c>
      <c r="AX996" s="25">
        <v>1</v>
      </c>
      <c r="AY996" s="25">
        <v>1</v>
      </c>
      <c r="AZ996" s="25">
        <v>1</v>
      </c>
      <c r="BA996" s="25">
        <v>1</v>
      </c>
      <c r="BB996" s="25">
        <v>1</v>
      </c>
      <c r="BC996" s="25">
        <v>1</v>
      </c>
      <c r="BD996" s="25">
        <v>1</v>
      </c>
    </row>
    <row r="997" spans="27:56" x14ac:dyDescent="0.25">
      <c r="AA997" s="68" t="str">
        <f t="shared" si="61"/>
        <v>Fotos\\.jpg</v>
      </c>
      <c r="AB997" s="53">
        <f t="shared" si="62"/>
        <v>1.0030090270812437E-3</v>
      </c>
      <c r="AC997" s="25">
        <f t="shared" si="63"/>
        <v>997</v>
      </c>
      <c r="AD997" s="51">
        <f t="shared" si="64"/>
        <v>1</v>
      </c>
      <c r="AE997" s="25">
        <v>1</v>
      </c>
      <c r="AF997" s="25">
        <v>1</v>
      </c>
      <c r="AG997" s="25">
        <v>1</v>
      </c>
      <c r="AH997" s="25">
        <v>1</v>
      </c>
      <c r="AI997" s="25">
        <f>IF(OR(Apresentação!$E$3='Base de Dados e filtragem'!AI$2,Apresentação!$E$3='Base de Dados e filtragem'!E997),1,0)</f>
        <v>1</v>
      </c>
      <c r="AJ997" s="25">
        <f>IF(OR(Apresentação!$E$4='Base de Dados e filtragem'!AJ$2,Apresentação!$E$4='Base de Dados e filtragem'!F997),1,0)</f>
        <v>1</v>
      </c>
      <c r="AK997" s="25">
        <f>IF(OR(Apresentação!$E$5='Base de Dados e filtragem'!AK$2,Apresentação!$E$5='Base de Dados e filtragem'!G997),1,0)</f>
        <v>1</v>
      </c>
      <c r="AL997" s="25">
        <f>IF(OR(Apresentação!$E$6='Base de Dados e filtragem'!AL$2,Apresentação!$E$6='Base de Dados e filtragem'!H997),1,0)</f>
        <v>1</v>
      </c>
      <c r="AM997" s="25">
        <f>IF(OR(Apresentação!$I$2='Base de Dados e filtragem'!AM$2,Apresentação!$I$2='Base de Dados e filtragem'!I997),1,0)</f>
        <v>1</v>
      </c>
      <c r="AN997" s="25">
        <f>IF(OR(Apresentação!$I$3='Base de Dados e filtragem'!AN$2,Apresentação!$I$3='Base de Dados e filtragem'!J997),1,0)</f>
        <v>1</v>
      </c>
      <c r="AO997" s="25">
        <f>IF(OR(Apresentação!$I$4='Base de Dados e filtragem'!AO$2,Apresentação!$I$4='Base de Dados e filtragem'!K997),1,0)</f>
        <v>1</v>
      </c>
      <c r="AP997" s="25">
        <f>IF(OR(Apresentação!$I$5='Base de Dados e filtragem'!AP$2,Apresentação!$I$5='Base de Dados e filtragem'!L997),1,0)</f>
        <v>1</v>
      </c>
      <c r="AQ997" s="25">
        <f>IF(OR(Apresentação!$I$6='Base de Dados e filtragem'!AQ$2,Apresentação!$I$6='Base de Dados e filtragem'!M997),1,0)</f>
        <v>1</v>
      </c>
      <c r="AR997" s="25">
        <v>1</v>
      </c>
      <c r="AS997" s="25">
        <v>1</v>
      </c>
      <c r="AT997" s="25">
        <v>1</v>
      </c>
      <c r="AU997" s="25">
        <v>1</v>
      </c>
      <c r="AV997" s="25">
        <v>1</v>
      </c>
      <c r="AW997" s="25">
        <v>1</v>
      </c>
      <c r="AX997" s="25">
        <v>1</v>
      </c>
      <c r="AY997" s="25">
        <v>1</v>
      </c>
      <c r="AZ997" s="25">
        <v>1</v>
      </c>
      <c r="BA997" s="25">
        <v>1</v>
      </c>
      <c r="BB997" s="25">
        <v>1</v>
      </c>
      <c r="BC997" s="25">
        <v>1</v>
      </c>
      <c r="BD997" s="25">
        <v>1</v>
      </c>
    </row>
    <row r="998" spans="27:56" x14ac:dyDescent="0.25">
      <c r="AA998" s="68" t="str">
        <f t="shared" si="61"/>
        <v>Fotos\\.jpg</v>
      </c>
      <c r="AB998" s="53">
        <f t="shared" si="62"/>
        <v>1.002004008016032E-3</v>
      </c>
      <c r="AC998" s="25">
        <f t="shared" si="63"/>
        <v>998</v>
      </c>
      <c r="AD998" s="51">
        <f t="shared" si="64"/>
        <v>1</v>
      </c>
      <c r="AE998" s="25">
        <v>1</v>
      </c>
      <c r="AF998" s="25">
        <v>1</v>
      </c>
      <c r="AG998" s="25">
        <v>1</v>
      </c>
      <c r="AH998" s="25">
        <v>1</v>
      </c>
      <c r="AI998" s="25">
        <f>IF(OR(Apresentação!$E$3='Base de Dados e filtragem'!AI$2,Apresentação!$E$3='Base de Dados e filtragem'!E998),1,0)</f>
        <v>1</v>
      </c>
      <c r="AJ998" s="25">
        <f>IF(OR(Apresentação!$E$4='Base de Dados e filtragem'!AJ$2,Apresentação!$E$4='Base de Dados e filtragem'!F998),1,0)</f>
        <v>1</v>
      </c>
      <c r="AK998" s="25">
        <f>IF(OR(Apresentação!$E$5='Base de Dados e filtragem'!AK$2,Apresentação!$E$5='Base de Dados e filtragem'!G998),1,0)</f>
        <v>1</v>
      </c>
      <c r="AL998" s="25">
        <f>IF(OR(Apresentação!$E$6='Base de Dados e filtragem'!AL$2,Apresentação!$E$6='Base de Dados e filtragem'!H998),1,0)</f>
        <v>1</v>
      </c>
      <c r="AM998" s="25">
        <f>IF(OR(Apresentação!$I$2='Base de Dados e filtragem'!AM$2,Apresentação!$I$2='Base de Dados e filtragem'!I998),1,0)</f>
        <v>1</v>
      </c>
      <c r="AN998" s="25">
        <f>IF(OR(Apresentação!$I$3='Base de Dados e filtragem'!AN$2,Apresentação!$I$3='Base de Dados e filtragem'!J998),1,0)</f>
        <v>1</v>
      </c>
      <c r="AO998" s="25">
        <f>IF(OR(Apresentação!$I$4='Base de Dados e filtragem'!AO$2,Apresentação!$I$4='Base de Dados e filtragem'!K998),1,0)</f>
        <v>1</v>
      </c>
      <c r="AP998" s="25">
        <f>IF(OR(Apresentação!$I$5='Base de Dados e filtragem'!AP$2,Apresentação!$I$5='Base de Dados e filtragem'!L998),1,0)</f>
        <v>1</v>
      </c>
      <c r="AQ998" s="25">
        <f>IF(OR(Apresentação!$I$6='Base de Dados e filtragem'!AQ$2,Apresentação!$I$6='Base de Dados e filtragem'!M998),1,0)</f>
        <v>1</v>
      </c>
      <c r="AR998" s="25">
        <v>1</v>
      </c>
      <c r="AS998" s="25">
        <v>1</v>
      </c>
      <c r="AT998" s="25">
        <v>1</v>
      </c>
      <c r="AU998" s="25">
        <v>1</v>
      </c>
      <c r="AV998" s="25">
        <v>1</v>
      </c>
      <c r="AW998" s="25">
        <v>1</v>
      </c>
      <c r="AX998" s="25">
        <v>1</v>
      </c>
      <c r="AY998" s="25">
        <v>1</v>
      </c>
      <c r="AZ998" s="25">
        <v>1</v>
      </c>
      <c r="BA998" s="25">
        <v>1</v>
      </c>
      <c r="BB998" s="25">
        <v>1</v>
      </c>
      <c r="BC998" s="25">
        <v>1</v>
      </c>
      <c r="BD998" s="25">
        <v>1</v>
      </c>
    </row>
    <row r="999" spans="27:56" x14ac:dyDescent="0.25">
      <c r="AA999" s="68" t="str">
        <f t="shared" si="61"/>
        <v>Fotos\\.jpg</v>
      </c>
      <c r="AB999" s="53">
        <f t="shared" si="62"/>
        <v>1.001001001001001E-3</v>
      </c>
      <c r="AC999" s="25">
        <f t="shared" si="63"/>
        <v>999</v>
      </c>
      <c r="AD999" s="51">
        <f t="shared" si="64"/>
        <v>1</v>
      </c>
      <c r="AE999" s="25">
        <v>1</v>
      </c>
      <c r="AF999" s="25">
        <v>1</v>
      </c>
      <c r="AG999" s="25">
        <v>1</v>
      </c>
      <c r="AH999" s="25">
        <v>1</v>
      </c>
      <c r="AI999" s="25">
        <f>IF(OR(Apresentação!$E$3='Base de Dados e filtragem'!AI$2,Apresentação!$E$3='Base de Dados e filtragem'!E999),1,0)</f>
        <v>1</v>
      </c>
      <c r="AJ999" s="25">
        <f>IF(OR(Apresentação!$E$4='Base de Dados e filtragem'!AJ$2,Apresentação!$E$4='Base de Dados e filtragem'!F999),1,0)</f>
        <v>1</v>
      </c>
      <c r="AK999" s="25">
        <f>IF(OR(Apresentação!$E$5='Base de Dados e filtragem'!AK$2,Apresentação!$E$5='Base de Dados e filtragem'!G999),1,0)</f>
        <v>1</v>
      </c>
      <c r="AL999" s="25">
        <f>IF(OR(Apresentação!$E$6='Base de Dados e filtragem'!AL$2,Apresentação!$E$6='Base de Dados e filtragem'!H999),1,0)</f>
        <v>1</v>
      </c>
      <c r="AM999" s="25">
        <f>IF(OR(Apresentação!$I$2='Base de Dados e filtragem'!AM$2,Apresentação!$I$2='Base de Dados e filtragem'!I999),1,0)</f>
        <v>1</v>
      </c>
      <c r="AN999" s="25">
        <f>IF(OR(Apresentação!$I$3='Base de Dados e filtragem'!AN$2,Apresentação!$I$3='Base de Dados e filtragem'!J999),1,0)</f>
        <v>1</v>
      </c>
      <c r="AO999" s="25">
        <f>IF(OR(Apresentação!$I$4='Base de Dados e filtragem'!AO$2,Apresentação!$I$4='Base de Dados e filtragem'!K999),1,0)</f>
        <v>1</v>
      </c>
      <c r="AP999" s="25">
        <f>IF(OR(Apresentação!$I$5='Base de Dados e filtragem'!AP$2,Apresentação!$I$5='Base de Dados e filtragem'!L999),1,0)</f>
        <v>1</v>
      </c>
      <c r="AQ999" s="25">
        <f>IF(OR(Apresentação!$I$6='Base de Dados e filtragem'!AQ$2,Apresentação!$I$6='Base de Dados e filtragem'!M999),1,0)</f>
        <v>1</v>
      </c>
      <c r="AR999" s="25">
        <v>1</v>
      </c>
      <c r="AS999" s="25">
        <v>1</v>
      </c>
      <c r="AT999" s="25">
        <v>1</v>
      </c>
      <c r="AU999" s="25">
        <v>1</v>
      </c>
      <c r="AV999" s="25">
        <v>1</v>
      </c>
      <c r="AW999" s="25">
        <v>1</v>
      </c>
      <c r="AX999" s="25">
        <v>1</v>
      </c>
      <c r="AY999" s="25">
        <v>1</v>
      </c>
      <c r="AZ999" s="25">
        <v>1</v>
      </c>
      <c r="BA999" s="25">
        <v>1</v>
      </c>
      <c r="BB999" s="25">
        <v>1</v>
      </c>
      <c r="BC999" s="25">
        <v>1</v>
      </c>
      <c r="BD999" s="25">
        <v>1</v>
      </c>
    </row>
    <row r="1000" spans="27:56" x14ac:dyDescent="0.25">
      <c r="AA1000" s="68" t="str">
        <f t="shared" si="61"/>
        <v>Fotos\\.jpg</v>
      </c>
      <c r="AB1000" s="53">
        <f t="shared" si="62"/>
        <v>1E-3</v>
      </c>
      <c r="AC1000" s="25">
        <f t="shared" si="63"/>
        <v>1000</v>
      </c>
      <c r="AD1000" s="51">
        <f t="shared" si="64"/>
        <v>1</v>
      </c>
      <c r="AE1000" s="25">
        <v>1</v>
      </c>
      <c r="AF1000" s="25">
        <v>1</v>
      </c>
      <c r="AG1000" s="25">
        <v>1</v>
      </c>
      <c r="AH1000" s="25">
        <v>1</v>
      </c>
      <c r="AI1000" s="25">
        <f>IF(OR(Apresentação!$E$3='Base de Dados e filtragem'!AI$2,Apresentação!$E$3='Base de Dados e filtragem'!E1000),1,0)</f>
        <v>1</v>
      </c>
      <c r="AJ1000" s="25">
        <f>IF(OR(Apresentação!$E$4='Base de Dados e filtragem'!AJ$2,Apresentação!$E$4='Base de Dados e filtragem'!F1000),1,0)</f>
        <v>1</v>
      </c>
      <c r="AK1000" s="25">
        <f>IF(OR(Apresentação!$E$5='Base de Dados e filtragem'!AK$2,Apresentação!$E$5='Base de Dados e filtragem'!G1000),1,0)</f>
        <v>1</v>
      </c>
      <c r="AL1000" s="25">
        <f>IF(OR(Apresentação!$E$6='Base de Dados e filtragem'!AL$2,Apresentação!$E$6='Base de Dados e filtragem'!H1000),1,0)</f>
        <v>1</v>
      </c>
      <c r="AM1000" s="25">
        <f>IF(OR(Apresentação!$I$2='Base de Dados e filtragem'!AM$2,Apresentação!$I$2='Base de Dados e filtragem'!I1000),1,0)</f>
        <v>1</v>
      </c>
      <c r="AN1000" s="25">
        <f>IF(OR(Apresentação!$I$3='Base de Dados e filtragem'!AN$2,Apresentação!$I$3='Base de Dados e filtragem'!J1000),1,0)</f>
        <v>1</v>
      </c>
      <c r="AO1000" s="25">
        <f>IF(OR(Apresentação!$I$4='Base de Dados e filtragem'!AO$2,Apresentação!$I$4='Base de Dados e filtragem'!K1000),1,0)</f>
        <v>1</v>
      </c>
      <c r="AP1000" s="25">
        <f>IF(OR(Apresentação!$I$5='Base de Dados e filtragem'!AP$2,Apresentação!$I$5='Base de Dados e filtragem'!L1000),1,0)</f>
        <v>1</v>
      </c>
      <c r="AQ1000" s="25">
        <f>IF(OR(Apresentação!$I$6='Base de Dados e filtragem'!AQ$2,Apresentação!$I$6='Base de Dados e filtragem'!M1000),1,0)</f>
        <v>1</v>
      </c>
      <c r="AR1000" s="25">
        <v>1</v>
      </c>
      <c r="AS1000" s="25">
        <v>1</v>
      </c>
      <c r="AT1000" s="25">
        <v>1</v>
      </c>
      <c r="AU1000" s="25">
        <v>1</v>
      </c>
      <c r="AV1000" s="25">
        <v>1</v>
      </c>
      <c r="AW1000" s="25">
        <v>1</v>
      </c>
      <c r="AX1000" s="25">
        <v>1</v>
      </c>
      <c r="AY1000" s="25">
        <v>1</v>
      </c>
      <c r="AZ1000" s="25">
        <v>1</v>
      </c>
      <c r="BA1000" s="25">
        <v>1</v>
      </c>
      <c r="BB1000" s="25">
        <v>1</v>
      </c>
      <c r="BC1000" s="25">
        <v>1</v>
      </c>
      <c r="BD1000" s="25">
        <v>1</v>
      </c>
    </row>
    <row r="1001" spans="27:56" x14ac:dyDescent="0.25">
      <c r="AA1001" s="68" t="str">
        <f t="shared" si="61"/>
        <v>Fotos\\.jpg</v>
      </c>
      <c r="AB1001" s="53">
        <f t="shared" si="62"/>
        <v>9.99000999000999E-4</v>
      </c>
      <c r="AC1001" s="25">
        <f t="shared" si="63"/>
        <v>1001</v>
      </c>
      <c r="AD1001" s="51">
        <f t="shared" si="64"/>
        <v>1</v>
      </c>
      <c r="AE1001" s="25">
        <v>1</v>
      </c>
      <c r="AF1001" s="25">
        <v>1</v>
      </c>
      <c r="AG1001" s="25">
        <v>1</v>
      </c>
      <c r="AH1001" s="25">
        <v>1</v>
      </c>
      <c r="AI1001" s="25">
        <f>IF(OR(Apresentação!$E$3='Base de Dados e filtragem'!AI$2,Apresentação!$E$3='Base de Dados e filtragem'!E1001),1,0)</f>
        <v>1</v>
      </c>
      <c r="AJ1001" s="25">
        <f>IF(OR(Apresentação!$E$4='Base de Dados e filtragem'!AJ$2,Apresentação!$E$4='Base de Dados e filtragem'!F1001),1,0)</f>
        <v>1</v>
      </c>
      <c r="AK1001" s="25">
        <f>IF(OR(Apresentação!$E$5='Base de Dados e filtragem'!AK$2,Apresentação!$E$5='Base de Dados e filtragem'!G1001),1,0)</f>
        <v>1</v>
      </c>
      <c r="AL1001" s="25">
        <f>IF(OR(Apresentação!$E$6='Base de Dados e filtragem'!AL$2,Apresentação!$E$6='Base de Dados e filtragem'!H1001),1,0)</f>
        <v>1</v>
      </c>
      <c r="AM1001" s="25">
        <f>IF(OR(Apresentação!$I$2='Base de Dados e filtragem'!AM$2,Apresentação!$I$2='Base de Dados e filtragem'!I1001),1,0)</f>
        <v>1</v>
      </c>
      <c r="AN1001" s="25">
        <f>IF(OR(Apresentação!$I$3='Base de Dados e filtragem'!AN$2,Apresentação!$I$3='Base de Dados e filtragem'!J1001),1,0)</f>
        <v>1</v>
      </c>
      <c r="AO1001" s="25">
        <f>IF(OR(Apresentação!$I$4='Base de Dados e filtragem'!AO$2,Apresentação!$I$4='Base de Dados e filtragem'!K1001),1,0)</f>
        <v>1</v>
      </c>
      <c r="AP1001" s="25">
        <f>IF(OR(Apresentação!$I$5='Base de Dados e filtragem'!AP$2,Apresentação!$I$5='Base de Dados e filtragem'!L1001),1,0)</f>
        <v>1</v>
      </c>
      <c r="AQ1001" s="25">
        <f>IF(OR(Apresentação!$I$6='Base de Dados e filtragem'!AQ$2,Apresentação!$I$6='Base de Dados e filtragem'!M1001),1,0)</f>
        <v>1</v>
      </c>
      <c r="AR1001" s="25">
        <v>1</v>
      </c>
      <c r="AS1001" s="25">
        <v>1</v>
      </c>
      <c r="AT1001" s="25">
        <v>1</v>
      </c>
      <c r="AU1001" s="25">
        <v>1</v>
      </c>
      <c r="AV1001" s="25">
        <v>1</v>
      </c>
      <c r="AW1001" s="25">
        <v>1</v>
      </c>
      <c r="AX1001" s="25">
        <v>1</v>
      </c>
      <c r="AY1001" s="25">
        <v>1</v>
      </c>
      <c r="AZ1001" s="25">
        <v>1</v>
      </c>
      <c r="BA1001" s="25">
        <v>1</v>
      </c>
      <c r="BB1001" s="25">
        <v>1</v>
      </c>
      <c r="BC1001" s="25">
        <v>1</v>
      </c>
      <c r="BD1001" s="25">
        <v>1</v>
      </c>
    </row>
    <row r="1002" spans="27:56" x14ac:dyDescent="0.25">
      <c r="AA1002" s="68" t="str">
        <f t="shared" si="61"/>
        <v>Fotos\\.jpg</v>
      </c>
      <c r="AB1002" s="53">
        <f t="shared" si="62"/>
        <v>9.9800399201596798E-4</v>
      </c>
      <c r="AC1002" s="25">
        <f t="shared" si="63"/>
        <v>1002</v>
      </c>
      <c r="AD1002" s="51">
        <f t="shared" si="64"/>
        <v>1</v>
      </c>
      <c r="AE1002" s="25">
        <v>1</v>
      </c>
      <c r="AF1002" s="25">
        <v>1</v>
      </c>
      <c r="AG1002" s="25">
        <v>1</v>
      </c>
      <c r="AH1002" s="25">
        <v>1</v>
      </c>
      <c r="AI1002" s="25">
        <f>IF(OR(Apresentação!$E$3='Base de Dados e filtragem'!AI$2,Apresentação!$E$3='Base de Dados e filtragem'!E1002),1,0)</f>
        <v>1</v>
      </c>
      <c r="AJ1002" s="25">
        <f>IF(OR(Apresentação!$E$4='Base de Dados e filtragem'!AJ$2,Apresentação!$E$4='Base de Dados e filtragem'!F1002),1,0)</f>
        <v>1</v>
      </c>
      <c r="AK1002" s="25">
        <f>IF(OR(Apresentação!$E$5='Base de Dados e filtragem'!AK$2,Apresentação!$E$5='Base de Dados e filtragem'!G1002),1,0)</f>
        <v>1</v>
      </c>
      <c r="AL1002" s="25">
        <f>IF(OR(Apresentação!$E$6='Base de Dados e filtragem'!AL$2,Apresentação!$E$6='Base de Dados e filtragem'!H1002),1,0)</f>
        <v>1</v>
      </c>
      <c r="AM1002" s="25">
        <f>IF(OR(Apresentação!$I$2='Base de Dados e filtragem'!AM$2,Apresentação!$I$2='Base de Dados e filtragem'!I1002),1,0)</f>
        <v>1</v>
      </c>
      <c r="AN1002" s="25">
        <f>IF(OR(Apresentação!$I$3='Base de Dados e filtragem'!AN$2,Apresentação!$I$3='Base de Dados e filtragem'!J1002),1,0)</f>
        <v>1</v>
      </c>
      <c r="AO1002" s="25">
        <f>IF(OR(Apresentação!$I$4='Base de Dados e filtragem'!AO$2,Apresentação!$I$4='Base de Dados e filtragem'!K1002),1,0)</f>
        <v>1</v>
      </c>
      <c r="AP1002" s="25">
        <f>IF(OR(Apresentação!$I$5='Base de Dados e filtragem'!AP$2,Apresentação!$I$5='Base de Dados e filtragem'!L1002),1,0)</f>
        <v>1</v>
      </c>
      <c r="AQ1002" s="25">
        <f>IF(OR(Apresentação!$I$6='Base de Dados e filtragem'!AQ$2,Apresentação!$I$6='Base de Dados e filtragem'!M1002),1,0)</f>
        <v>1</v>
      </c>
      <c r="AR1002" s="25">
        <v>1</v>
      </c>
      <c r="AS1002" s="25">
        <v>1</v>
      </c>
      <c r="AT1002" s="25">
        <v>1</v>
      </c>
      <c r="AU1002" s="25">
        <v>1</v>
      </c>
      <c r="AV1002" s="25">
        <v>1</v>
      </c>
      <c r="AW1002" s="25">
        <v>1</v>
      </c>
      <c r="AX1002" s="25">
        <v>1</v>
      </c>
      <c r="AY1002" s="25">
        <v>1</v>
      </c>
      <c r="AZ1002" s="25">
        <v>1</v>
      </c>
      <c r="BA1002" s="25">
        <v>1</v>
      </c>
      <c r="BB1002" s="25">
        <v>1</v>
      </c>
      <c r="BC1002" s="25">
        <v>1</v>
      </c>
      <c r="BD1002" s="25">
        <v>1</v>
      </c>
    </row>
    <row r="1003" spans="27:56" x14ac:dyDescent="0.25">
      <c r="AA1003" s="68" t="str">
        <f t="shared" si="61"/>
        <v>Fotos\\.jpg</v>
      </c>
      <c r="AB1003" s="53">
        <f t="shared" si="62"/>
        <v>9.9700897308075765E-4</v>
      </c>
      <c r="AC1003" s="25">
        <f t="shared" si="63"/>
        <v>1003</v>
      </c>
      <c r="AD1003" s="51">
        <f t="shared" si="64"/>
        <v>1</v>
      </c>
      <c r="AE1003" s="25">
        <v>1</v>
      </c>
      <c r="AF1003" s="25">
        <v>1</v>
      </c>
      <c r="AG1003" s="25">
        <v>1</v>
      </c>
      <c r="AH1003" s="25">
        <v>1</v>
      </c>
      <c r="AI1003" s="25">
        <f>IF(OR(Apresentação!$E$3='Base de Dados e filtragem'!AI$2,Apresentação!$E$3='Base de Dados e filtragem'!E1003),1,0)</f>
        <v>1</v>
      </c>
      <c r="AJ1003" s="25">
        <f>IF(OR(Apresentação!$E$4='Base de Dados e filtragem'!AJ$2,Apresentação!$E$4='Base de Dados e filtragem'!F1003),1,0)</f>
        <v>1</v>
      </c>
      <c r="AK1003" s="25">
        <f>IF(OR(Apresentação!$E$5='Base de Dados e filtragem'!AK$2,Apresentação!$E$5='Base de Dados e filtragem'!G1003),1,0)</f>
        <v>1</v>
      </c>
      <c r="AL1003" s="25">
        <f>IF(OR(Apresentação!$E$6='Base de Dados e filtragem'!AL$2,Apresentação!$E$6='Base de Dados e filtragem'!H1003),1,0)</f>
        <v>1</v>
      </c>
      <c r="AM1003" s="25">
        <f>IF(OR(Apresentação!$I$2='Base de Dados e filtragem'!AM$2,Apresentação!$I$2='Base de Dados e filtragem'!I1003),1,0)</f>
        <v>1</v>
      </c>
      <c r="AN1003" s="25">
        <f>IF(OR(Apresentação!$I$3='Base de Dados e filtragem'!AN$2,Apresentação!$I$3='Base de Dados e filtragem'!J1003),1,0)</f>
        <v>1</v>
      </c>
      <c r="AO1003" s="25">
        <f>IF(OR(Apresentação!$I$4='Base de Dados e filtragem'!AO$2,Apresentação!$I$4='Base de Dados e filtragem'!K1003),1,0)</f>
        <v>1</v>
      </c>
      <c r="AP1003" s="25">
        <f>IF(OR(Apresentação!$I$5='Base de Dados e filtragem'!AP$2,Apresentação!$I$5='Base de Dados e filtragem'!L1003),1,0)</f>
        <v>1</v>
      </c>
      <c r="AQ1003" s="25">
        <f>IF(OR(Apresentação!$I$6='Base de Dados e filtragem'!AQ$2,Apresentação!$I$6='Base de Dados e filtragem'!M1003),1,0)</f>
        <v>1</v>
      </c>
      <c r="AR1003" s="25">
        <v>1</v>
      </c>
      <c r="AS1003" s="25">
        <v>1</v>
      </c>
      <c r="AT1003" s="25">
        <v>1</v>
      </c>
      <c r="AU1003" s="25">
        <v>1</v>
      </c>
      <c r="AV1003" s="25">
        <v>1</v>
      </c>
      <c r="AW1003" s="25">
        <v>1</v>
      </c>
      <c r="AX1003" s="25">
        <v>1</v>
      </c>
      <c r="AY1003" s="25">
        <v>1</v>
      </c>
      <c r="AZ1003" s="25">
        <v>1</v>
      </c>
      <c r="BA1003" s="25">
        <v>1</v>
      </c>
      <c r="BB1003" s="25">
        <v>1</v>
      </c>
      <c r="BC1003" s="25">
        <v>1</v>
      </c>
      <c r="BD1003" s="25">
        <v>1</v>
      </c>
    </row>
    <row r="1004" spans="27:56" x14ac:dyDescent="0.25">
      <c r="AA1004" s="68" t="str">
        <f t="shared" si="61"/>
        <v>Fotos\\.jpg</v>
      </c>
      <c r="AB1004" s="53">
        <f t="shared" si="62"/>
        <v>9.9601593625498006E-4</v>
      </c>
      <c r="AC1004" s="25">
        <f t="shared" si="63"/>
        <v>1004</v>
      </c>
      <c r="AD1004" s="51">
        <f t="shared" si="64"/>
        <v>1</v>
      </c>
      <c r="AE1004" s="25">
        <v>1</v>
      </c>
      <c r="AF1004" s="25">
        <v>1</v>
      </c>
      <c r="AG1004" s="25">
        <v>1</v>
      </c>
      <c r="AH1004" s="25">
        <v>1</v>
      </c>
      <c r="AI1004" s="25">
        <f>IF(OR(Apresentação!$E$3='Base de Dados e filtragem'!AI$2,Apresentação!$E$3='Base de Dados e filtragem'!E1004),1,0)</f>
        <v>1</v>
      </c>
      <c r="AJ1004" s="25">
        <f>IF(OR(Apresentação!$E$4='Base de Dados e filtragem'!AJ$2,Apresentação!$E$4='Base de Dados e filtragem'!F1004),1,0)</f>
        <v>1</v>
      </c>
      <c r="AK1004" s="25">
        <f>IF(OR(Apresentação!$E$5='Base de Dados e filtragem'!AK$2,Apresentação!$E$5='Base de Dados e filtragem'!G1004),1,0)</f>
        <v>1</v>
      </c>
      <c r="AL1004" s="25">
        <f>IF(OR(Apresentação!$E$6='Base de Dados e filtragem'!AL$2,Apresentação!$E$6='Base de Dados e filtragem'!H1004),1,0)</f>
        <v>1</v>
      </c>
      <c r="AM1004" s="25">
        <f>IF(OR(Apresentação!$I$2='Base de Dados e filtragem'!AM$2,Apresentação!$I$2='Base de Dados e filtragem'!I1004),1,0)</f>
        <v>1</v>
      </c>
      <c r="AN1004" s="25">
        <f>IF(OR(Apresentação!$I$3='Base de Dados e filtragem'!AN$2,Apresentação!$I$3='Base de Dados e filtragem'!J1004),1,0)</f>
        <v>1</v>
      </c>
      <c r="AO1004" s="25">
        <f>IF(OR(Apresentação!$I$4='Base de Dados e filtragem'!AO$2,Apresentação!$I$4='Base de Dados e filtragem'!K1004),1,0)</f>
        <v>1</v>
      </c>
      <c r="AP1004" s="25">
        <f>IF(OR(Apresentação!$I$5='Base de Dados e filtragem'!AP$2,Apresentação!$I$5='Base de Dados e filtragem'!L1004),1,0)</f>
        <v>1</v>
      </c>
      <c r="AQ1004" s="25">
        <f>IF(OR(Apresentação!$I$6='Base de Dados e filtragem'!AQ$2,Apresentação!$I$6='Base de Dados e filtragem'!M1004),1,0)</f>
        <v>1</v>
      </c>
      <c r="AR1004" s="25">
        <v>1</v>
      </c>
      <c r="AS1004" s="25">
        <v>1</v>
      </c>
      <c r="AT1004" s="25">
        <v>1</v>
      </c>
      <c r="AU1004" s="25">
        <v>1</v>
      </c>
      <c r="AV1004" s="25">
        <v>1</v>
      </c>
      <c r="AW1004" s="25">
        <v>1</v>
      </c>
      <c r="AX1004" s="25">
        <v>1</v>
      </c>
      <c r="AY1004" s="25">
        <v>1</v>
      </c>
      <c r="AZ1004" s="25">
        <v>1</v>
      </c>
      <c r="BA1004" s="25">
        <v>1</v>
      </c>
      <c r="BB1004" s="25">
        <v>1</v>
      </c>
      <c r="BC1004" s="25">
        <v>1</v>
      </c>
      <c r="BD1004" s="25">
        <v>1</v>
      </c>
    </row>
    <row r="1005" spans="27:56" x14ac:dyDescent="0.25">
      <c r="AA1005" s="68" t="str">
        <f t="shared" si="61"/>
        <v>Fotos\\.jpg</v>
      </c>
      <c r="AB1005" s="53">
        <f t="shared" si="62"/>
        <v>9.9502487562189048E-4</v>
      </c>
      <c r="AC1005" s="25">
        <f t="shared" si="63"/>
        <v>1005</v>
      </c>
      <c r="AD1005" s="51">
        <f t="shared" si="64"/>
        <v>1</v>
      </c>
      <c r="AE1005" s="25">
        <v>1</v>
      </c>
      <c r="AF1005" s="25">
        <v>1</v>
      </c>
      <c r="AG1005" s="25">
        <v>1</v>
      </c>
      <c r="AH1005" s="25">
        <v>1</v>
      </c>
      <c r="AI1005" s="25">
        <f>IF(OR(Apresentação!$E$3='Base de Dados e filtragem'!AI$2,Apresentação!$E$3='Base de Dados e filtragem'!E1005),1,0)</f>
        <v>1</v>
      </c>
      <c r="AJ1005" s="25">
        <f>IF(OR(Apresentação!$E$4='Base de Dados e filtragem'!AJ$2,Apresentação!$E$4='Base de Dados e filtragem'!F1005),1,0)</f>
        <v>1</v>
      </c>
      <c r="AK1005" s="25">
        <f>IF(OR(Apresentação!$E$5='Base de Dados e filtragem'!AK$2,Apresentação!$E$5='Base de Dados e filtragem'!G1005),1,0)</f>
        <v>1</v>
      </c>
      <c r="AL1005" s="25">
        <f>IF(OR(Apresentação!$E$6='Base de Dados e filtragem'!AL$2,Apresentação!$E$6='Base de Dados e filtragem'!H1005),1,0)</f>
        <v>1</v>
      </c>
      <c r="AM1005" s="25">
        <f>IF(OR(Apresentação!$I$2='Base de Dados e filtragem'!AM$2,Apresentação!$I$2='Base de Dados e filtragem'!I1005),1,0)</f>
        <v>1</v>
      </c>
      <c r="AN1005" s="25">
        <f>IF(OR(Apresentação!$I$3='Base de Dados e filtragem'!AN$2,Apresentação!$I$3='Base de Dados e filtragem'!J1005),1,0)</f>
        <v>1</v>
      </c>
      <c r="AO1005" s="25">
        <f>IF(OR(Apresentação!$I$4='Base de Dados e filtragem'!AO$2,Apresentação!$I$4='Base de Dados e filtragem'!K1005),1,0)</f>
        <v>1</v>
      </c>
      <c r="AP1005" s="25">
        <f>IF(OR(Apresentação!$I$5='Base de Dados e filtragem'!AP$2,Apresentação!$I$5='Base de Dados e filtragem'!L1005),1,0)</f>
        <v>1</v>
      </c>
      <c r="AQ1005" s="25">
        <f>IF(OR(Apresentação!$I$6='Base de Dados e filtragem'!AQ$2,Apresentação!$I$6='Base de Dados e filtragem'!M1005),1,0)</f>
        <v>1</v>
      </c>
      <c r="AR1005" s="25">
        <v>1</v>
      </c>
      <c r="AS1005" s="25">
        <v>1</v>
      </c>
      <c r="AT1005" s="25">
        <v>1</v>
      </c>
      <c r="AU1005" s="25">
        <v>1</v>
      </c>
      <c r="AV1005" s="25">
        <v>1</v>
      </c>
      <c r="AW1005" s="25">
        <v>1</v>
      </c>
      <c r="AX1005" s="25">
        <v>1</v>
      </c>
      <c r="AY1005" s="25">
        <v>1</v>
      </c>
      <c r="AZ1005" s="25">
        <v>1</v>
      </c>
      <c r="BA1005" s="25">
        <v>1</v>
      </c>
      <c r="BB1005" s="25">
        <v>1</v>
      </c>
      <c r="BC1005" s="25">
        <v>1</v>
      </c>
      <c r="BD1005" s="25">
        <v>1</v>
      </c>
    </row>
    <row r="1006" spans="27:56" x14ac:dyDescent="0.25">
      <c r="AA1006" s="68" t="str">
        <f t="shared" si="61"/>
        <v>Fotos\\.jpg</v>
      </c>
      <c r="AB1006" s="53">
        <f t="shared" si="62"/>
        <v>9.9403578528827028E-4</v>
      </c>
      <c r="AC1006" s="25">
        <f t="shared" si="63"/>
        <v>1006</v>
      </c>
      <c r="AD1006" s="51">
        <f t="shared" si="64"/>
        <v>1</v>
      </c>
      <c r="AE1006" s="25">
        <v>1</v>
      </c>
      <c r="AF1006" s="25">
        <v>1</v>
      </c>
      <c r="AG1006" s="25">
        <v>1</v>
      </c>
      <c r="AH1006" s="25">
        <v>1</v>
      </c>
      <c r="AI1006" s="25">
        <f>IF(OR(Apresentação!$E$3='Base de Dados e filtragem'!AI$2,Apresentação!$E$3='Base de Dados e filtragem'!E1006),1,0)</f>
        <v>1</v>
      </c>
      <c r="AJ1006" s="25">
        <f>IF(OR(Apresentação!$E$4='Base de Dados e filtragem'!AJ$2,Apresentação!$E$4='Base de Dados e filtragem'!F1006),1,0)</f>
        <v>1</v>
      </c>
      <c r="AK1006" s="25">
        <f>IF(OR(Apresentação!$E$5='Base de Dados e filtragem'!AK$2,Apresentação!$E$5='Base de Dados e filtragem'!G1006),1,0)</f>
        <v>1</v>
      </c>
      <c r="AL1006" s="25">
        <f>IF(OR(Apresentação!$E$6='Base de Dados e filtragem'!AL$2,Apresentação!$E$6='Base de Dados e filtragem'!H1006),1,0)</f>
        <v>1</v>
      </c>
      <c r="AM1006" s="25">
        <f>IF(OR(Apresentação!$I$2='Base de Dados e filtragem'!AM$2,Apresentação!$I$2='Base de Dados e filtragem'!I1006),1,0)</f>
        <v>1</v>
      </c>
      <c r="AN1006" s="25">
        <f>IF(OR(Apresentação!$I$3='Base de Dados e filtragem'!AN$2,Apresentação!$I$3='Base de Dados e filtragem'!J1006),1,0)</f>
        <v>1</v>
      </c>
      <c r="AO1006" s="25">
        <f>IF(OR(Apresentação!$I$4='Base de Dados e filtragem'!AO$2,Apresentação!$I$4='Base de Dados e filtragem'!K1006),1,0)</f>
        <v>1</v>
      </c>
      <c r="AP1006" s="25">
        <f>IF(OR(Apresentação!$I$5='Base de Dados e filtragem'!AP$2,Apresentação!$I$5='Base de Dados e filtragem'!L1006),1,0)</f>
        <v>1</v>
      </c>
      <c r="AQ1006" s="25">
        <f>IF(OR(Apresentação!$I$6='Base de Dados e filtragem'!AQ$2,Apresentação!$I$6='Base de Dados e filtragem'!M1006),1,0)</f>
        <v>1</v>
      </c>
      <c r="AR1006" s="25">
        <v>1</v>
      </c>
      <c r="AS1006" s="25">
        <v>1</v>
      </c>
      <c r="AT1006" s="25">
        <v>1</v>
      </c>
      <c r="AU1006" s="25">
        <v>1</v>
      </c>
      <c r="AV1006" s="25">
        <v>1</v>
      </c>
      <c r="AW1006" s="25">
        <v>1</v>
      </c>
      <c r="AX1006" s="25">
        <v>1</v>
      </c>
      <c r="AY1006" s="25">
        <v>1</v>
      </c>
      <c r="AZ1006" s="25">
        <v>1</v>
      </c>
      <c r="BA1006" s="25">
        <v>1</v>
      </c>
      <c r="BB1006" s="25">
        <v>1</v>
      </c>
      <c r="BC1006" s="25">
        <v>1</v>
      </c>
      <c r="BD1006" s="25">
        <v>1</v>
      </c>
    </row>
    <row r="1007" spans="27:56" x14ac:dyDescent="0.25">
      <c r="AA1007" s="68" t="str">
        <f t="shared" si="61"/>
        <v>Fotos\\.jpg</v>
      </c>
      <c r="AB1007" s="53">
        <f t="shared" si="62"/>
        <v>9.930486593843098E-4</v>
      </c>
      <c r="AC1007" s="25">
        <f t="shared" si="63"/>
        <v>1007</v>
      </c>
      <c r="AD1007" s="51">
        <f t="shared" si="64"/>
        <v>1</v>
      </c>
      <c r="AE1007" s="25">
        <v>1</v>
      </c>
      <c r="AF1007" s="25">
        <v>1</v>
      </c>
      <c r="AG1007" s="25">
        <v>1</v>
      </c>
      <c r="AH1007" s="25">
        <v>1</v>
      </c>
      <c r="AI1007" s="25">
        <f>IF(OR(Apresentação!$E$3='Base de Dados e filtragem'!AI$2,Apresentação!$E$3='Base de Dados e filtragem'!E1007),1,0)</f>
        <v>1</v>
      </c>
      <c r="AJ1007" s="25">
        <f>IF(OR(Apresentação!$E$4='Base de Dados e filtragem'!AJ$2,Apresentação!$E$4='Base de Dados e filtragem'!F1007),1,0)</f>
        <v>1</v>
      </c>
      <c r="AK1007" s="25">
        <f>IF(OR(Apresentação!$E$5='Base de Dados e filtragem'!AK$2,Apresentação!$E$5='Base de Dados e filtragem'!G1007),1,0)</f>
        <v>1</v>
      </c>
      <c r="AL1007" s="25">
        <f>IF(OR(Apresentação!$E$6='Base de Dados e filtragem'!AL$2,Apresentação!$E$6='Base de Dados e filtragem'!H1007),1,0)</f>
        <v>1</v>
      </c>
      <c r="AM1007" s="25">
        <f>IF(OR(Apresentação!$I$2='Base de Dados e filtragem'!AM$2,Apresentação!$I$2='Base de Dados e filtragem'!I1007),1,0)</f>
        <v>1</v>
      </c>
      <c r="AN1007" s="25">
        <f>IF(OR(Apresentação!$I$3='Base de Dados e filtragem'!AN$2,Apresentação!$I$3='Base de Dados e filtragem'!J1007),1,0)</f>
        <v>1</v>
      </c>
      <c r="AO1007" s="25">
        <f>IF(OR(Apresentação!$I$4='Base de Dados e filtragem'!AO$2,Apresentação!$I$4='Base de Dados e filtragem'!K1007),1,0)</f>
        <v>1</v>
      </c>
      <c r="AP1007" s="25">
        <f>IF(OR(Apresentação!$I$5='Base de Dados e filtragem'!AP$2,Apresentação!$I$5='Base de Dados e filtragem'!L1007),1,0)</f>
        <v>1</v>
      </c>
      <c r="AQ1007" s="25">
        <f>IF(OR(Apresentação!$I$6='Base de Dados e filtragem'!AQ$2,Apresentação!$I$6='Base de Dados e filtragem'!M1007),1,0)</f>
        <v>1</v>
      </c>
      <c r="AR1007" s="25">
        <v>1</v>
      </c>
      <c r="AS1007" s="25">
        <v>1</v>
      </c>
      <c r="AT1007" s="25">
        <v>1</v>
      </c>
      <c r="AU1007" s="25">
        <v>1</v>
      </c>
      <c r="AV1007" s="25">
        <v>1</v>
      </c>
      <c r="AW1007" s="25">
        <v>1</v>
      </c>
      <c r="AX1007" s="25">
        <v>1</v>
      </c>
      <c r="AY1007" s="25">
        <v>1</v>
      </c>
      <c r="AZ1007" s="25">
        <v>1</v>
      </c>
      <c r="BA1007" s="25">
        <v>1</v>
      </c>
      <c r="BB1007" s="25">
        <v>1</v>
      </c>
      <c r="BC1007" s="25">
        <v>1</v>
      </c>
      <c r="BD1007" s="25">
        <v>1</v>
      </c>
    </row>
    <row r="1008" spans="27:56" x14ac:dyDescent="0.25">
      <c r="AA1008" s="68" t="str">
        <f t="shared" si="61"/>
        <v>Fotos\\.jpg</v>
      </c>
      <c r="AB1008" s="53">
        <f t="shared" si="62"/>
        <v>9.9206349206349201E-4</v>
      </c>
      <c r="AC1008" s="25">
        <f t="shared" si="63"/>
        <v>1008</v>
      </c>
      <c r="AD1008" s="51">
        <f t="shared" si="64"/>
        <v>1</v>
      </c>
      <c r="AE1008" s="25">
        <v>1</v>
      </c>
      <c r="AF1008" s="25">
        <v>1</v>
      </c>
      <c r="AG1008" s="25">
        <v>1</v>
      </c>
      <c r="AH1008" s="25">
        <v>1</v>
      </c>
      <c r="AI1008" s="25">
        <f>IF(OR(Apresentação!$E$3='Base de Dados e filtragem'!AI$2,Apresentação!$E$3='Base de Dados e filtragem'!E1008),1,0)</f>
        <v>1</v>
      </c>
      <c r="AJ1008" s="25">
        <f>IF(OR(Apresentação!$E$4='Base de Dados e filtragem'!AJ$2,Apresentação!$E$4='Base de Dados e filtragem'!F1008),1,0)</f>
        <v>1</v>
      </c>
      <c r="AK1008" s="25">
        <f>IF(OR(Apresentação!$E$5='Base de Dados e filtragem'!AK$2,Apresentação!$E$5='Base de Dados e filtragem'!G1008),1,0)</f>
        <v>1</v>
      </c>
      <c r="AL1008" s="25">
        <f>IF(OR(Apresentação!$E$6='Base de Dados e filtragem'!AL$2,Apresentação!$E$6='Base de Dados e filtragem'!H1008),1,0)</f>
        <v>1</v>
      </c>
      <c r="AM1008" s="25">
        <f>IF(OR(Apresentação!$I$2='Base de Dados e filtragem'!AM$2,Apresentação!$I$2='Base de Dados e filtragem'!I1008),1,0)</f>
        <v>1</v>
      </c>
      <c r="AN1008" s="25">
        <f>IF(OR(Apresentação!$I$3='Base de Dados e filtragem'!AN$2,Apresentação!$I$3='Base de Dados e filtragem'!J1008),1,0)</f>
        <v>1</v>
      </c>
      <c r="AO1008" s="25">
        <f>IF(OR(Apresentação!$I$4='Base de Dados e filtragem'!AO$2,Apresentação!$I$4='Base de Dados e filtragem'!K1008),1,0)</f>
        <v>1</v>
      </c>
      <c r="AP1008" s="25">
        <f>IF(OR(Apresentação!$I$5='Base de Dados e filtragem'!AP$2,Apresentação!$I$5='Base de Dados e filtragem'!L1008),1,0)</f>
        <v>1</v>
      </c>
      <c r="AQ1008" s="25">
        <f>IF(OR(Apresentação!$I$6='Base de Dados e filtragem'!AQ$2,Apresentação!$I$6='Base de Dados e filtragem'!M1008),1,0)</f>
        <v>1</v>
      </c>
      <c r="AR1008" s="25">
        <v>1</v>
      </c>
      <c r="AS1008" s="25">
        <v>1</v>
      </c>
      <c r="AT1008" s="25">
        <v>1</v>
      </c>
      <c r="AU1008" s="25">
        <v>1</v>
      </c>
      <c r="AV1008" s="25">
        <v>1</v>
      </c>
      <c r="AW1008" s="25">
        <v>1</v>
      </c>
      <c r="AX1008" s="25">
        <v>1</v>
      </c>
      <c r="AY1008" s="25">
        <v>1</v>
      </c>
      <c r="AZ1008" s="25">
        <v>1</v>
      </c>
      <c r="BA1008" s="25">
        <v>1</v>
      </c>
      <c r="BB1008" s="25">
        <v>1</v>
      </c>
      <c r="BC1008" s="25">
        <v>1</v>
      </c>
      <c r="BD1008" s="25">
        <v>1</v>
      </c>
    </row>
    <row r="1009" spans="27:56" x14ac:dyDescent="0.25">
      <c r="AA1009" s="68" t="str">
        <f t="shared" si="61"/>
        <v>Fotos\\.jpg</v>
      </c>
      <c r="AB1009" s="53">
        <f t="shared" si="62"/>
        <v>9.9108027750247768E-4</v>
      </c>
      <c r="AC1009" s="25">
        <f t="shared" si="63"/>
        <v>1009</v>
      </c>
      <c r="AD1009" s="51">
        <f t="shared" si="64"/>
        <v>1</v>
      </c>
      <c r="AE1009" s="25">
        <v>1</v>
      </c>
      <c r="AF1009" s="25">
        <v>1</v>
      </c>
      <c r="AG1009" s="25">
        <v>1</v>
      </c>
      <c r="AH1009" s="25">
        <v>1</v>
      </c>
      <c r="AI1009" s="25">
        <f>IF(OR(Apresentação!$E$3='Base de Dados e filtragem'!AI$2,Apresentação!$E$3='Base de Dados e filtragem'!E1009),1,0)</f>
        <v>1</v>
      </c>
      <c r="AJ1009" s="25">
        <f>IF(OR(Apresentação!$E$4='Base de Dados e filtragem'!AJ$2,Apresentação!$E$4='Base de Dados e filtragem'!F1009),1,0)</f>
        <v>1</v>
      </c>
      <c r="AK1009" s="25">
        <f>IF(OR(Apresentação!$E$5='Base de Dados e filtragem'!AK$2,Apresentação!$E$5='Base de Dados e filtragem'!G1009),1,0)</f>
        <v>1</v>
      </c>
      <c r="AL1009" s="25">
        <f>IF(OR(Apresentação!$E$6='Base de Dados e filtragem'!AL$2,Apresentação!$E$6='Base de Dados e filtragem'!H1009),1,0)</f>
        <v>1</v>
      </c>
      <c r="AM1009" s="25">
        <f>IF(OR(Apresentação!$I$2='Base de Dados e filtragem'!AM$2,Apresentação!$I$2='Base de Dados e filtragem'!I1009),1,0)</f>
        <v>1</v>
      </c>
      <c r="AN1009" s="25">
        <f>IF(OR(Apresentação!$I$3='Base de Dados e filtragem'!AN$2,Apresentação!$I$3='Base de Dados e filtragem'!J1009),1,0)</f>
        <v>1</v>
      </c>
      <c r="AO1009" s="25">
        <f>IF(OR(Apresentação!$I$4='Base de Dados e filtragem'!AO$2,Apresentação!$I$4='Base de Dados e filtragem'!K1009),1,0)</f>
        <v>1</v>
      </c>
      <c r="AP1009" s="25">
        <f>IF(OR(Apresentação!$I$5='Base de Dados e filtragem'!AP$2,Apresentação!$I$5='Base de Dados e filtragem'!L1009),1,0)</f>
        <v>1</v>
      </c>
      <c r="AQ1009" s="25">
        <f>IF(OR(Apresentação!$I$6='Base de Dados e filtragem'!AQ$2,Apresentação!$I$6='Base de Dados e filtragem'!M1009),1,0)</f>
        <v>1</v>
      </c>
      <c r="AR1009" s="25">
        <v>1</v>
      </c>
      <c r="AS1009" s="25">
        <v>1</v>
      </c>
      <c r="AT1009" s="25">
        <v>1</v>
      </c>
      <c r="AU1009" s="25">
        <v>1</v>
      </c>
      <c r="AV1009" s="25">
        <v>1</v>
      </c>
      <c r="AW1009" s="25">
        <v>1</v>
      </c>
      <c r="AX1009" s="25">
        <v>1</v>
      </c>
      <c r="AY1009" s="25">
        <v>1</v>
      </c>
      <c r="AZ1009" s="25">
        <v>1</v>
      </c>
      <c r="BA1009" s="25">
        <v>1</v>
      </c>
      <c r="BB1009" s="25">
        <v>1</v>
      </c>
      <c r="BC1009" s="25">
        <v>1</v>
      </c>
      <c r="BD1009" s="25">
        <v>1</v>
      </c>
    </row>
    <row r="1010" spans="27:56" x14ac:dyDescent="0.25">
      <c r="AA1010" s="68" t="str">
        <f t="shared" si="61"/>
        <v>Fotos\\.jpg</v>
      </c>
      <c r="AB1010" s="53">
        <f t="shared" si="62"/>
        <v>9.9009900990099011E-4</v>
      </c>
      <c r="AC1010" s="25">
        <f t="shared" si="63"/>
        <v>1010</v>
      </c>
      <c r="AD1010" s="51">
        <f t="shared" si="64"/>
        <v>1</v>
      </c>
      <c r="AE1010" s="25">
        <v>1</v>
      </c>
      <c r="AF1010" s="25">
        <v>1</v>
      </c>
      <c r="AG1010" s="25">
        <v>1</v>
      </c>
      <c r="AH1010" s="25">
        <v>1</v>
      </c>
      <c r="AI1010" s="25">
        <f>IF(OR(Apresentação!$E$3='Base de Dados e filtragem'!AI$2,Apresentação!$E$3='Base de Dados e filtragem'!E1010),1,0)</f>
        <v>1</v>
      </c>
      <c r="AJ1010" s="25">
        <f>IF(OR(Apresentação!$E$4='Base de Dados e filtragem'!AJ$2,Apresentação!$E$4='Base de Dados e filtragem'!F1010),1,0)</f>
        <v>1</v>
      </c>
      <c r="AK1010" s="25">
        <f>IF(OR(Apresentação!$E$5='Base de Dados e filtragem'!AK$2,Apresentação!$E$5='Base de Dados e filtragem'!G1010),1,0)</f>
        <v>1</v>
      </c>
      <c r="AL1010" s="25">
        <f>IF(OR(Apresentação!$E$6='Base de Dados e filtragem'!AL$2,Apresentação!$E$6='Base de Dados e filtragem'!H1010),1,0)</f>
        <v>1</v>
      </c>
      <c r="AM1010" s="25">
        <f>IF(OR(Apresentação!$I$2='Base de Dados e filtragem'!AM$2,Apresentação!$I$2='Base de Dados e filtragem'!I1010),1,0)</f>
        <v>1</v>
      </c>
      <c r="AN1010" s="25">
        <f>IF(OR(Apresentação!$I$3='Base de Dados e filtragem'!AN$2,Apresentação!$I$3='Base de Dados e filtragem'!J1010),1,0)</f>
        <v>1</v>
      </c>
      <c r="AO1010" s="25">
        <f>IF(OR(Apresentação!$I$4='Base de Dados e filtragem'!AO$2,Apresentação!$I$4='Base de Dados e filtragem'!K1010),1,0)</f>
        <v>1</v>
      </c>
      <c r="AP1010" s="25">
        <f>IF(OR(Apresentação!$I$5='Base de Dados e filtragem'!AP$2,Apresentação!$I$5='Base de Dados e filtragem'!L1010),1,0)</f>
        <v>1</v>
      </c>
      <c r="AQ1010" s="25">
        <f>IF(OR(Apresentação!$I$6='Base de Dados e filtragem'!AQ$2,Apresentação!$I$6='Base de Dados e filtragem'!M1010),1,0)</f>
        <v>1</v>
      </c>
      <c r="AR1010" s="25">
        <v>1</v>
      </c>
      <c r="AS1010" s="25">
        <v>1</v>
      </c>
      <c r="AT1010" s="25">
        <v>1</v>
      </c>
      <c r="AU1010" s="25">
        <v>1</v>
      </c>
      <c r="AV1010" s="25">
        <v>1</v>
      </c>
      <c r="AW1010" s="25">
        <v>1</v>
      </c>
      <c r="AX1010" s="25">
        <v>1</v>
      </c>
      <c r="AY1010" s="25">
        <v>1</v>
      </c>
      <c r="AZ1010" s="25">
        <v>1</v>
      </c>
      <c r="BA1010" s="25">
        <v>1</v>
      </c>
      <c r="BB1010" s="25">
        <v>1</v>
      </c>
      <c r="BC1010" s="25">
        <v>1</v>
      </c>
      <c r="BD1010" s="25">
        <v>1</v>
      </c>
    </row>
    <row r="1011" spans="27:56" x14ac:dyDescent="0.25">
      <c r="AA1011" s="68" t="str">
        <f t="shared" si="61"/>
        <v>Fotos\\.jpg</v>
      </c>
      <c r="AB1011" s="53">
        <f t="shared" si="62"/>
        <v>9.8911968348170125E-4</v>
      </c>
      <c r="AC1011" s="25">
        <f t="shared" si="63"/>
        <v>1011</v>
      </c>
      <c r="AD1011" s="51">
        <f t="shared" si="64"/>
        <v>1</v>
      </c>
      <c r="AE1011" s="25">
        <v>1</v>
      </c>
      <c r="AF1011" s="25">
        <v>1</v>
      </c>
      <c r="AG1011" s="25">
        <v>1</v>
      </c>
      <c r="AH1011" s="25">
        <v>1</v>
      </c>
      <c r="AI1011" s="25">
        <f>IF(OR(Apresentação!$E$3='Base de Dados e filtragem'!AI$2,Apresentação!$E$3='Base de Dados e filtragem'!E1011),1,0)</f>
        <v>1</v>
      </c>
      <c r="AJ1011" s="25">
        <f>IF(OR(Apresentação!$E$4='Base de Dados e filtragem'!AJ$2,Apresentação!$E$4='Base de Dados e filtragem'!F1011),1,0)</f>
        <v>1</v>
      </c>
      <c r="AK1011" s="25">
        <f>IF(OR(Apresentação!$E$5='Base de Dados e filtragem'!AK$2,Apresentação!$E$5='Base de Dados e filtragem'!G1011),1,0)</f>
        <v>1</v>
      </c>
      <c r="AL1011" s="25">
        <f>IF(OR(Apresentação!$E$6='Base de Dados e filtragem'!AL$2,Apresentação!$E$6='Base de Dados e filtragem'!H1011),1,0)</f>
        <v>1</v>
      </c>
      <c r="AM1011" s="25">
        <f>IF(OR(Apresentação!$I$2='Base de Dados e filtragem'!AM$2,Apresentação!$I$2='Base de Dados e filtragem'!I1011),1,0)</f>
        <v>1</v>
      </c>
      <c r="AN1011" s="25">
        <f>IF(OR(Apresentação!$I$3='Base de Dados e filtragem'!AN$2,Apresentação!$I$3='Base de Dados e filtragem'!J1011),1,0)</f>
        <v>1</v>
      </c>
      <c r="AO1011" s="25">
        <f>IF(OR(Apresentação!$I$4='Base de Dados e filtragem'!AO$2,Apresentação!$I$4='Base de Dados e filtragem'!K1011),1,0)</f>
        <v>1</v>
      </c>
      <c r="AP1011" s="25">
        <f>IF(OR(Apresentação!$I$5='Base de Dados e filtragem'!AP$2,Apresentação!$I$5='Base de Dados e filtragem'!L1011),1,0)</f>
        <v>1</v>
      </c>
      <c r="AQ1011" s="25">
        <f>IF(OR(Apresentação!$I$6='Base de Dados e filtragem'!AQ$2,Apresentação!$I$6='Base de Dados e filtragem'!M1011),1,0)</f>
        <v>1</v>
      </c>
      <c r="AR1011" s="25">
        <v>1</v>
      </c>
      <c r="AS1011" s="25">
        <v>1</v>
      </c>
      <c r="AT1011" s="25">
        <v>1</v>
      </c>
      <c r="AU1011" s="25">
        <v>1</v>
      </c>
      <c r="AV1011" s="25">
        <v>1</v>
      </c>
      <c r="AW1011" s="25">
        <v>1</v>
      </c>
      <c r="AX1011" s="25">
        <v>1</v>
      </c>
      <c r="AY1011" s="25">
        <v>1</v>
      </c>
      <c r="AZ1011" s="25">
        <v>1</v>
      </c>
      <c r="BA1011" s="25">
        <v>1</v>
      </c>
      <c r="BB1011" s="25">
        <v>1</v>
      </c>
      <c r="BC1011" s="25">
        <v>1</v>
      </c>
      <c r="BD1011" s="25">
        <v>1</v>
      </c>
    </row>
    <row r="1012" spans="27:56" x14ac:dyDescent="0.25">
      <c r="AA1012" s="68" t="str">
        <f t="shared" si="61"/>
        <v>Fotos\\.jpg</v>
      </c>
      <c r="AB1012" s="53">
        <f t="shared" si="62"/>
        <v>9.8814229249011851E-4</v>
      </c>
      <c r="AC1012" s="25">
        <f t="shared" si="63"/>
        <v>1012</v>
      </c>
      <c r="AD1012" s="51">
        <f t="shared" si="64"/>
        <v>1</v>
      </c>
      <c r="AE1012" s="25">
        <v>1</v>
      </c>
      <c r="AF1012" s="25">
        <v>1</v>
      </c>
      <c r="AG1012" s="25">
        <v>1</v>
      </c>
      <c r="AH1012" s="25">
        <v>1</v>
      </c>
      <c r="AI1012" s="25">
        <f>IF(OR(Apresentação!$E$3='Base de Dados e filtragem'!AI$2,Apresentação!$E$3='Base de Dados e filtragem'!E1012),1,0)</f>
        <v>1</v>
      </c>
      <c r="AJ1012" s="25">
        <f>IF(OR(Apresentação!$E$4='Base de Dados e filtragem'!AJ$2,Apresentação!$E$4='Base de Dados e filtragem'!F1012),1,0)</f>
        <v>1</v>
      </c>
      <c r="AK1012" s="25">
        <f>IF(OR(Apresentação!$E$5='Base de Dados e filtragem'!AK$2,Apresentação!$E$5='Base de Dados e filtragem'!G1012),1,0)</f>
        <v>1</v>
      </c>
      <c r="AL1012" s="25">
        <f>IF(OR(Apresentação!$E$6='Base de Dados e filtragem'!AL$2,Apresentação!$E$6='Base de Dados e filtragem'!H1012),1,0)</f>
        <v>1</v>
      </c>
      <c r="AM1012" s="25">
        <f>IF(OR(Apresentação!$I$2='Base de Dados e filtragem'!AM$2,Apresentação!$I$2='Base de Dados e filtragem'!I1012),1,0)</f>
        <v>1</v>
      </c>
      <c r="AN1012" s="25">
        <f>IF(OR(Apresentação!$I$3='Base de Dados e filtragem'!AN$2,Apresentação!$I$3='Base de Dados e filtragem'!J1012),1,0)</f>
        <v>1</v>
      </c>
      <c r="AO1012" s="25">
        <f>IF(OR(Apresentação!$I$4='Base de Dados e filtragem'!AO$2,Apresentação!$I$4='Base de Dados e filtragem'!K1012),1,0)</f>
        <v>1</v>
      </c>
      <c r="AP1012" s="25">
        <f>IF(OR(Apresentação!$I$5='Base de Dados e filtragem'!AP$2,Apresentação!$I$5='Base de Dados e filtragem'!L1012),1,0)</f>
        <v>1</v>
      </c>
      <c r="AQ1012" s="25">
        <f>IF(OR(Apresentação!$I$6='Base de Dados e filtragem'!AQ$2,Apresentação!$I$6='Base de Dados e filtragem'!M1012),1,0)</f>
        <v>1</v>
      </c>
      <c r="AR1012" s="25">
        <v>1</v>
      </c>
      <c r="AS1012" s="25">
        <v>1</v>
      </c>
      <c r="AT1012" s="25">
        <v>1</v>
      </c>
      <c r="AU1012" s="25">
        <v>1</v>
      </c>
      <c r="AV1012" s="25">
        <v>1</v>
      </c>
      <c r="AW1012" s="25">
        <v>1</v>
      </c>
      <c r="AX1012" s="25">
        <v>1</v>
      </c>
      <c r="AY1012" s="25">
        <v>1</v>
      </c>
      <c r="AZ1012" s="25">
        <v>1</v>
      </c>
      <c r="BA1012" s="25">
        <v>1</v>
      </c>
      <c r="BB1012" s="25">
        <v>1</v>
      </c>
      <c r="BC1012" s="25">
        <v>1</v>
      </c>
      <c r="BD1012" s="25">
        <v>1</v>
      </c>
    </row>
    <row r="1013" spans="27:56" x14ac:dyDescent="0.25">
      <c r="AA1013" s="68" t="str">
        <f t="shared" si="61"/>
        <v>Fotos\\.jpg</v>
      </c>
      <c r="AB1013" s="53">
        <f t="shared" si="62"/>
        <v>9.871668311944718E-4</v>
      </c>
      <c r="AC1013" s="25">
        <f t="shared" si="63"/>
        <v>1013</v>
      </c>
      <c r="AD1013" s="51">
        <f t="shared" si="64"/>
        <v>1</v>
      </c>
      <c r="AE1013" s="25">
        <v>1</v>
      </c>
      <c r="AF1013" s="25">
        <v>1</v>
      </c>
      <c r="AG1013" s="25">
        <v>1</v>
      </c>
      <c r="AH1013" s="25">
        <v>1</v>
      </c>
      <c r="AI1013" s="25">
        <f>IF(OR(Apresentação!$E$3='Base de Dados e filtragem'!AI$2,Apresentação!$E$3='Base de Dados e filtragem'!E1013),1,0)</f>
        <v>1</v>
      </c>
      <c r="AJ1013" s="25">
        <f>IF(OR(Apresentação!$E$4='Base de Dados e filtragem'!AJ$2,Apresentação!$E$4='Base de Dados e filtragem'!F1013),1,0)</f>
        <v>1</v>
      </c>
      <c r="AK1013" s="25">
        <f>IF(OR(Apresentação!$E$5='Base de Dados e filtragem'!AK$2,Apresentação!$E$5='Base de Dados e filtragem'!G1013),1,0)</f>
        <v>1</v>
      </c>
      <c r="AL1013" s="25">
        <f>IF(OR(Apresentação!$E$6='Base de Dados e filtragem'!AL$2,Apresentação!$E$6='Base de Dados e filtragem'!H1013),1,0)</f>
        <v>1</v>
      </c>
      <c r="AM1013" s="25">
        <f>IF(OR(Apresentação!$I$2='Base de Dados e filtragem'!AM$2,Apresentação!$I$2='Base de Dados e filtragem'!I1013),1,0)</f>
        <v>1</v>
      </c>
      <c r="AN1013" s="25">
        <f>IF(OR(Apresentação!$I$3='Base de Dados e filtragem'!AN$2,Apresentação!$I$3='Base de Dados e filtragem'!J1013),1,0)</f>
        <v>1</v>
      </c>
      <c r="AO1013" s="25">
        <f>IF(OR(Apresentação!$I$4='Base de Dados e filtragem'!AO$2,Apresentação!$I$4='Base de Dados e filtragem'!K1013),1,0)</f>
        <v>1</v>
      </c>
      <c r="AP1013" s="25">
        <f>IF(OR(Apresentação!$I$5='Base de Dados e filtragem'!AP$2,Apresentação!$I$5='Base de Dados e filtragem'!L1013),1,0)</f>
        <v>1</v>
      </c>
      <c r="AQ1013" s="25">
        <f>IF(OR(Apresentação!$I$6='Base de Dados e filtragem'!AQ$2,Apresentação!$I$6='Base de Dados e filtragem'!M1013),1,0)</f>
        <v>1</v>
      </c>
      <c r="AR1013" s="25">
        <v>1</v>
      </c>
      <c r="AS1013" s="25">
        <v>1</v>
      </c>
      <c r="AT1013" s="25">
        <v>1</v>
      </c>
      <c r="AU1013" s="25">
        <v>1</v>
      </c>
      <c r="AV1013" s="25">
        <v>1</v>
      </c>
      <c r="AW1013" s="25">
        <v>1</v>
      </c>
      <c r="AX1013" s="25">
        <v>1</v>
      </c>
      <c r="AY1013" s="25">
        <v>1</v>
      </c>
      <c r="AZ1013" s="25">
        <v>1</v>
      </c>
      <c r="BA1013" s="25">
        <v>1</v>
      </c>
      <c r="BB1013" s="25">
        <v>1</v>
      </c>
      <c r="BC1013" s="25">
        <v>1</v>
      </c>
      <c r="BD1013" s="25">
        <v>1</v>
      </c>
    </row>
    <row r="1014" spans="27:56" x14ac:dyDescent="0.25">
      <c r="AA1014" s="68" t="str">
        <f t="shared" si="61"/>
        <v>Fotos\\.jpg</v>
      </c>
      <c r="AB1014" s="53">
        <f t="shared" si="62"/>
        <v>9.8619329388560163E-4</v>
      </c>
      <c r="AC1014" s="25">
        <f t="shared" si="63"/>
        <v>1014</v>
      </c>
      <c r="AD1014" s="51">
        <f t="shared" si="64"/>
        <v>1</v>
      </c>
      <c r="AE1014" s="25">
        <v>1</v>
      </c>
      <c r="AF1014" s="25">
        <v>1</v>
      </c>
      <c r="AG1014" s="25">
        <v>1</v>
      </c>
      <c r="AH1014" s="25">
        <v>1</v>
      </c>
      <c r="AI1014" s="25">
        <f>IF(OR(Apresentação!$E$3='Base de Dados e filtragem'!AI$2,Apresentação!$E$3='Base de Dados e filtragem'!E1014),1,0)</f>
        <v>1</v>
      </c>
      <c r="AJ1014" s="25">
        <f>IF(OR(Apresentação!$E$4='Base de Dados e filtragem'!AJ$2,Apresentação!$E$4='Base de Dados e filtragem'!F1014),1,0)</f>
        <v>1</v>
      </c>
      <c r="AK1014" s="25">
        <f>IF(OR(Apresentação!$E$5='Base de Dados e filtragem'!AK$2,Apresentação!$E$5='Base de Dados e filtragem'!G1014),1,0)</f>
        <v>1</v>
      </c>
      <c r="AL1014" s="25">
        <f>IF(OR(Apresentação!$E$6='Base de Dados e filtragem'!AL$2,Apresentação!$E$6='Base de Dados e filtragem'!H1014),1,0)</f>
        <v>1</v>
      </c>
      <c r="AM1014" s="25">
        <f>IF(OR(Apresentação!$I$2='Base de Dados e filtragem'!AM$2,Apresentação!$I$2='Base de Dados e filtragem'!I1014),1,0)</f>
        <v>1</v>
      </c>
      <c r="AN1014" s="25">
        <f>IF(OR(Apresentação!$I$3='Base de Dados e filtragem'!AN$2,Apresentação!$I$3='Base de Dados e filtragem'!J1014),1,0)</f>
        <v>1</v>
      </c>
      <c r="AO1014" s="25">
        <f>IF(OR(Apresentação!$I$4='Base de Dados e filtragem'!AO$2,Apresentação!$I$4='Base de Dados e filtragem'!K1014),1,0)</f>
        <v>1</v>
      </c>
      <c r="AP1014" s="25">
        <f>IF(OR(Apresentação!$I$5='Base de Dados e filtragem'!AP$2,Apresentação!$I$5='Base de Dados e filtragem'!L1014),1,0)</f>
        <v>1</v>
      </c>
      <c r="AQ1014" s="25">
        <f>IF(OR(Apresentação!$I$6='Base de Dados e filtragem'!AQ$2,Apresentação!$I$6='Base de Dados e filtragem'!M1014),1,0)</f>
        <v>1</v>
      </c>
      <c r="AR1014" s="25">
        <v>1</v>
      </c>
      <c r="AS1014" s="25">
        <v>1</v>
      </c>
      <c r="AT1014" s="25">
        <v>1</v>
      </c>
      <c r="AU1014" s="25">
        <v>1</v>
      </c>
      <c r="AV1014" s="25">
        <v>1</v>
      </c>
      <c r="AW1014" s="25">
        <v>1</v>
      </c>
      <c r="AX1014" s="25">
        <v>1</v>
      </c>
      <c r="AY1014" s="25">
        <v>1</v>
      </c>
      <c r="AZ1014" s="25">
        <v>1</v>
      </c>
      <c r="BA1014" s="25">
        <v>1</v>
      </c>
      <c r="BB1014" s="25">
        <v>1</v>
      </c>
      <c r="BC1014" s="25">
        <v>1</v>
      </c>
      <c r="BD1014" s="25">
        <v>1</v>
      </c>
    </row>
    <row r="1015" spans="27:56" x14ac:dyDescent="0.25">
      <c r="AA1015" s="68" t="str">
        <f t="shared" si="61"/>
        <v>Fotos\\.jpg</v>
      </c>
      <c r="AB1015" s="53">
        <f t="shared" si="62"/>
        <v>9.8522167487684722E-4</v>
      </c>
      <c r="AC1015" s="25">
        <f t="shared" si="63"/>
        <v>1015</v>
      </c>
      <c r="AD1015" s="51">
        <f t="shared" si="64"/>
        <v>1</v>
      </c>
      <c r="AE1015" s="25">
        <v>1</v>
      </c>
      <c r="AF1015" s="25">
        <v>1</v>
      </c>
      <c r="AG1015" s="25">
        <v>1</v>
      </c>
      <c r="AH1015" s="25">
        <v>1</v>
      </c>
      <c r="AI1015" s="25">
        <f>IF(OR(Apresentação!$E$3='Base de Dados e filtragem'!AI$2,Apresentação!$E$3='Base de Dados e filtragem'!E1015),1,0)</f>
        <v>1</v>
      </c>
      <c r="AJ1015" s="25">
        <f>IF(OR(Apresentação!$E$4='Base de Dados e filtragem'!AJ$2,Apresentação!$E$4='Base de Dados e filtragem'!F1015),1,0)</f>
        <v>1</v>
      </c>
      <c r="AK1015" s="25">
        <f>IF(OR(Apresentação!$E$5='Base de Dados e filtragem'!AK$2,Apresentação!$E$5='Base de Dados e filtragem'!G1015),1,0)</f>
        <v>1</v>
      </c>
      <c r="AL1015" s="25">
        <f>IF(OR(Apresentação!$E$6='Base de Dados e filtragem'!AL$2,Apresentação!$E$6='Base de Dados e filtragem'!H1015),1,0)</f>
        <v>1</v>
      </c>
      <c r="AM1015" s="25">
        <f>IF(OR(Apresentação!$I$2='Base de Dados e filtragem'!AM$2,Apresentação!$I$2='Base de Dados e filtragem'!I1015),1,0)</f>
        <v>1</v>
      </c>
      <c r="AN1015" s="25">
        <f>IF(OR(Apresentação!$I$3='Base de Dados e filtragem'!AN$2,Apresentação!$I$3='Base de Dados e filtragem'!J1015),1,0)</f>
        <v>1</v>
      </c>
      <c r="AO1015" s="25">
        <f>IF(OR(Apresentação!$I$4='Base de Dados e filtragem'!AO$2,Apresentação!$I$4='Base de Dados e filtragem'!K1015),1,0)</f>
        <v>1</v>
      </c>
      <c r="AP1015" s="25">
        <f>IF(OR(Apresentação!$I$5='Base de Dados e filtragem'!AP$2,Apresentação!$I$5='Base de Dados e filtragem'!L1015),1,0)</f>
        <v>1</v>
      </c>
      <c r="AQ1015" s="25">
        <f>IF(OR(Apresentação!$I$6='Base de Dados e filtragem'!AQ$2,Apresentação!$I$6='Base de Dados e filtragem'!M1015),1,0)</f>
        <v>1</v>
      </c>
      <c r="AR1015" s="25">
        <v>1</v>
      </c>
      <c r="AS1015" s="25">
        <v>1</v>
      </c>
      <c r="AT1015" s="25">
        <v>1</v>
      </c>
      <c r="AU1015" s="25">
        <v>1</v>
      </c>
      <c r="AV1015" s="25">
        <v>1</v>
      </c>
      <c r="AW1015" s="25">
        <v>1</v>
      </c>
      <c r="AX1015" s="25">
        <v>1</v>
      </c>
      <c r="AY1015" s="25">
        <v>1</v>
      </c>
      <c r="AZ1015" s="25">
        <v>1</v>
      </c>
      <c r="BA1015" s="25">
        <v>1</v>
      </c>
      <c r="BB1015" s="25">
        <v>1</v>
      </c>
      <c r="BC1015" s="25">
        <v>1</v>
      </c>
      <c r="BD1015" s="25">
        <v>1</v>
      </c>
    </row>
    <row r="1016" spans="27:56" x14ac:dyDescent="0.25">
      <c r="AA1016" s="68" t="str">
        <f t="shared" si="61"/>
        <v>Fotos\\.jpg</v>
      </c>
      <c r="AB1016" s="53">
        <f t="shared" si="62"/>
        <v>9.8425196850393699E-4</v>
      </c>
      <c r="AC1016" s="25">
        <f t="shared" si="63"/>
        <v>1016</v>
      </c>
      <c r="AD1016" s="51">
        <f t="shared" si="64"/>
        <v>1</v>
      </c>
      <c r="AE1016" s="25">
        <v>1</v>
      </c>
      <c r="AF1016" s="25">
        <v>1</v>
      </c>
      <c r="AG1016" s="25">
        <v>1</v>
      </c>
      <c r="AH1016" s="25">
        <v>1</v>
      </c>
      <c r="AI1016" s="25">
        <f>IF(OR(Apresentação!$E$3='Base de Dados e filtragem'!AI$2,Apresentação!$E$3='Base de Dados e filtragem'!E1016),1,0)</f>
        <v>1</v>
      </c>
      <c r="AJ1016" s="25">
        <f>IF(OR(Apresentação!$E$4='Base de Dados e filtragem'!AJ$2,Apresentação!$E$4='Base de Dados e filtragem'!F1016),1,0)</f>
        <v>1</v>
      </c>
      <c r="AK1016" s="25">
        <f>IF(OR(Apresentação!$E$5='Base de Dados e filtragem'!AK$2,Apresentação!$E$5='Base de Dados e filtragem'!G1016),1,0)</f>
        <v>1</v>
      </c>
      <c r="AL1016" s="25">
        <f>IF(OR(Apresentação!$E$6='Base de Dados e filtragem'!AL$2,Apresentação!$E$6='Base de Dados e filtragem'!H1016),1,0)</f>
        <v>1</v>
      </c>
      <c r="AM1016" s="25">
        <f>IF(OR(Apresentação!$I$2='Base de Dados e filtragem'!AM$2,Apresentação!$I$2='Base de Dados e filtragem'!I1016),1,0)</f>
        <v>1</v>
      </c>
      <c r="AN1016" s="25">
        <f>IF(OR(Apresentação!$I$3='Base de Dados e filtragem'!AN$2,Apresentação!$I$3='Base de Dados e filtragem'!J1016),1,0)</f>
        <v>1</v>
      </c>
      <c r="AO1016" s="25">
        <f>IF(OR(Apresentação!$I$4='Base de Dados e filtragem'!AO$2,Apresentação!$I$4='Base de Dados e filtragem'!K1016),1,0)</f>
        <v>1</v>
      </c>
      <c r="AP1016" s="25">
        <f>IF(OR(Apresentação!$I$5='Base de Dados e filtragem'!AP$2,Apresentação!$I$5='Base de Dados e filtragem'!L1016),1,0)</f>
        <v>1</v>
      </c>
      <c r="AQ1016" s="25">
        <f>IF(OR(Apresentação!$I$6='Base de Dados e filtragem'!AQ$2,Apresentação!$I$6='Base de Dados e filtragem'!M1016),1,0)</f>
        <v>1</v>
      </c>
      <c r="AR1016" s="25">
        <v>1</v>
      </c>
      <c r="AS1016" s="25">
        <v>1</v>
      </c>
      <c r="AT1016" s="25">
        <v>1</v>
      </c>
      <c r="AU1016" s="25">
        <v>1</v>
      </c>
      <c r="AV1016" s="25">
        <v>1</v>
      </c>
      <c r="AW1016" s="25">
        <v>1</v>
      </c>
      <c r="AX1016" s="25">
        <v>1</v>
      </c>
      <c r="AY1016" s="25">
        <v>1</v>
      </c>
      <c r="AZ1016" s="25">
        <v>1</v>
      </c>
      <c r="BA1016" s="25">
        <v>1</v>
      </c>
      <c r="BB1016" s="25">
        <v>1</v>
      </c>
      <c r="BC1016" s="25">
        <v>1</v>
      </c>
      <c r="BD1016" s="25">
        <v>1</v>
      </c>
    </row>
    <row r="1017" spans="27:56" x14ac:dyDescent="0.25">
      <c r="AA1017" s="68" t="str">
        <f t="shared" si="61"/>
        <v>Fotos\\.jpg</v>
      </c>
      <c r="AB1017" s="53">
        <f t="shared" si="62"/>
        <v>9.8328416912487715E-4</v>
      </c>
      <c r="AC1017" s="25">
        <f t="shared" si="63"/>
        <v>1017</v>
      </c>
      <c r="AD1017" s="51">
        <f t="shared" si="64"/>
        <v>1</v>
      </c>
      <c r="AE1017" s="25">
        <v>1</v>
      </c>
      <c r="AF1017" s="25">
        <v>1</v>
      </c>
      <c r="AG1017" s="25">
        <v>1</v>
      </c>
      <c r="AH1017" s="25">
        <v>1</v>
      </c>
      <c r="AI1017" s="25">
        <f>IF(OR(Apresentação!$E$3='Base de Dados e filtragem'!AI$2,Apresentação!$E$3='Base de Dados e filtragem'!E1017),1,0)</f>
        <v>1</v>
      </c>
      <c r="AJ1017" s="25">
        <f>IF(OR(Apresentação!$E$4='Base de Dados e filtragem'!AJ$2,Apresentação!$E$4='Base de Dados e filtragem'!F1017),1,0)</f>
        <v>1</v>
      </c>
      <c r="AK1017" s="25">
        <f>IF(OR(Apresentação!$E$5='Base de Dados e filtragem'!AK$2,Apresentação!$E$5='Base de Dados e filtragem'!G1017),1,0)</f>
        <v>1</v>
      </c>
      <c r="AL1017" s="25">
        <f>IF(OR(Apresentação!$E$6='Base de Dados e filtragem'!AL$2,Apresentação!$E$6='Base de Dados e filtragem'!H1017),1,0)</f>
        <v>1</v>
      </c>
      <c r="AM1017" s="25">
        <f>IF(OR(Apresentação!$I$2='Base de Dados e filtragem'!AM$2,Apresentação!$I$2='Base de Dados e filtragem'!I1017),1,0)</f>
        <v>1</v>
      </c>
      <c r="AN1017" s="25">
        <f>IF(OR(Apresentação!$I$3='Base de Dados e filtragem'!AN$2,Apresentação!$I$3='Base de Dados e filtragem'!J1017),1,0)</f>
        <v>1</v>
      </c>
      <c r="AO1017" s="25">
        <f>IF(OR(Apresentação!$I$4='Base de Dados e filtragem'!AO$2,Apresentação!$I$4='Base de Dados e filtragem'!K1017),1,0)</f>
        <v>1</v>
      </c>
      <c r="AP1017" s="25">
        <f>IF(OR(Apresentação!$I$5='Base de Dados e filtragem'!AP$2,Apresentação!$I$5='Base de Dados e filtragem'!L1017),1,0)</f>
        <v>1</v>
      </c>
      <c r="AQ1017" s="25">
        <f>IF(OR(Apresentação!$I$6='Base de Dados e filtragem'!AQ$2,Apresentação!$I$6='Base de Dados e filtragem'!M1017),1,0)</f>
        <v>1</v>
      </c>
      <c r="AR1017" s="25">
        <v>1</v>
      </c>
      <c r="AS1017" s="25">
        <v>1</v>
      </c>
      <c r="AT1017" s="25">
        <v>1</v>
      </c>
      <c r="AU1017" s="25">
        <v>1</v>
      </c>
      <c r="AV1017" s="25">
        <v>1</v>
      </c>
      <c r="AW1017" s="25">
        <v>1</v>
      </c>
      <c r="AX1017" s="25">
        <v>1</v>
      </c>
      <c r="AY1017" s="25">
        <v>1</v>
      </c>
      <c r="AZ1017" s="25">
        <v>1</v>
      </c>
      <c r="BA1017" s="25">
        <v>1</v>
      </c>
      <c r="BB1017" s="25">
        <v>1</v>
      </c>
      <c r="BC1017" s="25">
        <v>1</v>
      </c>
      <c r="BD1017" s="25">
        <v>1</v>
      </c>
    </row>
    <row r="1018" spans="27:56" x14ac:dyDescent="0.25">
      <c r="AA1018" s="68" t="str">
        <f t="shared" si="61"/>
        <v>Fotos\\.jpg</v>
      </c>
      <c r="AB1018" s="53">
        <f t="shared" si="62"/>
        <v>9.8231827111984276E-4</v>
      </c>
      <c r="AC1018" s="25">
        <f t="shared" si="63"/>
        <v>1018</v>
      </c>
      <c r="AD1018" s="51">
        <f t="shared" si="64"/>
        <v>1</v>
      </c>
      <c r="AE1018" s="25">
        <v>1</v>
      </c>
      <c r="AF1018" s="25">
        <v>1</v>
      </c>
      <c r="AG1018" s="25">
        <v>1</v>
      </c>
      <c r="AH1018" s="25">
        <v>1</v>
      </c>
      <c r="AI1018" s="25">
        <f>IF(OR(Apresentação!$E$3='Base de Dados e filtragem'!AI$2,Apresentação!$E$3='Base de Dados e filtragem'!E1018),1,0)</f>
        <v>1</v>
      </c>
      <c r="AJ1018" s="25">
        <f>IF(OR(Apresentação!$E$4='Base de Dados e filtragem'!AJ$2,Apresentação!$E$4='Base de Dados e filtragem'!F1018),1,0)</f>
        <v>1</v>
      </c>
      <c r="AK1018" s="25">
        <f>IF(OR(Apresentação!$E$5='Base de Dados e filtragem'!AK$2,Apresentação!$E$5='Base de Dados e filtragem'!G1018),1,0)</f>
        <v>1</v>
      </c>
      <c r="AL1018" s="25">
        <f>IF(OR(Apresentação!$E$6='Base de Dados e filtragem'!AL$2,Apresentação!$E$6='Base de Dados e filtragem'!H1018),1,0)</f>
        <v>1</v>
      </c>
      <c r="AM1018" s="25">
        <f>IF(OR(Apresentação!$I$2='Base de Dados e filtragem'!AM$2,Apresentação!$I$2='Base de Dados e filtragem'!I1018),1,0)</f>
        <v>1</v>
      </c>
      <c r="AN1018" s="25">
        <f>IF(OR(Apresentação!$I$3='Base de Dados e filtragem'!AN$2,Apresentação!$I$3='Base de Dados e filtragem'!J1018),1,0)</f>
        <v>1</v>
      </c>
      <c r="AO1018" s="25">
        <f>IF(OR(Apresentação!$I$4='Base de Dados e filtragem'!AO$2,Apresentação!$I$4='Base de Dados e filtragem'!K1018),1,0)</f>
        <v>1</v>
      </c>
      <c r="AP1018" s="25">
        <f>IF(OR(Apresentação!$I$5='Base de Dados e filtragem'!AP$2,Apresentação!$I$5='Base de Dados e filtragem'!L1018),1,0)</f>
        <v>1</v>
      </c>
      <c r="AQ1018" s="25">
        <f>IF(OR(Apresentação!$I$6='Base de Dados e filtragem'!AQ$2,Apresentação!$I$6='Base de Dados e filtragem'!M1018),1,0)</f>
        <v>1</v>
      </c>
      <c r="AR1018" s="25">
        <v>1</v>
      </c>
      <c r="AS1018" s="25">
        <v>1</v>
      </c>
      <c r="AT1018" s="25">
        <v>1</v>
      </c>
      <c r="AU1018" s="25">
        <v>1</v>
      </c>
      <c r="AV1018" s="25">
        <v>1</v>
      </c>
      <c r="AW1018" s="25">
        <v>1</v>
      </c>
      <c r="AX1018" s="25">
        <v>1</v>
      </c>
      <c r="AY1018" s="25">
        <v>1</v>
      </c>
      <c r="AZ1018" s="25">
        <v>1</v>
      </c>
      <c r="BA1018" s="25">
        <v>1</v>
      </c>
      <c r="BB1018" s="25">
        <v>1</v>
      </c>
      <c r="BC1018" s="25">
        <v>1</v>
      </c>
      <c r="BD1018" s="25">
        <v>1</v>
      </c>
    </row>
    <row r="1019" spans="27:56" x14ac:dyDescent="0.25">
      <c r="AA1019" s="68" t="str">
        <f t="shared" si="61"/>
        <v>Fotos\\.jpg</v>
      </c>
      <c r="AB1019" s="53">
        <f t="shared" si="62"/>
        <v>9.813542688910696E-4</v>
      </c>
      <c r="AC1019" s="25">
        <f t="shared" si="63"/>
        <v>1019</v>
      </c>
      <c r="AD1019" s="51">
        <f t="shared" si="64"/>
        <v>1</v>
      </c>
      <c r="AE1019" s="25">
        <v>1</v>
      </c>
      <c r="AF1019" s="25">
        <v>1</v>
      </c>
      <c r="AG1019" s="25">
        <v>1</v>
      </c>
      <c r="AH1019" s="25">
        <v>1</v>
      </c>
      <c r="AI1019" s="25">
        <f>IF(OR(Apresentação!$E$3='Base de Dados e filtragem'!AI$2,Apresentação!$E$3='Base de Dados e filtragem'!E1019),1,0)</f>
        <v>1</v>
      </c>
      <c r="AJ1019" s="25">
        <f>IF(OR(Apresentação!$E$4='Base de Dados e filtragem'!AJ$2,Apresentação!$E$4='Base de Dados e filtragem'!F1019),1,0)</f>
        <v>1</v>
      </c>
      <c r="AK1019" s="25">
        <f>IF(OR(Apresentação!$E$5='Base de Dados e filtragem'!AK$2,Apresentação!$E$5='Base de Dados e filtragem'!G1019),1,0)</f>
        <v>1</v>
      </c>
      <c r="AL1019" s="25">
        <f>IF(OR(Apresentação!$E$6='Base de Dados e filtragem'!AL$2,Apresentação!$E$6='Base de Dados e filtragem'!H1019),1,0)</f>
        <v>1</v>
      </c>
      <c r="AM1019" s="25">
        <f>IF(OR(Apresentação!$I$2='Base de Dados e filtragem'!AM$2,Apresentação!$I$2='Base de Dados e filtragem'!I1019),1,0)</f>
        <v>1</v>
      </c>
      <c r="AN1019" s="25">
        <f>IF(OR(Apresentação!$I$3='Base de Dados e filtragem'!AN$2,Apresentação!$I$3='Base de Dados e filtragem'!J1019),1,0)</f>
        <v>1</v>
      </c>
      <c r="AO1019" s="25">
        <f>IF(OR(Apresentação!$I$4='Base de Dados e filtragem'!AO$2,Apresentação!$I$4='Base de Dados e filtragem'!K1019),1,0)</f>
        <v>1</v>
      </c>
      <c r="AP1019" s="25">
        <f>IF(OR(Apresentação!$I$5='Base de Dados e filtragem'!AP$2,Apresentação!$I$5='Base de Dados e filtragem'!L1019),1,0)</f>
        <v>1</v>
      </c>
      <c r="AQ1019" s="25">
        <f>IF(OR(Apresentação!$I$6='Base de Dados e filtragem'!AQ$2,Apresentação!$I$6='Base de Dados e filtragem'!M1019),1,0)</f>
        <v>1</v>
      </c>
      <c r="AR1019" s="25">
        <v>1</v>
      </c>
      <c r="AS1019" s="25">
        <v>1</v>
      </c>
      <c r="AT1019" s="25">
        <v>1</v>
      </c>
      <c r="AU1019" s="25">
        <v>1</v>
      </c>
      <c r="AV1019" s="25">
        <v>1</v>
      </c>
      <c r="AW1019" s="25">
        <v>1</v>
      </c>
      <c r="AX1019" s="25">
        <v>1</v>
      </c>
      <c r="AY1019" s="25">
        <v>1</v>
      </c>
      <c r="AZ1019" s="25">
        <v>1</v>
      </c>
      <c r="BA1019" s="25">
        <v>1</v>
      </c>
      <c r="BB1019" s="25">
        <v>1</v>
      </c>
      <c r="BC1019" s="25">
        <v>1</v>
      </c>
      <c r="BD1019" s="25">
        <v>1</v>
      </c>
    </row>
    <row r="1020" spans="27:56" x14ac:dyDescent="0.25">
      <c r="AA1020" s="68" t="str">
        <f t="shared" si="61"/>
        <v>Fotos\\.jpg</v>
      </c>
      <c r="AB1020" s="53">
        <f t="shared" si="62"/>
        <v>9.8039215686274508E-4</v>
      </c>
      <c r="AC1020" s="25">
        <f t="shared" si="63"/>
        <v>1020</v>
      </c>
      <c r="AD1020" s="51">
        <f t="shared" si="64"/>
        <v>1</v>
      </c>
      <c r="AE1020" s="25">
        <v>1</v>
      </c>
      <c r="AF1020" s="25">
        <v>1</v>
      </c>
      <c r="AG1020" s="25">
        <v>1</v>
      </c>
      <c r="AH1020" s="25">
        <v>1</v>
      </c>
      <c r="AI1020" s="25">
        <f>IF(OR(Apresentação!$E$3='Base de Dados e filtragem'!AI$2,Apresentação!$E$3='Base de Dados e filtragem'!E1020),1,0)</f>
        <v>1</v>
      </c>
      <c r="AJ1020" s="25">
        <f>IF(OR(Apresentação!$E$4='Base de Dados e filtragem'!AJ$2,Apresentação!$E$4='Base de Dados e filtragem'!F1020),1,0)</f>
        <v>1</v>
      </c>
      <c r="AK1020" s="25">
        <f>IF(OR(Apresentação!$E$5='Base de Dados e filtragem'!AK$2,Apresentação!$E$5='Base de Dados e filtragem'!G1020),1,0)</f>
        <v>1</v>
      </c>
      <c r="AL1020" s="25">
        <f>IF(OR(Apresentação!$E$6='Base de Dados e filtragem'!AL$2,Apresentação!$E$6='Base de Dados e filtragem'!H1020),1,0)</f>
        <v>1</v>
      </c>
      <c r="AM1020" s="25">
        <f>IF(OR(Apresentação!$I$2='Base de Dados e filtragem'!AM$2,Apresentação!$I$2='Base de Dados e filtragem'!I1020),1,0)</f>
        <v>1</v>
      </c>
      <c r="AN1020" s="25">
        <f>IF(OR(Apresentação!$I$3='Base de Dados e filtragem'!AN$2,Apresentação!$I$3='Base de Dados e filtragem'!J1020),1,0)</f>
        <v>1</v>
      </c>
      <c r="AO1020" s="25">
        <f>IF(OR(Apresentação!$I$4='Base de Dados e filtragem'!AO$2,Apresentação!$I$4='Base de Dados e filtragem'!K1020),1,0)</f>
        <v>1</v>
      </c>
      <c r="AP1020" s="25">
        <f>IF(OR(Apresentação!$I$5='Base de Dados e filtragem'!AP$2,Apresentação!$I$5='Base de Dados e filtragem'!L1020),1,0)</f>
        <v>1</v>
      </c>
      <c r="AQ1020" s="25">
        <f>IF(OR(Apresentação!$I$6='Base de Dados e filtragem'!AQ$2,Apresentação!$I$6='Base de Dados e filtragem'!M1020),1,0)</f>
        <v>1</v>
      </c>
      <c r="AR1020" s="25">
        <v>1</v>
      </c>
      <c r="AS1020" s="25">
        <v>1</v>
      </c>
      <c r="AT1020" s="25">
        <v>1</v>
      </c>
      <c r="AU1020" s="25">
        <v>1</v>
      </c>
      <c r="AV1020" s="25">
        <v>1</v>
      </c>
      <c r="AW1020" s="25">
        <v>1</v>
      </c>
      <c r="AX1020" s="25">
        <v>1</v>
      </c>
      <c r="AY1020" s="25">
        <v>1</v>
      </c>
      <c r="AZ1020" s="25">
        <v>1</v>
      </c>
      <c r="BA1020" s="25">
        <v>1</v>
      </c>
      <c r="BB1020" s="25">
        <v>1</v>
      </c>
      <c r="BC1020" s="25">
        <v>1</v>
      </c>
      <c r="BD1020" s="25">
        <v>1</v>
      </c>
    </row>
    <row r="1021" spans="27:56" x14ac:dyDescent="0.25">
      <c r="AA1021" s="68" t="str">
        <f t="shared" si="61"/>
        <v>Fotos\\.jpg</v>
      </c>
      <c r="AB1021" s="53">
        <f t="shared" si="62"/>
        <v>9.7943192948090111E-4</v>
      </c>
      <c r="AC1021" s="25">
        <f t="shared" si="63"/>
        <v>1021</v>
      </c>
      <c r="AD1021" s="51">
        <f t="shared" si="64"/>
        <v>1</v>
      </c>
      <c r="AE1021" s="25">
        <v>1</v>
      </c>
      <c r="AF1021" s="25">
        <v>1</v>
      </c>
      <c r="AG1021" s="25">
        <v>1</v>
      </c>
      <c r="AH1021" s="25">
        <v>1</v>
      </c>
      <c r="AI1021" s="25">
        <f>IF(OR(Apresentação!$E$3='Base de Dados e filtragem'!AI$2,Apresentação!$E$3='Base de Dados e filtragem'!E1021),1,0)</f>
        <v>1</v>
      </c>
      <c r="AJ1021" s="25">
        <f>IF(OR(Apresentação!$E$4='Base de Dados e filtragem'!AJ$2,Apresentação!$E$4='Base de Dados e filtragem'!F1021),1,0)</f>
        <v>1</v>
      </c>
      <c r="AK1021" s="25">
        <f>IF(OR(Apresentação!$E$5='Base de Dados e filtragem'!AK$2,Apresentação!$E$5='Base de Dados e filtragem'!G1021),1,0)</f>
        <v>1</v>
      </c>
      <c r="AL1021" s="25">
        <f>IF(OR(Apresentação!$E$6='Base de Dados e filtragem'!AL$2,Apresentação!$E$6='Base de Dados e filtragem'!H1021),1,0)</f>
        <v>1</v>
      </c>
      <c r="AM1021" s="25">
        <f>IF(OR(Apresentação!$I$2='Base de Dados e filtragem'!AM$2,Apresentação!$I$2='Base de Dados e filtragem'!I1021),1,0)</f>
        <v>1</v>
      </c>
      <c r="AN1021" s="25">
        <f>IF(OR(Apresentação!$I$3='Base de Dados e filtragem'!AN$2,Apresentação!$I$3='Base de Dados e filtragem'!J1021),1,0)</f>
        <v>1</v>
      </c>
      <c r="AO1021" s="25">
        <f>IF(OR(Apresentação!$I$4='Base de Dados e filtragem'!AO$2,Apresentação!$I$4='Base de Dados e filtragem'!K1021),1,0)</f>
        <v>1</v>
      </c>
      <c r="AP1021" s="25">
        <f>IF(OR(Apresentação!$I$5='Base de Dados e filtragem'!AP$2,Apresentação!$I$5='Base de Dados e filtragem'!L1021),1,0)</f>
        <v>1</v>
      </c>
      <c r="AQ1021" s="25">
        <f>IF(OR(Apresentação!$I$6='Base de Dados e filtragem'!AQ$2,Apresentação!$I$6='Base de Dados e filtragem'!M1021),1,0)</f>
        <v>1</v>
      </c>
      <c r="AR1021" s="25">
        <v>1</v>
      </c>
      <c r="AS1021" s="25">
        <v>1</v>
      </c>
      <c r="AT1021" s="25">
        <v>1</v>
      </c>
      <c r="AU1021" s="25">
        <v>1</v>
      </c>
      <c r="AV1021" s="25">
        <v>1</v>
      </c>
      <c r="AW1021" s="25">
        <v>1</v>
      </c>
      <c r="AX1021" s="25">
        <v>1</v>
      </c>
      <c r="AY1021" s="25">
        <v>1</v>
      </c>
      <c r="AZ1021" s="25">
        <v>1</v>
      </c>
      <c r="BA1021" s="25">
        <v>1</v>
      </c>
      <c r="BB1021" s="25">
        <v>1</v>
      </c>
      <c r="BC1021" s="25">
        <v>1</v>
      </c>
      <c r="BD1021" s="25">
        <v>1</v>
      </c>
    </row>
    <row r="1022" spans="27:56" x14ac:dyDescent="0.25">
      <c r="AA1022" s="68" t="str">
        <f t="shared" si="61"/>
        <v>Fotos\\.jpg</v>
      </c>
      <c r="AB1022" s="53">
        <f t="shared" si="62"/>
        <v>9.7847358121330719E-4</v>
      </c>
      <c r="AC1022" s="25">
        <f t="shared" si="63"/>
        <v>1022</v>
      </c>
      <c r="AD1022" s="51">
        <f t="shared" si="64"/>
        <v>1</v>
      </c>
      <c r="AE1022" s="25">
        <v>1</v>
      </c>
      <c r="AF1022" s="25">
        <v>1</v>
      </c>
      <c r="AG1022" s="25">
        <v>1</v>
      </c>
      <c r="AH1022" s="25">
        <v>1</v>
      </c>
      <c r="AI1022" s="25">
        <f>IF(OR(Apresentação!$E$3='Base de Dados e filtragem'!AI$2,Apresentação!$E$3='Base de Dados e filtragem'!E1022),1,0)</f>
        <v>1</v>
      </c>
      <c r="AJ1022" s="25">
        <f>IF(OR(Apresentação!$E$4='Base de Dados e filtragem'!AJ$2,Apresentação!$E$4='Base de Dados e filtragem'!F1022),1,0)</f>
        <v>1</v>
      </c>
      <c r="AK1022" s="25">
        <f>IF(OR(Apresentação!$E$5='Base de Dados e filtragem'!AK$2,Apresentação!$E$5='Base de Dados e filtragem'!G1022),1,0)</f>
        <v>1</v>
      </c>
      <c r="AL1022" s="25">
        <f>IF(OR(Apresentação!$E$6='Base de Dados e filtragem'!AL$2,Apresentação!$E$6='Base de Dados e filtragem'!H1022),1,0)</f>
        <v>1</v>
      </c>
      <c r="AM1022" s="25">
        <f>IF(OR(Apresentação!$I$2='Base de Dados e filtragem'!AM$2,Apresentação!$I$2='Base de Dados e filtragem'!I1022),1,0)</f>
        <v>1</v>
      </c>
      <c r="AN1022" s="25">
        <f>IF(OR(Apresentação!$I$3='Base de Dados e filtragem'!AN$2,Apresentação!$I$3='Base de Dados e filtragem'!J1022),1,0)</f>
        <v>1</v>
      </c>
      <c r="AO1022" s="25">
        <f>IF(OR(Apresentação!$I$4='Base de Dados e filtragem'!AO$2,Apresentação!$I$4='Base de Dados e filtragem'!K1022),1,0)</f>
        <v>1</v>
      </c>
      <c r="AP1022" s="25">
        <f>IF(OR(Apresentação!$I$5='Base de Dados e filtragem'!AP$2,Apresentação!$I$5='Base de Dados e filtragem'!L1022),1,0)</f>
        <v>1</v>
      </c>
      <c r="AQ1022" s="25">
        <f>IF(OR(Apresentação!$I$6='Base de Dados e filtragem'!AQ$2,Apresentação!$I$6='Base de Dados e filtragem'!M1022),1,0)</f>
        <v>1</v>
      </c>
      <c r="AR1022" s="25">
        <v>1</v>
      </c>
      <c r="AS1022" s="25">
        <v>1</v>
      </c>
      <c r="AT1022" s="25">
        <v>1</v>
      </c>
      <c r="AU1022" s="25">
        <v>1</v>
      </c>
      <c r="AV1022" s="25">
        <v>1</v>
      </c>
      <c r="AW1022" s="25">
        <v>1</v>
      </c>
      <c r="AX1022" s="25">
        <v>1</v>
      </c>
      <c r="AY1022" s="25">
        <v>1</v>
      </c>
      <c r="AZ1022" s="25">
        <v>1</v>
      </c>
      <c r="BA1022" s="25">
        <v>1</v>
      </c>
      <c r="BB1022" s="25">
        <v>1</v>
      </c>
      <c r="BC1022" s="25">
        <v>1</v>
      </c>
      <c r="BD1022" s="25">
        <v>1</v>
      </c>
    </row>
    <row r="1023" spans="27:56" x14ac:dyDescent="0.25">
      <c r="AA1023" s="68" t="str">
        <f t="shared" si="61"/>
        <v>Fotos\\.jpg</v>
      </c>
      <c r="AB1023" s="53">
        <f t="shared" si="62"/>
        <v>9.7751710654936461E-4</v>
      </c>
      <c r="AC1023" s="25">
        <f t="shared" si="63"/>
        <v>1023</v>
      </c>
      <c r="AD1023" s="51">
        <f t="shared" si="64"/>
        <v>1</v>
      </c>
      <c r="AE1023" s="25">
        <v>1</v>
      </c>
      <c r="AF1023" s="25">
        <v>1</v>
      </c>
      <c r="AG1023" s="25">
        <v>1</v>
      </c>
      <c r="AH1023" s="25">
        <v>1</v>
      </c>
      <c r="AI1023" s="25">
        <f>IF(OR(Apresentação!$E$3='Base de Dados e filtragem'!AI$2,Apresentação!$E$3='Base de Dados e filtragem'!E1023),1,0)</f>
        <v>1</v>
      </c>
      <c r="AJ1023" s="25">
        <f>IF(OR(Apresentação!$E$4='Base de Dados e filtragem'!AJ$2,Apresentação!$E$4='Base de Dados e filtragem'!F1023),1,0)</f>
        <v>1</v>
      </c>
      <c r="AK1023" s="25">
        <f>IF(OR(Apresentação!$E$5='Base de Dados e filtragem'!AK$2,Apresentação!$E$5='Base de Dados e filtragem'!G1023),1,0)</f>
        <v>1</v>
      </c>
      <c r="AL1023" s="25">
        <f>IF(OR(Apresentação!$E$6='Base de Dados e filtragem'!AL$2,Apresentação!$E$6='Base de Dados e filtragem'!H1023),1,0)</f>
        <v>1</v>
      </c>
      <c r="AM1023" s="25">
        <f>IF(OR(Apresentação!$I$2='Base de Dados e filtragem'!AM$2,Apresentação!$I$2='Base de Dados e filtragem'!I1023),1,0)</f>
        <v>1</v>
      </c>
      <c r="AN1023" s="25">
        <f>IF(OR(Apresentação!$I$3='Base de Dados e filtragem'!AN$2,Apresentação!$I$3='Base de Dados e filtragem'!J1023),1,0)</f>
        <v>1</v>
      </c>
      <c r="AO1023" s="25">
        <f>IF(OR(Apresentação!$I$4='Base de Dados e filtragem'!AO$2,Apresentação!$I$4='Base de Dados e filtragem'!K1023),1,0)</f>
        <v>1</v>
      </c>
      <c r="AP1023" s="25">
        <f>IF(OR(Apresentação!$I$5='Base de Dados e filtragem'!AP$2,Apresentação!$I$5='Base de Dados e filtragem'!L1023),1,0)</f>
        <v>1</v>
      </c>
      <c r="AQ1023" s="25">
        <f>IF(OR(Apresentação!$I$6='Base de Dados e filtragem'!AQ$2,Apresentação!$I$6='Base de Dados e filtragem'!M1023),1,0)</f>
        <v>1</v>
      </c>
      <c r="AR1023" s="25">
        <v>1</v>
      </c>
      <c r="AS1023" s="25">
        <v>1</v>
      </c>
      <c r="AT1023" s="25">
        <v>1</v>
      </c>
      <c r="AU1023" s="25">
        <v>1</v>
      </c>
      <c r="AV1023" s="25">
        <v>1</v>
      </c>
      <c r="AW1023" s="25">
        <v>1</v>
      </c>
      <c r="AX1023" s="25">
        <v>1</v>
      </c>
      <c r="AY1023" s="25">
        <v>1</v>
      </c>
      <c r="AZ1023" s="25">
        <v>1</v>
      </c>
      <c r="BA1023" s="25">
        <v>1</v>
      </c>
      <c r="BB1023" s="25">
        <v>1</v>
      </c>
      <c r="BC1023" s="25">
        <v>1</v>
      </c>
      <c r="BD1023" s="25">
        <v>1</v>
      </c>
    </row>
    <row r="1024" spans="27:56" x14ac:dyDescent="0.25">
      <c r="AA1024" s="68" t="str">
        <f t="shared" si="61"/>
        <v>Fotos\\.jpg</v>
      </c>
      <c r="AB1024" s="53">
        <f t="shared" si="62"/>
        <v>9.765625E-4</v>
      </c>
      <c r="AC1024" s="25">
        <f t="shared" si="63"/>
        <v>1024</v>
      </c>
      <c r="AD1024" s="51">
        <f t="shared" si="64"/>
        <v>1</v>
      </c>
      <c r="AE1024" s="25">
        <v>1</v>
      </c>
      <c r="AF1024" s="25">
        <v>1</v>
      </c>
      <c r="AG1024" s="25">
        <v>1</v>
      </c>
      <c r="AH1024" s="25">
        <v>1</v>
      </c>
      <c r="AI1024" s="25">
        <f>IF(OR(Apresentação!$E$3='Base de Dados e filtragem'!AI$2,Apresentação!$E$3='Base de Dados e filtragem'!E1024),1,0)</f>
        <v>1</v>
      </c>
      <c r="AJ1024" s="25">
        <f>IF(OR(Apresentação!$E$4='Base de Dados e filtragem'!AJ$2,Apresentação!$E$4='Base de Dados e filtragem'!F1024),1,0)</f>
        <v>1</v>
      </c>
      <c r="AK1024" s="25">
        <f>IF(OR(Apresentação!$E$5='Base de Dados e filtragem'!AK$2,Apresentação!$E$5='Base de Dados e filtragem'!G1024),1,0)</f>
        <v>1</v>
      </c>
      <c r="AL1024" s="25">
        <f>IF(OR(Apresentação!$E$6='Base de Dados e filtragem'!AL$2,Apresentação!$E$6='Base de Dados e filtragem'!H1024),1,0)</f>
        <v>1</v>
      </c>
      <c r="AM1024" s="25">
        <f>IF(OR(Apresentação!$I$2='Base de Dados e filtragem'!AM$2,Apresentação!$I$2='Base de Dados e filtragem'!I1024),1,0)</f>
        <v>1</v>
      </c>
      <c r="AN1024" s="25">
        <f>IF(OR(Apresentação!$I$3='Base de Dados e filtragem'!AN$2,Apresentação!$I$3='Base de Dados e filtragem'!J1024),1,0)</f>
        <v>1</v>
      </c>
      <c r="AO1024" s="25">
        <f>IF(OR(Apresentação!$I$4='Base de Dados e filtragem'!AO$2,Apresentação!$I$4='Base de Dados e filtragem'!K1024),1,0)</f>
        <v>1</v>
      </c>
      <c r="AP1024" s="25">
        <f>IF(OR(Apresentação!$I$5='Base de Dados e filtragem'!AP$2,Apresentação!$I$5='Base de Dados e filtragem'!L1024),1,0)</f>
        <v>1</v>
      </c>
      <c r="AQ1024" s="25">
        <f>IF(OR(Apresentação!$I$6='Base de Dados e filtragem'!AQ$2,Apresentação!$I$6='Base de Dados e filtragem'!M1024),1,0)</f>
        <v>1</v>
      </c>
      <c r="AR1024" s="25">
        <v>1</v>
      </c>
      <c r="AS1024" s="25">
        <v>1</v>
      </c>
      <c r="AT1024" s="25">
        <v>1</v>
      </c>
      <c r="AU1024" s="25">
        <v>1</v>
      </c>
      <c r="AV1024" s="25">
        <v>1</v>
      </c>
      <c r="AW1024" s="25">
        <v>1</v>
      </c>
      <c r="AX1024" s="25">
        <v>1</v>
      </c>
      <c r="AY1024" s="25">
        <v>1</v>
      </c>
      <c r="AZ1024" s="25">
        <v>1</v>
      </c>
      <c r="BA1024" s="25">
        <v>1</v>
      </c>
      <c r="BB1024" s="25">
        <v>1</v>
      </c>
      <c r="BC1024" s="25">
        <v>1</v>
      </c>
      <c r="BD1024" s="25">
        <v>1</v>
      </c>
    </row>
    <row r="1025" spans="27:56" x14ac:dyDescent="0.25">
      <c r="AA1025" s="68" t="str">
        <f t="shared" si="61"/>
        <v>Fotos\\.jpg</v>
      </c>
      <c r="AB1025" s="53">
        <f t="shared" si="62"/>
        <v>9.7560975609756097E-4</v>
      </c>
      <c r="AC1025" s="25">
        <f t="shared" si="63"/>
        <v>1025</v>
      </c>
      <c r="AD1025" s="51">
        <f t="shared" si="64"/>
        <v>1</v>
      </c>
      <c r="AE1025" s="25">
        <v>1</v>
      </c>
      <c r="AF1025" s="25">
        <v>1</v>
      </c>
      <c r="AG1025" s="25">
        <v>1</v>
      </c>
      <c r="AH1025" s="25">
        <v>1</v>
      </c>
      <c r="AI1025" s="25">
        <f>IF(OR(Apresentação!$E$3='Base de Dados e filtragem'!AI$2,Apresentação!$E$3='Base de Dados e filtragem'!E1025),1,0)</f>
        <v>1</v>
      </c>
      <c r="AJ1025" s="25">
        <f>IF(OR(Apresentação!$E$4='Base de Dados e filtragem'!AJ$2,Apresentação!$E$4='Base de Dados e filtragem'!F1025),1,0)</f>
        <v>1</v>
      </c>
      <c r="AK1025" s="25">
        <f>IF(OR(Apresentação!$E$5='Base de Dados e filtragem'!AK$2,Apresentação!$E$5='Base de Dados e filtragem'!G1025),1,0)</f>
        <v>1</v>
      </c>
      <c r="AL1025" s="25">
        <f>IF(OR(Apresentação!$E$6='Base de Dados e filtragem'!AL$2,Apresentação!$E$6='Base de Dados e filtragem'!H1025),1,0)</f>
        <v>1</v>
      </c>
      <c r="AM1025" s="25">
        <f>IF(OR(Apresentação!$I$2='Base de Dados e filtragem'!AM$2,Apresentação!$I$2='Base de Dados e filtragem'!I1025),1,0)</f>
        <v>1</v>
      </c>
      <c r="AN1025" s="25">
        <f>IF(OR(Apresentação!$I$3='Base de Dados e filtragem'!AN$2,Apresentação!$I$3='Base de Dados e filtragem'!J1025),1,0)</f>
        <v>1</v>
      </c>
      <c r="AO1025" s="25">
        <f>IF(OR(Apresentação!$I$4='Base de Dados e filtragem'!AO$2,Apresentação!$I$4='Base de Dados e filtragem'!K1025),1,0)</f>
        <v>1</v>
      </c>
      <c r="AP1025" s="25">
        <f>IF(OR(Apresentação!$I$5='Base de Dados e filtragem'!AP$2,Apresentação!$I$5='Base de Dados e filtragem'!L1025),1,0)</f>
        <v>1</v>
      </c>
      <c r="AQ1025" s="25">
        <f>IF(OR(Apresentação!$I$6='Base de Dados e filtragem'!AQ$2,Apresentação!$I$6='Base de Dados e filtragem'!M1025),1,0)</f>
        <v>1</v>
      </c>
      <c r="AR1025" s="25">
        <v>1</v>
      </c>
      <c r="AS1025" s="25">
        <v>1</v>
      </c>
      <c r="AT1025" s="25">
        <v>1</v>
      </c>
      <c r="AU1025" s="25">
        <v>1</v>
      </c>
      <c r="AV1025" s="25">
        <v>1</v>
      </c>
      <c r="AW1025" s="25">
        <v>1</v>
      </c>
      <c r="AX1025" s="25">
        <v>1</v>
      </c>
      <c r="AY1025" s="25">
        <v>1</v>
      </c>
      <c r="AZ1025" s="25">
        <v>1</v>
      </c>
      <c r="BA1025" s="25">
        <v>1</v>
      </c>
      <c r="BB1025" s="25">
        <v>1</v>
      </c>
      <c r="BC1025" s="25">
        <v>1</v>
      </c>
      <c r="BD1025" s="25">
        <v>1</v>
      </c>
    </row>
    <row r="1026" spans="27:56" x14ac:dyDescent="0.25">
      <c r="AA1026" s="68" t="str">
        <f t="shared" si="61"/>
        <v>Fotos\\.jpg</v>
      </c>
      <c r="AB1026" s="53">
        <f t="shared" si="62"/>
        <v>9.7465886939571145E-4</v>
      </c>
      <c r="AC1026" s="25">
        <f t="shared" si="63"/>
        <v>1026</v>
      </c>
      <c r="AD1026" s="51">
        <f t="shared" si="64"/>
        <v>1</v>
      </c>
      <c r="AE1026" s="25">
        <v>1</v>
      </c>
      <c r="AF1026" s="25">
        <v>1</v>
      </c>
      <c r="AG1026" s="25">
        <v>1</v>
      </c>
      <c r="AH1026" s="25">
        <v>1</v>
      </c>
      <c r="AI1026" s="25">
        <f>IF(OR(Apresentação!$E$3='Base de Dados e filtragem'!AI$2,Apresentação!$E$3='Base de Dados e filtragem'!E1026),1,0)</f>
        <v>1</v>
      </c>
      <c r="AJ1026" s="25">
        <f>IF(OR(Apresentação!$E$4='Base de Dados e filtragem'!AJ$2,Apresentação!$E$4='Base de Dados e filtragem'!F1026),1,0)</f>
        <v>1</v>
      </c>
      <c r="AK1026" s="25">
        <f>IF(OR(Apresentação!$E$5='Base de Dados e filtragem'!AK$2,Apresentação!$E$5='Base de Dados e filtragem'!G1026),1,0)</f>
        <v>1</v>
      </c>
      <c r="AL1026" s="25">
        <f>IF(OR(Apresentação!$E$6='Base de Dados e filtragem'!AL$2,Apresentação!$E$6='Base de Dados e filtragem'!H1026),1,0)</f>
        <v>1</v>
      </c>
      <c r="AM1026" s="25">
        <f>IF(OR(Apresentação!$I$2='Base de Dados e filtragem'!AM$2,Apresentação!$I$2='Base de Dados e filtragem'!I1026),1,0)</f>
        <v>1</v>
      </c>
      <c r="AN1026" s="25">
        <f>IF(OR(Apresentação!$I$3='Base de Dados e filtragem'!AN$2,Apresentação!$I$3='Base de Dados e filtragem'!J1026),1,0)</f>
        <v>1</v>
      </c>
      <c r="AO1026" s="25">
        <f>IF(OR(Apresentação!$I$4='Base de Dados e filtragem'!AO$2,Apresentação!$I$4='Base de Dados e filtragem'!K1026),1,0)</f>
        <v>1</v>
      </c>
      <c r="AP1026" s="25">
        <f>IF(OR(Apresentação!$I$5='Base de Dados e filtragem'!AP$2,Apresentação!$I$5='Base de Dados e filtragem'!L1026),1,0)</f>
        <v>1</v>
      </c>
      <c r="AQ1026" s="25">
        <f>IF(OR(Apresentação!$I$6='Base de Dados e filtragem'!AQ$2,Apresentação!$I$6='Base de Dados e filtragem'!M1026),1,0)</f>
        <v>1</v>
      </c>
      <c r="AR1026" s="25">
        <v>1</v>
      </c>
      <c r="AS1026" s="25">
        <v>1</v>
      </c>
      <c r="AT1026" s="25">
        <v>1</v>
      </c>
      <c r="AU1026" s="25">
        <v>1</v>
      </c>
      <c r="AV1026" s="25">
        <v>1</v>
      </c>
      <c r="AW1026" s="25">
        <v>1</v>
      </c>
      <c r="AX1026" s="25">
        <v>1</v>
      </c>
      <c r="AY1026" s="25">
        <v>1</v>
      </c>
      <c r="AZ1026" s="25">
        <v>1</v>
      </c>
      <c r="BA1026" s="25">
        <v>1</v>
      </c>
      <c r="BB1026" s="25">
        <v>1</v>
      </c>
      <c r="BC1026" s="25">
        <v>1</v>
      </c>
      <c r="BD1026" s="25">
        <v>1</v>
      </c>
    </row>
    <row r="1027" spans="27:56" x14ac:dyDescent="0.25">
      <c r="AA1027" s="68" t="str">
        <f t="shared" si="61"/>
        <v>Fotos\\.jpg</v>
      </c>
      <c r="AB1027" s="53">
        <f t="shared" si="62"/>
        <v>9.7370983446932818E-4</v>
      </c>
      <c r="AC1027" s="25">
        <f t="shared" si="63"/>
        <v>1027</v>
      </c>
      <c r="AD1027" s="51">
        <f t="shared" si="64"/>
        <v>1</v>
      </c>
      <c r="AE1027" s="25">
        <v>1</v>
      </c>
      <c r="AF1027" s="25">
        <v>1</v>
      </c>
      <c r="AG1027" s="25">
        <v>1</v>
      </c>
      <c r="AH1027" s="25">
        <v>1</v>
      </c>
      <c r="AI1027" s="25">
        <f>IF(OR(Apresentação!$E$3='Base de Dados e filtragem'!AI$2,Apresentação!$E$3='Base de Dados e filtragem'!E1027),1,0)</f>
        <v>1</v>
      </c>
      <c r="AJ1027" s="25">
        <f>IF(OR(Apresentação!$E$4='Base de Dados e filtragem'!AJ$2,Apresentação!$E$4='Base de Dados e filtragem'!F1027),1,0)</f>
        <v>1</v>
      </c>
      <c r="AK1027" s="25">
        <f>IF(OR(Apresentação!$E$5='Base de Dados e filtragem'!AK$2,Apresentação!$E$5='Base de Dados e filtragem'!G1027),1,0)</f>
        <v>1</v>
      </c>
      <c r="AL1027" s="25">
        <f>IF(OR(Apresentação!$E$6='Base de Dados e filtragem'!AL$2,Apresentação!$E$6='Base de Dados e filtragem'!H1027),1,0)</f>
        <v>1</v>
      </c>
      <c r="AM1027" s="25">
        <f>IF(OR(Apresentação!$I$2='Base de Dados e filtragem'!AM$2,Apresentação!$I$2='Base de Dados e filtragem'!I1027),1,0)</f>
        <v>1</v>
      </c>
      <c r="AN1027" s="25">
        <f>IF(OR(Apresentação!$I$3='Base de Dados e filtragem'!AN$2,Apresentação!$I$3='Base de Dados e filtragem'!J1027),1,0)</f>
        <v>1</v>
      </c>
      <c r="AO1027" s="25">
        <f>IF(OR(Apresentação!$I$4='Base de Dados e filtragem'!AO$2,Apresentação!$I$4='Base de Dados e filtragem'!K1027),1,0)</f>
        <v>1</v>
      </c>
      <c r="AP1027" s="25">
        <f>IF(OR(Apresentação!$I$5='Base de Dados e filtragem'!AP$2,Apresentação!$I$5='Base de Dados e filtragem'!L1027),1,0)</f>
        <v>1</v>
      </c>
      <c r="AQ1027" s="25">
        <f>IF(OR(Apresentação!$I$6='Base de Dados e filtragem'!AQ$2,Apresentação!$I$6='Base de Dados e filtragem'!M1027),1,0)</f>
        <v>1</v>
      </c>
      <c r="AR1027" s="25">
        <v>1</v>
      </c>
      <c r="AS1027" s="25">
        <v>1</v>
      </c>
      <c r="AT1027" s="25">
        <v>1</v>
      </c>
      <c r="AU1027" s="25">
        <v>1</v>
      </c>
      <c r="AV1027" s="25">
        <v>1</v>
      </c>
      <c r="AW1027" s="25">
        <v>1</v>
      </c>
      <c r="AX1027" s="25">
        <v>1</v>
      </c>
      <c r="AY1027" s="25">
        <v>1</v>
      </c>
      <c r="AZ1027" s="25">
        <v>1</v>
      </c>
      <c r="BA1027" s="25">
        <v>1</v>
      </c>
      <c r="BB1027" s="25">
        <v>1</v>
      </c>
      <c r="BC1027" s="25">
        <v>1</v>
      </c>
      <c r="BD1027" s="25">
        <v>1</v>
      </c>
    </row>
    <row r="1028" spans="27:56" x14ac:dyDescent="0.25">
      <c r="AA1028" s="68" t="str">
        <f t="shared" ref="AA1028:AA1091" si="65">"Fotos\"&amp;I1028&amp;"\"&amp;A1028&amp;".jpg"</f>
        <v>Fotos\\.jpg</v>
      </c>
      <c r="AB1028" s="53">
        <f t="shared" ref="AB1028:AB1091" si="66">AD1028/AC1028</f>
        <v>9.727626459143969E-4</v>
      </c>
      <c r="AC1028" s="25">
        <f t="shared" ref="AC1028:AC1091" si="67">AC1027+1</f>
        <v>1028</v>
      </c>
      <c r="AD1028" s="51">
        <f t="shared" ref="AD1028:AD1091" si="68">PRODUCT(AE1028:BD1028)</f>
        <v>1</v>
      </c>
      <c r="AE1028" s="25">
        <v>1</v>
      </c>
      <c r="AF1028" s="25">
        <v>1</v>
      </c>
      <c r="AG1028" s="25">
        <v>1</v>
      </c>
      <c r="AH1028" s="25">
        <v>1</v>
      </c>
      <c r="AI1028" s="25">
        <f>IF(OR(Apresentação!$E$3='Base de Dados e filtragem'!AI$2,Apresentação!$E$3='Base de Dados e filtragem'!E1028),1,0)</f>
        <v>1</v>
      </c>
      <c r="AJ1028" s="25">
        <f>IF(OR(Apresentação!$E$4='Base de Dados e filtragem'!AJ$2,Apresentação!$E$4='Base de Dados e filtragem'!F1028),1,0)</f>
        <v>1</v>
      </c>
      <c r="AK1028" s="25">
        <f>IF(OR(Apresentação!$E$5='Base de Dados e filtragem'!AK$2,Apresentação!$E$5='Base de Dados e filtragem'!G1028),1,0)</f>
        <v>1</v>
      </c>
      <c r="AL1028" s="25">
        <f>IF(OR(Apresentação!$E$6='Base de Dados e filtragem'!AL$2,Apresentação!$E$6='Base de Dados e filtragem'!H1028),1,0)</f>
        <v>1</v>
      </c>
      <c r="AM1028" s="25">
        <f>IF(OR(Apresentação!$I$2='Base de Dados e filtragem'!AM$2,Apresentação!$I$2='Base de Dados e filtragem'!I1028),1,0)</f>
        <v>1</v>
      </c>
      <c r="AN1028" s="25">
        <f>IF(OR(Apresentação!$I$3='Base de Dados e filtragem'!AN$2,Apresentação!$I$3='Base de Dados e filtragem'!J1028),1,0)</f>
        <v>1</v>
      </c>
      <c r="AO1028" s="25">
        <f>IF(OR(Apresentação!$I$4='Base de Dados e filtragem'!AO$2,Apresentação!$I$4='Base de Dados e filtragem'!K1028),1,0)</f>
        <v>1</v>
      </c>
      <c r="AP1028" s="25">
        <f>IF(OR(Apresentação!$I$5='Base de Dados e filtragem'!AP$2,Apresentação!$I$5='Base de Dados e filtragem'!L1028),1,0)</f>
        <v>1</v>
      </c>
      <c r="AQ1028" s="25">
        <f>IF(OR(Apresentação!$I$6='Base de Dados e filtragem'!AQ$2,Apresentação!$I$6='Base de Dados e filtragem'!M1028),1,0)</f>
        <v>1</v>
      </c>
      <c r="AR1028" s="25">
        <v>1</v>
      </c>
      <c r="AS1028" s="25">
        <v>1</v>
      </c>
      <c r="AT1028" s="25">
        <v>1</v>
      </c>
      <c r="AU1028" s="25">
        <v>1</v>
      </c>
      <c r="AV1028" s="25">
        <v>1</v>
      </c>
      <c r="AW1028" s="25">
        <v>1</v>
      </c>
      <c r="AX1028" s="25">
        <v>1</v>
      </c>
      <c r="AY1028" s="25">
        <v>1</v>
      </c>
      <c r="AZ1028" s="25">
        <v>1</v>
      </c>
      <c r="BA1028" s="25">
        <v>1</v>
      </c>
      <c r="BB1028" s="25">
        <v>1</v>
      </c>
      <c r="BC1028" s="25">
        <v>1</v>
      </c>
      <c r="BD1028" s="25">
        <v>1</v>
      </c>
    </row>
    <row r="1029" spans="27:56" x14ac:dyDescent="0.25">
      <c r="AA1029" s="68" t="str">
        <f t="shared" si="65"/>
        <v>Fotos\\.jpg</v>
      </c>
      <c r="AB1029" s="53">
        <f t="shared" si="66"/>
        <v>9.7181729834791054E-4</v>
      </c>
      <c r="AC1029" s="25">
        <f t="shared" si="67"/>
        <v>1029</v>
      </c>
      <c r="AD1029" s="51">
        <f t="shared" si="68"/>
        <v>1</v>
      </c>
      <c r="AE1029" s="25">
        <v>1</v>
      </c>
      <c r="AF1029" s="25">
        <v>1</v>
      </c>
      <c r="AG1029" s="25">
        <v>1</v>
      </c>
      <c r="AH1029" s="25">
        <v>1</v>
      </c>
      <c r="AI1029" s="25">
        <f>IF(OR(Apresentação!$E$3='Base de Dados e filtragem'!AI$2,Apresentação!$E$3='Base de Dados e filtragem'!E1029),1,0)</f>
        <v>1</v>
      </c>
      <c r="AJ1029" s="25">
        <f>IF(OR(Apresentação!$E$4='Base de Dados e filtragem'!AJ$2,Apresentação!$E$4='Base de Dados e filtragem'!F1029),1,0)</f>
        <v>1</v>
      </c>
      <c r="AK1029" s="25">
        <f>IF(OR(Apresentação!$E$5='Base de Dados e filtragem'!AK$2,Apresentação!$E$5='Base de Dados e filtragem'!G1029),1,0)</f>
        <v>1</v>
      </c>
      <c r="AL1029" s="25">
        <f>IF(OR(Apresentação!$E$6='Base de Dados e filtragem'!AL$2,Apresentação!$E$6='Base de Dados e filtragem'!H1029),1,0)</f>
        <v>1</v>
      </c>
      <c r="AM1029" s="25">
        <f>IF(OR(Apresentação!$I$2='Base de Dados e filtragem'!AM$2,Apresentação!$I$2='Base de Dados e filtragem'!I1029),1,0)</f>
        <v>1</v>
      </c>
      <c r="AN1029" s="25">
        <f>IF(OR(Apresentação!$I$3='Base de Dados e filtragem'!AN$2,Apresentação!$I$3='Base de Dados e filtragem'!J1029),1,0)</f>
        <v>1</v>
      </c>
      <c r="AO1029" s="25">
        <f>IF(OR(Apresentação!$I$4='Base de Dados e filtragem'!AO$2,Apresentação!$I$4='Base de Dados e filtragem'!K1029),1,0)</f>
        <v>1</v>
      </c>
      <c r="AP1029" s="25">
        <f>IF(OR(Apresentação!$I$5='Base de Dados e filtragem'!AP$2,Apresentação!$I$5='Base de Dados e filtragem'!L1029),1,0)</f>
        <v>1</v>
      </c>
      <c r="AQ1029" s="25">
        <f>IF(OR(Apresentação!$I$6='Base de Dados e filtragem'!AQ$2,Apresentação!$I$6='Base de Dados e filtragem'!M1029),1,0)</f>
        <v>1</v>
      </c>
      <c r="AR1029" s="25">
        <v>1</v>
      </c>
      <c r="AS1029" s="25">
        <v>1</v>
      </c>
      <c r="AT1029" s="25">
        <v>1</v>
      </c>
      <c r="AU1029" s="25">
        <v>1</v>
      </c>
      <c r="AV1029" s="25">
        <v>1</v>
      </c>
      <c r="AW1029" s="25">
        <v>1</v>
      </c>
      <c r="AX1029" s="25">
        <v>1</v>
      </c>
      <c r="AY1029" s="25">
        <v>1</v>
      </c>
      <c r="AZ1029" s="25">
        <v>1</v>
      </c>
      <c r="BA1029" s="25">
        <v>1</v>
      </c>
      <c r="BB1029" s="25">
        <v>1</v>
      </c>
      <c r="BC1029" s="25">
        <v>1</v>
      </c>
      <c r="BD1029" s="25">
        <v>1</v>
      </c>
    </row>
    <row r="1030" spans="27:56" x14ac:dyDescent="0.25">
      <c r="AA1030" s="68" t="str">
        <f t="shared" si="65"/>
        <v>Fotos\\.jpg</v>
      </c>
      <c r="AB1030" s="53">
        <f t="shared" si="66"/>
        <v>9.7087378640776695E-4</v>
      </c>
      <c r="AC1030" s="25">
        <f t="shared" si="67"/>
        <v>1030</v>
      </c>
      <c r="AD1030" s="51">
        <f t="shared" si="68"/>
        <v>1</v>
      </c>
      <c r="AE1030" s="25">
        <v>1</v>
      </c>
      <c r="AF1030" s="25">
        <v>1</v>
      </c>
      <c r="AG1030" s="25">
        <v>1</v>
      </c>
      <c r="AH1030" s="25">
        <v>1</v>
      </c>
      <c r="AI1030" s="25">
        <f>IF(OR(Apresentação!$E$3='Base de Dados e filtragem'!AI$2,Apresentação!$E$3='Base de Dados e filtragem'!E1030),1,0)</f>
        <v>1</v>
      </c>
      <c r="AJ1030" s="25">
        <f>IF(OR(Apresentação!$E$4='Base de Dados e filtragem'!AJ$2,Apresentação!$E$4='Base de Dados e filtragem'!F1030),1,0)</f>
        <v>1</v>
      </c>
      <c r="AK1030" s="25">
        <f>IF(OR(Apresentação!$E$5='Base de Dados e filtragem'!AK$2,Apresentação!$E$5='Base de Dados e filtragem'!G1030),1,0)</f>
        <v>1</v>
      </c>
      <c r="AL1030" s="25">
        <f>IF(OR(Apresentação!$E$6='Base de Dados e filtragem'!AL$2,Apresentação!$E$6='Base de Dados e filtragem'!H1030),1,0)</f>
        <v>1</v>
      </c>
      <c r="AM1030" s="25">
        <f>IF(OR(Apresentação!$I$2='Base de Dados e filtragem'!AM$2,Apresentação!$I$2='Base de Dados e filtragem'!I1030),1,0)</f>
        <v>1</v>
      </c>
      <c r="AN1030" s="25">
        <f>IF(OR(Apresentação!$I$3='Base de Dados e filtragem'!AN$2,Apresentação!$I$3='Base de Dados e filtragem'!J1030),1,0)</f>
        <v>1</v>
      </c>
      <c r="AO1030" s="25">
        <f>IF(OR(Apresentação!$I$4='Base de Dados e filtragem'!AO$2,Apresentação!$I$4='Base de Dados e filtragem'!K1030),1,0)</f>
        <v>1</v>
      </c>
      <c r="AP1030" s="25">
        <f>IF(OR(Apresentação!$I$5='Base de Dados e filtragem'!AP$2,Apresentação!$I$5='Base de Dados e filtragem'!L1030),1,0)</f>
        <v>1</v>
      </c>
      <c r="AQ1030" s="25">
        <f>IF(OR(Apresentação!$I$6='Base de Dados e filtragem'!AQ$2,Apresentação!$I$6='Base de Dados e filtragem'!M1030),1,0)</f>
        <v>1</v>
      </c>
      <c r="AR1030" s="25">
        <v>1</v>
      </c>
      <c r="AS1030" s="25">
        <v>1</v>
      </c>
      <c r="AT1030" s="25">
        <v>1</v>
      </c>
      <c r="AU1030" s="25">
        <v>1</v>
      </c>
      <c r="AV1030" s="25">
        <v>1</v>
      </c>
      <c r="AW1030" s="25">
        <v>1</v>
      </c>
      <c r="AX1030" s="25">
        <v>1</v>
      </c>
      <c r="AY1030" s="25">
        <v>1</v>
      </c>
      <c r="AZ1030" s="25">
        <v>1</v>
      </c>
      <c r="BA1030" s="25">
        <v>1</v>
      </c>
      <c r="BB1030" s="25">
        <v>1</v>
      </c>
      <c r="BC1030" s="25">
        <v>1</v>
      </c>
      <c r="BD1030" s="25">
        <v>1</v>
      </c>
    </row>
    <row r="1031" spans="27:56" x14ac:dyDescent="0.25">
      <c r="AA1031" s="68" t="str">
        <f t="shared" si="65"/>
        <v>Fotos\\.jpg</v>
      </c>
      <c r="AB1031" s="53">
        <f t="shared" si="66"/>
        <v>9.6993210475266732E-4</v>
      </c>
      <c r="AC1031" s="25">
        <f t="shared" si="67"/>
        <v>1031</v>
      </c>
      <c r="AD1031" s="51">
        <f t="shared" si="68"/>
        <v>1</v>
      </c>
      <c r="AE1031" s="25">
        <v>1</v>
      </c>
      <c r="AF1031" s="25">
        <v>1</v>
      </c>
      <c r="AG1031" s="25">
        <v>1</v>
      </c>
      <c r="AH1031" s="25">
        <v>1</v>
      </c>
      <c r="AI1031" s="25">
        <f>IF(OR(Apresentação!$E$3='Base de Dados e filtragem'!AI$2,Apresentação!$E$3='Base de Dados e filtragem'!E1031),1,0)</f>
        <v>1</v>
      </c>
      <c r="AJ1031" s="25">
        <f>IF(OR(Apresentação!$E$4='Base de Dados e filtragem'!AJ$2,Apresentação!$E$4='Base de Dados e filtragem'!F1031),1,0)</f>
        <v>1</v>
      </c>
      <c r="AK1031" s="25">
        <f>IF(OR(Apresentação!$E$5='Base de Dados e filtragem'!AK$2,Apresentação!$E$5='Base de Dados e filtragem'!G1031),1,0)</f>
        <v>1</v>
      </c>
      <c r="AL1031" s="25">
        <f>IF(OR(Apresentação!$E$6='Base de Dados e filtragem'!AL$2,Apresentação!$E$6='Base de Dados e filtragem'!H1031),1,0)</f>
        <v>1</v>
      </c>
      <c r="AM1031" s="25">
        <f>IF(OR(Apresentação!$I$2='Base de Dados e filtragem'!AM$2,Apresentação!$I$2='Base de Dados e filtragem'!I1031),1,0)</f>
        <v>1</v>
      </c>
      <c r="AN1031" s="25">
        <f>IF(OR(Apresentação!$I$3='Base de Dados e filtragem'!AN$2,Apresentação!$I$3='Base de Dados e filtragem'!J1031),1,0)</f>
        <v>1</v>
      </c>
      <c r="AO1031" s="25">
        <f>IF(OR(Apresentação!$I$4='Base de Dados e filtragem'!AO$2,Apresentação!$I$4='Base de Dados e filtragem'!K1031),1,0)</f>
        <v>1</v>
      </c>
      <c r="AP1031" s="25">
        <f>IF(OR(Apresentação!$I$5='Base de Dados e filtragem'!AP$2,Apresentação!$I$5='Base de Dados e filtragem'!L1031),1,0)</f>
        <v>1</v>
      </c>
      <c r="AQ1031" s="25">
        <f>IF(OR(Apresentação!$I$6='Base de Dados e filtragem'!AQ$2,Apresentação!$I$6='Base de Dados e filtragem'!M1031),1,0)</f>
        <v>1</v>
      </c>
      <c r="AR1031" s="25">
        <v>1</v>
      </c>
      <c r="AS1031" s="25">
        <v>1</v>
      </c>
      <c r="AT1031" s="25">
        <v>1</v>
      </c>
      <c r="AU1031" s="25">
        <v>1</v>
      </c>
      <c r="AV1031" s="25">
        <v>1</v>
      </c>
      <c r="AW1031" s="25">
        <v>1</v>
      </c>
      <c r="AX1031" s="25">
        <v>1</v>
      </c>
      <c r="AY1031" s="25">
        <v>1</v>
      </c>
      <c r="AZ1031" s="25">
        <v>1</v>
      </c>
      <c r="BA1031" s="25">
        <v>1</v>
      </c>
      <c r="BB1031" s="25">
        <v>1</v>
      </c>
      <c r="BC1031" s="25">
        <v>1</v>
      </c>
      <c r="BD1031" s="25">
        <v>1</v>
      </c>
    </row>
    <row r="1032" spans="27:56" x14ac:dyDescent="0.25">
      <c r="AA1032" s="68" t="str">
        <f t="shared" si="65"/>
        <v>Fotos\\.jpg</v>
      </c>
      <c r="AB1032" s="53">
        <f t="shared" si="66"/>
        <v>9.6899224806201549E-4</v>
      </c>
      <c r="AC1032" s="25">
        <f t="shared" si="67"/>
        <v>1032</v>
      </c>
      <c r="AD1032" s="51">
        <f t="shared" si="68"/>
        <v>1</v>
      </c>
      <c r="AE1032" s="25">
        <v>1</v>
      </c>
      <c r="AF1032" s="25">
        <v>1</v>
      </c>
      <c r="AG1032" s="25">
        <v>1</v>
      </c>
      <c r="AH1032" s="25">
        <v>1</v>
      </c>
      <c r="AI1032" s="25">
        <f>IF(OR(Apresentação!$E$3='Base de Dados e filtragem'!AI$2,Apresentação!$E$3='Base de Dados e filtragem'!E1032),1,0)</f>
        <v>1</v>
      </c>
      <c r="AJ1032" s="25">
        <f>IF(OR(Apresentação!$E$4='Base de Dados e filtragem'!AJ$2,Apresentação!$E$4='Base de Dados e filtragem'!F1032),1,0)</f>
        <v>1</v>
      </c>
      <c r="AK1032" s="25">
        <f>IF(OR(Apresentação!$E$5='Base de Dados e filtragem'!AK$2,Apresentação!$E$5='Base de Dados e filtragem'!G1032),1,0)</f>
        <v>1</v>
      </c>
      <c r="AL1032" s="25">
        <f>IF(OR(Apresentação!$E$6='Base de Dados e filtragem'!AL$2,Apresentação!$E$6='Base de Dados e filtragem'!H1032),1,0)</f>
        <v>1</v>
      </c>
      <c r="AM1032" s="25">
        <f>IF(OR(Apresentação!$I$2='Base de Dados e filtragem'!AM$2,Apresentação!$I$2='Base de Dados e filtragem'!I1032),1,0)</f>
        <v>1</v>
      </c>
      <c r="AN1032" s="25">
        <f>IF(OR(Apresentação!$I$3='Base de Dados e filtragem'!AN$2,Apresentação!$I$3='Base de Dados e filtragem'!J1032),1,0)</f>
        <v>1</v>
      </c>
      <c r="AO1032" s="25">
        <f>IF(OR(Apresentação!$I$4='Base de Dados e filtragem'!AO$2,Apresentação!$I$4='Base de Dados e filtragem'!K1032),1,0)</f>
        <v>1</v>
      </c>
      <c r="AP1032" s="25">
        <f>IF(OR(Apresentação!$I$5='Base de Dados e filtragem'!AP$2,Apresentação!$I$5='Base de Dados e filtragem'!L1032),1,0)</f>
        <v>1</v>
      </c>
      <c r="AQ1032" s="25">
        <f>IF(OR(Apresentação!$I$6='Base de Dados e filtragem'!AQ$2,Apresentação!$I$6='Base de Dados e filtragem'!M1032),1,0)</f>
        <v>1</v>
      </c>
      <c r="AR1032" s="25">
        <v>1</v>
      </c>
      <c r="AS1032" s="25">
        <v>1</v>
      </c>
      <c r="AT1032" s="25">
        <v>1</v>
      </c>
      <c r="AU1032" s="25">
        <v>1</v>
      </c>
      <c r="AV1032" s="25">
        <v>1</v>
      </c>
      <c r="AW1032" s="25">
        <v>1</v>
      </c>
      <c r="AX1032" s="25">
        <v>1</v>
      </c>
      <c r="AY1032" s="25">
        <v>1</v>
      </c>
      <c r="AZ1032" s="25">
        <v>1</v>
      </c>
      <c r="BA1032" s="25">
        <v>1</v>
      </c>
      <c r="BB1032" s="25">
        <v>1</v>
      </c>
      <c r="BC1032" s="25">
        <v>1</v>
      </c>
      <c r="BD1032" s="25">
        <v>1</v>
      </c>
    </row>
    <row r="1033" spans="27:56" x14ac:dyDescent="0.25">
      <c r="AA1033" s="68" t="str">
        <f t="shared" si="65"/>
        <v>Fotos\\.jpg</v>
      </c>
      <c r="AB1033" s="53">
        <f t="shared" si="66"/>
        <v>9.6805421103581804E-4</v>
      </c>
      <c r="AC1033" s="25">
        <f t="shared" si="67"/>
        <v>1033</v>
      </c>
      <c r="AD1033" s="51">
        <f t="shared" si="68"/>
        <v>1</v>
      </c>
      <c r="AE1033" s="25">
        <v>1</v>
      </c>
      <c r="AF1033" s="25">
        <v>1</v>
      </c>
      <c r="AG1033" s="25">
        <v>1</v>
      </c>
      <c r="AH1033" s="25">
        <v>1</v>
      </c>
      <c r="AI1033" s="25">
        <f>IF(OR(Apresentação!$E$3='Base de Dados e filtragem'!AI$2,Apresentação!$E$3='Base de Dados e filtragem'!E1033),1,0)</f>
        <v>1</v>
      </c>
      <c r="AJ1033" s="25">
        <f>IF(OR(Apresentação!$E$4='Base de Dados e filtragem'!AJ$2,Apresentação!$E$4='Base de Dados e filtragem'!F1033),1,0)</f>
        <v>1</v>
      </c>
      <c r="AK1033" s="25">
        <f>IF(OR(Apresentação!$E$5='Base de Dados e filtragem'!AK$2,Apresentação!$E$5='Base de Dados e filtragem'!G1033),1,0)</f>
        <v>1</v>
      </c>
      <c r="AL1033" s="25">
        <f>IF(OR(Apresentação!$E$6='Base de Dados e filtragem'!AL$2,Apresentação!$E$6='Base de Dados e filtragem'!H1033),1,0)</f>
        <v>1</v>
      </c>
      <c r="AM1033" s="25">
        <f>IF(OR(Apresentação!$I$2='Base de Dados e filtragem'!AM$2,Apresentação!$I$2='Base de Dados e filtragem'!I1033),1,0)</f>
        <v>1</v>
      </c>
      <c r="AN1033" s="25">
        <f>IF(OR(Apresentação!$I$3='Base de Dados e filtragem'!AN$2,Apresentação!$I$3='Base de Dados e filtragem'!J1033),1,0)</f>
        <v>1</v>
      </c>
      <c r="AO1033" s="25">
        <f>IF(OR(Apresentação!$I$4='Base de Dados e filtragem'!AO$2,Apresentação!$I$4='Base de Dados e filtragem'!K1033),1,0)</f>
        <v>1</v>
      </c>
      <c r="AP1033" s="25">
        <f>IF(OR(Apresentação!$I$5='Base de Dados e filtragem'!AP$2,Apresentação!$I$5='Base de Dados e filtragem'!L1033),1,0)</f>
        <v>1</v>
      </c>
      <c r="AQ1033" s="25">
        <f>IF(OR(Apresentação!$I$6='Base de Dados e filtragem'!AQ$2,Apresentação!$I$6='Base de Dados e filtragem'!M1033),1,0)</f>
        <v>1</v>
      </c>
      <c r="AR1033" s="25">
        <v>1</v>
      </c>
      <c r="AS1033" s="25">
        <v>1</v>
      </c>
      <c r="AT1033" s="25">
        <v>1</v>
      </c>
      <c r="AU1033" s="25">
        <v>1</v>
      </c>
      <c r="AV1033" s="25">
        <v>1</v>
      </c>
      <c r="AW1033" s="25">
        <v>1</v>
      </c>
      <c r="AX1033" s="25">
        <v>1</v>
      </c>
      <c r="AY1033" s="25">
        <v>1</v>
      </c>
      <c r="AZ1033" s="25">
        <v>1</v>
      </c>
      <c r="BA1033" s="25">
        <v>1</v>
      </c>
      <c r="BB1033" s="25">
        <v>1</v>
      </c>
      <c r="BC1033" s="25">
        <v>1</v>
      </c>
      <c r="BD1033" s="25">
        <v>1</v>
      </c>
    </row>
    <row r="1034" spans="27:56" x14ac:dyDescent="0.25">
      <c r="AA1034" s="68" t="str">
        <f t="shared" si="65"/>
        <v>Fotos\\.jpg</v>
      </c>
      <c r="AB1034" s="53">
        <f t="shared" si="66"/>
        <v>9.6711798839458415E-4</v>
      </c>
      <c r="AC1034" s="25">
        <f t="shared" si="67"/>
        <v>1034</v>
      </c>
      <c r="AD1034" s="51">
        <f t="shared" si="68"/>
        <v>1</v>
      </c>
      <c r="AE1034" s="25">
        <v>1</v>
      </c>
      <c r="AF1034" s="25">
        <v>1</v>
      </c>
      <c r="AG1034" s="25">
        <v>1</v>
      </c>
      <c r="AH1034" s="25">
        <v>1</v>
      </c>
      <c r="AI1034" s="25">
        <f>IF(OR(Apresentação!$E$3='Base de Dados e filtragem'!AI$2,Apresentação!$E$3='Base de Dados e filtragem'!E1034),1,0)</f>
        <v>1</v>
      </c>
      <c r="AJ1034" s="25">
        <f>IF(OR(Apresentação!$E$4='Base de Dados e filtragem'!AJ$2,Apresentação!$E$4='Base de Dados e filtragem'!F1034),1,0)</f>
        <v>1</v>
      </c>
      <c r="AK1034" s="25">
        <f>IF(OR(Apresentação!$E$5='Base de Dados e filtragem'!AK$2,Apresentação!$E$5='Base de Dados e filtragem'!G1034),1,0)</f>
        <v>1</v>
      </c>
      <c r="AL1034" s="25">
        <f>IF(OR(Apresentação!$E$6='Base de Dados e filtragem'!AL$2,Apresentação!$E$6='Base de Dados e filtragem'!H1034),1,0)</f>
        <v>1</v>
      </c>
      <c r="AM1034" s="25">
        <f>IF(OR(Apresentação!$I$2='Base de Dados e filtragem'!AM$2,Apresentação!$I$2='Base de Dados e filtragem'!I1034),1,0)</f>
        <v>1</v>
      </c>
      <c r="AN1034" s="25">
        <f>IF(OR(Apresentação!$I$3='Base de Dados e filtragem'!AN$2,Apresentação!$I$3='Base de Dados e filtragem'!J1034),1,0)</f>
        <v>1</v>
      </c>
      <c r="AO1034" s="25">
        <f>IF(OR(Apresentação!$I$4='Base de Dados e filtragem'!AO$2,Apresentação!$I$4='Base de Dados e filtragem'!K1034),1,0)</f>
        <v>1</v>
      </c>
      <c r="AP1034" s="25">
        <f>IF(OR(Apresentação!$I$5='Base de Dados e filtragem'!AP$2,Apresentação!$I$5='Base de Dados e filtragem'!L1034),1,0)</f>
        <v>1</v>
      </c>
      <c r="AQ1034" s="25">
        <f>IF(OR(Apresentação!$I$6='Base de Dados e filtragem'!AQ$2,Apresentação!$I$6='Base de Dados e filtragem'!M1034),1,0)</f>
        <v>1</v>
      </c>
      <c r="AR1034" s="25">
        <v>1</v>
      </c>
      <c r="AS1034" s="25">
        <v>1</v>
      </c>
      <c r="AT1034" s="25">
        <v>1</v>
      </c>
      <c r="AU1034" s="25">
        <v>1</v>
      </c>
      <c r="AV1034" s="25">
        <v>1</v>
      </c>
      <c r="AW1034" s="25">
        <v>1</v>
      </c>
      <c r="AX1034" s="25">
        <v>1</v>
      </c>
      <c r="AY1034" s="25">
        <v>1</v>
      </c>
      <c r="AZ1034" s="25">
        <v>1</v>
      </c>
      <c r="BA1034" s="25">
        <v>1</v>
      </c>
      <c r="BB1034" s="25">
        <v>1</v>
      </c>
      <c r="BC1034" s="25">
        <v>1</v>
      </c>
      <c r="BD1034" s="25">
        <v>1</v>
      </c>
    </row>
    <row r="1035" spans="27:56" x14ac:dyDescent="0.25">
      <c r="AA1035" s="68" t="str">
        <f t="shared" si="65"/>
        <v>Fotos\\.jpg</v>
      </c>
      <c r="AB1035" s="53">
        <f t="shared" si="66"/>
        <v>9.6618357487922703E-4</v>
      </c>
      <c r="AC1035" s="25">
        <f t="shared" si="67"/>
        <v>1035</v>
      </c>
      <c r="AD1035" s="51">
        <f t="shared" si="68"/>
        <v>1</v>
      </c>
      <c r="AE1035" s="25">
        <v>1</v>
      </c>
      <c r="AF1035" s="25">
        <v>1</v>
      </c>
      <c r="AG1035" s="25">
        <v>1</v>
      </c>
      <c r="AH1035" s="25">
        <v>1</v>
      </c>
      <c r="AI1035" s="25">
        <f>IF(OR(Apresentação!$E$3='Base de Dados e filtragem'!AI$2,Apresentação!$E$3='Base de Dados e filtragem'!E1035),1,0)</f>
        <v>1</v>
      </c>
      <c r="AJ1035" s="25">
        <f>IF(OR(Apresentação!$E$4='Base de Dados e filtragem'!AJ$2,Apresentação!$E$4='Base de Dados e filtragem'!F1035),1,0)</f>
        <v>1</v>
      </c>
      <c r="AK1035" s="25">
        <f>IF(OR(Apresentação!$E$5='Base de Dados e filtragem'!AK$2,Apresentação!$E$5='Base de Dados e filtragem'!G1035),1,0)</f>
        <v>1</v>
      </c>
      <c r="AL1035" s="25">
        <f>IF(OR(Apresentação!$E$6='Base de Dados e filtragem'!AL$2,Apresentação!$E$6='Base de Dados e filtragem'!H1035),1,0)</f>
        <v>1</v>
      </c>
      <c r="AM1035" s="25">
        <f>IF(OR(Apresentação!$I$2='Base de Dados e filtragem'!AM$2,Apresentação!$I$2='Base de Dados e filtragem'!I1035),1,0)</f>
        <v>1</v>
      </c>
      <c r="AN1035" s="25">
        <f>IF(OR(Apresentação!$I$3='Base de Dados e filtragem'!AN$2,Apresentação!$I$3='Base de Dados e filtragem'!J1035),1,0)</f>
        <v>1</v>
      </c>
      <c r="AO1035" s="25">
        <f>IF(OR(Apresentação!$I$4='Base de Dados e filtragem'!AO$2,Apresentação!$I$4='Base de Dados e filtragem'!K1035),1,0)</f>
        <v>1</v>
      </c>
      <c r="AP1035" s="25">
        <f>IF(OR(Apresentação!$I$5='Base de Dados e filtragem'!AP$2,Apresentação!$I$5='Base de Dados e filtragem'!L1035),1,0)</f>
        <v>1</v>
      </c>
      <c r="AQ1035" s="25">
        <f>IF(OR(Apresentação!$I$6='Base de Dados e filtragem'!AQ$2,Apresentação!$I$6='Base de Dados e filtragem'!M1035),1,0)</f>
        <v>1</v>
      </c>
      <c r="AR1035" s="25">
        <v>1</v>
      </c>
      <c r="AS1035" s="25">
        <v>1</v>
      </c>
      <c r="AT1035" s="25">
        <v>1</v>
      </c>
      <c r="AU1035" s="25">
        <v>1</v>
      </c>
      <c r="AV1035" s="25">
        <v>1</v>
      </c>
      <c r="AW1035" s="25">
        <v>1</v>
      </c>
      <c r="AX1035" s="25">
        <v>1</v>
      </c>
      <c r="AY1035" s="25">
        <v>1</v>
      </c>
      <c r="AZ1035" s="25">
        <v>1</v>
      </c>
      <c r="BA1035" s="25">
        <v>1</v>
      </c>
      <c r="BB1035" s="25">
        <v>1</v>
      </c>
      <c r="BC1035" s="25">
        <v>1</v>
      </c>
      <c r="BD1035" s="25">
        <v>1</v>
      </c>
    </row>
    <row r="1036" spans="27:56" x14ac:dyDescent="0.25">
      <c r="AA1036" s="68" t="str">
        <f t="shared" si="65"/>
        <v>Fotos\\.jpg</v>
      </c>
      <c r="AB1036" s="53">
        <f t="shared" si="66"/>
        <v>9.6525096525096527E-4</v>
      </c>
      <c r="AC1036" s="25">
        <f t="shared" si="67"/>
        <v>1036</v>
      </c>
      <c r="AD1036" s="51">
        <f t="shared" si="68"/>
        <v>1</v>
      </c>
      <c r="AE1036" s="25">
        <v>1</v>
      </c>
      <c r="AF1036" s="25">
        <v>1</v>
      </c>
      <c r="AG1036" s="25">
        <v>1</v>
      </c>
      <c r="AH1036" s="25">
        <v>1</v>
      </c>
      <c r="AI1036" s="25">
        <f>IF(OR(Apresentação!$E$3='Base de Dados e filtragem'!AI$2,Apresentação!$E$3='Base de Dados e filtragem'!E1036),1,0)</f>
        <v>1</v>
      </c>
      <c r="AJ1036" s="25">
        <f>IF(OR(Apresentação!$E$4='Base de Dados e filtragem'!AJ$2,Apresentação!$E$4='Base de Dados e filtragem'!F1036),1,0)</f>
        <v>1</v>
      </c>
      <c r="AK1036" s="25">
        <f>IF(OR(Apresentação!$E$5='Base de Dados e filtragem'!AK$2,Apresentação!$E$5='Base de Dados e filtragem'!G1036),1,0)</f>
        <v>1</v>
      </c>
      <c r="AL1036" s="25">
        <f>IF(OR(Apresentação!$E$6='Base de Dados e filtragem'!AL$2,Apresentação!$E$6='Base de Dados e filtragem'!H1036),1,0)</f>
        <v>1</v>
      </c>
      <c r="AM1036" s="25">
        <f>IF(OR(Apresentação!$I$2='Base de Dados e filtragem'!AM$2,Apresentação!$I$2='Base de Dados e filtragem'!I1036),1,0)</f>
        <v>1</v>
      </c>
      <c r="AN1036" s="25">
        <f>IF(OR(Apresentação!$I$3='Base de Dados e filtragem'!AN$2,Apresentação!$I$3='Base de Dados e filtragem'!J1036),1,0)</f>
        <v>1</v>
      </c>
      <c r="AO1036" s="25">
        <f>IF(OR(Apresentação!$I$4='Base de Dados e filtragem'!AO$2,Apresentação!$I$4='Base de Dados e filtragem'!K1036),1,0)</f>
        <v>1</v>
      </c>
      <c r="AP1036" s="25">
        <f>IF(OR(Apresentação!$I$5='Base de Dados e filtragem'!AP$2,Apresentação!$I$5='Base de Dados e filtragem'!L1036),1,0)</f>
        <v>1</v>
      </c>
      <c r="AQ1036" s="25">
        <f>IF(OR(Apresentação!$I$6='Base de Dados e filtragem'!AQ$2,Apresentação!$I$6='Base de Dados e filtragem'!M1036),1,0)</f>
        <v>1</v>
      </c>
      <c r="AR1036" s="25">
        <v>1</v>
      </c>
      <c r="AS1036" s="25">
        <v>1</v>
      </c>
      <c r="AT1036" s="25">
        <v>1</v>
      </c>
      <c r="AU1036" s="25">
        <v>1</v>
      </c>
      <c r="AV1036" s="25">
        <v>1</v>
      </c>
      <c r="AW1036" s="25">
        <v>1</v>
      </c>
      <c r="AX1036" s="25">
        <v>1</v>
      </c>
      <c r="AY1036" s="25">
        <v>1</v>
      </c>
      <c r="AZ1036" s="25">
        <v>1</v>
      </c>
      <c r="BA1036" s="25">
        <v>1</v>
      </c>
      <c r="BB1036" s="25">
        <v>1</v>
      </c>
      <c r="BC1036" s="25">
        <v>1</v>
      </c>
      <c r="BD1036" s="25">
        <v>1</v>
      </c>
    </row>
    <row r="1037" spans="27:56" x14ac:dyDescent="0.25">
      <c r="AA1037" s="68" t="str">
        <f t="shared" si="65"/>
        <v>Fotos\\.jpg</v>
      </c>
      <c r="AB1037" s="53">
        <f t="shared" si="66"/>
        <v>9.6432015429122472E-4</v>
      </c>
      <c r="AC1037" s="25">
        <f t="shared" si="67"/>
        <v>1037</v>
      </c>
      <c r="AD1037" s="51">
        <f t="shared" si="68"/>
        <v>1</v>
      </c>
      <c r="AE1037" s="25">
        <v>1</v>
      </c>
      <c r="AF1037" s="25">
        <v>1</v>
      </c>
      <c r="AG1037" s="25">
        <v>1</v>
      </c>
      <c r="AH1037" s="25">
        <v>1</v>
      </c>
      <c r="AI1037" s="25">
        <f>IF(OR(Apresentação!$E$3='Base de Dados e filtragem'!AI$2,Apresentação!$E$3='Base de Dados e filtragem'!E1037),1,0)</f>
        <v>1</v>
      </c>
      <c r="AJ1037" s="25">
        <f>IF(OR(Apresentação!$E$4='Base de Dados e filtragem'!AJ$2,Apresentação!$E$4='Base de Dados e filtragem'!F1037),1,0)</f>
        <v>1</v>
      </c>
      <c r="AK1037" s="25">
        <f>IF(OR(Apresentação!$E$5='Base de Dados e filtragem'!AK$2,Apresentação!$E$5='Base de Dados e filtragem'!G1037),1,0)</f>
        <v>1</v>
      </c>
      <c r="AL1037" s="25">
        <f>IF(OR(Apresentação!$E$6='Base de Dados e filtragem'!AL$2,Apresentação!$E$6='Base de Dados e filtragem'!H1037),1,0)</f>
        <v>1</v>
      </c>
      <c r="AM1037" s="25">
        <f>IF(OR(Apresentação!$I$2='Base de Dados e filtragem'!AM$2,Apresentação!$I$2='Base de Dados e filtragem'!I1037),1,0)</f>
        <v>1</v>
      </c>
      <c r="AN1037" s="25">
        <f>IF(OR(Apresentação!$I$3='Base de Dados e filtragem'!AN$2,Apresentação!$I$3='Base de Dados e filtragem'!J1037),1,0)</f>
        <v>1</v>
      </c>
      <c r="AO1037" s="25">
        <f>IF(OR(Apresentação!$I$4='Base de Dados e filtragem'!AO$2,Apresentação!$I$4='Base de Dados e filtragem'!K1037),1,0)</f>
        <v>1</v>
      </c>
      <c r="AP1037" s="25">
        <f>IF(OR(Apresentação!$I$5='Base de Dados e filtragem'!AP$2,Apresentação!$I$5='Base de Dados e filtragem'!L1037),1,0)</f>
        <v>1</v>
      </c>
      <c r="AQ1037" s="25">
        <f>IF(OR(Apresentação!$I$6='Base de Dados e filtragem'!AQ$2,Apresentação!$I$6='Base de Dados e filtragem'!M1037),1,0)</f>
        <v>1</v>
      </c>
      <c r="AR1037" s="25">
        <v>1</v>
      </c>
      <c r="AS1037" s="25">
        <v>1</v>
      </c>
      <c r="AT1037" s="25">
        <v>1</v>
      </c>
      <c r="AU1037" s="25">
        <v>1</v>
      </c>
      <c r="AV1037" s="25">
        <v>1</v>
      </c>
      <c r="AW1037" s="25">
        <v>1</v>
      </c>
      <c r="AX1037" s="25">
        <v>1</v>
      </c>
      <c r="AY1037" s="25">
        <v>1</v>
      </c>
      <c r="AZ1037" s="25">
        <v>1</v>
      </c>
      <c r="BA1037" s="25">
        <v>1</v>
      </c>
      <c r="BB1037" s="25">
        <v>1</v>
      </c>
      <c r="BC1037" s="25">
        <v>1</v>
      </c>
      <c r="BD1037" s="25">
        <v>1</v>
      </c>
    </row>
    <row r="1038" spans="27:56" x14ac:dyDescent="0.25">
      <c r="AA1038" s="68" t="str">
        <f t="shared" si="65"/>
        <v>Fotos\\.jpg</v>
      </c>
      <c r="AB1038" s="53">
        <f t="shared" si="66"/>
        <v>9.6339113680154141E-4</v>
      </c>
      <c r="AC1038" s="25">
        <f t="shared" si="67"/>
        <v>1038</v>
      </c>
      <c r="AD1038" s="51">
        <f t="shared" si="68"/>
        <v>1</v>
      </c>
      <c r="AE1038" s="25">
        <v>1</v>
      </c>
      <c r="AF1038" s="25">
        <v>1</v>
      </c>
      <c r="AG1038" s="25">
        <v>1</v>
      </c>
      <c r="AH1038" s="25">
        <v>1</v>
      </c>
      <c r="AI1038" s="25">
        <f>IF(OR(Apresentação!$E$3='Base de Dados e filtragem'!AI$2,Apresentação!$E$3='Base de Dados e filtragem'!E1038),1,0)</f>
        <v>1</v>
      </c>
      <c r="AJ1038" s="25">
        <f>IF(OR(Apresentação!$E$4='Base de Dados e filtragem'!AJ$2,Apresentação!$E$4='Base de Dados e filtragem'!F1038),1,0)</f>
        <v>1</v>
      </c>
      <c r="AK1038" s="25">
        <f>IF(OR(Apresentação!$E$5='Base de Dados e filtragem'!AK$2,Apresentação!$E$5='Base de Dados e filtragem'!G1038),1,0)</f>
        <v>1</v>
      </c>
      <c r="AL1038" s="25">
        <f>IF(OR(Apresentação!$E$6='Base de Dados e filtragem'!AL$2,Apresentação!$E$6='Base de Dados e filtragem'!H1038),1,0)</f>
        <v>1</v>
      </c>
      <c r="AM1038" s="25">
        <f>IF(OR(Apresentação!$I$2='Base de Dados e filtragem'!AM$2,Apresentação!$I$2='Base de Dados e filtragem'!I1038),1,0)</f>
        <v>1</v>
      </c>
      <c r="AN1038" s="25">
        <f>IF(OR(Apresentação!$I$3='Base de Dados e filtragem'!AN$2,Apresentação!$I$3='Base de Dados e filtragem'!J1038),1,0)</f>
        <v>1</v>
      </c>
      <c r="AO1038" s="25">
        <f>IF(OR(Apresentação!$I$4='Base de Dados e filtragem'!AO$2,Apresentação!$I$4='Base de Dados e filtragem'!K1038),1,0)</f>
        <v>1</v>
      </c>
      <c r="AP1038" s="25">
        <f>IF(OR(Apresentação!$I$5='Base de Dados e filtragem'!AP$2,Apresentação!$I$5='Base de Dados e filtragem'!L1038),1,0)</f>
        <v>1</v>
      </c>
      <c r="AQ1038" s="25">
        <f>IF(OR(Apresentação!$I$6='Base de Dados e filtragem'!AQ$2,Apresentação!$I$6='Base de Dados e filtragem'!M1038),1,0)</f>
        <v>1</v>
      </c>
      <c r="AR1038" s="25">
        <v>1</v>
      </c>
      <c r="AS1038" s="25">
        <v>1</v>
      </c>
      <c r="AT1038" s="25">
        <v>1</v>
      </c>
      <c r="AU1038" s="25">
        <v>1</v>
      </c>
      <c r="AV1038" s="25">
        <v>1</v>
      </c>
      <c r="AW1038" s="25">
        <v>1</v>
      </c>
      <c r="AX1038" s="25">
        <v>1</v>
      </c>
      <c r="AY1038" s="25">
        <v>1</v>
      </c>
      <c r="AZ1038" s="25">
        <v>1</v>
      </c>
      <c r="BA1038" s="25">
        <v>1</v>
      </c>
      <c r="BB1038" s="25">
        <v>1</v>
      </c>
      <c r="BC1038" s="25">
        <v>1</v>
      </c>
      <c r="BD1038" s="25">
        <v>1</v>
      </c>
    </row>
    <row r="1039" spans="27:56" x14ac:dyDescent="0.25">
      <c r="AA1039" s="68" t="str">
        <f t="shared" si="65"/>
        <v>Fotos\\.jpg</v>
      </c>
      <c r="AB1039" s="53">
        <f t="shared" si="66"/>
        <v>9.6246390760346492E-4</v>
      </c>
      <c r="AC1039" s="25">
        <f t="shared" si="67"/>
        <v>1039</v>
      </c>
      <c r="AD1039" s="51">
        <f t="shared" si="68"/>
        <v>1</v>
      </c>
      <c r="AE1039" s="25">
        <v>1</v>
      </c>
      <c r="AF1039" s="25">
        <v>1</v>
      </c>
      <c r="AG1039" s="25">
        <v>1</v>
      </c>
      <c r="AH1039" s="25">
        <v>1</v>
      </c>
      <c r="AI1039" s="25">
        <f>IF(OR(Apresentação!$E$3='Base de Dados e filtragem'!AI$2,Apresentação!$E$3='Base de Dados e filtragem'!E1039),1,0)</f>
        <v>1</v>
      </c>
      <c r="AJ1039" s="25">
        <f>IF(OR(Apresentação!$E$4='Base de Dados e filtragem'!AJ$2,Apresentação!$E$4='Base de Dados e filtragem'!F1039),1,0)</f>
        <v>1</v>
      </c>
      <c r="AK1039" s="25">
        <f>IF(OR(Apresentação!$E$5='Base de Dados e filtragem'!AK$2,Apresentação!$E$5='Base de Dados e filtragem'!G1039),1,0)</f>
        <v>1</v>
      </c>
      <c r="AL1039" s="25">
        <f>IF(OR(Apresentação!$E$6='Base de Dados e filtragem'!AL$2,Apresentação!$E$6='Base de Dados e filtragem'!H1039),1,0)</f>
        <v>1</v>
      </c>
      <c r="AM1039" s="25">
        <f>IF(OR(Apresentação!$I$2='Base de Dados e filtragem'!AM$2,Apresentação!$I$2='Base de Dados e filtragem'!I1039),1,0)</f>
        <v>1</v>
      </c>
      <c r="AN1039" s="25">
        <f>IF(OR(Apresentação!$I$3='Base de Dados e filtragem'!AN$2,Apresentação!$I$3='Base de Dados e filtragem'!J1039),1,0)</f>
        <v>1</v>
      </c>
      <c r="AO1039" s="25">
        <f>IF(OR(Apresentação!$I$4='Base de Dados e filtragem'!AO$2,Apresentação!$I$4='Base de Dados e filtragem'!K1039),1,0)</f>
        <v>1</v>
      </c>
      <c r="AP1039" s="25">
        <f>IF(OR(Apresentação!$I$5='Base de Dados e filtragem'!AP$2,Apresentação!$I$5='Base de Dados e filtragem'!L1039),1,0)</f>
        <v>1</v>
      </c>
      <c r="AQ1039" s="25">
        <f>IF(OR(Apresentação!$I$6='Base de Dados e filtragem'!AQ$2,Apresentação!$I$6='Base de Dados e filtragem'!M1039),1,0)</f>
        <v>1</v>
      </c>
      <c r="AR1039" s="25">
        <v>1</v>
      </c>
      <c r="AS1039" s="25">
        <v>1</v>
      </c>
      <c r="AT1039" s="25">
        <v>1</v>
      </c>
      <c r="AU1039" s="25">
        <v>1</v>
      </c>
      <c r="AV1039" s="25">
        <v>1</v>
      </c>
      <c r="AW1039" s="25">
        <v>1</v>
      </c>
      <c r="AX1039" s="25">
        <v>1</v>
      </c>
      <c r="AY1039" s="25">
        <v>1</v>
      </c>
      <c r="AZ1039" s="25">
        <v>1</v>
      </c>
      <c r="BA1039" s="25">
        <v>1</v>
      </c>
      <c r="BB1039" s="25">
        <v>1</v>
      </c>
      <c r="BC1039" s="25">
        <v>1</v>
      </c>
      <c r="BD1039" s="25">
        <v>1</v>
      </c>
    </row>
    <row r="1040" spans="27:56" x14ac:dyDescent="0.25">
      <c r="AA1040" s="68" t="str">
        <f t="shared" si="65"/>
        <v>Fotos\\.jpg</v>
      </c>
      <c r="AB1040" s="53">
        <f t="shared" si="66"/>
        <v>9.6153846153846159E-4</v>
      </c>
      <c r="AC1040" s="25">
        <f t="shared" si="67"/>
        <v>1040</v>
      </c>
      <c r="AD1040" s="51">
        <f t="shared" si="68"/>
        <v>1</v>
      </c>
      <c r="AE1040" s="25">
        <v>1</v>
      </c>
      <c r="AF1040" s="25">
        <v>1</v>
      </c>
      <c r="AG1040" s="25">
        <v>1</v>
      </c>
      <c r="AH1040" s="25">
        <v>1</v>
      </c>
      <c r="AI1040" s="25">
        <f>IF(OR(Apresentação!$E$3='Base de Dados e filtragem'!AI$2,Apresentação!$E$3='Base de Dados e filtragem'!E1040),1,0)</f>
        <v>1</v>
      </c>
      <c r="AJ1040" s="25">
        <f>IF(OR(Apresentação!$E$4='Base de Dados e filtragem'!AJ$2,Apresentação!$E$4='Base de Dados e filtragem'!F1040),1,0)</f>
        <v>1</v>
      </c>
      <c r="AK1040" s="25">
        <f>IF(OR(Apresentação!$E$5='Base de Dados e filtragem'!AK$2,Apresentação!$E$5='Base de Dados e filtragem'!G1040),1,0)</f>
        <v>1</v>
      </c>
      <c r="AL1040" s="25">
        <f>IF(OR(Apresentação!$E$6='Base de Dados e filtragem'!AL$2,Apresentação!$E$6='Base de Dados e filtragem'!H1040),1,0)</f>
        <v>1</v>
      </c>
      <c r="AM1040" s="25">
        <f>IF(OR(Apresentação!$I$2='Base de Dados e filtragem'!AM$2,Apresentação!$I$2='Base de Dados e filtragem'!I1040),1,0)</f>
        <v>1</v>
      </c>
      <c r="AN1040" s="25">
        <f>IF(OR(Apresentação!$I$3='Base de Dados e filtragem'!AN$2,Apresentação!$I$3='Base de Dados e filtragem'!J1040),1,0)</f>
        <v>1</v>
      </c>
      <c r="AO1040" s="25">
        <f>IF(OR(Apresentação!$I$4='Base de Dados e filtragem'!AO$2,Apresentação!$I$4='Base de Dados e filtragem'!K1040),1,0)</f>
        <v>1</v>
      </c>
      <c r="AP1040" s="25">
        <f>IF(OR(Apresentação!$I$5='Base de Dados e filtragem'!AP$2,Apresentação!$I$5='Base de Dados e filtragem'!L1040),1,0)</f>
        <v>1</v>
      </c>
      <c r="AQ1040" s="25">
        <f>IF(OR(Apresentação!$I$6='Base de Dados e filtragem'!AQ$2,Apresentação!$I$6='Base de Dados e filtragem'!M1040),1,0)</f>
        <v>1</v>
      </c>
      <c r="AR1040" s="25">
        <v>1</v>
      </c>
      <c r="AS1040" s="25">
        <v>1</v>
      </c>
      <c r="AT1040" s="25">
        <v>1</v>
      </c>
      <c r="AU1040" s="25">
        <v>1</v>
      </c>
      <c r="AV1040" s="25">
        <v>1</v>
      </c>
      <c r="AW1040" s="25">
        <v>1</v>
      </c>
      <c r="AX1040" s="25">
        <v>1</v>
      </c>
      <c r="AY1040" s="25">
        <v>1</v>
      </c>
      <c r="AZ1040" s="25">
        <v>1</v>
      </c>
      <c r="BA1040" s="25">
        <v>1</v>
      </c>
      <c r="BB1040" s="25">
        <v>1</v>
      </c>
      <c r="BC1040" s="25">
        <v>1</v>
      </c>
      <c r="BD1040" s="25">
        <v>1</v>
      </c>
    </row>
    <row r="1041" spans="27:56" x14ac:dyDescent="0.25">
      <c r="AA1041" s="68" t="str">
        <f t="shared" si="65"/>
        <v>Fotos\\.jpg</v>
      </c>
      <c r="AB1041" s="53">
        <f t="shared" si="66"/>
        <v>9.6061479346781938E-4</v>
      </c>
      <c r="AC1041" s="25">
        <f t="shared" si="67"/>
        <v>1041</v>
      </c>
      <c r="AD1041" s="51">
        <f t="shared" si="68"/>
        <v>1</v>
      </c>
      <c r="AE1041" s="25">
        <v>1</v>
      </c>
      <c r="AF1041" s="25">
        <v>1</v>
      </c>
      <c r="AG1041" s="25">
        <v>1</v>
      </c>
      <c r="AH1041" s="25">
        <v>1</v>
      </c>
      <c r="AI1041" s="25">
        <f>IF(OR(Apresentação!$E$3='Base de Dados e filtragem'!AI$2,Apresentação!$E$3='Base de Dados e filtragem'!E1041),1,0)</f>
        <v>1</v>
      </c>
      <c r="AJ1041" s="25">
        <f>IF(OR(Apresentação!$E$4='Base de Dados e filtragem'!AJ$2,Apresentação!$E$4='Base de Dados e filtragem'!F1041),1,0)</f>
        <v>1</v>
      </c>
      <c r="AK1041" s="25">
        <f>IF(OR(Apresentação!$E$5='Base de Dados e filtragem'!AK$2,Apresentação!$E$5='Base de Dados e filtragem'!G1041),1,0)</f>
        <v>1</v>
      </c>
      <c r="AL1041" s="25">
        <f>IF(OR(Apresentação!$E$6='Base de Dados e filtragem'!AL$2,Apresentação!$E$6='Base de Dados e filtragem'!H1041),1,0)</f>
        <v>1</v>
      </c>
      <c r="AM1041" s="25">
        <f>IF(OR(Apresentação!$I$2='Base de Dados e filtragem'!AM$2,Apresentação!$I$2='Base de Dados e filtragem'!I1041),1,0)</f>
        <v>1</v>
      </c>
      <c r="AN1041" s="25">
        <f>IF(OR(Apresentação!$I$3='Base de Dados e filtragem'!AN$2,Apresentação!$I$3='Base de Dados e filtragem'!J1041),1,0)</f>
        <v>1</v>
      </c>
      <c r="AO1041" s="25">
        <f>IF(OR(Apresentação!$I$4='Base de Dados e filtragem'!AO$2,Apresentação!$I$4='Base de Dados e filtragem'!K1041),1,0)</f>
        <v>1</v>
      </c>
      <c r="AP1041" s="25">
        <f>IF(OR(Apresentação!$I$5='Base de Dados e filtragem'!AP$2,Apresentação!$I$5='Base de Dados e filtragem'!L1041),1,0)</f>
        <v>1</v>
      </c>
      <c r="AQ1041" s="25">
        <f>IF(OR(Apresentação!$I$6='Base de Dados e filtragem'!AQ$2,Apresentação!$I$6='Base de Dados e filtragem'!M1041),1,0)</f>
        <v>1</v>
      </c>
      <c r="AR1041" s="25">
        <v>1</v>
      </c>
      <c r="AS1041" s="25">
        <v>1</v>
      </c>
      <c r="AT1041" s="25">
        <v>1</v>
      </c>
      <c r="AU1041" s="25">
        <v>1</v>
      </c>
      <c r="AV1041" s="25">
        <v>1</v>
      </c>
      <c r="AW1041" s="25">
        <v>1</v>
      </c>
      <c r="AX1041" s="25">
        <v>1</v>
      </c>
      <c r="AY1041" s="25">
        <v>1</v>
      </c>
      <c r="AZ1041" s="25">
        <v>1</v>
      </c>
      <c r="BA1041" s="25">
        <v>1</v>
      </c>
      <c r="BB1041" s="25">
        <v>1</v>
      </c>
      <c r="BC1041" s="25">
        <v>1</v>
      </c>
      <c r="BD1041" s="25">
        <v>1</v>
      </c>
    </row>
    <row r="1042" spans="27:56" x14ac:dyDescent="0.25">
      <c r="AA1042" s="68" t="str">
        <f t="shared" si="65"/>
        <v>Fotos\\.jpg</v>
      </c>
      <c r="AB1042" s="53">
        <f t="shared" si="66"/>
        <v>9.5969289827255275E-4</v>
      </c>
      <c r="AC1042" s="25">
        <f t="shared" si="67"/>
        <v>1042</v>
      </c>
      <c r="AD1042" s="51">
        <f t="shared" si="68"/>
        <v>1</v>
      </c>
      <c r="AE1042" s="25">
        <v>1</v>
      </c>
      <c r="AF1042" s="25">
        <v>1</v>
      </c>
      <c r="AG1042" s="25">
        <v>1</v>
      </c>
      <c r="AH1042" s="25">
        <v>1</v>
      </c>
      <c r="AI1042" s="25">
        <f>IF(OR(Apresentação!$E$3='Base de Dados e filtragem'!AI$2,Apresentação!$E$3='Base de Dados e filtragem'!E1042),1,0)</f>
        <v>1</v>
      </c>
      <c r="AJ1042" s="25">
        <f>IF(OR(Apresentação!$E$4='Base de Dados e filtragem'!AJ$2,Apresentação!$E$4='Base de Dados e filtragem'!F1042),1,0)</f>
        <v>1</v>
      </c>
      <c r="AK1042" s="25">
        <f>IF(OR(Apresentação!$E$5='Base de Dados e filtragem'!AK$2,Apresentação!$E$5='Base de Dados e filtragem'!G1042),1,0)</f>
        <v>1</v>
      </c>
      <c r="AL1042" s="25">
        <f>IF(OR(Apresentação!$E$6='Base de Dados e filtragem'!AL$2,Apresentação!$E$6='Base de Dados e filtragem'!H1042),1,0)</f>
        <v>1</v>
      </c>
      <c r="AM1042" s="25">
        <f>IF(OR(Apresentação!$I$2='Base de Dados e filtragem'!AM$2,Apresentação!$I$2='Base de Dados e filtragem'!I1042),1,0)</f>
        <v>1</v>
      </c>
      <c r="AN1042" s="25">
        <f>IF(OR(Apresentação!$I$3='Base de Dados e filtragem'!AN$2,Apresentação!$I$3='Base de Dados e filtragem'!J1042),1,0)</f>
        <v>1</v>
      </c>
      <c r="AO1042" s="25">
        <f>IF(OR(Apresentação!$I$4='Base de Dados e filtragem'!AO$2,Apresentação!$I$4='Base de Dados e filtragem'!K1042),1,0)</f>
        <v>1</v>
      </c>
      <c r="AP1042" s="25">
        <f>IF(OR(Apresentação!$I$5='Base de Dados e filtragem'!AP$2,Apresentação!$I$5='Base de Dados e filtragem'!L1042),1,0)</f>
        <v>1</v>
      </c>
      <c r="AQ1042" s="25">
        <f>IF(OR(Apresentação!$I$6='Base de Dados e filtragem'!AQ$2,Apresentação!$I$6='Base de Dados e filtragem'!M1042),1,0)</f>
        <v>1</v>
      </c>
      <c r="AR1042" s="25">
        <v>1</v>
      </c>
      <c r="AS1042" s="25">
        <v>1</v>
      </c>
      <c r="AT1042" s="25">
        <v>1</v>
      </c>
      <c r="AU1042" s="25">
        <v>1</v>
      </c>
      <c r="AV1042" s="25">
        <v>1</v>
      </c>
      <c r="AW1042" s="25">
        <v>1</v>
      </c>
      <c r="AX1042" s="25">
        <v>1</v>
      </c>
      <c r="AY1042" s="25">
        <v>1</v>
      </c>
      <c r="AZ1042" s="25">
        <v>1</v>
      </c>
      <c r="BA1042" s="25">
        <v>1</v>
      </c>
      <c r="BB1042" s="25">
        <v>1</v>
      </c>
      <c r="BC1042" s="25">
        <v>1</v>
      </c>
      <c r="BD1042" s="25">
        <v>1</v>
      </c>
    </row>
    <row r="1043" spans="27:56" x14ac:dyDescent="0.25">
      <c r="AA1043" s="68" t="str">
        <f t="shared" si="65"/>
        <v>Fotos\\.jpg</v>
      </c>
      <c r="AB1043" s="53">
        <f t="shared" si="66"/>
        <v>9.5877277085330771E-4</v>
      </c>
      <c r="AC1043" s="25">
        <f t="shared" si="67"/>
        <v>1043</v>
      </c>
      <c r="AD1043" s="51">
        <f t="shared" si="68"/>
        <v>1</v>
      </c>
      <c r="AE1043" s="25">
        <v>1</v>
      </c>
      <c r="AF1043" s="25">
        <v>1</v>
      </c>
      <c r="AG1043" s="25">
        <v>1</v>
      </c>
      <c r="AH1043" s="25">
        <v>1</v>
      </c>
      <c r="AI1043" s="25">
        <f>IF(OR(Apresentação!$E$3='Base de Dados e filtragem'!AI$2,Apresentação!$E$3='Base de Dados e filtragem'!E1043),1,0)</f>
        <v>1</v>
      </c>
      <c r="AJ1043" s="25">
        <f>IF(OR(Apresentação!$E$4='Base de Dados e filtragem'!AJ$2,Apresentação!$E$4='Base de Dados e filtragem'!F1043),1,0)</f>
        <v>1</v>
      </c>
      <c r="AK1043" s="25">
        <f>IF(OR(Apresentação!$E$5='Base de Dados e filtragem'!AK$2,Apresentação!$E$5='Base de Dados e filtragem'!G1043),1,0)</f>
        <v>1</v>
      </c>
      <c r="AL1043" s="25">
        <f>IF(OR(Apresentação!$E$6='Base de Dados e filtragem'!AL$2,Apresentação!$E$6='Base de Dados e filtragem'!H1043),1,0)</f>
        <v>1</v>
      </c>
      <c r="AM1043" s="25">
        <f>IF(OR(Apresentação!$I$2='Base de Dados e filtragem'!AM$2,Apresentação!$I$2='Base de Dados e filtragem'!I1043),1,0)</f>
        <v>1</v>
      </c>
      <c r="AN1043" s="25">
        <f>IF(OR(Apresentação!$I$3='Base de Dados e filtragem'!AN$2,Apresentação!$I$3='Base de Dados e filtragem'!J1043),1,0)</f>
        <v>1</v>
      </c>
      <c r="AO1043" s="25">
        <f>IF(OR(Apresentação!$I$4='Base de Dados e filtragem'!AO$2,Apresentação!$I$4='Base de Dados e filtragem'!K1043),1,0)</f>
        <v>1</v>
      </c>
      <c r="AP1043" s="25">
        <f>IF(OR(Apresentação!$I$5='Base de Dados e filtragem'!AP$2,Apresentação!$I$5='Base de Dados e filtragem'!L1043),1,0)</f>
        <v>1</v>
      </c>
      <c r="AQ1043" s="25">
        <f>IF(OR(Apresentação!$I$6='Base de Dados e filtragem'!AQ$2,Apresentação!$I$6='Base de Dados e filtragem'!M1043),1,0)</f>
        <v>1</v>
      </c>
      <c r="AR1043" s="25">
        <v>1</v>
      </c>
      <c r="AS1043" s="25">
        <v>1</v>
      </c>
      <c r="AT1043" s="25">
        <v>1</v>
      </c>
      <c r="AU1043" s="25">
        <v>1</v>
      </c>
      <c r="AV1043" s="25">
        <v>1</v>
      </c>
      <c r="AW1043" s="25">
        <v>1</v>
      </c>
      <c r="AX1043" s="25">
        <v>1</v>
      </c>
      <c r="AY1043" s="25">
        <v>1</v>
      </c>
      <c r="AZ1043" s="25">
        <v>1</v>
      </c>
      <c r="BA1043" s="25">
        <v>1</v>
      </c>
      <c r="BB1043" s="25">
        <v>1</v>
      </c>
      <c r="BC1043" s="25">
        <v>1</v>
      </c>
      <c r="BD1043" s="25">
        <v>1</v>
      </c>
    </row>
    <row r="1044" spans="27:56" x14ac:dyDescent="0.25">
      <c r="AA1044" s="68" t="str">
        <f t="shared" si="65"/>
        <v>Fotos\\.jpg</v>
      </c>
      <c r="AB1044" s="53">
        <f t="shared" si="66"/>
        <v>9.5785440613026815E-4</v>
      </c>
      <c r="AC1044" s="25">
        <f t="shared" si="67"/>
        <v>1044</v>
      </c>
      <c r="AD1044" s="51">
        <f t="shared" si="68"/>
        <v>1</v>
      </c>
      <c r="AE1044" s="25">
        <v>1</v>
      </c>
      <c r="AF1044" s="25">
        <v>1</v>
      </c>
      <c r="AG1044" s="25">
        <v>1</v>
      </c>
      <c r="AH1044" s="25">
        <v>1</v>
      </c>
      <c r="AI1044" s="25">
        <f>IF(OR(Apresentação!$E$3='Base de Dados e filtragem'!AI$2,Apresentação!$E$3='Base de Dados e filtragem'!E1044),1,0)</f>
        <v>1</v>
      </c>
      <c r="AJ1044" s="25">
        <f>IF(OR(Apresentação!$E$4='Base de Dados e filtragem'!AJ$2,Apresentação!$E$4='Base de Dados e filtragem'!F1044),1,0)</f>
        <v>1</v>
      </c>
      <c r="AK1044" s="25">
        <f>IF(OR(Apresentação!$E$5='Base de Dados e filtragem'!AK$2,Apresentação!$E$5='Base de Dados e filtragem'!G1044),1,0)</f>
        <v>1</v>
      </c>
      <c r="AL1044" s="25">
        <f>IF(OR(Apresentação!$E$6='Base de Dados e filtragem'!AL$2,Apresentação!$E$6='Base de Dados e filtragem'!H1044),1,0)</f>
        <v>1</v>
      </c>
      <c r="AM1044" s="25">
        <f>IF(OR(Apresentação!$I$2='Base de Dados e filtragem'!AM$2,Apresentação!$I$2='Base de Dados e filtragem'!I1044),1,0)</f>
        <v>1</v>
      </c>
      <c r="AN1044" s="25">
        <f>IF(OR(Apresentação!$I$3='Base de Dados e filtragem'!AN$2,Apresentação!$I$3='Base de Dados e filtragem'!J1044),1,0)</f>
        <v>1</v>
      </c>
      <c r="AO1044" s="25">
        <f>IF(OR(Apresentação!$I$4='Base de Dados e filtragem'!AO$2,Apresentação!$I$4='Base de Dados e filtragem'!K1044),1,0)</f>
        <v>1</v>
      </c>
      <c r="AP1044" s="25">
        <f>IF(OR(Apresentação!$I$5='Base de Dados e filtragem'!AP$2,Apresentação!$I$5='Base de Dados e filtragem'!L1044),1,0)</f>
        <v>1</v>
      </c>
      <c r="AQ1044" s="25">
        <f>IF(OR(Apresentação!$I$6='Base de Dados e filtragem'!AQ$2,Apresentação!$I$6='Base de Dados e filtragem'!M1044),1,0)</f>
        <v>1</v>
      </c>
      <c r="AR1044" s="25">
        <v>1</v>
      </c>
      <c r="AS1044" s="25">
        <v>1</v>
      </c>
      <c r="AT1044" s="25">
        <v>1</v>
      </c>
      <c r="AU1044" s="25">
        <v>1</v>
      </c>
      <c r="AV1044" s="25">
        <v>1</v>
      </c>
      <c r="AW1044" s="25">
        <v>1</v>
      </c>
      <c r="AX1044" s="25">
        <v>1</v>
      </c>
      <c r="AY1044" s="25">
        <v>1</v>
      </c>
      <c r="AZ1044" s="25">
        <v>1</v>
      </c>
      <c r="BA1044" s="25">
        <v>1</v>
      </c>
      <c r="BB1044" s="25">
        <v>1</v>
      </c>
      <c r="BC1044" s="25">
        <v>1</v>
      </c>
      <c r="BD1044" s="25">
        <v>1</v>
      </c>
    </row>
    <row r="1045" spans="27:56" x14ac:dyDescent="0.25">
      <c r="AA1045" s="68" t="str">
        <f t="shared" si="65"/>
        <v>Fotos\\.jpg</v>
      </c>
      <c r="AB1045" s="53">
        <f t="shared" si="66"/>
        <v>9.5693779904306223E-4</v>
      </c>
      <c r="AC1045" s="25">
        <f t="shared" si="67"/>
        <v>1045</v>
      </c>
      <c r="AD1045" s="51">
        <f t="shared" si="68"/>
        <v>1</v>
      </c>
      <c r="AE1045" s="25">
        <v>1</v>
      </c>
      <c r="AF1045" s="25">
        <v>1</v>
      </c>
      <c r="AG1045" s="25">
        <v>1</v>
      </c>
      <c r="AH1045" s="25">
        <v>1</v>
      </c>
      <c r="AI1045" s="25">
        <f>IF(OR(Apresentação!$E$3='Base de Dados e filtragem'!AI$2,Apresentação!$E$3='Base de Dados e filtragem'!E1045),1,0)</f>
        <v>1</v>
      </c>
      <c r="AJ1045" s="25">
        <f>IF(OR(Apresentação!$E$4='Base de Dados e filtragem'!AJ$2,Apresentação!$E$4='Base de Dados e filtragem'!F1045),1,0)</f>
        <v>1</v>
      </c>
      <c r="AK1045" s="25">
        <f>IF(OR(Apresentação!$E$5='Base de Dados e filtragem'!AK$2,Apresentação!$E$5='Base de Dados e filtragem'!G1045),1,0)</f>
        <v>1</v>
      </c>
      <c r="AL1045" s="25">
        <f>IF(OR(Apresentação!$E$6='Base de Dados e filtragem'!AL$2,Apresentação!$E$6='Base de Dados e filtragem'!H1045),1,0)</f>
        <v>1</v>
      </c>
      <c r="AM1045" s="25">
        <f>IF(OR(Apresentação!$I$2='Base de Dados e filtragem'!AM$2,Apresentação!$I$2='Base de Dados e filtragem'!I1045),1,0)</f>
        <v>1</v>
      </c>
      <c r="AN1045" s="25">
        <f>IF(OR(Apresentação!$I$3='Base de Dados e filtragem'!AN$2,Apresentação!$I$3='Base de Dados e filtragem'!J1045),1,0)</f>
        <v>1</v>
      </c>
      <c r="AO1045" s="25">
        <f>IF(OR(Apresentação!$I$4='Base de Dados e filtragem'!AO$2,Apresentação!$I$4='Base de Dados e filtragem'!K1045),1,0)</f>
        <v>1</v>
      </c>
      <c r="AP1045" s="25">
        <f>IF(OR(Apresentação!$I$5='Base de Dados e filtragem'!AP$2,Apresentação!$I$5='Base de Dados e filtragem'!L1045),1,0)</f>
        <v>1</v>
      </c>
      <c r="AQ1045" s="25">
        <f>IF(OR(Apresentação!$I$6='Base de Dados e filtragem'!AQ$2,Apresentação!$I$6='Base de Dados e filtragem'!M1045),1,0)</f>
        <v>1</v>
      </c>
      <c r="AR1045" s="25">
        <v>1</v>
      </c>
      <c r="AS1045" s="25">
        <v>1</v>
      </c>
      <c r="AT1045" s="25">
        <v>1</v>
      </c>
      <c r="AU1045" s="25">
        <v>1</v>
      </c>
      <c r="AV1045" s="25">
        <v>1</v>
      </c>
      <c r="AW1045" s="25">
        <v>1</v>
      </c>
      <c r="AX1045" s="25">
        <v>1</v>
      </c>
      <c r="AY1045" s="25">
        <v>1</v>
      </c>
      <c r="AZ1045" s="25">
        <v>1</v>
      </c>
      <c r="BA1045" s="25">
        <v>1</v>
      </c>
      <c r="BB1045" s="25">
        <v>1</v>
      </c>
      <c r="BC1045" s="25">
        <v>1</v>
      </c>
      <c r="BD1045" s="25">
        <v>1</v>
      </c>
    </row>
    <row r="1046" spans="27:56" x14ac:dyDescent="0.25">
      <c r="AA1046" s="68" t="str">
        <f t="shared" si="65"/>
        <v>Fotos\\.jpg</v>
      </c>
      <c r="AB1046" s="53">
        <f t="shared" si="66"/>
        <v>9.5602294455066918E-4</v>
      </c>
      <c r="AC1046" s="25">
        <f t="shared" si="67"/>
        <v>1046</v>
      </c>
      <c r="AD1046" s="51">
        <f t="shared" si="68"/>
        <v>1</v>
      </c>
      <c r="AE1046" s="25">
        <v>1</v>
      </c>
      <c r="AF1046" s="25">
        <v>1</v>
      </c>
      <c r="AG1046" s="25">
        <v>1</v>
      </c>
      <c r="AH1046" s="25">
        <v>1</v>
      </c>
      <c r="AI1046" s="25">
        <f>IF(OR(Apresentação!$E$3='Base de Dados e filtragem'!AI$2,Apresentação!$E$3='Base de Dados e filtragem'!E1046),1,0)</f>
        <v>1</v>
      </c>
      <c r="AJ1046" s="25">
        <f>IF(OR(Apresentação!$E$4='Base de Dados e filtragem'!AJ$2,Apresentação!$E$4='Base de Dados e filtragem'!F1046),1,0)</f>
        <v>1</v>
      </c>
      <c r="AK1046" s="25">
        <f>IF(OR(Apresentação!$E$5='Base de Dados e filtragem'!AK$2,Apresentação!$E$5='Base de Dados e filtragem'!G1046),1,0)</f>
        <v>1</v>
      </c>
      <c r="AL1046" s="25">
        <f>IF(OR(Apresentação!$E$6='Base de Dados e filtragem'!AL$2,Apresentação!$E$6='Base de Dados e filtragem'!H1046),1,0)</f>
        <v>1</v>
      </c>
      <c r="AM1046" s="25">
        <f>IF(OR(Apresentação!$I$2='Base de Dados e filtragem'!AM$2,Apresentação!$I$2='Base de Dados e filtragem'!I1046),1,0)</f>
        <v>1</v>
      </c>
      <c r="AN1046" s="25">
        <f>IF(OR(Apresentação!$I$3='Base de Dados e filtragem'!AN$2,Apresentação!$I$3='Base de Dados e filtragem'!J1046),1,0)</f>
        <v>1</v>
      </c>
      <c r="AO1046" s="25">
        <f>IF(OR(Apresentação!$I$4='Base de Dados e filtragem'!AO$2,Apresentação!$I$4='Base de Dados e filtragem'!K1046),1,0)</f>
        <v>1</v>
      </c>
      <c r="AP1046" s="25">
        <f>IF(OR(Apresentação!$I$5='Base de Dados e filtragem'!AP$2,Apresentação!$I$5='Base de Dados e filtragem'!L1046),1,0)</f>
        <v>1</v>
      </c>
      <c r="AQ1046" s="25">
        <f>IF(OR(Apresentação!$I$6='Base de Dados e filtragem'!AQ$2,Apresentação!$I$6='Base de Dados e filtragem'!M1046),1,0)</f>
        <v>1</v>
      </c>
      <c r="AR1046" s="25">
        <v>1</v>
      </c>
      <c r="AS1046" s="25">
        <v>1</v>
      </c>
      <c r="AT1046" s="25">
        <v>1</v>
      </c>
      <c r="AU1046" s="25">
        <v>1</v>
      </c>
      <c r="AV1046" s="25">
        <v>1</v>
      </c>
      <c r="AW1046" s="25">
        <v>1</v>
      </c>
      <c r="AX1046" s="25">
        <v>1</v>
      </c>
      <c r="AY1046" s="25">
        <v>1</v>
      </c>
      <c r="AZ1046" s="25">
        <v>1</v>
      </c>
      <c r="BA1046" s="25">
        <v>1</v>
      </c>
      <c r="BB1046" s="25">
        <v>1</v>
      </c>
      <c r="BC1046" s="25">
        <v>1</v>
      </c>
      <c r="BD1046" s="25">
        <v>1</v>
      </c>
    </row>
    <row r="1047" spans="27:56" x14ac:dyDescent="0.25">
      <c r="AA1047" s="68" t="str">
        <f t="shared" si="65"/>
        <v>Fotos\\.jpg</v>
      </c>
      <c r="AB1047" s="53">
        <f t="shared" si="66"/>
        <v>9.5510983763132757E-4</v>
      </c>
      <c r="AC1047" s="25">
        <f t="shared" si="67"/>
        <v>1047</v>
      </c>
      <c r="AD1047" s="51">
        <f t="shared" si="68"/>
        <v>1</v>
      </c>
      <c r="AE1047" s="25">
        <v>1</v>
      </c>
      <c r="AF1047" s="25">
        <v>1</v>
      </c>
      <c r="AG1047" s="25">
        <v>1</v>
      </c>
      <c r="AH1047" s="25">
        <v>1</v>
      </c>
      <c r="AI1047" s="25">
        <f>IF(OR(Apresentação!$E$3='Base de Dados e filtragem'!AI$2,Apresentação!$E$3='Base de Dados e filtragem'!E1047),1,0)</f>
        <v>1</v>
      </c>
      <c r="AJ1047" s="25">
        <f>IF(OR(Apresentação!$E$4='Base de Dados e filtragem'!AJ$2,Apresentação!$E$4='Base de Dados e filtragem'!F1047),1,0)</f>
        <v>1</v>
      </c>
      <c r="AK1047" s="25">
        <f>IF(OR(Apresentação!$E$5='Base de Dados e filtragem'!AK$2,Apresentação!$E$5='Base de Dados e filtragem'!G1047),1,0)</f>
        <v>1</v>
      </c>
      <c r="AL1047" s="25">
        <f>IF(OR(Apresentação!$E$6='Base de Dados e filtragem'!AL$2,Apresentação!$E$6='Base de Dados e filtragem'!H1047),1,0)</f>
        <v>1</v>
      </c>
      <c r="AM1047" s="25">
        <f>IF(OR(Apresentação!$I$2='Base de Dados e filtragem'!AM$2,Apresentação!$I$2='Base de Dados e filtragem'!I1047),1,0)</f>
        <v>1</v>
      </c>
      <c r="AN1047" s="25">
        <f>IF(OR(Apresentação!$I$3='Base de Dados e filtragem'!AN$2,Apresentação!$I$3='Base de Dados e filtragem'!J1047),1,0)</f>
        <v>1</v>
      </c>
      <c r="AO1047" s="25">
        <f>IF(OR(Apresentação!$I$4='Base de Dados e filtragem'!AO$2,Apresentação!$I$4='Base de Dados e filtragem'!K1047),1,0)</f>
        <v>1</v>
      </c>
      <c r="AP1047" s="25">
        <f>IF(OR(Apresentação!$I$5='Base de Dados e filtragem'!AP$2,Apresentação!$I$5='Base de Dados e filtragem'!L1047),1,0)</f>
        <v>1</v>
      </c>
      <c r="AQ1047" s="25">
        <f>IF(OR(Apresentação!$I$6='Base de Dados e filtragem'!AQ$2,Apresentação!$I$6='Base de Dados e filtragem'!M1047),1,0)</f>
        <v>1</v>
      </c>
      <c r="AR1047" s="25">
        <v>1</v>
      </c>
      <c r="AS1047" s="25">
        <v>1</v>
      </c>
      <c r="AT1047" s="25">
        <v>1</v>
      </c>
      <c r="AU1047" s="25">
        <v>1</v>
      </c>
      <c r="AV1047" s="25">
        <v>1</v>
      </c>
      <c r="AW1047" s="25">
        <v>1</v>
      </c>
      <c r="AX1047" s="25">
        <v>1</v>
      </c>
      <c r="AY1047" s="25">
        <v>1</v>
      </c>
      <c r="AZ1047" s="25">
        <v>1</v>
      </c>
      <c r="BA1047" s="25">
        <v>1</v>
      </c>
      <c r="BB1047" s="25">
        <v>1</v>
      </c>
      <c r="BC1047" s="25">
        <v>1</v>
      </c>
      <c r="BD1047" s="25">
        <v>1</v>
      </c>
    </row>
    <row r="1048" spans="27:56" x14ac:dyDescent="0.25">
      <c r="AA1048" s="68" t="str">
        <f t="shared" si="65"/>
        <v>Fotos\\.jpg</v>
      </c>
      <c r="AB1048" s="53">
        <f t="shared" si="66"/>
        <v>9.5419847328244271E-4</v>
      </c>
      <c r="AC1048" s="25">
        <f t="shared" si="67"/>
        <v>1048</v>
      </c>
      <c r="AD1048" s="51">
        <f t="shared" si="68"/>
        <v>1</v>
      </c>
      <c r="AE1048" s="25">
        <v>1</v>
      </c>
      <c r="AF1048" s="25">
        <v>1</v>
      </c>
      <c r="AG1048" s="25">
        <v>1</v>
      </c>
      <c r="AH1048" s="25">
        <v>1</v>
      </c>
      <c r="AI1048" s="25">
        <f>IF(OR(Apresentação!$E$3='Base de Dados e filtragem'!AI$2,Apresentação!$E$3='Base de Dados e filtragem'!E1048),1,0)</f>
        <v>1</v>
      </c>
      <c r="AJ1048" s="25">
        <f>IF(OR(Apresentação!$E$4='Base de Dados e filtragem'!AJ$2,Apresentação!$E$4='Base de Dados e filtragem'!F1048),1,0)</f>
        <v>1</v>
      </c>
      <c r="AK1048" s="25">
        <f>IF(OR(Apresentação!$E$5='Base de Dados e filtragem'!AK$2,Apresentação!$E$5='Base de Dados e filtragem'!G1048),1,0)</f>
        <v>1</v>
      </c>
      <c r="AL1048" s="25">
        <f>IF(OR(Apresentação!$E$6='Base de Dados e filtragem'!AL$2,Apresentação!$E$6='Base de Dados e filtragem'!H1048),1,0)</f>
        <v>1</v>
      </c>
      <c r="AM1048" s="25">
        <f>IF(OR(Apresentação!$I$2='Base de Dados e filtragem'!AM$2,Apresentação!$I$2='Base de Dados e filtragem'!I1048),1,0)</f>
        <v>1</v>
      </c>
      <c r="AN1048" s="25">
        <f>IF(OR(Apresentação!$I$3='Base de Dados e filtragem'!AN$2,Apresentação!$I$3='Base de Dados e filtragem'!J1048),1,0)</f>
        <v>1</v>
      </c>
      <c r="AO1048" s="25">
        <f>IF(OR(Apresentação!$I$4='Base de Dados e filtragem'!AO$2,Apresentação!$I$4='Base de Dados e filtragem'!K1048),1,0)</f>
        <v>1</v>
      </c>
      <c r="AP1048" s="25">
        <f>IF(OR(Apresentação!$I$5='Base de Dados e filtragem'!AP$2,Apresentação!$I$5='Base de Dados e filtragem'!L1048),1,0)</f>
        <v>1</v>
      </c>
      <c r="AQ1048" s="25">
        <f>IF(OR(Apresentação!$I$6='Base de Dados e filtragem'!AQ$2,Apresentação!$I$6='Base de Dados e filtragem'!M1048),1,0)</f>
        <v>1</v>
      </c>
      <c r="AR1048" s="25">
        <v>1</v>
      </c>
      <c r="AS1048" s="25">
        <v>1</v>
      </c>
      <c r="AT1048" s="25">
        <v>1</v>
      </c>
      <c r="AU1048" s="25">
        <v>1</v>
      </c>
      <c r="AV1048" s="25">
        <v>1</v>
      </c>
      <c r="AW1048" s="25">
        <v>1</v>
      </c>
      <c r="AX1048" s="25">
        <v>1</v>
      </c>
      <c r="AY1048" s="25">
        <v>1</v>
      </c>
      <c r="AZ1048" s="25">
        <v>1</v>
      </c>
      <c r="BA1048" s="25">
        <v>1</v>
      </c>
      <c r="BB1048" s="25">
        <v>1</v>
      </c>
      <c r="BC1048" s="25">
        <v>1</v>
      </c>
      <c r="BD1048" s="25">
        <v>1</v>
      </c>
    </row>
    <row r="1049" spans="27:56" x14ac:dyDescent="0.25">
      <c r="AA1049" s="68" t="str">
        <f t="shared" si="65"/>
        <v>Fotos\\.jpg</v>
      </c>
      <c r="AB1049" s="53">
        <f t="shared" si="66"/>
        <v>9.5328884652049568E-4</v>
      </c>
      <c r="AC1049" s="25">
        <f t="shared" si="67"/>
        <v>1049</v>
      </c>
      <c r="AD1049" s="51">
        <f t="shared" si="68"/>
        <v>1</v>
      </c>
      <c r="AE1049" s="25">
        <v>1</v>
      </c>
      <c r="AF1049" s="25">
        <v>1</v>
      </c>
      <c r="AG1049" s="25">
        <v>1</v>
      </c>
      <c r="AH1049" s="25">
        <v>1</v>
      </c>
      <c r="AI1049" s="25">
        <f>IF(OR(Apresentação!$E$3='Base de Dados e filtragem'!AI$2,Apresentação!$E$3='Base de Dados e filtragem'!E1049),1,0)</f>
        <v>1</v>
      </c>
      <c r="AJ1049" s="25">
        <f>IF(OR(Apresentação!$E$4='Base de Dados e filtragem'!AJ$2,Apresentação!$E$4='Base de Dados e filtragem'!F1049),1,0)</f>
        <v>1</v>
      </c>
      <c r="AK1049" s="25">
        <f>IF(OR(Apresentação!$E$5='Base de Dados e filtragem'!AK$2,Apresentação!$E$5='Base de Dados e filtragem'!G1049),1,0)</f>
        <v>1</v>
      </c>
      <c r="AL1049" s="25">
        <f>IF(OR(Apresentação!$E$6='Base de Dados e filtragem'!AL$2,Apresentação!$E$6='Base de Dados e filtragem'!H1049),1,0)</f>
        <v>1</v>
      </c>
      <c r="AM1049" s="25">
        <f>IF(OR(Apresentação!$I$2='Base de Dados e filtragem'!AM$2,Apresentação!$I$2='Base de Dados e filtragem'!I1049),1,0)</f>
        <v>1</v>
      </c>
      <c r="AN1049" s="25">
        <f>IF(OR(Apresentação!$I$3='Base de Dados e filtragem'!AN$2,Apresentação!$I$3='Base de Dados e filtragem'!J1049),1,0)</f>
        <v>1</v>
      </c>
      <c r="AO1049" s="25">
        <f>IF(OR(Apresentação!$I$4='Base de Dados e filtragem'!AO$2,Apresentação!$I$4='Base de Dados e filtragem'!K1049),1,0)</f>
        <v>1</v>
      </c>
      <c r="AP1049" s="25">
        <f>IF(OR(Apresentação!$I$5='Base de Dados e filtragem'!AP$2,Apresentação!$I$5='Base de Dados e filtragem'!L1049),1,0)</f>
        <v>1</v>
      </c>
      <c r="AQ1049" s="25">
        <f>IF(OR(Apresentação!$I$6='Base de Dados e filtragem'!AQ$2,Apresentação!$I$6='Base de Dados e filtragem'!M1049),1,0)</f>
        <v>1</v>
      </c>
      <c r="AR1049" s="25">
        <v>1</v>
      </c>
      <c r="AS1049" s="25">
        <v>1</v>
      </c>
      <c r="AT1049" s="25">
        <v>1</v>
      </c>
      <c r="AU1049" s="25">
        <v>1</v>
      </c>
      <c r="AV1049" s="25">
        <v>1</v>
      </c>
      <c r="AW1049" s="25">
        <v>1</v>
      </c>
      <c r="AX1049" s="25">
        <v>1</v>
      </c>
      <c r="AY1049" s="25">
        <v>1</v>
      </c>
      <c r="AZ1049" s="25">
        <v>1</v>
      </c>
      <c r="BA1049" s="25">
        <v>1</v>
      </c>
      <c r="BB1049" s="25">
        <v>1</v>
      </c>
      <c r="BC1049" s="25">
        <v>1</v>
      </c>
      <c r="BD1049" s="25">
        <v>1</v>
      </c>
    </row>
    <row r="1050" spans="27:56" x14ac:dyDescent="0.25">
      <c r="AA1050" s="68" t="str">
        <f t="shared" si="65"/>
        <v>Fotos\\.jpg</v>
      </c>
      <c r="AB1050" s="53">
        <f t="shared" si="66"/>
        <v>9.5238095238095238E-4</v>
      </c>
      <c r="AC1050" s="25">
        <f t="shared" si="67"/>
        <v>1050</v>
      </c>
      <c r="AD1050" s="51">
        <f t="shared" si="68"/>
        <v>1</v>
      </c>
      <c r="AE1050" s="25">
        <v>1</v>
      </c>
      <c r="AF1050" s="25">
        <v>1</v>
      </c>
      <c r="AG1050" s="25">
        <v>1</v>
      </c>
      <c r="AH1050" s="25">
        <v>1</v>
      </c>
      <c r="AI1050" s="25">
        <f>IF(OR(Apresentação!$E$3='Base de Dados e filtragem'!AI$2,Apresentação!$E$3='Base de Dados e filtragem'!E1050),1,0)</f>
        <v>1</v>
      </c>
      <c r="AJ1050" s="25">
        <f>IF(OR(Apresentação!$E$4='Base de Dados e filtragem'!AJ$2,Apresentação!$E$4='Base de Dados e filtragem'!F1050),1,0)</f>
        <v>1</v>
      </c>
      <c r="AK1050" s="25">
        <f>IF(OR(Apresentação!$E$5='Base de Dados e filtragem'!AK$2,Apresentação!$E$5='Base de Dados e filtragem'!G1050),1,0)</f>
        <v>1</v>
      </c>
      <c r="AL1050" s="25">
        <f>IF(OR(Apresentação!$E$6='Base de Dados e filtragem'!AL$2,Apresentação!$E$6='Base de Dados e filtragem'!H1050),1,0)</f>
        <v>1</v>
      </c>
      <c r="AM1050" s="25">
        <f>IF(OR(Apresentação!$I$2='Base de Dados e filtragem'!AM$2,Apresentação!$I$2='Base de Dados e filtragem'!I1050),1,0)</f>
        <v>1</v>
      </c>
      <c r="AN1050" s="25">
        <f>IF(OR(Apresentação!$I$3='Base de Dados e filtragem'!AN$2,Apresentação!$I$3='Base de Dados e filtragem'!J1050),1,0)</f>
        <v>1</v>
      </c>
      <c r="AO1050" s="25">
        <f>IF(OR(Apresentação!$I$4='Base de Dados e filtragem'!AO$2,Apresentação!$I$4='Base de Dados e filtragem'!K1050),1,0)</f>
        <v>1</v>
      </c>
      <c r="AP1050" s="25">
        <f>IF(OR(Apresentação!$I$5='Base de Dados e filtragem'!AP$2,Apresentação!$I$5='Base de Dados e filtragem'!L1050),1,0)</f>
        <v>1</v>
      </c>
      <c r="AQ1050" s="25">
        <f>IF(OR(Apresentação!$I$6='Base de Dados e filtragem'!AQ$2,Apresentação!$I$6='Base de Dados e filtragem'!M1050),1,0)</f>
        <v>1</v>
      </c>
      <c r="AR1050" s="25">
        <v>1</v>
      </c>
      <c r="AS1050" s="25">
        <v>1</v>
      </c>
      <c r="AT1050" s="25">
        <v>1</v>
      </c>
      <c r="AU1050" s="25">
        <v>1</v>
      </c>
      <c r="AV1050" s="25">
        <v>1</v>
      </c>
      <c r="AW1050" s="25">
        <v>1</v>
      </c>
      <c r="AX1050" s="25">
        <v>1</v>
      </c>
      <c r="AY1050" s="25">
        <v>1</v>
      </c>
      <c r="AZ1050" s="25">
        <v>1</v>
      </c>
      <c r="BA1050" s="25">
        <v>1</v>
      </c>
      <c r="BB1050" s="25">
        <v>1</v>
      </c>
      <c r="BC1050" s="25">
        <v>1</v>
      </c>
      <c r="BD1050" s="25">
        <v>1</v>
      </c>
    </row>
    <row r="1051" spans="27:56" x14ac:dyDescent="0.25">
      <c r="AA1051" s="68" t="str">
        <f t="shared" si="65"/>
        <v>Fotos\\.jpg</v>
      </c>
      <c r="AB1051" s="53">
        <f t="shared" si="66"/>
        <v>9.5147478591817321E-4</v>
      </c>
      <c r="AC1051" s="25">
        <f t="shared" si="67"/>
        <v>1051</v>
      </c>
      <c r="AD1051" s="51">
        <f t="shared" si="68"/>
        <v>1</v>
      </c>
      <c r="AE1051" s="25">
        <v>1</v>
      </c>
      <c r="AF1051" s="25">
        <v>1</v>
      </c>
      <c r="AG1051" s="25">
        <v>1</v>
      </c>
      <c r="AH1051" s="25">
        <v>1</v>
      </c>
      <c r="AI1051" s="25">
        <f>IF(OR(Apresentação!$E$3='Base de Dados e filtragem'!AI$2,Apresentação!$E$3='Base de Dados e filtragem'!E1051),1,0)</f>
        <v>1</v>
      </c>
      <c r="AJ1051" s="25">
        <f>IF(OR(Apresentação!$E$4='Base de Dados e filtragem'!AJ$2,Apresentação!$E$4='Base de Dados e filtragem'!F1051),1,0)</f>
        <v>1</v>
      </c>
      <c r="AK1051" s="25">
        <f>IF(OR(Apresentação!$E$5='Base de Dados e filtragem'!AK$2,Apresentação!$E$5='Base de Dados e filtragem'!G1051),1,0)</f>
        <v>1</v>
      </c>
      <c r="AL1051" s="25">
        <f>IF(OR(Apresentação!$E$6='Base de Dados e filtragem'!AL$2,Apresentação!$E$6='Base de Dados e filtragem'!H1051),1,0)</f>
        <v>1</v>
      </c>
      <c r="AM1051" s="25">
        <f>IF(OR(Apresentação!$I$2='Base de Dados e filtragem'!AM$2,Apresentação!$I$2='Base de Dados e filtragem'!I1051),1,0)</f>
        <v>1</v>
      </c>
      <c r="AN1051" s="25">
        <f>IF(OR(Apresentação!$I$3='Base de Dados e filtragem'!AN$2,Apresentação!$I$3='Base de Dados e filtragem'!J1051),1,0)</f>
        <v>1</v>
      </c>
      <c r="AO1051" s="25">
        <f>IF(OR(Apresentação!$I$4='Base de Dados e filtragem'!AO$2,Apresentação!$I$4='Base de Dados e filtragem'!K1051),1,0)</f>
        <v>1</v>
      </c>
      <c r="AP1051" s="25">
        <f>IF(OR(Apresentação!$I$5='Base de Dados e filtragem'!AP$2,Apresentação!$I$5='Base de Dados e filtragem'!L1051),1,0)</f>
        <v>1</v>
      </c>
      <c r="AQ1051" s="25">
        <f>IF(OR(Apresentação!$I$6='Base de Dados e filtragem'!AQ$2,Apresentação!$I$6='Base de Dados e filtragem'!M1051),1,0)</f>
        <v>1</v>
      </c>
      <c r="AR1051" s="25">
        <v>1</v>
      </c>
      <c r="AS1051" s="25">
        <v>1</v>
      </c>
      <c r="AT1051" s="25">
        <v>1</v>
      </c>
      <c r="AU1051" s="25">
        <v>1</v>
      </c>
      <c r="AV1051" s="25">
        <v>1</v>
      </c>
      <c r="AW1051" s="25">
        <v>1</v>
      </c>
      <c r="AX1051" s="25">
        <v>1</v>
      </c>
      <c r="AY1051" s="25">
        <v>1</v>
      </c>
      <c r="AZ1051" s="25">
        <v>1</v>
      </c>
      <c r="BA1051" s="25">
        <v>1</v>
      </c>
      <c r="BB1051" s="25">
        <v>1</v>
      </c>
      <c r="BC1051" s="25">
        <v>1</v>
      </c>
      <c r="BD1051" s="25">
        <v>1</v>
      </c>
    </row>
    <row r="1052" spans="27:56" x14ac:dyDescent="0.25">
      <c r="AA1052" s="68" t="str">
        <f t="shared" si="65"/>
        <v>Fotos\\.jpg</v>
      </c>
      <c r="AB1052" s="53">
        <f t="shared" si="66"/>
        <v>9.5057034220532319E-4</v>
      </c>
      <c r="AC1052" s="25">
        <f t="shared" si="67"/>
        <v>1052</v>
      </c>
      <c r="AD1052" s="51">
        <f t="shared" si="68"/>
        <v>1</v>
      </c>
      <c r="AE1052" s="25">
        <v>1</v>
      </c>
      <c r="AF1052" s="25">
        <v>1</v>
      </c>
      <c r="AG1052" s="25">
        <v>1</v>
      </c>
      <c r="AH1052" s="25">
        <v>1</v>
      </c>
      <c r="AI1052" s="25">
        <f>IF(OR(Apresentação!$E$3='Base de Dados e filtragem'!AI$2,Apresentação!$E$3='Base de Dados e filtragem'!E1052),1,0)</f>
        <v>1</v>
      </c>
      <c r="AJ1052" s="25">
        <f>IF(OR(Apresentação!$E$4='Base de Dados e filtragem'!AJ$2,Apresentação!$E$4='Base de Dados e filtragem'!F1052),1,0)</f>
        <v>1</v>
      </c>
      <c r="AK1052" s="25">
        <f>IF(OR(Apresentação!$E$5='Base de Dados e filtragem'!AK$2,Apresentação!$E$5='Base de Dados e filtragem'!G1052),1,0)</f>
        <v>1</v>
      </c>
      <c r="AL1052" s="25">
        <f>IF(OR(Apresentação!$E$6='Base de Dados e filtragem'!AL$2,Apresentação!$E$6='Base de Dados e filtragem'!H1052),1,0)</f>
        <v>1</v>
      </c>
      <c r="AM1052" s="25">
        <f>IF(OR(Apresentação!$I$2='Base de Dados e filtragem'!AM$2,Apresentação!$I$2='Base de Dados e filtragem'!I1052),1,0)</f>
        <v>1</v>
      </c>
      <c r="AN1052" s="25">
        <f>IF(OR(Apresentação!$I$3='Base de Dados e filtragem'!AN$2,Apresentação!$I$3='Base de Dados e filtragem'!J1052),1,0)</f>
        <v>1</v>
      </c>
      <c r="AO1052" s="25">
        <f>IF(OR(Apresentação!$I$4='Base de Dados e filtragem'!AO$2,Apresentação!$I$4='Base de Dados e filtragem'!K1052),1,0)</f>
        <v>1</v>
      </c>
      <c r="AP1052" s="25">
        <f>IF(OR(Apresentação!$I$5='Base de Dados e filtragem'!AP$2,Apresentação!$I$5='Base de Dados e filtragem'!L1052),1,0)</f>
        <v>1</v>
      </c>
      <c r="AQ1052" s="25">
        <f>IF(OR(Apresentação!$I$6='Base de Dados e filtragem'!AQ$2,Apresentação!$I$6='Base de Dados e filtragem'!M1052),1,0)</f>
        <v>1</v>
      </c>
      <c r="AR1052" s="25">
        <v>1</v>
      </c>
      <c r="AS1052" s="25">
        <v>1</v>
      </c>
      <c r="AT1052" s="25">
        <v>1</v>
      </c>
      <c r="AU1052" s="25">
        <v>1</v>
      </c>
      <c r="AV1052" s="25">
        <v>1</v>
      </c>
      <c r="AW1052" s="25">
        <v>1</v>
      </c>
      <c r="AX1052" s="25">
        <v>1</v>
      </c>
      <c r="AY1052" s="25">
        <v>1</v>
      </c>
      <c r="AZ1052" s="25">
        <v>1</v>
      </c>
      <c r="BA1052" s="25">
        <v>1</v>
      </c>
      <c r="BB1052" s="25">
        <v>1</v>
      </c>
      <c r="BC1052" s="25">
        <v>1</v>
      </c>
      <c r="BD1052" s="25">
        <v>1</v>
      </c>
    </row>
    <row r="1053" spans="27:56" x14ac:dyDescent="0.25">
      <c r="AA1053" s="68" t="str">
        <f t="shared" si="65"/>
        <v>Fotos\\.jpg</v>
      </c>
      <c r="AB1053" s="53">
        <f t="shared" si="66"/>
        <v>9.4966761633428305E-4</v>
      </c>
      <c r="AC1053" s="25">
        <f t="shared" si="67"/>
        <v>1053</v>
      </c>
      <c r="AD1053" s="51">
        <f t="shared" si="68"/>
        <v>1</v>
      </c>
      <c r="AE1053" s="25">
        <v>1</v>
      </c>
      <c r="AF1053" s="25">
        <v>1</v>
      </c>
      <c r="AG1053" s="25">
        <v>1</v>
      </c>
      <c r="AH1053" s="25">
        <v>1</v>
      </c>
      <c r="AI1053" s="25">
        <f>IF(OR(Apresentação!$E$3='Base de Dados e filtragem'!AI$2,Apresentação!$E$3='Base de Dados e filtragem'!E1053),1,0)</f>
        <v>1</v>
      </c>
      <c r="AJ1053" s="25">
        <f>IF(OR(Apresentação!$E$4='Base de Dados e filtragem'!AJ$2,Apresentação!$E$4='Base de Dados e filtragem'!F1053),1,0)</f>
        <v>1</v>
      </c>
      <c r="AK1053" s="25">
        <f>IF(OR(Apresentação!$E$5='Base de Dados e filtragem'!AK$2,Apresentação!$E$5='Base de Dados e filtragem'!G1053),1,0)</f>
        <v>1</v>
      </c>
      <c r="AL1053" s="25">
        <f>IF(OR(Apresentação!$E$6='Base de Dados e filtragem'!AL$2,Apresentação!$E$6='Base de Dados e filtragem'!H1053),1,0)</f>
        <v>1</v>
      </c>
      <c r="AM1053" s="25">
        <f>IF(OR(Apresentação!$I$2='Base de Dados e filtragem'!AM$2,Apresentação!$I$2='Base de Dados e filtragem'!I1053),1,0)</f>
        <v>1</v>
      </c>
      <c r="AN1053" s="25">
        <f>IF(OR(Apresentação!$I$3='Base de Dados e filtragem'!AN$2,Apresentação!$I$3='Base de Dados e filtragem'!J1053),1,0)</f>
        <v>1</v>
      </c>
      <c r="AO1053" s="25">
        <f>IF(OR(Apresentação!$I$4='Base de Dados e filtragem'!AO$2,Apresentação!$I$4='Base de Dados e filtragem'!K1053),1,0)</f>
        <v>1</v>
      </c>
      <c r="AP1053" s="25">
        <f>IF(OR(Apresentação!$I$5='Base de Dados e filtragem'!AP$2,Apresentação!$I$5='Base de Dados e filtragem'!L1053),1,0)</f>
        <v>1</v>
      </c>
      <c r="AQ1053" s="25">
        <f>IF(OR(Apresentação!$I$6='Base de Dados e filtragem'!AQ$2,Apresentação!$I$6='Base de Dados e filtragem'!M1053),1,0)</f>
        <v>1</v>
      </c>
      <c r="AR1053" s="25">
        <v>1</v>
      </c>
      <c r="AS1053" s="25">
        <v>1</v>
      </c>
      <c r="AT1053" s="25">
        <v>1</v>
      </c>
      <c r="AU1053" s="25">
        <v>1</v>
      </c>
      <c r="AV1053" s="25">
        <v>1</v>
      </c>
      <c r="AW1053" s="25">
        <v>1</v>
      </c>
      <c r="AX1053" s="25">
        <v>1</v>
      </c>
      <c r="AY1053" s="25">
        <v>1</v>
      </c>
      <c r="AZ1053" s="25">
        <v>1</v>
      </c>
      <c r="BA1053" s="25">
        <v>1</v>
      </c>
      <c r="BB1053" s="25">
        <v>1</v>
      </c>
      <c r="BC1053" s="25">
        <v>1</v>
      </c>
      <c r="BD1053" s="25">
        <v>1</v>
      </c>
    </row>
    <row r="1054" spans="27:56" x14ac:dyDescent="0.25">
      <c r="AA1054" s="68" t="str">
        <f t="shared" si="65"/>
        <v>Fotos\\.jpg</v>
      </c>
      <c r="AB1054" s="53">
        <f t="shared" si="66"/>
        <v>9.4876660341555979E-4</v>
      </c>
      <c r="AC1054" s="25">
        <f t="shared" si="67"/>
        <v>1054</v>
      </c>
      <c r="AD1054" s="51">
        <f t="shared" si="68"/>
        <v>1</v>
      </c>
      <c r="AE1054" s="25">
        <v>1</v>
      </c>
      <c r="AF1054" s="25">
        <v>1</v>
      </c>
      <c r="AG1054" s="25">
        <v>1</v>
      </c>
      <c r="AH1054" s="25">
        <v>1</v>
      </c>
      <c r="AI1054" s="25">
        <f>IF(OR(Apresentação!$E$3='Base de Dados e filtragem'!AI$2,Apresentação!$E$3='Base de Dados e filtragem'!E1054),1,0)</f>
        <v>1</v>
      </c>
      <c r="AJ1054" s="25">
        <f>IF(OR(Apresentação!$E$4='Base de Dados e filtragem'!AJ$2,Apresentação!$E$4='Base de Dados e filtragem'!F1054),1,0)</f>
        <v>1</v>
      </c>
      <c r="AK1054" s="25">
        <f>IF(OR(Apresentação!$E$5='Base de Dados e filtragem'!AK$2,Apresentação!$E$5='Base de Dados e filtragem'!G1054),1,0)</f>
        <v>1</v>
      </c>
      <c r="AL1054" s="25">
        <f>IF(OR(Apresentação!$E$6='Base de Dados e filtragem'!AL$2,Apresentação!$E$6='Base de Dados e filtragem'!H1054),1,0)</f>
        <v>1</v>
      </c>
      <c r="AM1054" s="25">
        <f>IF(OR(Apresentação!$I$2='Base de Dados e filtragem'!AM$2,Apresentação!$I$2='Base de Dados e filtragem'!I1054),1,0)</f>
        <v>1</v>
      </c>
      <c r="AN1054" s="25">
        <f>IF(OR(Apresentação!$I$3='Base de Dados e filtragem'!AN$2,Apresentação!$I$3='Base de Dados e filtragem'!J1054),1,0)</f>
        <v>1</v>
      </c>
      <c r="AO1054" s="25">
        <f>IF(OR(Apresentação!$I$4='Base de Dados e filtragem'!AO$2,Apresentação!$I$4='Base de Dados e filtragem'!K1054),1,0)</f>
        <v>1</v>
      </c>
      <c r="AP1054" s="25">
        <f>IF(OR(Apresentação!$I$5='Base de Dados e filtragem'!AP$2,Apresentação!$I$5='Base de Dados e filtragem'!L1054),1,0)</f>
        <v>1</v>
      </c>
      <c r="AQ1054" s="25">
        <f>IF(OR(Apresentação!$I$6='Base de Dados e filtragem'!AQ$2,Apresentação!$I$6='Base de Dados e filtragem'!M1054),1,0)</f>
        <v>1</v>
      </c>
      <c r="AR1054" s="25">
        <v>1</v>
      </c>
      <c r="AS1054" s="25">
        <v>1</v>
      </c>
      <c r="AT1054" s="25">
        <v>1</v>
      </c>
      <c r="AU1054" s="25">
        <v>1</v>
      </c>
      <c r="AV1054" s="25">
        <v>1</v>
      </c>
      <c r="AW1054" s="25">
        <v>1</v>
      </c>
      <c r="AX1054" s="25">
        <v>1</v>
      </c>
      <c r="AY1054" s="25">
        <v>1</v>
      </c>
      <c r="AZ1054" s="25">
        <v>1</v>
      </c>
      <c r="BA1054" s="25">
        <v>1</v>
      </c>
      <c r="BB1054" s="25">
        <v>1</v>
      </c>
      <c r="BC1054" s="25">
        <v>1</v>
      </c>
      <c r="BD1054" s="25">
        <v>1</v>
      </c>
    </row>
    <row r="1055" spans="27:56" x14ac:dyDescent="0.25">
      <c r="AA1055" s="68" t="str">
        <f t="shared" si="65"/>
        <v>Fotos\\.jpg</v>
      </c>
      <c r="AB1055" s="53">
        <f t="shared" si="66"/>
        <v>9.4786729857819908E-4</v>
      </c>
      <c r="AC1055" s="25">
        <f t="shared" si="67"/>
        <v>1055</v>
      </c>
      <c r="AD1055" s="51">
        <f t="shared" si="68"/>
        <v>1</v>
      </c>
      <c r="AE1055" s="25">
        <v>1</v>
      </c>
      <c r="AF1055" s="25">
        <v>1</v>
      </c>
      <c r="AG1055" s="25">
        <v>1</v>
      </c>
      <c r="AH1055" s="25">
        <v>1</v>
      </c>
      <c r="AI1055" s="25">
        <f>IF(OR(Apresentação!$E$3='Base de Dados e filtragem'!AI$2,Apresentação!$E$3='Base de Dados e filtragem'!E1055),1,0)</f>
        <v>1</v>
      </c>
      <c r="AJ1055" s="25">
        <f>IF(OR(Apresentação!$E$4='Base de Dados e filtragem'!AJ$2,Apresentação!$E$4='Base de Dados e filtragem'!F1055),1,0)</f>
        <v>1</v>
      </c>
      <c r="AK1055" s="25">
        <f>IF(OR(Apresentação!$E$5='Base de Dados e filtragem'!AK$2,Apresentação!$E$5='Base de Dados e filtragem'!G1055),1,0)</f>
        <v>1</v>
      </c>
      <c r="AL1055" s="25">
        <f>IF(OR(Apresentação!$E$6='Base de Dados e filtragem'!AL$2,Apresentação!$E$6='Base de Dados e filtragem'!H1055),1,0)</f>
        <v>1</v>
      </c>
      <c r="AM1055" s="25">
        <f>IF(OR(Apresentação!$I$2='Base de Dados e filtragem'!AM$2,Apresentação!$I$2='Base de Dados e filtragem'!I1055),1,0)</f>
        <v>1</v>
      </c>
      <c r="AN1055" s="25">
        <f>IF(OR(Apresentação!$I$3='Base de Dados e filtragem'!AN$2,Apresentação!$I$3='Base de Dados e filtragem'!J1055),1,0)</f>
        <v>1</v>
      </c>
      <c r="AO1055" s="25">
        <f>IF(OR(Apresentação!$I$4='Base de Dados e filtragem'!AO$2,Apresentação!$I$4='Base de Dados e filtragem'!K1055),1,0)</f>
        <v>1</v>
      </c>
      <c r="AP1055" s="25">
        <f>IF(OR(Apresentação!$I$5='Base de Dados e filtragem'!AP$2,Apresentação!$I$5='Base de Dados e filtragem'!L1055),1,0)</f>
        <v>1</v>
      </c>
      <c r="AQ1055" s="25">
        <f>IF(OR(Apresentação!$I$6='Base de Dados e filtragem'!AQ$2,Apresentação!$I$6='Base de Dados e filtragem'!M1055),1,0)</f>
        <v>1</v>
      </c>
      <c r="AR1055" s="25">
        <v>1</v>
      </c>
      <c r="AS1055" s="25">
        <v>1</v>
      </c>
      <c r="AT1055" s="25">
        <v>1</v>
      </c>
      <c r="AU1055" s="25">
        <v>1</v>
      </c>
      <c r="AV1055" s="25">
        <v>1</v>
      </c>
      <c r="AW1055" s="25">
        <v>1</v>
      </c>
      <c r="AX1055" s="25">
        <v>1</v>
      </c>
      <c r="AY1055" s="25">
        <v>1</v>
      </c>
      <c r="AZ1055" s="25">
        <v>1</v>
      </c>
      <c r="BA1055" s="25">
        <v>1</v>
      </c>
      <c r="BB1055" s="25">
        <v>1</v>
      </c>
      <c r="BC1055" s="25">
        <v>1</v>
      </c>
      <c r="BD1055" s="25">
        <v>1</v>
      </c>
    </row>
    <row r="1056" spans="27:56" x14ac:dyDescent="0.25">
      <c r="AA1056" s="68" t="str">
        <f t="shared" si="65"/>
        <v>Fotos\\.jpg</v>
      </c>
      <c r="AB1056" s="53">
        <f t="shared" si="66"/>
        <v>9.46969696969697E-4</v>
      </c>
      <c r="AC1056" s="25">
        <f t="shared" si="67"/>
        <v>1056</v>
      </c>
      <c r="AD1056" s="51">
        <f t="shared" si="68"/>
        <v>1</v>
      </c>
      <c r="AE1056" s="25">
        <v>1</v>
      </c>
      <c r="AF1056" s="25">
        <v>1</v>
      </c>
      <c r="AG1056" s="25">
        <v>1</v>
      </c>
      <c r="AH1056" s="25">
        <v>1</v>
      </c>
      <c r="AI1056" s="25">
        <f>IF(OR(Apresentação!$E$3='Base de Dados e filtragem'!AI$2,Apresentação!$E$3='Base de Dados e filtragem'!E1056),1,0)</f>
        <v>1</v>
      </c>
      <c r="AJ1056" s="25">
        <f>IF(OR(Apresentação!$E$4='Base de Dados e filtragem'!AJ$2,Apresentação!$E$4='Base de Dados e filtragem'!F1056),1,0)</f>
        <v>1</v>
      </c>
      <c r="AK1056" s="25">
        <f>IF(OR(Apresentação!$E$5='Base de Dados e filtragem'!AK$2,Apresentação!$E$5='Base de Dados e filtragem'!G1056),1,0)</f>
        <v>1</v>
      </c>
      <c r="AL1056" s="25">
        <f>IF(OR(Apresentação!$E$6='Base de Dados e filtragem'!AL$2,Apresentação!$E$6='Base de Dados e filtragem'!H1056),1,0)</f>
        <v>1</v>
      </c>
      <c r="AM1056" s="25">
        <f>IF(OR(Apresentação!$I$2='Base de Dados e filtragem'!AM$2,Apresentação!$I$2='Base de Dados e filtragem'!I1056),1,0)</f>
        <v>1</v>
      </c>
      <c r="AN1056" s="25">
        <f>IF(OR(Apresentação!$I$3='Base de Dados e filtragem'!AN$2,Apresentação!$I$3='Base de Dados e filtragem'!J1056),1,0)</f>
        <v>1</v>
      </c>
      <c r="AO1056" s="25">
        <f>IF(OR(Apresentação!$I$4='Base de Dados e filtragem'!AO$2,Apresentação!$I$4='Base de Dados e filtragem'!K1056),1,0)</f>
        <v>1</v>
      </c>
      <c r="AP1056" s="25">
        <f>IF(OR(Apresentação!$I$5='Base de Dados e filtragem'!AP$2,Apresentação!$I$5='Base de Dados e filtragem'!L1056),1,0)</f>
        <v>1</v>
      </c>
      <c r="AQ1056" s="25">
        <f>IF(OR(Apresentação!$I$6='Base de Dados e filtragem'!AQ$2,Apresentação!$I$6='Base de Dados e filtragem'!M1056),1,0)</f>
        <v>1</v>
      </c>
      <c r="AR1056" s="25">
        <v>1</v>
      </c>
      <c r="AS1056" s="25">
        <v>1</v>
      </c>
      <c r="AT1056" s="25">
        <v>1</v>
      </c>
      <c r="AU1056" s="25">
        <v>1</v>
      </c>
      <c r="AV1056" s="25">
        <v>1</v>
      </c>
      <c r="AW1056" s="25">
        <v>1</v>
      </c>
      <c r="AX1056" s="25">
        <v>1</v>
      </c>
      <c r="AY1056" s="25">
        <v>1</v>
      </c>
      <c r="AZ1056" s="25">
        <v>1</v>
      </c>
      <c r="BA1056" s="25">
        <v>1</v>
      </c>
      <c r="BB1056" s="25">
        <v>1</v>
      </c>
      <c r="BC1056" s="25">
        <v>1</v>
      </c>
      <c r="BD1056" s="25">
        <v>1</v>
      </c>
    </row>
    <row r="1057" spans="27:56" x14ac:dyDescent="0.25">
      <c r="AA1057" s="68" t="str">
        <f t="shared" si="65"/>
        <v>Fotos\\.jpg</v>
      </c>
      <c r="AB1057" s="53">
        <f t="shared" si="66"/>
        <v>9.4607379375591296E-4</v>
      </c>
      <c r="AC1057" s="25">
        <f t="shared" si="67"/>
        <v>1057</v>
      </c>
      <c r="AD1057" s="51">
        <f t="shared" si="68"/>
        <v>1</v>
      </c>
      <c r="AE1057" s="25">
        <v>1</v>
      </c>
      <c r="AF1057" s="25">
        <v>1</v>
      </c>
      <c r="AG1057" s="25">
        <v>1</v>
      </c>
      <c r="AH1057" s="25">
        <v>1</v>
      </c>
      <c r="AI1057" s="25">
        <f>IF(OR(Apresentação!$E$3='Base de Dados e filtragem'!AI$2,Apresentação!$E$3='Base de Dados e filtragem'!E1057),1,0)</f>
        <v>1</v>
      </c>
      <c r="AJ1057" s="25">
        <f>IF(OR(Apresentação!$E$4='Base de Dados e filtragem'!AJ$2,Apresentação!$E$4='Base de Dados e filtragem'!F1057),1,0)</f>
        <v>1</v>
      </c>
      <c r="AK1057" s="25">
        <f>IF(OR(Apresentação!$E$5='Base de Dados e filtragem'!AK$2,Apresentação!$E$5='Base de Dados e filtragem'!G1057),1,0)</f>
        <v>1</v>
      </c>
      <c r="AL1057" s="25">
        <f>IF(OR(Apresentação!$E$6='Base de Dados e filtragem'!AL$2,Apresentação!$E$6='Base de Dados e filtragem'!H1057),1,0)</f>
        <v>1</v>
      </c>
      <c r="AM1057" s="25">
        <f>IF(OR(Apresentação!$I$2='Base de Dados e filtragem'!AM$2,Apresentação!$I$2='Base de Dados e filtragem'!I1057),1,0)</f>
        <v>1</v>
      </c>
      <c r="AN1057" s="25">
        <f>IF(OR(Apresentação!$I$3='Base de Dados e filtragem'!AN$2,Apresentação!$I$3='Base de Dados e filtragem'!J1057),1,0)</f>
        <v>1</v>
      </c>
      <c r="AO1057" s="25">
        <f>IF(OR(Apresentação!$I$4='Base de Dados e filtragem'!AO$2,Apresentação!$I$4='Base de Dados e filtragem'!K1057),1,0)</f>
        <v>1</v>
      </c>
      <c r="AP1057" s="25">
        <f>IF(OR(Apresentação!$I$5='Base de Dados e filtragem'!AP$2,Apresentação!$I$5='Base de Dados e filtragem'!L1057),1,0)</f>
        <v>1</v>
      </c>
      <c r="AQ1057" s="25">
        <f>IF(OR(Apresentação!$I$6='Base de Dados e filtragem'!AQ$2,Apresentação!$I$6='Base de Dados e filtragem'!M1057),1,0)</f>
        <v>1</v>
      </c>
      <c r="AR1057" s="25">
        <v>1</v>
      </c>
      <c r="AS1057" s="25">
        <v>1</v>
      </c>
      <c r="AT1057" s="25">
        <v>1</v>
      </c>
      <c r="AU1057" s="25">
        <v>1</v>
      </c>
      <c r="AV1057" s="25">
        <v>1</v>
      </c>
      <c r="AW1057" s="25">
        <v>1</v>
      </c>
      <c r="AX1057" s="25">
        <v>1</v>
      </c>
      <c r="AY1057" s="25">
        <v>1</v>
      </c>
      <c r="AZ1057" s="25">
        <v>1</v>
      </c>
      <c r="BA1057" s="25">
        <v>1</v>
      </c>
      <c r="BB1057" s="25">
        <v>1</v>
      </c>
      <c r="BC1057" s="25">
        <v>1</v>
      </c>
      <c r="BD1057" s="25">
        <v>1</v>
      </c>
    </row>
    <row r="1058" spans="27:56" x14ac:dyDescent="0.25">
      <c r="AA1058" s="68" t="str">
        <f t="shared" si="65"/>
        <v>Fotos\\.jpg</v>
      </c>
      <c r="AB1058" s="53">
        <f t="shared" si="66"/>
        <v>9.4517958412098301E-4</v>
      </c>
      <c r="AC1058" s="25">
        <f t="shared" si="67"/>
        <v>1058</v>
      </c>
      <c r="AD1058" s="51">
        <f t="shared" si="68"/>
        <v>1</v>
      </c>
      <c r="AE1058" s="25">
        <v>1</v>
      </c>
      <c r="AF1058" s="25">
        <v>1</v>
      </c>
      <c r="AG1058" s="25">
        <v>1</v>
      </c>
      <c r="AH1058" s="25">
        <v>1</v>
      </c>
      <c r="AI1058" s="25">
        <f>IF(OR(Apresentação!$E$3='Base de Dados e filtragem'!AI$2,Apresentação!$E$3='Base de Dados e filtragem'!E1058),1,0)</f>
        <v>1</v>
      </c>
      <c r="AJ1058" s="25">
        <f>IF(OR(Apresentação!$E$4='Base de Dados e filtragem'!AJ$2,Apresentação!$E$4='Base de Dados e filtragem'!F1058),1,0)</f>
        <v>1</v>
      </c>
      <c r="AK1058" s="25">
        <f>IF(OR(Apresentação!$E$5='Base de Dados e filtragem'!AK$2,Apresentação!$E$5='Base de Dados e filtragem'!G1058),1,0)</f>
        <v>1</v>
      </c>
      <c r="AL1058" s="25">
        <f>IF(OR(Apresentação!$E$6='Base de Dados e filtragem'!AL$2,Apresentação!$E$6='Base de Dados e filtragem'!H1058),1,0)</f>
        <v>1</v>
      </c>
      <c r="AM1058" s="25">
        <f>IF(OR(Apresentação!$I$2='Base de Dados e filtragem'!AM$2,Apresentação!$I$2='Base de Dados e filtragem'!I1058),1,0)</f>
        <v>1</v>
      </c>
      <c r="AN1058" s="25">
        <f>IF(OR(Apresentação!$I$3='Base de Dados e filtragem'!AN$2,Apresentação!$I$3='Base de Dados e filtragem'!J1058),1,0)</f>
        <v>1</v>
      </c>
      <c r="AO1058" s="25">
        <f>IF(OR(Apresentação!$I$4='Base de Dados e filtragem'!AO$2,Apresentação!$I$4='Base de Dados e filtragem'!K1058),1,0)</f>
        <v>1</v>
      </c>
      <c r="AP1058" s="25">
        <f>IF(OR(Apresentação!$I$5='Base de Dados e filtragem'!AP$2,Apresentação!$I$5='Base de Dados e filtragem'!L1058),1,0)</f>
        <v>1</v>
      </c>
      <c r="AQ1058" s="25">
        <f>IF(OR(Apresentação!$I$6='Base de Dados e filtragem'!AQ$2,Apresentação!$I$6='Base de Dados e filtragem'!M1058),1,0)</f>
        <v>1</v>
      </c>
      <c r="AR1058" s="25">
        <v>1</v>
      </c>
      <c r="AS1058" s="25">
        <v>1</v>
      </c>
      <c r="AT1058" s="25">
        <v>1</v>
      </c>
      <c r="AU1058" s="25">
        <v>1</v>
      </c>
      <c r="AV1058" s="25">
        <v>1</v>
      </c>
      <c r="AW1058" s="25">
        <v>1</v>
      </c>
      <c r="AX1058" s="25">
        <v>1</v>
      </c>
      <c r="AY1058" s="25">
        <v>1</v>
      </c>
      <c r="AZ1058" s="25">
        <v>1</v>
      </c>
      <c r="BA1058" s="25">
        <v>1</v>
      </c>
      <c r="BB1058" s="25">
        <v>1</v>
      </c>
      <c r="BC1058" s="25">
        <v>1</v>
      </c>
      <c r="BD1058" s="25">
        <v>1</v>
      </c>
    </row>
    <row r="1059" spans="27:56" x14ac:dyDescent="0.25">
      <c r="AA1059" s="68" t="str">
        <f t="shared" si="65"/>
        <v>Fotos\\.jpg</v>
      </c>
      <c r="AB1059" s="53">
        <f t="shared" si="66"/>
        <v>9.4428706326723328E-4</v>
      </c>
      <c r="AC1059" s="25">
        <f t="shared" si="67"/>
        <v>1059</v>
      </c>
      <c r="AD1059" s="51">
        <f t="shared" si="68"/>
        <v>1</v>
      </c>
      <c r="AE1059" s="25">
        <v>1</v>
      </c>
      <c r="AF1059" s="25">
        <v>1</v>
      </c>
      <c r="AG1059" s="25">
        <v>1</v>
      </c>
      <c r="AH1059" s="25">
        <v>1</v>
      </c>
      <c r="AI1059" s="25">
        <f>IF(OR(Apresentação!$E$3='Base de Dados e filtragem'!AI$2,Apresentação!$E$3='Base de Dados e filtragem'!E1059),1,0)</f>
        <v>1</v>
      </c>
      <c r="AJ1059" s="25">
        <f>IF(OR(Apresentação!$E$4='Base de Dados e filtragem'!AJ$2,Apresentação!$E$4='Base de Dados e filtragem'!F1059),1,0)</f>
        <v>1</v>
      </c>
      <c r="AK1059" s="25">
        <f>IF(OR(Apresentação!$E$5='Base de Dados e filtragem'!AK$2,Apresentação!$E$5='Base de Dados e filtragem'!G1059),1,0)</f>
        <v>1</v>
      </c>
      <c r="AL1059" s="25">
        <f>IF(OR(Apresentação!$E$6='Base de Dados e filtragem'!AL$2,Apresentação!$E$6='Base de Dados e filtragem'!H1059),1,0)</f>
        <v>1</v>
      </c>
      <c r="AM1059" s="25">
        <f>IF(OR(Apresentação!$I$2='Base de Dados e filtragem'!AM$2,Apresentação!$I$2='Base de Dados e filtragem'!I1059),1,0)</f>
        <v>1</v>
      </c>
      <c r="AN1059" s="25">
        <f>IF(OR(Apresentação!$I$3='Base de Dados e filtragem'!AN$2,Apresentação!$I$3='Base de Dados e filtragem'!J1059),1,0)</f>
        <v>1</v>
      </c>
      <c r="AO1059" s="25">
        <f>IF(OR(Apresentação!$I$4='Base de Dados e filtragem'!AO$2,Apresentação!$I$4='Base de Dados e filtragem'!K1059),1,0)</f>
        <v>1</v>
      </c>
      <c r="AP1059" s="25">
        <f>IF(OR(Apresentação!$I$5='Base de Dados e filtragem'!AP$2,Apresentação!$I$5='Base de Dados e filtragem'!L1059),1,0)</f>
        <v>1</v>
      </c>
      <c r="AQ1059" s="25">
        <f>IF(OR(Apresentação!$I$6='Base de Dados e filtragem'!AQ$2,Apresentação!$I$6='Base de Dados e filtragem'!M1059),1,0)</f>
        <v>1</v>
      </c>
      <c r="AR1059" s="25">
        <v>1</v>
      </c>
      <c r="AS1059" s="25">
        <v>1</v>
      </c>
      <c r="AT1059" s="25">
        <v>1</v>
      </c>
      <c r="AU1059" s="25">
        <v>1</v>
      </c>
      <c r="AV1059" s="25">
        <v>1</v>
      </c>
      <c r="AW1059" s="25">
        <v>1</v>
      </c>
      <c r="AX1059" s="25">
        <v>1</v>
      </c>
      <c r="AY1059" s="25">
        <v>1</v>
      </c>
      <c r="AZ1059" s="25">
        <v>1</v>
      </c>
      <c r="BA1059" s="25">
        <v>1</v>
      </c>
      <c r="BB1059" s="25">
        <v>1</v>
      </c>
      <c r="BC1059" s="25">
        <v>1</v>
      </c>
      <c r="BD1059" s="25">
        <v>1</v>
      </c>
    </row>
    <row r="1060" spans="27:56" x14ac:dyDescent="0.25">
      <c r="AA1060" s="68" t="str">
        <f t="shared" si="65"/>
        <v>Fotos\\.jpg</v>
      </c>
      <c r="AB1060" s="53">
        <f t="shared" si="66"/>
        <v>9.4339622641509435E-4</v>
      </c>
      <c r="AC1060" s="25">
        <f t="shared" si="67"/>
        <v>1060</v>
      </c>
      <c r="AD1060" s="51">
        <f t="shared" si="68"/>
        <v>1</v>
      </c>
      <c r="AE1060" s="25">
        <v>1</v>
      </c>
      <c r="AF1060" s="25">
        <v>1</v>
      </c>
      <c r="AG1060" s="25">
        <v>1</v>
      </c>
      <c r="AH1060" s="25">
        <v>1</v>
      </c>
      <c r="AI1060" s="25">
        <f>IF(OR(Apresentação!$E$3='Base de Dados e filtragem'!AI$2,Apresentação!$E$3='Base de Dados e filtragem'!E1060),1,0)</f>
        <v>1</v>
      </c>
      <c r="AJ1060" s="25">
        <f>IF(OR(Apresentação!$E$4='Base de Dados e filtragem'!AJ$2,Apresentação!$E$4='Base de Dados e filtragem'!F1060),1,0)</f>
        <v>1</v>
      </c>
      <c r="AK1060" s="25">
        <f>IF(OR(Apresentação!$E$5='Base de Dados e filtragem'!AK$2,Apresentação!$E$5='Base de Dados e filtragem'!G1060),1,0)</f>
        <v>1</v>
      </c>
      <c r="AL1060" s="25">
        <f>IF(OR(Apresentação!$E$6='Base de Dados e filtragem'!AL$2,Apresentação!$E$6='Base de Dados e filtragem'!H1060),1,0)</f>
        <v>1</v>
      </c>
      <c r="AM1060" s="25">
        <f>IF(OR(Apresentação!$I$2='Base de Dados e filtragem'!AM$2,Apresentação!$I$2='Base de Dados e filtragem'!I1060),1,0)</f>
        <v>1</v>
      </c>
      <c r="AN1060" s="25">
        <f>IF(OR(Apresentação!$I$3='Base de Dados e filtragem'!AN$2,Apresentação!$I$3='Base de Dados e filtragem'!J1060),1,0)</f>
        <v>1</v>
      </c>
      <c r="AO1060" s="25">
        <f>IF(OR(Apresentação!$I$4='Base de Dados e filtragem'!AO$2,Apresentação!$I$4='Base de Dados e filtragem'!K1060),1,0)</f>
        <v>1</v>
      </c>
      <c r="AP1060" s="25">
        <f>IF(OR(Apresentação!$I$5='Base de Dados e filtragem'!AP$2,Apresentação!$I$5='Base de Dados e filtragem'!L1060),1,0)</f>
        <v>1</v>
      </c>
      <c r="AQ1060" s="25">
        <f>IF(OR(Apresentação!$I$6='Base de Dados e filtragem'!AQ$2,Apresentação!$I$6='Base de Dados e filtragem'!M1060),1,0)</f>
        <v>1</v>
      </c>
      <c r="AR1060" s="25">
        <v>1</v>
      </c>
      <c r="AS1060" s="25">
        <v>1</v>
      </c>
      <c r="AT1060" s="25">
        <v>1</v>
      </c>
      <c r="AU1060" s="25">
        <v>1</v>
      </c>
      <c r="AV1060" s="25">
        <v>1</v>
      </c>
      <c r="AW1060" s="25">
        <v>1</v>
      </c>
      <c r="AX1060" s="25">
        <v>1</v>
      </c>
      <c r="AY1060" s="25">
        <v>1</v>
      </c>
      <c r="AZ1060" s="25">
        <v>1</v>
      </c>
      <c r="BA1060" s="25">
        <v>1</v>
      </c>
      <c r="BB1060" s="25">
        <v>1</v>
      </c>
      <c r="BC1060" s="25">
        <v>1</v>
      </c>
      <c r="BD1060" s="25">
        <v>1</v>
      </c>
    </row>
    <row r="1061" spans="27:56" x14ac:dyDescent="0.25">
      <c r="AA1061" s="68" t="str">
        <f t="shared" si="65"/>
        <v>Fotos\\.jpg</v>
      </c>
      <c r="AB1061" s="53">
        <f t="shared" si="66"/>
        <v>9.42507068803016E-4</v>
      </c>
      <c r="AC1061" s="25">
        <f t="shared" si="67"/>
        <v>1061</v>
      </c>
      <c r="AD1061" s="51">
        <f t="shared" si="68"/>
        <v>1</v>
      </c>
      <c r="AE1061" s="25">
        <v>1</v>
      </c>
      <c r="AF1061" s="25">
        <v>1</v>
      </c>
      <c r="AG1061" s="25">
        <v>1</v>
      </c>
      <c r="AH1061" s="25">
        <v>1</v>
      </c>
      <c r="AI1061" s="25">
        <f>IF(OR(Apresentação!$E$3='Base de Dados e filtragem'!AI$2,Apresentação!$E$3='Base de Dados e filtragem'!E1061),1,0)</f>
        <v>1</v>
      </c>
      <c r="AJ1061" s="25">
        <f>IF(OR(Apresentação!$E$4='Base de Dados e filtragem'!AJ$2,Apresentação!$E$4='Base de Dados e filtragem'!F1061),1,0)</f>
        <v>1</v>
      </c>
      <c r="AK1061" s="25">
        <f>IF(OR(Apresentação!$E$5='Base de Dados e filtragem'!AK$2,Apresentação!$E$5='Base de Dados e filtragem'!G1061),1,0)</f>
        <v>1</v>
      </c>
      <c r="AL1061" s="25">
        <f>IF(OR(Apresentação!$E$6='Base de Dados e filtragem'!AL$2,Apresentação!$E$6='Base de Dados e filtragem'!H1061),1,0)</f>
        <v>1</v>
      </c>
      <c r="AM1061" s="25">
        <f>IF(OR(Apresentação!$I$2='Base de Dados e filtragem'!AM$2,Apresentação!$I$2='Base de Dados e filtragem'!I1061),1,0)</f>
        <v>1</v>
      </c>
      <c r="AN1061" s="25">
        <f>IF(OR(Apresentação!$I$3='Base de Dados e filtragem'!AN$2,Apresentação!$I$3='Base de Dados e filtragem'!J1061),1,0)</f>
        <v>1</v>
      </c>
      <c r="AO1061" s="25">
        <f>IF(OR(Apresentação!$I$4='Base de Dados e filtragem'!AO$2,Apresentação!$I$4='Base de Dados e filtragem'!K1061),1,0)</f>
        <v>1</v>
      </c>
      <c r="AP1061" s="25">
        <f>IF(OR(Apresentação!$I$5='Base de Dados e filtragem'!AP$2,Apresentação!$I$5='Base de Dados e filtragem'!L1061),1,0)</f>
        <v>1</v>
      </c>
      <c r="AQ1061" s="25">
        <f>IF(OR(Apresentação!$I$6='Base de Dados e filtragem'!AQ$2,Apresentação!$I$6='Base de Dados e filtragem'!M1061),1,0)</f>
        <v>1</v>
      </c>
      <c r="AR1061" s="25">
        <v>1</v>
      </c>
      <c r="AS1061" s="25">
        <v>1</v>
      </c>
      <c r="AT1061" s="25">
        <v>1</v>
      </c>
      <c r="AU1061" s="25">
        <v>1</v>
      </c>
      <c r="AV1061" s="25">
        <v>1</v>
      </c>
      <c r="AW1061" s="25">
        <v>1</v>
      </c>
      <c r="AX1061" s="25">
        <v>1</v>
      </c>
      <c r="AY1061" s="25">
        <v>1</v>
      </c>
      <c r="AZ1061" s="25">
        <v>1</v>
      </c>
      <c r="BA1061" s="25">
        <v>1</v>
      </c>
      <c r="BB1061" s="25">
        <v>1</v>
      </c>
      <c r="BC1061" s="25">
        <v>1</v>
      </c>
      <c r="BD1061" s="25">
        <v>1</v>
      </c>
    </row>
    <row r="1062" spans="27:56" x14ac:dyDescent="0.25">
      <c r="AA1062" s="68" t="str">
        <f t="shared" si="65"/>
        <v>Fotos\\.jpg</v>
      </c>
      <c r="AB1062" s="53">
        <f t="shared" si="66"/>
        <v>9.4161958568738226E-4</v>
      </c>
      <c r="AC1062" s="25">
        <f t="shared" si="67"/>
        <v>1062</v>
      </c>
      <c r="AD1062" s="51">
        <f t="shared" si="68"/>
        <v>1</v>
      </c>
      <c r="AE1062" s="25">
        <v>1</v>
      </c>
      <c r="AF1062" s="25">
        <v>1</v>
      </c>
      <c r="AG1062" s="25">
        <v>1</v>
      </c>
      <c r="AH1062" s="25">
        <v>1</v>
      </c>
      <c r="AI1062" s="25">
        <f>IF(OR(Apresentação!$E$3='Base de Dados e filtragem'!AI$2,Apresentação!$E$3='Base de Dados e filtragem'!E1062),1,0)</f>
        <v>1</v>
      </c>
      <c r="AJ1062" s="25">
        <f>IF(OR(Apresentação!$E$4='Base de Dados e filtragem'!AJ$2,Apresentação!$E$4='Base de Dados e filtragem'!F1062),1,0)</f>
        <v>1</v>
      </c>
      <c r="AK1062" s="25">
        <f>IF(OR(Apresentação!$E$5='Base de Dados e filtragem'!AK$2,Apresentação!$E$5='Base de Dados e filtragem'!G1062),1,0)</f>
        <v>1</v>
      </c>
      <c r="AL1062" s="25">
        <f>IF(OR(Apresentação!$E$6='Base de Dados e filtragem'!AL$2,Apresentação!$E$6='Base de Dados e filtragem'!H1062),1,0)</f>
        <v>1</v>
      </c>
      <c r="AM1062" s="25">
        <f>IF(OR(Apresentação!$I$2='Base de Dados e filtragem'!AM$2,Apresentação!$I$2='Base de Dados e filtragem'!I1062),1,0)</f>
        <v>1</v>
      </c>
      <c r="AN1062" s="25">
        <f>IF(OR(Apresentação!$I$3='Base de Dados e filtragem'!AN$2,Apresentação!$I$3='Base de Dados e filtragem'!J1062),1,0)</f>
        <v>1</v>
      </c>
      <c r="AO1062" s="25">
        <f>IF(OR(Apresentação!$I$4='Base de Dados e filtragem'!AO$2,Apresentação!$I$4='Base de Dados e filtragem'!K1062),1,0)</f>
        <v>1</v>
      </c>
      <c r="AP1062" s="25">
        <f>IF(OR(Apresentação!$I$5='Base de Dados e filtragem'!AP$2,Apresentação!$I$5='Base de Dados e filtragem'!L1062),1,0)</f>
        <v>1</v>
      </c>
      <c r="AQ1062" s="25">
        <f>IF(OR(Apresentação!$I$6='Base de Dados e filtragem'!AQ$2,Apresentação!$I$6='Base de Dados e filtragem'!M1062),1,0)</f>
        <v>1</v>
      </c>
      <c r="AR1062" s="25">
        <v>1</v>
      </c>
      <c r="AS1062" s="25">
        <v>1</v>
      </c>
      <c r="AT1062" s="25">
        <v>1</v>
      </c>
      <c r="AU1062" s="25">
        <v>1</v>
      </c>
      <c r="AV1062" s="25">
        <v>1</v>
      </c>
      <c r="AW1062" s="25">
        <v>1</v>
      </c>
      <c r="AX1062" s="25">
        <v>1</v>
      </c>
      <c r="AY1062" s="25">
        <v>1</v>
      </c>
      <c r="AZ1062" s="25">
        <v>1</v>
      </c>
      <c r="BA1062" s="25">
        <v>1</v>
      </c>
      <c r="BB1062" s="25">
        <v>1</v>
      </c>
      <c r="BC1062" s="25">
        <v>1</v>
      </c>
      <c r="BD1062" s="25">
        <v>1</v>
      </c>
    </row>
    <row r="1063" spans="27:56" x14ac:dyDescent="0.25">
      <c r="AA1063" s="68" t="str">
        <f t="shared" si="65"/>
        <v>Fotos\\.jpg</v>
      </c>
      <c r="AB1063" s="53">
        <f t="shared" si="66"/>
        <v>9.4073377234242712E-4</v>
      </c>
      <c r="AC1063" s="25">
        <f t="shared" si="67"/>
        <v>1063</v>
      </c>
      <c r="AD1063" s="51">
        <f t="shared" si="68"/>
        <v>1</v>
      </c>
      <c r="AE1063" s="25">
        <v>1</v>
      </c>
      <c r="AF1063" s="25">
        <v>1</v>
      </c>
      <c r="AG1063" s="25">
        <v>1</v>
      </c>
      <c r="AH1063" s="25">
        <v>1</v>
      </c>
      <c r="AI1063" s="25">
        <f>IF(OR(Apresentação!$E$3='Base de Dados e filtragem'!AI$2,Apresentação!$E$3='Base de Dados e filtragem'!E1063),1,0)</f>
        <v>1</v>
      </c>
      <c r="AJ1063" s="25">
        <f>IF(OR(Apresentação!$E$4='Base de Dados e filtragem'!AJ$2,Apresentação!$E$4='Base de Dados e filtragem'!F1063),1,0)</f>
        <v>1</v>
      </c>
      <c r="AK1063" s="25">
        <f>IF(OR(Apresentação!$E$5='Base de Dados e filtragem'!AK$2,Apresentação!$E$5='Base de Dados e filtragem'!G1063),1,0)</f>
        <v>1</v>
      </c>
      <c r="AL1063" s="25">
        <f>IF(OR(Apresentação!$E$6='Base de Dados e filtragem'!AL$2,Apresentação!$E$6='Base de Dados e filtragem'!H1063),1,0)</f>
        <v>1</v>
      </c>
      <c r="AM1063" s="25">
        <f>IF(OR(Apresentação!$I$2='Base de Dados e filtragem'!AM$2,Apresentação!$I$2='Base de Dados e filtragem'!I1063),1,0)</f>
        <v>1</v>
      </c>
      <c r="AN1063" s="25">
        <f>IF(OR(Apresentação!$I$3='Base de Dados e filtragem'!AN$2,Apresentação!$I$3='Base de Dados e filtragem'!J1063),1,0)</f>
        <v>1</v>
      </c>
      <c r="AO1063" s="25">
        <f>IF(OR(Apresentação!$I$4='Base de Dados e filtragem'!AO$2,Apresentação!$I$4='Base de Dados e filtragem'!K1063),1,0)</f>
        <v>1</v>
      </c>
      <c r="AP1063" s="25">
        <f>IF(OR(Apresentação!$I$5='Base de Dados e filtragem'!AP$2,Apresentação!$I$5='Base de Dados e filtragem'!L1063),1,0)</f>
        <v>1</v>
      </c>
      <c r="AQ1063" s="25">
        <f>IF(OR(Apresentação!$I$6='Base de Dados e filtragem'!AQ$2,Apresentação!$I$6='Base de Dados e filtragem'!M1063),1,0)</f>
        <v>1</v>
      </c>
      <c r="AR1063" s="25">
        <v>1</v>
      </c>
      <c r="AS1063" s="25">
        <v>1</v>
      </c>
      <c r="AT1063" s="25">
        <v>1</v>
      </c>
      <c r="AU1063" s="25">
        <v>1</v>
      </c>
      <c r="AV1063" s="25">
        <v>1</v>
      </c>
      <c r="AW1063" s="25">
        <v>1</v>
      </c>
      <c r="AX1063" s="25">
        <v>1</v>
      </c>
      <c r="AY1063" s="25">
        <v>1</v>
      </c>
      <c r="AZ1063" s="25">
        <v>1</v>
      </c>
      <c r="BA1063" s="25">
        <v>1</v>
      </c>
      <c r="BB1063" s="25">
        <v>1</v>
      </c>
      <c r="BC1063" s="25">
        <v>1</v>
      </c>
      <c r="BD1063" s="25">
        <v>1</v>
      </c>
    </row>
    <row r="1064" spans="27:56" x14ac:dyDescent="0.25">
      <c r="AA1064" s="68" t="str">
        <f t="shared" si="65"/>
        <v>Fotos\\.jpg</v>
      </c>
      <c r="AB1064" s="53">
        <f t="shared" si="66"/>
        <v>9.3984962406015032E-4</v>
      </c>
      <c r="AC1064" s="25">
        <f t="shared" si="67"/>
        <v>1064</v>
      </c>
      <c r="AD1064" s="51">
        <f t="shared" si="68"/>
        <v>1</v>
      </c>
      <c r="AE1064" s="25">
        <v>1</v>
      </c>
      <c r="AF1064" s="25">
        <v>1</v>
      </c>
      <c r="AG1064" s="25">
        <v>1</v>
      </c>
      <c r="AH1064" s="25">
        <v>1</v>
      </c>
      <c r="AI1064" s="25">
        <f>IF(OR(Apresentação!$E$3='Base de Dados e filtragem'!AI$2,Apresentação!$E$3='Base de Dados e filtragem'!E1064),1,0)</f>
        <v>1</v>
      </c>
      <c r="AJ1064" s="25">
        <f>IF(OR(Apresentação!$E$4='Base de Dados e filtragem'!AJ$2,Apresentação!$E$4='Base de Dados e filtragem'!F1064),1,0)</f>
        <v>1</v>
      </c>
      <c r="AK1064" s="25">
        <f>IF(OR(Apresentação!$E$5='Base de Dados e filtragem'!AK$2,Apresentação!$E$5='Base de Dados e filtragem'!G1064),1,0)</f>
        <v>1</v>
      </c>
      <c r="AL1064" s="25">
        <f>IF(OR(Apresentação!$E$6='Base de Dados e filtragem'!AL$2,Apresentação!$E$6='Base de Dados e filtragem'!H1064),1,0)</f>
        <v>1</v>
      </c>
      <c r="AM1064" s="25">
        <f>IF(OR(Apresentação!$I$2='Base de Dados e filtragem'!AM$2,Apresentação!$I$2='Base de Dados e filtragem'!I1064),1,0)</f>
        <v>1</v>
      </c>
      <c r="AN1064" s="25">
        <f>IF(OR(Apresentação!$I$3='Base de Dados e filtragem'!AN$2,Apresentação!$I$3='Base de Dados e filtragem'!J1064),1,0)</f>
        <v>1</v>
      </c>
      <c r="AO1064" s="25">
        <f>IF(OR(Apresentação!$I$4='Base de Dados e filtragem'!AO$2,Apresentação!$I$4='Base de Dados e filtragem'!K1064),1,0)</f>
        <v>1</v>
      </c>
      <c r="AP1064" s="25">
        <f>IF(OR(Apresentação!$I$5='Base de Dados e filtragem'!AP$2,Apresentação!$I$5='Base de Dados e filtragem'!L1064),1,0)</f>
        <v>1</v>
      </c>
      <c r="AQ1064" s="25">
        <f>IF(OR(Apresentação!$I$6='Base de Dados e filtragem'!AQ$2,Apresentação!$I$6='Base de Dados e filtragem'!M1064),1,0)</f>
        <v>1</v>
      </c>
      <c r="AR1064" s="25">
        <v>1</v>
      </c>
      <c r="AS1064" s="25">
        <v>1</v>
      </c>
      <c r="AT1064" s="25">
        <v>1</v>
      </c>
      <c r="AU1064" s="25">
        <v>1</v>
      </c>
      <c r="AV1064" s="25">
        <v>1</v>
      </c>
      <c r="AW1064" s="25">
        <v>1</v>
      </c>
      <c r="AX1064" s="25">
        <v>1</v>
      </c>
      <c r="AY1064" s="25">
        <v>1</v>
      </c>
      <c r="AZ1064" s="25">
        <v>1</v>
      </c>
      <c r="BA1064" s="25">
        <v>1</v>
      </c>
      <c r="BB1064" s="25">
        <v>1</v>
      </c>
      <c r="BC1064" s="25">
        <v>1</v>
      </c>
      <c r="BD1064" s="25">
        <v>1</v>
      </c>
    </row>
    <row r="1065" spans="27:56" x14ac:dyDescent="0.25">
      <c r="AA1065" s="68" t="str">
        <f t="shared" si="65"/>
        <v>Fotos\\.jpg</v>
      </c>
      <c r="AB1065" s="53">
        <f t="shared" si="66"/>
        <v>9.3896713615023472E-4</v>
      </c>
      <c r="AC1065" s="25">
        <f t="shared" si="67"/>
        <v>1065</v>
      </c>
      <c r="AD1065" s="51">
        <f t="shared" si="68"/>
        <v>1</v>
      </c>
      <c r="AE1065" s="25">
        <v>1</v>
      </c>
      <c r="AF1065" s="25">
        <v>1</v>
      </c>
      <c r="AG1065" s="25">
        <v>1</v>
      </c>
      <c r="AH1065" s="25">
        <v>1</v>
      </c>
      <c r="AI1065" s="25">
        <f>IF(OR(Apresentação!$E$3='Base de Dados e filtragem'!AI$2,Apresentação!$E$3='Base de Dados e filtragem'!E1065),1,0)</f>
        <v>1</v>
      </c>
      <c r="AJ1065" s="25">
        <f>IF(OR(Apresentação!$E$4='Base de Dados e filtragem'!AJ$2,Apresentação!$E$4='Base de Dados e filtragem'!F1065),1,0)</f>
        <v>1</v>
      </c>
      <c r="AK1065" s="25">
        <f>IF(OR(Apresentação!$E$5='Base de Dados e filtragem'!AK$2,Apresentação!$E$5='Base de Dados e filtragem'!G1065),1,0)</f>
        <v>1</v>
      </c>
      <c r="AL1065" s="25">
        <f>IF(OR(Apresentação!$E$6='Base de Dados e filtragem'!AL$2,Apresentação!$E$6='Base de Dados e filtragem'!H1065),1,0)</f>
        <v>1</v>
      </c>
      <c r="AM1065" s="25">
        <f>IF(OR(Apresentação!$I$2='Base de Dados e filtragem'!AM$2,Apresentação!$I$2='Base de Dados e filtragem'!I1065),1,0)</f>
        <v>1</v>
      </c>
      <c r="AN1065" s="25">
        <f>IF(OR(Apresentação!$I$3='Base de Dados e filtragem'!AN$2,Apresentação!$I$3='Base de Dados e filtragem'!J1065),1,0)</f>
        <v>1</v>
      </c>
      <c r="AO1065" s="25">
        <f>IF(OR(Apresentação!$I$4='Base de Dados e filtragem'!AO$2,Apresentação!$I$4='Base de Dados e filtragem'!K1065),1,0)</f>
        <v>1</v>
      </c>
      <c r="AP1065" s="25">
        <f>IF(OR(Apresentação!$I$5='Base de Dados e filtragem'!AP$2,Apresentação!$I$5='Base de Dados e filtragem'!L1065),1,0)</f>
        <v>1</v>
      </c>
      <c r="AQ1065" s="25">
        <f>IF(OR(Apresentação!$I$6='Base de Dados e filtragem'!AQ$2,Apresentação!$I$6='Base de Dados e filtragem'!M1065),1,0)</f>
        <v>1</v>
      </c>
      <c r="AR1065" s="25">
        <v>1</v>
      </c>
      <c r="AS1065" s="25">
        <v>1</v>
      </c>
      <c r="AT1065" s="25">
        <v>1</v>
      </c>
      <c r="AU1065" s="25">
        <v>1</v>
      </c>
      <c r="AV1065" s="25">
        <v>1</v>
      </c>
      <c r="AW1065" s="25">
        <v>1</v>
      </c>
      <c r="AX1065" s="25">
        <v>1</v>
      </c>
      <c r="AY1065" s="25">
        <v>1</v>
      </c>
      <c r="AZ1065" s="25">
        <v>1</v>
      </c>
      <c r="BA1065" s="25">
        <v>1</v>
      </c>
      <c r="BB1065" s="25">
        <v>1</v>
      </c>
      <c r="BC1065" s="25">
        <v>1</v>
      </c>
      <c r="BD1065" s="25">
        <v>1</v>
      </c>
    </row>
    <row r="1066" spans="27:56" x14ac:dyDescent="0.25">
      <c r="AA1066" s="68" t="str">
        <f t="shared" si="65"/>
        <v>Fotos\\.jpg</v>
      </c>
      <c r="AB1066" s="53">
        <f t="shared" si="66"/>
        <v>9.3808630393996248E-4</v>
      </c>
      <c r="AC1066" s="25">
        <f t="shared" si="67"/>
        <v>1066</v>
      </c>
      <c r="AD1066" s="51">
        <f t="shared" si="68"/>
        <v>1</v>
      </c>
      <c r="AE1066" s="25">
        <v>1</v>
      </c>
      <c r="AF1066" s="25">
        <v>1</v>
      </c>
      <c r="AG1066" s="25">
        <v>1</v>
      </c>
      <c r="AH1066" s="25">
        <v>1</v>
      </c>
      <c r="AI1066" s="25">
        <f>IF(OR(Apresentação!$E$3='Base de Dados e filtragem'!AI$2,Apresentação!$E$3='Base de Dados e filtragem'!E1066),1,0)</f>
        <v>1</v>
      </c>
      <c r="AJ1066" s="25">
        <f>IF(OR(Apresentação!$E$4='Base de Dados e filtragem'!AJ$2,Apresentação!$E$4='Base de Dados e filtragem'!F1066),1,0)</f>
        <v>1</v>
      </c>
      <c r="AK1066" s="25">
        <f>IF(OR(Apresentação!$E$5='Base de Dados e filtragem'!AK$2,Apresentação!$E$5='Base de Dados e filtragem'!G1066),1,0)</f>
        <v>1</v>
      </c>
      <c r="AL1066" s="25">
        <f>IF(OR(Apresentação!$E$6='Base de Dados e filtragem'!AL$2,Apresentação!$E$6='Base de Dados e filtragem'!H1066),1,0)</f>
        <v>1</v>
      </c>
      <c r="AM1066" s="25">
        <f>IF(OR(Apresentação!$I$2='Base de Dados e filtragem'!AM$2,Apresentação!$I$2='Base de Dados e filtragem'!I1066),1,0)</f>
        <v>1</v>
      </c>
      <c r="AN1066" s="25">
        <f>IF(OR(Apresentação!$I$3='Base de Dados e filtragem'!AN$2,Apresentação!$I$3='Base de Dados e filtragem'!J1066),1,0)</f>
        <v>1</v>
      </c>
      <c r="AO1066" s="25">
        <f>IF(OR(Apresentação!$I$4='Base de Dados e filtragem'!AO$2,Apresentação!$I$4='Base de Dados e filtragem'!K1066),1,0)</f>
        <v>1</v>
      </c>
      <c r="AP1066" s="25">
        <f>IF(OR(Apresentação!$I$5='Base de Dados e filtragem'!AP$2,Apresentação!$I$5='Base de Dados e filtragem'!L1066),1,0)</f>
        <v>1</v>
      </c>
      <c r="AQ1066" s="25">
        <f>IF(OR(Apresentação!$I$6='Base de Dados e filtragem'!AQ$2,Apresentação!$I$6='Base de Dados e filtragem'!M1066),1,0)</f>
        <v>1</v>
      </c>
      <c r="AR1066" s="25">
        <v>1</v>
      </c>
      <c r="AS1066" s="25">
        <v>1</v>
      </c>
      <c r="AT1066" s="25">
        <v>1</v>
      </c>
      <c r="AU1066" s="25">
        <v>1</v>
      </c>
      <c r="AV1066" s="25">
        <v>1</v>
      </c>
      <c r="AW1066" s="25">
        <v>1</v>
      </c>
      <c r="AX1066" s="25">
        <v>1</v>
      </c>
      <c r="AY1066" s="25">
        <v>1</v>
      </c>
      <c r="AZ1066" s="25">
        <v>1</v>
      </c>
      <c r="BA1066" s="25">
        <v>1</v>
      </c>
      <c r="BB1066" s="25">
        <v>1</v>
      </c>
      <c r="BC1066" s="25">
        <v>1</v>
      </c>
      <c r="BD1066" s="25">
        <v>1</v>
      </c>
    </row>
    <row r="1067" spans="27:56" x14ac:dyDescent="0.25">
      <c r="AA1067" s="68" t="str">
        <f t="shared" si="65"/>
        <v>Fotos\\.jpg</v>
      </c>
      <c r="AB1067" s="53">
        <f t="shared" si="66"/>
        <v>9.372071227741331E-4</v>
      </c>
      <c r="AC1067" s="25">
        <f t="shared" si="67"/>
        <v>1067</v>
      </c>
      <c r="AD1067" s="51">
        <f t="shared" si="68"/>
        <v>1</v>
      </c>
      <c r="AE1067" s="25">
        <v>1</v>
      </c>
      <c r="AF1067" s="25">
        <v>1</v>
      </c>
      <c r="AG1067" s="25">
        <v>1</v>
      </c>
      <c r="AH1067" s="25">
        <v>1</v>
      </c>
      <c r="AI1067" s="25">
        <f>IF(OR(Apresentação!$E$3='Base de Dados e filtragem'!AI$2,Apresentação!$E$3='Base de Dados e filtragem'!E1067),1,0)</f>
        <v>1</v>
      </c>
      <c r="AJ1067" s="25">
        <f>IF(OR(Apresentação!$E$4='Base de Dados e filtragem'!AJ$2,Apresentação!$E$4='Base de Dados e filtragem'!F1067),1,0)</f>
        <v>1</v>
      </c>
      <c r="AK1067" s="25">
        <f>IF(OR(Apresentação!$E$5='Base de Dados e filtragem'!AK$2,Apresentação!$E$5='Base de Dados e filtragem'!G1067),1,0)</f>
        <v>1</v>
      </c>
      <c r="AL1067" s="25">
        <f>IF(OR(Apresentação!$E$6='Base de Dados e filtragem'!AL$2,Apresentação!$E$6='Base de Dados e filtragem'!H1067),1,0)</f>
        <v>1</v>
      </c>
      <c r="AM1067" s="25">
        <f>IF(OR(Apresentação!$I$2='Base de Dados e filtragem'!AM$2,Apresentação!$I$2='Base de Dados e filtragem'!I1067),1,0)</f>
        <v>1</v>
      </c>
      <c r="AN1067" s="25">
        <f>IF(OR(Apresentação!$I$3='Base de Dados e filtragem'!AN$2,Apresentação!$I$3='Base de Dados e filtragem'!J1067),1,0)</f>
        <v>1</v>
      </c>
      <c r="AO1067" s="25">
        <f>IF(OR(Apresentação!$I$4='Base de Dados e filtragem'!AO$2,Apresentação!$I$4='Base de Dados e filtragem'!K1067),1,0)</f>
        <v>1</v>
      </c>
      <c r="AP1067" s="25">
        <f>IF(OR(Apresentação!$I$5='Base de Dados e filtragem'!AP$2,Apresentação!$I$5='Base de Dados e filtragem'!L1067),1,0)</f>
        <v>1</v>
      </c>
      <c r="AQ1067" s="25">
        <f>IF(OR(Apresentação!$I$6='Base de Dados e filtragem'!AQ$2,Apresentação!$I$6='Base de Dados e filtragem'!M1067),1,0)</f>
        <v>1</v>
      </c>
      <c r="AR1067" s="25">
        <v>1</v>
      </c>
      <c r="AS1067" s="25">
        <v>1</v>
      </c>
      <c r="AT1067" s="25">
        <v>1</v>
      </c>
      <c r="AU1067" s="25">
        <v>1</v>
      </c>
      <c r="AV1067" s="25">
        <v>1</v>
      </c>
      <c r="AW1067" s="25">
        <v>1</v>
      </c>
      <c r="AX1067" s="25">
        <v>1</v>
      </c>
      <c r="AY1067" s="25">
        <v>1</v>
      </c>
      <c r="AZ1067" s="25">
        <v>1</v>
      </c>
      <c r="BA1067" s="25">
        <v>1</v>
      </c>
      <c r="BB1067" s="25">
        <v>1</v>
      </c>
      <c r="BC1067" s="25">
        <v>1</v>
      </c>
      <c r="BD1067" s="25">
        <v>1</v>
      </c>
    </row>
    <row r="1068" spans="27:56" x14ac:dyDescent="0.25">
      <c r="AA1068" s="68" t="str">
        <f t="shared" si="65"/>
        <v>Fotos\\.jpg</v>
      </c>
      <c r="AB1068" s="53">
        <f t="shared" si="66"/>
        <v>9.3632958801498128E-4</v>
      </c>
      <c r="AC1068" s="25">
        <f t="shared" si="67"/>
        <v>1068</v>
      </c>
      <c r="AD1068" s="51">
        <f t="shared" si="68"/>
        <v>1</v>
      </c>
      <c r="AE1068" s="25">
        <v>1</v>
      </c>
      <c r="AF1068" s="25">
        <v>1</v>
      </c>
      <c r="AG1068" s="25">
        <v>1</v>
      </c>
      <c r="AH1068" s="25">
        <v>1</v>
      </c>
      <c r="AI1068" s="25">
        <f>IF(OR(Apresentação!$E$3='Base de Dados e filtragem'!AI$2,Apresentação!$E$3='Base de Dados e filtragem'!E1068),1,0)</f>
        <v>1</v>
      </c>
      <c r="AJ1068" s="25">
        <f>IF(OR(Apresentação!$E$4='Base de Dados e filtragem'!AJ$2,Apresentação!$E$4='Base de Dados e filtragem'!F1068),1,0)</f>
        <v>1</v>
      </c>
      <c r="AK1068" s="25">
        <f>IF(OR(Apresentação!$E$5='Base de Dados e filtragem'!AK$2,Apresentação!$E$5='Base de Dados e filtragem'!G1068),1,0)</f>
        <v>1</v>
      </c>
      <c r="AL1068" s="25">
        <f>IF(OR(Apresentação!$E$6='Base de Dados e filtragem'!AL$2,Apresentação!$E$6='Base de Dados e filtragem'!H1068),1,0)</f>
        <v>1</v>
      </c>
      <c r="AM1068" s="25">
        <f>IF(OR(Apresentação!$I$2='Base de Dados e filtragem'!AM$2,Apresentação!$I$2='Base de Dados e filtragem'!I1068),1,0)</f>
        <v>1</v>
      </c>
      <c r="AN1068" s="25">
        <f>IF(OR(Apresentação!$I$3='Base de Dados e filtragem'!AN$2,Apresentação!$I$3='Base de Dados e filtragem'!J1068),1,0)</f>
        <v>1</v>
      </c>
      <c r="AO1068" s="25">
        <f>IF(OR(Apresentação!$I$4='Base de Dados e filtragem'!AO$2,Apresentação!$I$4='Base de Dados e filtragem'!K1068),1,0)</f>
        <v>1</v>
      </c>
      <c r="AP1068" s="25">
        <f>IF(OR(Apresentação!$I$5='Base de Dados e filtragem'!AP$2,Apresentação!$I$5='Base de Dados e filtragem'!L1068),1,0)</f>
        <v>1</v>
      </c>
      <c r="AQ1068" s="25">
        <f>IF(OR(Apresentação!$I$6='Base de Dados e filtragem'!AQ$2,Apresentação!$I$6='Base de Dados e filtragem'!M1068),1,0)</f>
        <v>1</v>
      </c>
      <c r="AR1068" s="25">
        <v>1</v>
      </c>
      <c r="AS1068" s="25">
        <v>1</v>
      </c>
      <c r="AT1068" s="25">
        <v>1</v>
      </c>
      <c r="AU1068" s="25">
        <v>1</v>
      </c>
      <c r="AV1068" s="25">
        <v>1</v>
      </c>
      <c r="AW1068" s="25">
        <v>1</v>
      </c>
      <c r="AX1068" s="25">
        <v>1</v>
      </c>
      <c r="AY1068" s="25">
        <v>1</v>
      </c>
      <c r="AZ1068" s="25">
        <v>1</v>
      </c>
      <c r="BA1068" s="25">
        <v>1</v>
      </c>
      <c r="BB1068" s="25">
        <v>1</v>
      </c>
      <c r="BC1068" s="25">
        <v>1</v>
      </c>
      <c r="BD1068" s="25">
        <v>1</v>
      </c>
    </row>
    <row r="1069" spans="27:56" x14ac:dyDescent="0.25">
      <c r="AA1069" s="68" t="str">
        <f t="shared" si="65"/>
        <v>Fotos\\.jpg</v>
      </c>
      <c r="AB1069" s="53">
        <f t="shared" si="66"/>
        <v>9.3545369504209543E-4</v>
      </c>
      <c r="AC1069" s="25">
        <f t="shared" si="67"/>
        <v>1069</v>
      </c>
      <c r="AD1069" s="51">
        <f t="shared" si="68"/>
        <v>1</v>
      </c>
      <c r="AE1069" s="25">
        <v>1</v>
      </c>
      <c r="AF1069" s="25">
        <v>1</v>
      </c>
      <c r="AG1069" s="25">
        <v>1</v>
      </c>
      <c r="AH1069" s="25">
        <v>1</v>
      </c>
      <c r="AI1069" s="25">
        <f>IF(OR(Apresentação!$E$3='Base de Dados e filtragem'!AI$2,Apresentação!$E$3='Base de Dados e filtragem'!E1069),1,0)</f>
        <v>1</v>
      </c>
      <c r="AJ1069" s="25">
        <f>IF(OR(Apresentação!$E$4='Base de Dados e filtragem'!AJ$2,Apresentação!$E$4='Base de Dados e filtragem'!F1069),1,0)</f>
        <v>1</v>
      </c>
      <c r="AK1069" s="25">
        <f>IF(OR(Apresentação!$E$5='Base de Dados e filtragem'!AK$2,Apresentação!$E$5='Base de Dados e filtragem'!G1069),1,0)</f>
        <v>1</v>
      </c>
      <c r="AL1069" s="25">
        <f>IF(OR(Apresentação!$E$6='Base de Dados e filtragem'!AL$2,Apresentação!$E$6='Base de Dados e filtragem'!H1069),1,0)</f>
        <v>1</v>
      </c>
      <c r="AM1069" s="25">
        <f>IF(OR(Apresentação!$I$2='Base de Dados e filtragem'!AM$2,Apresentação!$I$2='Base de Dados e filtragem'!I1069),1,0)</f>
        <v>1</v>
      </c>
      <c r="AN1069" s="25">
        <f>IF(OR(Apresentação!$I$3='Base de Dados e filtragem'!AN$2,Apresentação!$I$3='Base de Dados e filtragem'!J1069),1,0)</f>
        <v>1</v>
      </c>
      <c r="AO1069" s="25">
        <f>IF(OR(Apresentação!$I$4='Base de Dados e filtragem'!AO$2,Apresentação!$I$4='Base de Dados e filtragem'!K1069),1,0)</f>
        <v>1</v>
      </c>
      <c r="AP1069" s="25">
        <f>IF(OR(Apresentação!$I$5='Base de Dados e filtragem'!AP$2,Apresentação!$I$5='Base de Dados e filtragem'!L1069),1,0)</f>
        <v>1</v>
      </c>
      <c r="AQ1069" s="25">
        <f>IF(OR(Apresentação!$I$6='Base de Dados e filtragem'!AQ$2,Apresentação!$I$6='Base de Dados e filtragem'!M1069),1,0)</f>
        <v>1</v>
      </c>
      <c r="AR1069" s="25">
        <v>1</v>
      </c>
      <c r="AS1069" s="25">
        <v>1</v>
      </c>
      <c r="AT1069" s="25">
        <v>1</v>
      </c>
      <c r="AU1069" s="25">
        <v>1</v>
      </c>
      <c r="AV1069" s="25">
        <v>1</v>
      </c>
      <c r="AW1069" s="25">
        <v>1</v>
      </c>
      <c r="AX1069" s="25">
        <v>1</v>
      </c>
      <c r="AY1069" s="25">
        <v>1</v>
      </c>
      <c r="AZ1069" s="25">
        <v>1</v>
      </c>
      <c r="BA1069" s="25">
        <v>1</v>
      </c>
      <c r="BB1069" s="25">
        <v>1</v>
      </c>
      <c r="BC1069" s="25">
        <v>1</v>
      </c>
      <c r="BD1069" s="25">
        <v>1</v>
      </c>
    </row>
    <row r="1070" spans="27:56" x14ac:dyDescent="0.25">
      <c r="AA1070" s="68" t="str">
        <f t="shared" si="65"/>
        <v>Fotos\\.jpg</v>
      </c>
      <c r="AB1070" s="53">
        <f t="shared" si="66"/>
        <v>9.3457943925233649E-4</v>
      </c>
      <c r="AC1070" s="25">
        <f t="shared" si="67"/>
        <v>1070</v>
      </c>
      <c r="AD1070" s="51">
        <f t="shared" si="68"/>
        <v>1</v>
      </c>
      <c r="AE1070" s="25">
        <v>1</v>
      </c>
      <c r="AF1070" s="25">
        <v>1</v>
      </c>
      <c r="AG1070" s="25">
        <v>1</v>
      </c>
      <c r="AH1070" s="25">
        <v>1</v>
      </c>
      <c r="AI1070" s="25">
        <f>IF(OR(Apresentação!$E$3='Base de Dados e filtragem'!AI$2,Apresentação!$E$3='Base de Dados e filtragem'!E1070),1,0)</f>
        <v>1</v>
      </c>
      <c r="AJ1070" s="25">
        <f>IF(OR(Apresentação!$E$4='Base de Dados e filtragem'!AJ$2,Apresentação!$E$4='Base de Dados e filtragem'!F1070),1,0)</f>
        <v>1</v>
      </c>
      <c r="AK1070" s="25">
        <f>IF(OR(Apresentação!$E$5='Base de Dados e filtragem'!AK$2,Apresentação!$E$5='Base de Dados e filtragem'!G1070),1,0)</f>
        <v>1</v>
      </c>
      <c r="AL1070" s="25">
        <f>IF(OR(Apresentação!$E$6='Base de Dados e filtragem'!AL$2,Apresentação!$E$6='Base de Dados e filtragem'!H1070),1,0)</f>
        <v>1</v>
      </c>
      <c r="AM1070" s="25">
        <f>IF(OR(Apresentação!$I$2='Base de Dados e filtragem'!AM$2,Apresentação!$I$2='Base de Dados e filtragem'!I1070),1,0)</f>
        <v>1</v>
      </c>
      <c r="AN1070" s="25">
        <f>IF(OR(Apresentação!$I$3='Base de Dados e filtragem'!AN$2,Apresentação!$I$3='Base de Dados e filtragem'!J1070),1,0)</f>
        <v>1</v>
      </c>
      <c r="AO1070" s="25">
        <f>IF(OR(Apresentação!$I$4='Base de Dados e filtragem'!AO$2,Apresentação!$I$4='Base de Dados e filtragem'!K1070),1,0)</f>
        <v>1</v>
      </c>
      <c r="AP1070" s="25">
        <f>IF(OR(Apresentação!$I$5='Base de Dados e filtragem'!AP$2,Apresentação!$I$5='Base de Dados e filtragem'!L1070),1,0)</f>
        <v>1</v>
      </c>
      <c r="AQ1070" s="25">
        <f>IF(OR(Apresentação!$I$6='Base de Dados e filtragem'!AQ$2,Apresentação!$I$6='Base de Dados e filtragem'!M1070),1,0)</f>
        <v>1</v>
      </c>
      <c r="AR1070" s="25">
        <v>1</v>
      </c>
      <c r="AS1070" s="25">
        <v>1</v>
      </c>
      <c r="AT1070" s="25">
        <v>1</v>
      </c>
      <c r="AU1070" s="25">
        <v>1</v>
      </c>
      <c r="AV1070" s="25">
        <v>1</v>
      </c>
      <c r="AW1070" s="25">
        <v>1</v>
      </c>
      <c r="AX1070" s="25">
        <v>1</v>
      </c>
      <c r="AY1070" s="25">
        <v>1</v>
      </c>
      <c r="AZ1070" s="25">
        <v>1</v>
      </c>
      <c r="BA1070" s="25">
        <v>1</v>
      </c>
      <c r="BB1070" s="25">
        <v>1</v>
      </c>
      <c r="BC1070" s="25">
        <v>1</v>
      </c>
      <c r="BD1070" s="25">
        <v>1</v>
      </c>
    </row>
    <row r="1071" spans="27:56" x14ac:dyDescent="0.25">
      <c r="AA1071" s="68" t="str">
        <f t="shared" si="65"/>
        <v>Fotos\\.jpg</v>
      </c>
      <c r="AB1071" s="53">
        <f t="shared" si="66"/>
        <v>9.3370681605975728E-4</v>
      </c>
      <c r="AC1071" s="25">
        <f t="shared" si="67"/>
        <v>1071</v>
      </c>
      <c r="AD1071" s="51">
        <f t="shared" si="68"/>
        <v>1</v>
      </c>
      <c r="AE1071" s="25">
        <v>1</v>
      </c>
      <c r="AF1071" s="25">
        <v>1</v>
      </c>
      <c r="AG1071" s="25">
        <v>1</v>
      </c>
      <c r="AH1071" s="25">
        <v>1</v>
      </c>
      <c r="AI1071" s="25">
        <f>IF(OR(Apresentação!$E$3='Base de Dados e filtragem'!AI$2,Apresentação!$E$3='Base de Dados e filtragem'!E1071),1,0)</f>
        <v>1</v>
      </c>
      <c r="AJ1071" s="25">
        <f>IF(OR(Apresentação!$E$4='Base de Dados e filtragem'!AJ$2,Apresentação!$E$4='Base de Dados e filtragem'!F1071),1,0)</f>
        <v>1</v>
      </c>
      <c r="AK1071" s="25">
        <f>IF(OR(Apresentação!$E$5='Base de Dados e filtragem'!AK$2,Apresentação!$E$5='Base de Dados e filtragem'!G1071),1,0)</f>
        <v>1</v>
      </c>
      <c r="AL1071" s="25">
        <f>IF(OR(Apresentação!$E$6='Base de Dados e filtragem'!AL$2,Apresentação!$E$6='Base de Dados e filtragem'!H1071),1,0)</f>
        <v>1</v>
      </c>
      <c r="AM1071" s="25">
        <f>IF(OR(Apresentação!$I$2='Base de Dados e filtragem'!AM$2,Apresentação!$I$2='Base de Dados e filtragem'!I1071),1,0)</f>
        <v>1</v>
      </c>
      <c r="AN1071" s="25">
        <f>IF(OR(Apresentação!$I$3='Base de Dados e filtragem'!AN$2,Apresentação!$I$3='Base de Dados e filtragem'!J1071),1,0)</f>
        <v>1</v>
      </c>
      <c r="AO1071" s="25">
        <f>IF(OR(Apresentação!$I$4='Base de Dados e filtragem'!AO$2,Apresentação!$I$4='Base de Dados e filtragem'!K1071),1,0)</f>
        <v>1</v>
      </c>
      <c r="AP1071" s="25">
        <f>IF(OR(Apresentação!$I$5='Base de Dados e filtragem'!AP$2,Apresentação!$I$5='Base de Dados e filtragem'!L1071),1,0)</f>
        <v>1</v>
      </c>
      <c r="AQ1071" s="25">
        <f>IF(OR(Apresentação!$I$6='Base de Dados e filtragem'!AQ$2,Apresentação!$I$6='Base de Dados e filtragem'!M1071),1,0)</f>
        <v>1</v>
      </c>
      <c r="AR1071" s="25">
        <v>1</v>
      </c>
      <c r="AS1071" s="25">
        <v>1</v>
      </c>
      <c r="AT1071" s="25">
        <v>1</v>
      </c>
      <c r="AU1071" s="25">
        <v>1</v>
      </c>
      <c r="AV1071" s="25">
        <v>1</v>
      </c>
      <c r="AW1071" s="25">
        <v>1</v>
      </c>
      <c r="AX1071" s="25">
        <v>1</v>
      </c>
      <c r="AY1071" s="25">
        <v>1</v>
      </c>
      <c r="AZ1071" s="25">
        <v>1</v>
      </c>
      <c r="BA1071" s="25">
        <v>1</v>
      </c>
      <c r="BB1071" s="25">
        <v>1</v>
      </c>
      <c r="BC1071" s="25">
        <v>1</v>
      </c>
      <c r="BD1071" s="25">
        <v>1</v>
      </c>
    </row>
    <row r="1072" spans="27:56" x14ac:dyDescent="0.25">
      <c r="AA1072" s="68" t="str">
        <f t="shared" si="65"/>
        <v>Fotos\\.jpg</v>
      </c>
      <c r="AB1072" s="53">
        <f t="shared" si="66"/>
        <v>9.3283582089552237E-4</v>
      </c>
      <c r="AC1072" s="25">
        <f t="shared" si="67"/>
        <v>1072</v>
      </c>
      <c r="AD1072" s="51">
        <f t="shared" si="68"/>
        <v>1</v>
      </c>
      <c r="AE1072" s="25">
        <v>1</v>
      </c>
      <c r="AF1072" s="25">
        <v>1</v>
      </c>
      <c r="AG1072" s="25">
        <v>1</v>
      </c>
      <c r="AH1072" s="25">
        <v>1</v>
      </c>
      <c r="AI1072" s="25">
        <f>IF(OR(Apresentação!$E$3='Base de Dados e filtragem'!AI$2,Apresentação!$E$3='Base de Dados e filtragem'!E1072),1,0)</f>
        <v>1</v>
      </c>
      <c r="AJ1072" s="25">
        <f>IF(OR(Apresentação!$E$4='Base de Dados e filtragem'!AJ$2,Apresentação!$E$4='Base de Dados e filtragem'!F1072),1,0)</f>
        <v>1</v>
      </c>
      <c r="AK1072" s="25">
        <f>IF(OR(Apresentação!$E$5='Base de Dados e filtragem'!AK$2,Apresentação!$E$5='Base de Dados e filtragem'!G1072),1,0)</f>
        <v>1</v>
      </c>
      <c r="AL1072" s="25">
        <f>IF(OR(Apresentação!$E$6='Base de Dados e filtragem'!AL$2,Apresentação!$E$6='Base de Dados e filtragem'!H1072),1,0)</f>
        <v>1</v>
      </c>
      <c r="AM1072" s="25">
        <f>IF(OR(Apresentação!$I$2='Base de Dados e filtragem'!AM$2,Apresentação!$I$2='Base de Dados e filtragem'!I1072),1,0)</f>
        <v>1</v>
      </c>
      <c r="AN1072" s="25">
        <f>IF(OR(Apresentação!$I$3='Base de Dados e filtragem'!AN$2,Apresentação!$I$3='Base de Dados e filtragem'!J1072),1,0)</f>
        <v>1</v>
      </c>
      <c r="AO1072" s="25">
        <f>IF(OR(Apresentação!$I$4='Base de Dados e filtragem'!AO$2,Apresentação!$I$4='Base de Dados e filtragem'!K1072),1,0)</f>
        <v>1</v>
      </c>
      <c r="AP1072" s="25">
        <f>IF(OR(Apresentação!$I$5='Base de Dados e filtragem'!AP$2,Apresentação!$I$5='Base de Dados e filtragem'!L1072),1,0)</f>
        <v>1</v>
      </c>
      <c r="AQ1072" s="25">
        <f>IF(OR(Apresentação!$I$6='Base de Dados e filtragem'!AQ$2,Apresentação!$I$6='Base de Dados e filtragem'!M1072),1,0)</f>
        <v>1</v>
      </c>
      <c r="AR1072" s="25">
        <v>1</v>
      </c>
      <c r="AS1072" s="25">
        <v>1</v>
      </c>
      <c r="AT1072" s="25">
        <v>1</v>
      </c>
      <c r="AU1072" s="25">
        <v>1</v>
      </c>
      <c r="AV1072" s="25">
        <v>1</v>
      </c>
      <c r="AW1072" s="25">
        <v>1</v>
      </c>
      <c r="AX1072" s="25">
        <v>1</v>
      </c>
      <c r="AY1072" s="25">
        <v>1</v>
      </c>
      <c r="AZ1072" s="25">
        <v>1</v>
      </c>
      <c r="BA1072" s="25">
        <v>1</v>
      </c>
      <c r="BB1072" s="25">
        <v>1</v>
      </c>
      <c r="BC1072" s="25">
        <v>1</v>
      </c>
      <c r="BD1072" s="25">
        <v>1</v>
      </c>
    </row>
    <row r="1073" spans="27:56" x14ac:dyDescent="0.25">
      <c r="AA1073" s="68" t="str">
        <f t="shared" si="65"/>
        <v>Fotos\\.jpg</v>
      </c>
      <c r="AB1073" s="53">
        <f t="shared" si="66"/>
        <v>9.3196644920782849E-4</v>
      </c>
      <c r="AC1073" s="25">
        <f t="shared" si="67"/>
        <v>1073</v>
      </c>
      <c r="AD1073" s="51">
        <f t="shared" si="68"/>
        <v>1</v>
      </c>
      <c r="AE1073" s="25">
        <v>1</v>
      </c>
      <c r="AF1073" s="25">
        <v>1</v>
      </c>
      <c r="AG1073" s="25">
        <v>1</v>
      </c>
      <c r="AH1073" s="25">
        <v>1</v>
      </c>
      <c r="AI1073" s="25">
        <f>IF(OR(Apresentação!$E$3='Base de Dados e filtragem'!AI$2,Apresentação!$E$3='Base de Dados e filtragem'!E1073),1,0)</f>
        <v>1</v>
      </c>
      <c r="AJ1073" s="25">
        <f>IF(OR(Apresentação!$E$4='Base de Dados e filtragem'!AJ$2,Apresentação!$E$4='Base de Dados e filtragem'!F1073),1,0)</f>
        <v>1</v>
      </c>
      <c r="AK1073" s="25">
        <f>IF(OR(Apresentação!$E$5='Base de Dados e filtragem'!AK$2,Apresentação!$E$5='Base de Dados e filtragem'!G1073),1,0)</f>
        <v>1</v>
      </c>
      <c r="AL1073" s="25">
        <f>IF(OR(Apresentação!$E$6='Base de Dados e filtragem'!AL$2,Apresentação!$E$6='Base de Dados e filtragem'!H1073),1,0)</f>
        <v>1</v>
      </c>
      <c r="AM1073" s="25">
        <f>IF(OR(Apresentação!$I$2='Base de Dados e filtragem'!AM$2,Apresentação!$I$2='Base de Dados e filtragem'!I1073),1,0)</f>
        <v>1</v>
      </c>
      <c r="AN1073" s="25">
        <f>IF(OR(Apresentação!$I$3='Base de Dados e filtragem'!AN$2,Apresentação!$I$3='Base de Dados e filtragem'!J1073),1,0)</f>
        <v>1</v>
      </c>
      <c r="AO1073" s="25">
        <f>IF(OR(Apresentação!$I$4='Base de Dados e filtragem'!AO$2,Apresentação!$I$4='Base de Dados e filtragem'!K1073),1,0)</f>
        <v>1</v>
      </c>
      <c r="AP1073" s="25">
        <f>IF(OR(Apresentação!$I$5='Base de Dados e filtragem'!AP$2,Apresentação!$I$5='Base de Dados e filtragem'!L1073),1,0)</f>
        <v>1</v>
      </c>
      <c r="AQ1073" s="25">
        <f>IF(OR(Apresentação!$I$6='Base de Dados e filtragem'!AQ$2,Apresentação!$I$6='Base de Dados e filtragem'!M1073),1,0)</f>
        <v>1</v>
      </c>
      <c r="AR1073" s="25">
        <v>1</v>
      </c>
      <c r="AS1073" s="25">
        <v>1</v>
      </c>
      <c r="AT1073" s="25">
        <v>1</v>
      </c>
      <c r="AU1073" s="25">
        <v>1</v>
      </c>
      <c r="AV1073" s="25">
        <v>1</v>
      </c>
      <c r="AW1073" s="25">
        <v>1</v>
      </c>
      <c r="AX1073" s="25">
        <v>1</v>
      </c>
      <c r="AY1073" s="25">
        <v>1</v>
      </c>
      <c r="AZ1073" s="25">
        <v>1</v>
      </c>
      <c r="BA1073" s="25">
        <v>1</v>
      </c>
      <c r="BB1073" s="25">
        <v>1</v>
      </c>
      <c r="BC1073" s="25">
        <v>1</v>
      </c>
      <c r="BD1073" s="25">
        <v>1</v>
      </c>
    </row>
    <row r="1074" spans="27:56" x14ac:dyDescent="0.25">
      <c r="AA1074" s="68" t="str">
        <f t="shared" si="65"/>
        <v>Fotos\\.jpg</v>
      </c>
      <c r="AB1074" s="53">
        <f t="shared" si="66"/>
        <v>9.3109869646182495E-4</v>
      </c>
      <c r="AC1074" s="25">
        <f t="shared" si="67"/>
        <v>1074</v>
      </c>
      <c r="AD1074" s="51">
        <f t="shared" si="68"/>
        <v>1</v>
      </c>
      <c r="AE1074" s="25">
        <v>1</v>
      </c>
      <c r="AF1074" s="25">
        <v>1</v>
      </c>
      <c r="AG1074" s="25">
        <v>1</v>
      </c>
      <c r="AH1074" s="25">
        <v>1</v>
      </c>
      <c r="AI1074" s="25">
        <f>IF(OR(Apresentação!$E$3='Base de Dados e filtragem'!AI$2,Apresentação!$E$3='Base de Dados e filtragem'!E1074),1,0)</f>
        <v>1</v>
      </c>
      <c r="AJ1074" s="25">
        <f>IF(OR(Apresentação!$E$4='Base de Dados e filtragem'!AJ$2,Apresentação!$E$4='Base de Dados e filtragem'!F1074),1,0)</f>
        <v>1</v>
      </c>
      <c r="AK1074" s="25">
        <f>IF(OR(Apresentação!$E$5='Base de Dados e filtragem'!AK$2,Apresentação!$E$5='Base de Dados e filtragem'!G1074),1,0)</f>
        <v>1</v>
      </c>
      <c r="AL1074" s="25">
        <f>IF(OR(Apresentação!$E$6='Base de Dados e filtragem'!AL$2,Apresentação!$E$6='Base de Dados e filtragem'!H1074),1,0)</f>
        <v>1</v>
      </c>
      <c r="AM1074" s="25">
        <f>IF(OR(Apresentação!$I$2='Base de Dados e filtragem'!AM$2,Apresentação!$I$2='Base de Dados e filtragem'!I1074),1,0)</f>
        <v>1</v>
      </c>
      <c r="AN1074" s="25">
        <f>IF(OR(Apresentação!$I$3='Base de Dados e filtragem'!AN$2,Apresentação!$I$3='Base de Dados e filtragem'!J1074),1,0)</f>
        <v>1</v>
      </c>
      <c r="AO1074" s="25">
        <f>IF(OR(Apresentação!$I$4='Base de Dados e filtragem'!AO$2,Apresentação!$I$4='Base de Dados e filtragem'!K1074),1,0)</f>
        <v>1</v>
      </c>
      <c r="AP1074" s="25">
        <f>IF(OR(Apresentação!$I$5='Base de Dados e filtragem'!AP$2,Apresentação!$I$5='Base de Dados e filtragem'!L1074),1,0)</f>
        <v>1</v>
      </c>
      <c r="AQ1074" s="25">
        <f>IF(OR(Apresentação!$I$6='Base de Dados e filtragem'!AQ$2,Apresentação!$I$6='Base de Dados e filtragem'!M1074),1,0)</f>
        <v>1</v>
      </c>
      <c r="AR1074" s="25">
        <v>1</v>
      </c>
      <c r="AS1074" s="25">
        <v>1</v>
      </c>
      <c r="AT1074" s="25">
        <v>1</v>
      </c>
      <c r="AU1074" s="25">
        <v>1</v>
      </c>
      <c r="AV1074" s="25">
        <v>1</v>
      </c>
      <c r="AW1074" s="25">
        <v>1</v>
      </c>
      <c r="AX1074" s="25">
        <v>1</v>
      </c>
      <c r="AY1074" s="25">
        <v>1</v>
      </c>
      <c r="AZ1074" s="25">
        <v>1</v>
      </c>
      <c r="BA1074" s="25">
        <v>1</v>
      </c>
      <c r="BB1074" s="25">
        <v>1</v>
      </c>
      <c r="BC1074" s="25">
        <v>1</v>
      </c>
      <c r="BD1074" s="25">
        <v>1</v>
      </c>
    </row>
    <row r="1075" spans="27:56" x14ac:dyDescent="0.25">
      <c r="AA1075" s="68" t="str">
        <f t="shared" si="65"/>
        <v>Fotos\\.jpg</v>
      </c>
      <c r="AB1075" s="53">
        <f t="shared" si="66"/>
        <v>9.3023255813953494E-4</v>
      </c>
      <c r="AC1075" s="25">
        <f t="shared" si="67"/>
        <v>1075</v>
      </c>
      <c r="AD1075" s="51">
        <f t="shared" si="68"/>
        <v>1</v>
      </c>
      <c r="AE1075" s="25">
        <v>1</v>
      </c>
      <c r="AF1075" s="25">
        <v>1</v>
      </c>
      <c r="AG1075" s="25">
        <v>1</v>
      </c>
      <c r="AH1075" s="25">
        <v>1</v>
      </c>
      <c r="AI1075" s="25">
        <f>IF(OR(Apresentação!$E$3='Base de Dados e filtragem'!AI$2,Apresentação!$E$3='Base de Dados e filtragem'!E1075),1,0)</f>
        <v>1</v>
      </c>
      <c r="AJ1075" s="25">
        <f>IF(OR(Apresentação!$E$4='Base de Dados e filtragem'!AJ$2,Apresentação!$E$4='Base de Dados e filtragem'!F1075),1,0)</f>
        <v>1</v>
      </c>
      <c r="AK1075" s="25">
        <f>IF(OR(Apresentação!$E$5='Base de Dados e filtragem'!AK$2,Apresentação!$E$5='Base de Dados e filtragem'!G1075),1,0)</f>
        <v>1</v>
      </c>
      <c r="AL1075" s="25">
        <f>IF(OR(Apresentação!$E$6='Base de Dados e filtragem'!AL$2,Apresentação!$E$6='Base de Dados e filtragem'!H1075),1,0)</f>
        <v>1</v>
      </c>
      <c r="AM1075" s="25">
        <f>IF(OR(Apresentação!$I$2='Base de Dados e filtragem'!AM$2,Apresentação!$I$2='Base de Dados e filtragem'!I1075),1,0)</f>
        <v>1</v>
      </c>
      <c r="AN1075" s="25">
        <f>IF(OR(Apresentação!$I$3='Base de Dados e filtragem'!AN$2,Apresentação!$I$3='Base de Dados e filtragem'!J1075),1,0)</f>
        <v>1</v>
      </c>
      <c r="AO1075" s="25">
        <f>IF(OR(Apresentação!$I$4='Base de Dados e filtragem'!AO$2,Apresentação!$I$4='Base de Dados e filtragem'!K1075),1,0)</f>
        <v>1</v>
      </c>
      <c r="AP1075" s="25">
        <f>IF(OR(Apresentação!$I$5='Base de Dados e filtragem'!AP$2,Apresentação!$I$5='Base de Dados e filtragem'!L1075),1,0)</f>
        <v>1</v>
      </c>
      <c r="AQ1075" s="25">
        <f>IF(OR(Apresentação!$I$6='Base de Dados e filtragem'!AQ$2,Apresentação!$I$6='Base de Dados e filtragem'!M1075),1,0)</f>
        <v>1</v>
      </c>
      <c r="AR1075" s="25">
        <v>1</v>
      </c>
      <c r="AS1075" s="25">
        <v>1</v>
      </c>
      <c r="AT1075" s="25">
        <v>1</v>
      </c>
      <c r="AU1075" s="25">
        <v>1</v>
      </c>
      <c r="AV1075" s="25">
        <v>1</v>
      </c>
      <c r="AW1075" s="25">
        <v>1</v>
      </c>
      <c r="AX1075" s="25">
        <v>1</v>
      </c>
      <c r="AY1075" s="25">
        <v>1</v>
      </c>
      <c r="AZ1075" s="25">
        <v>1</v>
      </c>
      <c r="BA1075" s="25">
        <v>1</v>
      </c>
      <c r="BB1075" s="25">
        <v>1</v>
      </c>
      <c r="BC1075" s="25">
        <v>1</v>
      </c>
      <c r="BD1075" s="25">
        <v>1</v>
      </c>
    </row>
    <row r="1076" spans="27:56" x14ac:dyDescent="0.25">
      <c r="AA1076" s="68" t="str">
        <f t="shared" si="65"/>
        <v>Fotos\\.jpg</v>
      </c>
      <c r="AB1076" s="53">
        <f t="shared" si="66"/>
        <v>9.2936802973977691E-4</v>
      </c>
      <c r="AC1076" s="25">
        <f t="shared" si="67"/>
        <v>1076</v>
      </c>
      <c r="AD1076" s="51">
        <f t="shared" si="68"/>
        <v>1</v>
      </c>
      <c r="AE1076" s="25">
        <v>1</v>
      </c>
      <c r="AF1076" s="25">
        <v>1</v>
      </c>
      <c r="AG1076" s="25">
        <v>1</v>
      </c>
      <c r="AH1076" s="25">
        <v>1</v>
      </c>
      <c r="AI1076" s="25">
        <f>IF(OR(Apresentação!$E$3='Base de Dados e filtragem'!AI$2,Apresentação!$E$3='Base de Dados e filtragem'!E1076),1,0)</f>
        <v>1</v>
      </c>
      <c r="AJ1076" s="25">
        <f>IF(OR(Apresentação!$E$4='Base de Dados e filtragem'!AJ$2,Apresentação!$E$4='Base de Dados e filtragem'!F1076),1,0)</f>
        <v>1</v>
      </c>
      <c r="AK1076" s="25">
        <f>IF(OR(Apresentação!$E$5='Base de Dados e filtragem'!AK$2,Apresentação!$E$5='Base de Dados e filtragem'!G1076),1,0)</f>
        <v>1</v>
      </c>
      <c r="AL1076" s="25">
        <f>IF(OR(Apresentação!$E$6='Base de Dados e filtragem'!AL$2,Apresentação!$E$6='Base de Dados e filtragem'!H1076),1,0)</f>
        <v>1</v>
      </c>
      <c r="AM1076" s="25">
        <f>IF(OR(Apresentação!$I$2='Base de Dados e filtragem'!AM$2,Apresentação!$I$2='Base de Dados e filtragem'!I1076),1,0)</f>
        <v>1</v>
      </c>
      <c r="AN1076" s="25">
        <f>IF(OR(Apresentação!$I$3='Base de Dados e filtragem'!AN$2,Apresentação!$I$3='Base de Dados e filtragem'!J1076),1,0)</f>
        <v>1</v>
      </c>
      <c r="AO1076" s="25">
        <f>IF(OR(Apresentação!$I$4='Base de Dados e filtragem'!AO$2,Apresentação!$I$4='Base de Dados e filtragem'!K1076),1,0)</f>
        <v>1</v>
      </c>
      <c r="AP1076" s="25">
        <f>IF(OR(Apresentação!$I$5='Base de Dados e filtragem'!AP$2,Apresentação!$I$5='Base de Dados e filtragem'!L1076),1,0)</f>
        <v>1</v>
      </c>
      <c r="AQ1076" s="25">
        <f>IF(OR(Apresentação!$I$6='Base de Dados e filtragem'!AQ$2,Apresentação!$I$6='Base de Dados e filtragem'!M1076),1,0)</f>
        <v>1</v>
      </c>
      <c r="AR1076" s="25">
        <v>1</v>
      </c>
      <c r="AS1076" s="25">
        <v>1</v>
      </c>
      <c r="AT1076" s="25">
        <v>1</v>
      </c>
      <c r="AU1076" s="25">
        <v>1</v>
      </c>
      <c r="AV1076" s="25">
        <v>1</v>
      </c>
      <c r="AW1076" s="25">
        <v>1</v>
      </c>
      <c r="AX1076" s="25">
        <v>1</v>
      </c>
      <c r="AY1076" s="25">
        <v>1</v>
      </c>
      <c r="AZ1076" s="25">
        <v>1</v>
      </c>
      <c r="BA1076" s="25">
        <v>1</v>
      </c>
      <c r="BB1076" s="25">
        <v>1</v>
      </c>
      <c r="BC1076" s="25">
        <v>1</v>
      </c>
      <c r="BD1076" s="25">
        <v>1</v>
      </c>
    </row>
    <row r="1077" spans="27:56" x14ac:dyDescent="0.25">
      <c r="AA1077" s="68" t="str">
        <f t="shared" si="65"/>
        <v>Fotos\\.jpg</v>
      </c>
      <c r="AB1077" s="53">
        <f t="shared" si="66"/>
        <v>9.2850510677808728E-4</v>
      </c>
      <c r="AC1077" s="25">
        <f t="shared" si="67"/>
        <v>1077</v>
      </c>
      <c r="AD1077" s="51">
        <f t="shared" si="68"/>
        <v>1</v>
      </c>
      <c r="AE1077" s="25">
        <v>1</v>
      </c>
      <c r="AF1077" s="25">
        <v>1</v>
      </c>
      <c r="AG1077" s="25">
        <v>1</v>
      </c>
      <c r="AH1077" s="25">
        <v>1</v>
      </c>
      <c r="AI1077" s="25">
        <f>IF(OR(Apresentação!$E$3='Base de Dados e filtragem'!AI$2,Apresentação!$E$3='Base de Dados e filtragem'!E1077),1,0)</f>
        <v>1</v>
      </c>
      <c r="AJ1077" s="25">
        <f>IF(OR(Apresentação!$E$4='Base de Dados e filtragem'!AJ$2,Apresentação!$E$4='Base de Dados e filtragem'!F1077),1,0)</f>
        <v>1</v>
      </c>
      <c r="AK1077" s="25">
        <f>IF(OR(Apresentação!$E$5='Base de Dados e filtragem'!AK$2,Apresentação!$E$5='Base de Dados e filtragem'!G1077),1,0)</f>
        <v>1</v>
      </c>
      <c r="AL1077" s="25">
        <f>IF(OR(Apresentação!$E$6='Base de Dados e filtragem'!AL$2,Apresentação!$E$6='Base de Dados e filtragem'!H1077),1,0)</f>
        <v>1</v>
      </c>
      <c r="AM1077" s="25">
        <f>IF(OR(Apresentação!$I$2='Base de Dados e filtragem'!AM$2,Apresentação!$I$2='Base de Dados e filtragem'!I1077),1,0)</f>
        <v>1</v>
      </c>
      <c r="AN1077" s="25">
        <f>IF(OR(Apresentação!$I$3='Base de Dados e filtragem'!AN$2,Apresentação!$I$3='Base de Dados e filtragem'!J1077),1,0)</f>
        <v>1</v>
      </c>
      <c r="AO1077" s="25">
        <f>IF(OR(Apresentação!$I$4='Base de Dados e filtragem'!AO$2,Apresentação!$I$4='Base de Dados e filtragem'!K1077),1,0)</f>
        <v>1</v>
      </c>
      <c r="AP1077" s="25">
        <f>IF(OR(Apresentação!$I$5='Base de Dados e filtragem'!AP$2,Apresentação!$I$5='Base de Dados e filtragem'!L1077),1,0)</f>
        <v>1</v>
      </c>
      <c r="AQ1077" s="25">
        <f>IF(OR(Apresentação!$I$6='Base de Dados e filtragem'!AQ$2,Apresentação!$I$6='Base de Dados e filtragem'!M1077),1,0)</f>
        <v>1</v>
      </c>
      <c r="AR1077" s="25">
        <v>1</v>
      </c>
      <c r="AS1077" s="25">
        <v>1</v>
      </c>
      <c r="AT1077" s="25">
        <v>1</v>
      </c>
      <c r="AU1077" s="25">
        <v>1</v>
      </c>
      <c r="AV1077" s="25">
        <v>1</v>
      </c>
      <c r="AW1077" s="25">
        <v>1</v>
      </c>
      <c r="AX1077" s="25">
        <v>1</v>
      </c>
      <c r="AY1077" s="25">
        <v>1</v>
      </c>
      <c r="AZ1077" s="25">
        <v>1</v>
      </c>
      <c r="BA1077" s="25">
        <v>1</v>
      </c>
      <c r="BB1077" s="25">
        <v>1</v>
      </c>
      <c r="BC1077" s="25">
        <v>1</v>
      </c>
      <c r="BD1077" s="25">
        <v>1</v>
      </c>
    </row>
    <row r="1078" spans="27:56" x14ac:dyDescent="0.25">
      <c r="AA1078" s="68" t="str">
        <f t="shared" si="65"/>
        <v>Fotos\\.jpg</v>
      </c>
      <c r="AB1078" s="53">
        <f t="shared" si="66"/>
        <v>9.2764378478664194E-4</v>
      </c>
      <c r="AC1078" s="25">
        <f t="shared" si="67"/>
        <v>1078</v>
      </c>
      <c r="AD1078" s="51">
        <f t="shared" si="68"/>
        <v>1</v>
      </c>
      <c r="AE1078" s="25">
        <v>1</v>
      </c>
      <c r="AF1078" s="25">
        <v>1</v>
      </c>
      <c r="AG1078" s="25">
        <v>1</v>
      </c>
      <c r="AH1078" s="25">
        <v>1</v>
      </c>
      <c r="AI1078" s="25">
        <f>IF(OR(Apresentação!$E$3='Base de Dados e filtragem'!AI$2,Apresentação!$E$3='Base de Dados e filtragem'!E1078),1,0)</f>
        <v>1</v>
      </c>
      <c r="AJ1078" s="25">
        <f>IF(OR(Apresentação!$E$4='Base de Dados e filtragem'!AJ$2,Apresentação!$E$4='Base de Dados e filtragem'!F1078),1,0)</f>
        <v>1</v>
      </c>
      <c r="AK1078" s="25">
        <f>IF(OR(Apresentação!$E$5='Base de Dados e filtragem'!AK$2,Apresentação!$E$5='Base de Dados e filtragem'!G1078),1,0)</f>
        <v>1</v>
      </c>
      <c r="AL1078" s="25">
        <f>IF(OR(Apresentação!$E$6='Base de Dados e filtragem'!AL$2,Apresentação!$E$6='Base de Dados e filtragem'!H1078),1,0)</f>
        <v>1</v>
      </c>
      <c r="AM1078" s="25">
        <f>IF(OR(Apresentação!$I$2='Base de Dados e filtragem'!AM$2,Apresentação!$I$2='Base de Dados e filtragem'!I1078),1,0)</f>
        <v>1</v>
      </c>
      <c r="AN1078" s="25">
        <f>IF(OR(Apresentação!$I$3='Base de Dados e filtragem'!AN$2,Apresentação!$I$3='Base de Dados e filtragem'!J1078),1,0)</f>
        <v>1</v>
      </c>
      <c r="AO1078" s="25">
        <f>IF(OR(Apresentação!$I$4='Base de Dados e filtragem'!AO$2,Apresentação!$I$4='Base de Dados e filtragem'!K1078),1,0)</f>
        <v>1</v>
      </c>
      <c r="AP1078" s="25">
        <f>IF(OR(Apresentação!$I$5='Base de Dados e filtragem'!AP$2,Apresentação!$I$5='Base de Dados e filtragem'!L1078),1,0)</f>
        <v>1</v>
      </c>
      <c r="AQ1078" s="25">
        <f>IF(OR(Apresentação!$I$6='Base de Dados e filtragem'!AQ$2,Apresentação!$I$6='Base de Dados e filtragem'!M1078),1,0)</f>
        <v>1</v>
      </c>
      <c r="AR1078" s="25">
        <v>1</v>
      </c>
      <c r="AS1078" s="25">
        <v>1</v>
      </c>
      <c r="AT1078" s="25">
        <v>1</v>
      </c>
      <c r="AU1078" s="25">
        <v>1</v>
      </c>
      <c r="AV1078" s="25">
        <v>1</v>
      </c>
      <c r="AW1078" s="25">
        <v>1</v>
      </c>
      <c r="AX1078" s="25">
        <v>1</v>
      </c>
      <c r="AY1078" s="25">
        <v>1</v>
      </c>
      <c r="AZ1078" s="25">
        <v>1</v>
      </c>
      <c r="BA1078" s="25">
        <v>1</v>
      </c>
      <c r="BB1078" s="25">
        <v>1</v>
      </c>
      <c r="BC1078" s="25">
        <v>1</v>
      </c>
      <c r="BD1078" s="25">
        <v>1</v>
      </c>
    </row>
    <row r="1079" spans="27:56" x14ac:dyDescent="0.25">
      <c r="AA1079" s="68" t="str">
        <f t="shared" si="65"/>
        <v>Fotos\\.jpg</v>
      </c>
      <c r="AB1079" s="53">
        <f t="shared" si="66"/>
        <v>9.2678405931417981E-4</v>
      </c>
      <c r="AC1079" s="25">
        <f t="shared" si="67"/>
        <v>1079</v>
      </c>
      <c r="AD1079" s="51">
        <f t="shared" si="68"/>
        <v>1</v>
      </c>
      <c r="AE1079" s="25">
        <v>1</v>
      </c>
      <c r="AF1079" s="25">
        <v>1</v>
      </c>
      <c r="AG1079" s="25">
        <v>1</v>
      </c>
      <c r="AH1079" s="25">
        <v>1</v>
      </c>
      <c r="AI1079" s="25">
        <f>IF(OR(Apresentação!$E$3='Base de Dados e filtragem'!AI$2,Apresentação!$E$3='Base de Dados e filtragem'!E1079),1,0)</f>
        <v>1</v>
      </c>
      <c r="AJ1079" s="25">
        <f>IF(OR(Apresentação!$E$4='Base de Dados e filtragem'!AJ$2,Apresentação!$E$4='Base de Dados e filtragem'!F1079),1,0)</f>
        <v>1</v>
      </c>
      <c r="AK1079" s="25">
        <f>IF(OR(Apresentação!$E$5='Base de Dados e filtragem'!AK$2,Apresentação!$E$5='Base de Dados e filtragem'!G1079),1,0)</f>
        <v>1</v>
      </c>
      <c r="AL1079" s="25">
        <f>IF(OR(Apresentação!$E$6='Base de Dados e filtragem'!AL$2,Apresentação!$E$6='Base de Dados e filtragem'!H1079),1,0)</f>
        <v>1</v>
      </c>
      <c r="AM1079" s="25">
        <f>IF(OR(Apresentação!$I$2='Base de Dados e filtragem'!AM$2,Apresentação!$I$2='Base de Dados e filtragem'!I1079),1,0)</f>
        <v>1</v>
      </c>
      <c r="AN1079" s="25">
        <f>IF(OR(Apresentação!$I$3='Base de Dados e filtragem'!AN$2,Apresentação!$I$3='Base de Dados e filtragem'!J1079),1,0)</f>
        <v>1</v>
      </c>
      <c r="AO1079" s="25">
        <f>IF(OR(Apresentação!$I$4='Base de Dados e filtragem'!AO$2,Apresentação!$I$4='Base de Dados e filtragem'!K1079),1,0)</f>
        <v>1</v>
      </c>
      <c r="AP1079" s="25">
        <f>IF(OR(Apresentação!$I$5='Base de Dados e filtragem'!AP$2,Apresentação!$I$5='Base de Dados e filtragem'!L1079),1,0)</f>
        <v>1</v>
      </c>
      <c r="AQ1079" s="25">
        <f>IF(OR(Apresentação!$I$6='Base de Dados e filtragem'!AQ$2,Apresentação!$I$6='Base de Dados e filtragem'!M1079),1,0)</f>
        <v>1</v>
      </c>
      <c r="AR1079" s="25">
        <v>1</v>
      </c>
      <c r="AS1079" s="25">
        <v>1</v>
      </c>
      <c r="AT1079" s="25">
        <v>1</v>
      </c>
      <c r="AU1079" s="25">
        <v>1</v>
      </c>
      <c r="AV1079" s="25">
        <v>1</v>
      </c>
      <c r="AW1079" s="25">
        <v>1</v>
      </c>
      <c r="AX1079" s="25">
        <v>1</v>
      </c>
      <c r="AY1079" s="25">
        <v>1</v>
      </c>
      <c r="AZ1079" s="25">
        <v>1</v>
      </c>
      <c r="BA1079" s="25">
        <v>1</v>
      </c>
      <c r="BB1079" s="25">
        <v>1</v>
      </c>
      <c r="BC1079" s="25">
        <v>1</v>
      </c>
      <c r="BD1079" s="25">
        <v>1</v>
      </c>
    </row>
    <row r="1080" spans="27:56" x14ac:dyDescent="0.25">
      <c r="AA1080" s="68" t="str">
        <f t="shared" si="65"/>
        <v>Fotos\\.jpg</v>
      </c>
      <c r="AB1080" s="53">
        <f t="shared" si="66"/>
        <v>9.2592592592592596E-4</v>
      </c>
      <c r="AC1080" s="25">
        <f t="shared" si="67"/>
        <v>1080</v>
      </c>
      <c r="AD1080" s="51">
        <f t="shared" si="68"/>
        <v>1</v>
      </c>
      <c r="AE1080" s="25">
        <v>1</v>
      </c>
      <c r="AF1080" s="25">
        <v>1</v>
      </c>
      <c r="AG1080" s="25">
        <v>1</v>
      </c>
      <c r="AH1080" s="25">
        <v>1</v>
      </c>
      <c r="AI1080" s="25">
        <f>IF(OR(Apresentação!$E$3='Base de Dados e filtragem'!AI$2,Apresentação!$E$3='Base de Dados e filtragem'!E1080),1,0)</f>
        <v>1</v>
      </c>
      <c r="AJ1080" s="25">
        <f>IF(OR(Apresentação!$E$4='Base de Dados e filtragem'!AJ$2,Apresentação!$E$4='Base de Dados e filtragem'!F1080),1,0)</f>
        <v>1</v>
      </c>
      <c r="AK1080" s="25">
        <f>IF(OR(Apresentação!$E$5='Base de Dados e filtragem'!AK$2,Apresentação!$E$5='Base de Dados e filtragem'!G1080),1,0)</f>
        <v>1</v>
      </c>
      <c r="AL1080" s="25">
        <f>IF(OR(Apresentação!$E$6='Base de Dados e filtragem'!AL$2,Apresentação!$E$6='Base de Dados e filtragem'!H1080),1,0)</f>
        <v>1</v>
      </c>
      <c r="AM1080" s="25">
        <f>IF(OR(Apresentação!$I$2='Base de Dados e filtragem'!AM$2,Apresentação!$I$2='Base de Dados e filtragem'!I1080),1,0)</f>
        <v>1</v>
      </c>
      <c r="AN1080" s="25">
        <f>IF(OR(Apresentação!$I$3='Base de Dados e filtragem'!AN$2,Apresentação!$I$3='Base de Dados e filtragem'!J1080),1,0)</f>
        <v>1</v>
      </c>
      <c r="AO1080" s="25">
        <f>IF(OR(Apresentação!$I$4='Base de Dados e filtragem'!AO$2,Apresentação!$I$4='Base de Dados e filtragem'!K1080),1,0)</f>
        <v>1</v>
      </c>
      <c r="AP1080" s="25">
        <f>IF(OR(Apresentação!$I$5='Base de Dados e filtragem'!AP$2,Apresentação!$I$5='Base de Dados e filtragem'!L1080),1,0)</f>
        <v>1</v>
      </c>
      <c r="AQ1080" s="25">
        <f>IF(OR(Apresentação!$I$6='Base de Dados e filtragem'!AQ$2,Apresentação!$I$6='Base de Dados e filtragem'!M1080),1,0)</f>
        <v>1</v>
      </c>
      <c r="AR1080" s="25">
        <v>1</v>
      </c>
      <c r="AS1080" s="25">
        <v>1</v>
      </c>
      <c r="AT1080" s="25">
        <v>1</v>
      </c>
      <c r="AU1080" s="25">
        <v>1</v>
      </c>
      <c r="AV1080" s="25">
        <v>1</v>
      </c>
      <c r="AW1080" s="25">
        <v>1</v>
      </c>
      <c r="AX1080" s="25">
        <v>1</v>
      </c>
      <c r="AY1080" s="25">
        <v>1</v>
      </c>
      <c r="AZ1080" s="25">
        <v>1</v>
      </c>
      <c r="BA1080" s="25">
        <v>1</v>
      </c>
      <c r="BB1080" s="25">
        <v>1</v>
      </c>
      <c r="BC1080" s="25">
        <v>1</v>
      </c>
      <c r="BD1080" s="25">
        <v>1</v>
      </c>
    </row>
    <row r="1081" spans="27:56" x14ac:dyDescent="0.25">
      <c r="AA1081" s="68" t="str">
        <f t="shared" si="65"/>
        <v>Fotos\\.jpg</v>
      </c>
      <c r="AB1081" s="53">
        <f t="shared" si="66"/>
        <v>9.2506938020351531E-4</v>
      </c>
      <c r="AC1081" s="25">
        <f t="shared" si="67"/>
        <v>1081</v>
      </c>
      <c r="AD1081" s="51">
        <f t="shared" si="68"/>
        <v>1</v>
      </c>
      <c r="AE1081" s="25">
        <v>1</v>
      </c>
      <c r="AF1081" s="25">
        <v>1</v>
      </c>
      <c r="AG1081" s="25">
        <v>1</v>
      </c>
      <c r="AH1081" s="25">
        <v>1</v>
      </c>
      <c r="AI1081" s="25">
        <f>IF(OR(Apresentação!$E$3='Base de Dados e filtragem'!AI$2,Apresentação!$E$3='Base de Dados e filtragem'!E1081),1,0)</f>
        <v>1</v>
      </c>
      <c r="AJ1081" s="25">
        <f>IF(OR(Apresentação!$E$4='Base de Dados e filtragem'!AJ$2,Apresentação!$E$4='Base de Dados e filtragem'!F1081),1,0)</f>
        <v>1</v>
      </c>
      <c r="AK1081" s="25">
        <f>IF(OR(Apresentação!$E$5='Base de Dados e filtragem'!AK$2,Apresentação!$E$5='Base de Dados e filtragem'!G1081),1,0)</f>
        <v>1</v>
      </c>
      <c r="AL1081" s="25">
        <f>IF(OR(Apresentação!$E$6='Base de Dados e filtragem'!AL$2,Apresentação!$E$6='Base de Dados e filtragem'!H1081),1,0)</f>
        <v>1</v>
      </c>
      <c r="AM1081" s="25">
        <f>IF(OR(Apresentação!$I$2='Base de Dados e filtragem'!AM$2,Apresentação!$I$2='Base de Dados e filtragem'!I1081),1,0)</f>
        <v>1</v>
      </c>
      <c r="AN1081" s="25">
        <f>IF(OR(Apresentação!$I$3='Base de Dados e filtragem'!AN$2,Apresentação!$I$3='Base de Dados e filtragem'!J1081),1,0)</f>
        <v>1</v>
      </c>
      <c r="AO1081" s="25">
        <f>IF(OR(Apresentação!$I$4='Base de Dados e filtragem'!AO$2,Apresentação!$I$4='Base de Dados e filtragem'!K1081),1,0)</f>
        <v>1</v>
      </c>
      <c r="AP1081" s="25">
        <f>IF(OR(Apresentação!$I$5='Base de Dados e filtragem'!AP$2,Apresentação!$I$5='Base de Dados e filtragem'!L1081),1,0)</f>
        <v>1</v>
      </c>
      <c r="AQ1081" s="25">
        <f>IF(OR(Apresentação!$I$6='Base de Dados e filtragem'!AQ$2,Apresentação!$I$6='Base de Dados e filtragem'!M1081),1,0)</f>
        <v>1</v>
      </c>
      <c r="AR1081" s="25">
        <v>1</v>
      </c>
      <c r="AS1081" s="25">
        <v>1</v>
      </c>
      <c r="AT1081" s="25">
        <v>1</v>
      </c>
      <c r="AU1081" s="25">
        <v>1</v>
      </c>
      <c r="AV1081" s="25">
        <v>1</v>
      </c>
      <c r="AW1081" s="25">
        <v>1</v>
      </c>
      <c r="AX1081" s="25">
        <v>1</v>
      </c>
      <c r="AY1081" s="25">
        <v>1</v>
      </c>
      <c r="AZ1081" s="25">
        <v>1</v>
      </c>
      <c r="BA1081" s="25">
        <v>1</v>
      </c>
      <c r="BB1081" s="25">
        <v>1</v>
      </c>
      <c r="BC1081" s="25">
        <v>1</v>
      </c>
      <c r="BD1081" s="25">
        <v>1</v>
      </c>
    </row>
    <row r="1082" spans="27:56" x14ac:dyDescent="0.25">
      <c r="AA1082" s="68" t="str">
        <f t="shared" si="65"/>
        <v>Fotos\\.jpg</v>
      </c>
      <c r="AB1082" s="53">
        <f t="shared" si="66"/>
        <v>9.2421441774491681E-4</v>
      </c>
      <c r="AC1082" s="25">
        <f t="shared" si="67"/>
        <v>1082</v>
      </c>
      <c r="AD1082" s="51">
        <f t="shared" si="68"/>
        <v>1</v>
      </c>
      <c r="AE1082" s="25">
        <v>1</v>
      </c>
      <c r="AF1082" s="25">
        <v>1</v>
      </c>
      <c r="AG1082" s="25">
        <v>1</v>
      </c>
      <c r="AH1082" s="25">
        <v>1</v>
      </c>
      <c r="AI1082" s="25">
        <f>IF(OR(Apresentação!$E$3='Base de Dados e filtragem'!AI$2,Apresentação!$E$3='Base de Dados e filtragem'!E1082),1,0)</f>
        <v>1</v>
      </c>
      <c r="AJ1082" s="25">
        <f>IF(OR(Apresentação!$E$4='Base de Dados e filtragem'!AJ$2,Apresentação!$E$4='Base de Dados e filtragem'!F1082),1,0)</f>
        <v>1</v>
      </c>
      <c r="AK1082" s="25">
        <f>IF(OR(Apresentação!$E$5='Base de Dados e filtragem'!AK$2,Apresentação!$E$5='Base de Dados e filtragem'!G1082),1,0)</f>
        <v>1</v>
      </c>
      <c r="AL1082" s="25">
        <f>IF(OR(Apresentação!$E$6='Base de Dados e filtragem'!AL$2,Apresentação!$E$6='Base de Dados e filtragem'!H1082),1,0)</f>
        <v>1</v>
      </c>
      <c r="AM1082" s="25">
        <f>IF(OR(Apresentação!$I$2='Base de Dados e filtragem'!AM$2,Apresentação!$I$2='Base de Dados e filtragem'!I1082),1,0)</f>
        <v>1</v>
      </c>
      <c r="AN1082" s="25">
        <f>IF(OR(Apresentação!$I$3='Base de Dados e filtragem'!AN$2,Apresentação!$I$3='Base de Dados e filtragem'!J1082),1,0)</f>
        <v>1</v>
      </c>
      <c r="AO1082" s="25">
        <f>IF(OR(Apresentação!$I$4='Base de Dados e filtragem'!AO$2,Apresentação!$I$4='Base de Dados e filtragem'!K1082),1,0)</f>
        <v>1</v>
      </c>
      <c r="AP1082" s="25">
        <f>IF(OR(Apresentação!$I$5='Base de Dados e filtragem'!AP$2,Apresentação!$I$5='Base de Dados e filtragem'!L1082),1,0)</f>
        <v>1</v>
      </c>
      <c r="AQ1082" s="25">
        <f>IF(OR(Apresentação!$I$6='Base de Dados e filtragem'!AQ$2,Apresentação!$I$6='Base de Dados e filtragem'!M1082),1,0)</f>
        <v>1</v>
      </c>
      <c r="AR1082" s="25">
        <v>1</v>
      </c>
      <c r="AS1082" s="25">
        <v>1</v>
      </c>
      <c r="AT1082" s="25">
        <v>1</v>
      </c>
      <c r="AU1082" s="25">
        <v>1</v>
      </c>
      <c r="AV1082" s="25">
        <v>1</v>
      </c>
      <c r="AW1082" s="25">
        <v>1</v>
      </c>
      <c r="AX1082" s="25">
        <v>1</v>
      </c>
      <c r="AY1082" s="25">
        <v>1</v>
      </c>
      <c r="AZ1082" s="25">
        <v>1</v>
      </c>
      <c r="BA1082" s="25">
        <v>1</v>
      </c>
      <c r="BB1082" s="25">
        <v>1</v>
      </c>
      <c r="BC1082" s="25">
        <v>1</v>
      </c>
      <c r="BD1082" s="25">
        <v>1</v>
      </c>
    </row>
    <row r="1083" spans="27:56" x14ac:dyDescent="0.25">
      <c r="AA1083" s="68" t="str">
        <f t="shared" si="65"/>
        <v>Fotos\\.jpg</v>
      </c>
      <c r="AB1083" s="53">
        <f t="shared" si="66"/>
        <v>9.2336103416435823E-4</v>
      </c>
      <c r="AC1083" s="25">
        <f t="shared" si="67"/>
        <v>1083</v>
      </c>
      <c r="AD1083" s="51">
        <f t="shared" si="68"/>
        <v>1</v>
      </c>
      <c r="AE1083" s="25">
        <v>1</v>
      </c>
      <c r="AF1083" s="25">
        <v>1</v>
      </c>
      <c r="AG1083" s="25">
        <v>1</v>
      </c>
      <c r="AH1083" s="25">
        <v>1</v>
      </c>
      <c r="AI1083" s="25">
        <f>IF(OR(Apresentação!$E$3='Base de Dados e filtragem'!AI$2,Apresentação!$E$3='Base de Dados e filtragem'!E1083),1,0)</f>
        <v>1</v>
      </c>
      <c r="AJ1083" s="25">
        <f>IF(OR(Apresentação!$E$4='Base de Dados e filtragem'!AJ$2,Apresentação!$E$4='Base de Dados e filtragem'!F1083),1,0)</f>
        <v>1</v>
      </c>
      <c r="AK1083" s="25">
        <f>IF(OR(Apresentação!$E$5='Base de Dados e filtragem'!AK$2,Apresentação!$E$5='Base de Dados e filtragem'!G1083),1,0)</f>
        <v>1</v>
      </c>
      <c r="AL1083" s="25">
        <f>IF(OR(Apresentação!$E$6='Base de Dados e filtragem'!AL$2,Apresentação!$E$6='Base de Dados e filtragem'!H1083),1,0)</f>
        <v>1</v>
      </c>
      <c r="AM1083" s="25">
        <f>IF(OR(Apresentação!$I$2='Base de Dados e filtragem'!AM$2,Apresentação!$I$2='Base de Dados e filtragem'!I1083),1,0)</f>
        <v>1</v>
      </c>
      <c r="AN1083" s="25">
        <f>IF(OR(Apresentação!$I$3='Base de Dados e filtragem'!AN$2,Apresentação!$I$3='Base de Dados e filtragem'!J1083),1,0)</f>
        <v>1</v>
      </c>
      <c r="AO1083" s="25">
        <f>IF(OR(Apresentação!$I$4='Base de Dados e filtragem'!AO$2,Apresentação!$I$4='Base de Dados e filtragem'!K1083),1,0)</f>
        <v>1</v>
      </c>
      <c r="AP1083" s="25">
        <f>IF(OR(Apresentação!$I$5='Base de Dados e filtragem'!AP$2,Apresentação!$I$5='Base de Dados e filtragem'!L1083),1,0)</f>
        <v>1</v>
      </c>
      <c r="AQ1083" s="25">
        <f>IF(OR(Apresentação!$I$6='Base de Dados e filtragem'!AQ$2,Apresentação!$I$6='Base de Dados e filtragem'!M1083),1,0)</f>
        <v>1</v>
      </c>
      <c r="AR1083" s="25">
        <v>1</v>
      </c>
      <c r="AS1083" s="25">
        <v>1</v>
      </c>
      <c r="AT1083" s="25">
        <v>1</v>
      </c>
      <c r="AU1083" s="25">
        <v>1</v>
      </c>
      <c r="AV1083" s="25">
        <v>1</v>
      </c>
      <c r="AW1083" s="25">
        <v>1</v>
      </c>
      <c r="AX1083" s="25">
        <v>1</v>
      </c>
      <c r="AY1083" s="25">
        <v>1</v>
      </c>
      <c r="AZ1083" s="25">
        <v>1</v>
      </c>
      <c r="BA1083" s="25">
        <v>1</v>
      </c>
      <c r="BB1083" s="25">
        <v>1</v>
      </c>
      <c r="BC1083" s="25">
        <v>1</v>
      </c>
      <c r="BD1083" s="25">
        <v>1</v>
      </c>
    </row>
    <row r="1084" spans="27:56" x14ac:dyDescent="0.25">
      <c r="AA1084" s="68" t="str">
        <f t="shared" si="65"/>
        <v>Fotos\\.jpg</v>
      </c>
      <c r="AB1084" s="53">
        <f t="shared" si="66"/>
        <v>9.225092250922509E-4</v>
      </c>
      <c r="AC1084" s="25">
        <f t="shared" si="67"/>
        <v>1084</v>
      </c>
      <c r="AD1084" s="51">
        <f t="shared" si="68"/>
        <v>1</v>
      </c>
      <c r="AE1084" s="25">
        <v>1</v>
      </c>
      <c r="AF1084" s="25">
        <v>1</v>
      </c>
      <c r="AG1084" s="25">
        <v>1</v>
      </c>
      <c r="AH1084" s="25">
        <v>1</v>
      </c>
      <c r="AI1084" s="25">
        <f>IF(OR(Apresentação!$E$3='Base de Dados e filtragem'!AI$2,Apresentação!$E$3='Base de Dados e filtragem'!E1084),1,0)</f>
        <v>1</v>
      </c>
      <c r="AJ1084" s="25">
        <f>IF(OR(Apresentação!$E$4='Base de Dados e filtragem'!AJ$2,Apresentação!$E$4='Base de Dados e filtragem'!F1084),1,0)</f>
        <v>1</v>
      </c>
      <c r="AK1084" s="25">
        <f>IF(OR(Apresentação!$E$5='Base de Dados e filtragem'!AK$2,Apresentação!$E$5='Base de Dados e filtragem'!G1084),1,0)</f>
        <v>1</v>
      </c>
      <c r="AL1084" s="25">
        <f>IF(OR(Apresentação!$E$6='Base de Dados e filtragem'!AL$2,Apresentação!$E$6='Base de Dados e filtragem'!H1084),1,0)</f>
        <v>1</v>
      </c>
      <c r="AM1084" s="25">
        <f>IF(OR(Apresentação!$I$2='Base de Dados e filtragem'!AM$2,Apresentação!$I$2='Base de Dados e filtragem'!I1084),1,0)</f>
        <v>1</v>
      </c>
      <c r="AN1084" s="25">
        <f>IF(OR(Apresentação!$I$3='Base de Dados e filtragem'!AN$2,Apresentação!$I$3='Base de Dados e filtragem'!J1084),1,0)</f>
        <v>1</v>
      </c>
      <c r="AO1084" s="25">
        <f>IF(OR(Apresentação!$I$4='Base de Dados e filtragem'!AO$2,Apresentação!$I$4='Base de Dados e filtragem'!K1084),1,0)</f>
        <v>1</v>
      </c>
      <c r="AP1084" s="25">
        <f>IF(OR(Apresentação!$I$5='Base de Dados e filtragem'!AP$2,Apresentação!$I$5='Base de Dados e filtragem'!L1084),1,0)</f>
        <v>1</v>
      </c>
      <c r="AQ1084" s="25">
        <f>IF(OR(Apresentação!$I$6='Base de Dados e filtragem'!AQ$2,Apresentação!$I$6='Base de Dados e filtragem'!M1084),1,0)</f>
        <v>1</v>
      </c>
      <c r="AR1084" s="25">
        <v>1</v>
      </c>
      <c r="AS1084" s="25">
        <v>1</v>
      </c>
      <c r="AT1084" s="25">
        <v>1</v>
      </c>
      <c r="AU1084" s="25">
        <v>1</v>
      </c>
      <c r="AV1084" s="25">
        <v>1</v>
      </c>
      <c r="AW1084" s="25">
        <v>1</v>
      </c>
      <c r="AX1084" s="25">
        <v>1</v>
      </c>
      <c r="AY1084" s="25">
        <v>1</v>
      </c>
      <c r="AZ1084" s="25">
        <v>1</v>
      </c>
      <c r="BA1084" s="25">
        <v>1</v>
      </c>
      <c r="BB1084" s="25">
        <v>1</v>
      </c>
      <c r="BC1084" s="25">
        <v>1</v>
      </c>
      <c r="BD1084" s="25">
        <v>1</v>
      </c>
    </row>
    <row r="1085" spans="27:56" x14ac:dyDescent="0.25">
      <c r="AA1085" s="68" t="str">
        <f t="shared" si="65"/>
        <v>Fotos\\.jpg</v>
      </c>
      <c r="AB1085" s="53">
        <f t="shared" si="66"/>
        <v>9.2165898617511521E-4</v>
      </c>
      <c r="AC1085" s="25">
        <f t="shared" si="67"/>
        <v>1085</v>
      </c>
      <c r="AD1085" s="51">
        <f t="shared" si="68"/>
        <v>1</v>
      </c>
      <c r="AE1085" s="25">
        <v>1</v>
      </c>
      <c r="AF1085" s="25">
        <v>1</v>
      </c>
      <c r="AG1085" s="25">
        <v>1</v>
      </c>
      <c r="AH1085" s="25">
        <v>1</v>
      </c>
      <c r="AI1085" s="25">
        <f>IF(OR(Apresentação!$E$3='Base de Dados e filtragem'!AI$2,Apresentação!$E$3='Base de Dados e filtragem'!E1085),1,0)</f>
        <v>1</v>
      </c>
      <c r="AJ1085" s="25">
        <f>IF(OR(Apresentação!$E$4='Base de Dados e filtragem'!AJ$2,Apresentação!$E$4='Base de Dados e filtragem'!F1085),1,0)</f>
        <v>1</v>
      </c>
      <c r="AK1085" s="25">
        <f>IF(OR(Apresentação!$E$5='Base de Dados e filtragem'!AK$2,Apresentação!$E$5='Base de Dados e filtragem'!G1085),1,0)</f>
        <v>1</v>
      </c>
      <c r="AL1085" s="25">
        <f>IF(OR(Apresentação!$E$6='Base de Dados e filtragem'!AL$2,Apresentação!$E$6='Base de Dados e filtragem'!H1085),1,0)</f>
        <v>1</v>
      </c>
      <c r="AM1085" s="25">
        <f>IF(OR(Apresentação!$I$2='Base de Dados e filtragem'!AM$2,Apresentação!$I$2='Base de Dados e filtragem'!I1085),1,0)</f>
        <v>1</v>
      </c>
      <c r="AN1085" s="25">
        <f>IF(OR(Apresentação!$I$3='Base de Dados e filtragem'!AN$2,Apresentação!$I$3='Base de Dados e filtragem'!J1085),1,0)</f>
        <v>1</v>
      </c>
      <c r="AO1085" s="25">
        <f>IF(OR(Apresentação!$I$4='Base de Dados e filtragem'!AO$2,Apresentação!$I$4='Base de Dados e filtragem'!K1085),1,0)</f>
        <v>1</v>
      </c>
      <c r="AP1085" s="25">
        <f>IF(OR(Apresentação!$I$5='Base de Dados e filtragem'!AP$2,Apresentação!$I$5='Base de Dados e filtragem'!L1085),1,0)</f>
        <v>1</v>
      </c>
      <c r="AQ1085" s="25">
        <f>IF(OR(Apresentação!$I$6='Base de Dados e filtragem'!AQ$2,Apresentação!$I$6='Base de Dados e filtragem'!M1085),1,0)</f>
        <v>1</v>
      </c>
      <c r="AR1085" s="25">
        <v>1</v>
      </c>
      <c r="AS1085" s="25">
        <v>1</v>
      </c>
      <c r="AT1085" s="25">
        <v>1</v>
      </c>
      <c r="AU1085" s="25">
        <v>1</v>
      </c>
      <c r="AV1085" s="25">
        <v>1</v>
      </c>
      <c r="AW1085" s="25">
        <v>1</v>
      </c>
      <c r="AX1085" s="25">
        <v>1</v>
      </c>
      <c r="AY1085" s="25">
        <v>1</v>
      </c>
      <c r="AZ1085" s="25">
        <v>1</v>
      </c>
      <c r="BA1085" s="25">
        <v>1</v>
      </c>
      <c r="BB1085" s="25">
        <v>1</v>
      </c>
      <c r="BC1085" s="25">
        <v>1</v>
      </c>
      <c r="BD1085" s="25">
        <v>1</v>
      </c>
    </row>
    <row r="1086" spans="27:56" x14ac:dyDescent="0.25">
      <c r="AA1086" s="68" t="str">
        <f t="shared" si="65"/>
        <v>Fotos\\.jpg</v>
      </c>
      <c r="AB1086" s="53">
        <f t="shared" si="66"/>
        <v>9.2081031307550648E-4</v>
      </c>
      <c r="AC1086" s="25">
        <f t="shared" si="67"/>
        <v>1086</v>
      </c>
      <c r="AD1086" s="51">
        <f t="shared" si="68"/>
        <v>1</v>
      </c>
      <c r="AE1086" s="25">
        <v>1</v>
      </c>
      <c r="AF1086" s="25">
        <v>1</v>
      </c>
      <c r="AG1086" s="25">
        <v>1</v>
      </c>
      <c r="AH1086" s="25">
        <v>1</v>
      </c>
      <c r="AI1086" s="25">
        <f>IF(OR(Apresentação!$E$3='Base de Dados e filtragem'!AI$2,Apresentação!$E$3='Base de Dados e filtragem'!E1086),1,0)</f>
        <v>1</v>
      </c>
      <c r="AJ1086" s="25">
        <f>IF(OR(Apresentação!$E$4='Base de Dados e filtragem'!AJ$2,Apresentação!$E$4='Base de Dados e filtragem'!F1086),1,0)</f>
        <v>1</v>
      </c>
      <c r="AK1086" s="25">
        <f>IF(OR(Apresentação!$E$5='Base de Dados e filtragem'!AK$2,Apresentação!$E$5='Base de Dados e filtragem'!G1086),1,0)</f>
        <v>1</v>
      </c>
      <c r="AL1086" s="25">
        <f>IF(OR(Apresentação!$E$6='Base de Dados e filtragem'!AL$2,Apresentação!$E$6='Base de Dados e filtragem'!H1086),1,0)</f>
        <v>1</v>
      </c>
      <c r="AM1086" s="25">
        <f>IF(OR(Apresentação!$I$2='Base de Dados e filtragem'!AM$2,Apresentação!$I$2='Base de Dados e filtragem'!I1086),1,0)</f>
        <v>1</v>
      </c>
      <c r="AN1086" s="25">
        <f>IF(OR(Apresentação!$I$3='Base de Dados e filtragem'!AN$2,Apresentação!$I$3='Base de Dados e filtragem'!J1086),1,0)</f>
        <v>1</v>
      </c>
      <c r="AO1086" s="25">
        <f>IF(OR(Apresentação!$I$4='Base de Dados e filtragem'!AO$2,Apresentação!$I$4='Base de Dados e filtragem'!K1086),1,0)</f>
        <v>1</v>
      </c>
      <c r="AP1086" s="25">
        <f>IF(OR(Apresentação!$I$5='Base de Dados e filtragem'!AP$2,Apresentação!$I$5='Base de Dados e filtragem'!L1086),1,0)</f>
        <v>1</v>
      </c>
      <c r="AQ1086" s="25">
        <f>IF(OR(Apresentação!$I$6='Base de Dados e filtragem'!AQ$2,Apresentação!$I$6='Base de Dados e filtragem'!M1086),1,0)</f>
        <v>1</v>
      </c>
      <c r="AR1086" s="25">
        <v>1</v>
      </c>
      <c r="AS1086" s="25">
        <v>1</v>
      </c>
      <c r="AT1086" s="25">
        <v>1</v>
      </c>
      <c r="AU1086" s="25">
        <v>1</v>
      </c>
      <c r="AV1086" s="25">
        <v>1</v>
      </c>
      <c r="AW1086" s="25">
        <v>1</v>
      </c>
      <c r="AX1086" s="25">
        <v>1</v>
      </c>
      <c r="AY1086" s="25">
        <v>1</v>
      </c>
      <c r="AZ1086" s="25">
        <v>1</v>
      </c>
      <c r="BA1086" s="25">
        <v>1</v>
      </c>
      <c r="BB1086" s="25">
        <v>1</v>
      </c>
      <c r="BC1086" s="25">
        <v>1</v>
      </c>
      <c r="BD1086" s="25">
        <v>1</v>
      </c>
    </row>
    <row r="1087" spans="27:56" x14ac:dyDescent="0.25">
      <c r="AA1087" s="68" t="str">
        <f t="shared" si="65"/>
        <v>Fotos\\.jpg</v>
      </c>
      <c r="AB1087" s="53">
        <f t="shared" si="66"/>
        <v>9.1996320147194111E-4</v>
      </c>
      <c r="AC1087" s="25">
        <f t="shared" si="67"/>
        <v>1087</v>
      </c>
      <c r="AD1087" s="51">
        <f t="shared" si="68"/>
        <v>1</v>
      </c>
      <c r="AE1087" s="25">
        <v>1</v>
      </c>
      <c r="AF1087" s="25">
        <v>1</v>
      </c>
      <c r="AG1087" s="25">
        <v>1</v>
      </c>
      <c r="AH1087" s="25">
        <v>1</v>
      </c>
      <c r="AI1087" s="25">
        <f>IF(OR(Apresentação!$E$3='Base de Dados e filtragem'!AI$2,Apresentação!$E$3='Base de Dados e filtragem'!E1087),1,0)</f>
        <v>1</v>
      </c>
      <c r="AJ1087" s="25">
        <f>IF(OR(Apresentação!$E$4='Base de Dados e filtragem'!AJ$2,Apresentação!$E$4='Base de Dados e filtragem'!F1087),1,0)</f>
        <v>1</v>
      </c>
      <c r="AK1087" s="25">
        <f>IF(OR(Apresentação!$E$5='Base de Dados e filtragem'!AK$2,Apresentação!$E$5='Base de Dados e filtragem'!G1087),1,0)</f>
        <v>1</v>
      </c>
      <c r="AL1087" s="25">
        <f>IF(OR(Apresentação!$E$6='Base de Dados e filtragem'!AL$2,Apresentação!$E$6='Base de Dados e filtragem'!H1087),1,0)</f>
        <v>1</v>
      </c>
      <c r="AM1087" s="25">
        <f>IF(OR(Apresentação!$I$2='Base de Dados e filtragem'!AM$2,Apresentação!$I$2='Base de Dados e filtragem'!I1087),1,0)</f>
        <v>1</v>
      </c>
      <c r="AN1087" s="25">
        <f>IF(OR(Apresentação!$I$3='Base de Dados e filtragem'!AN$2,Apresentação!$I$3='Base de Dados e filtragem'!J1087),1,0)</f>
        <v>1</v>
      </c>
      <c r="AO1087" s="25">
        <f>IF(OR(Apresentação!$I$4='Base de Dados e filtragem'!AO$2,Apresentação!$I$4='Base de Dados e filtragem'!K1087),1,0)</f>
        <v>1</v>
      </c>
      <c r="AP1087" s="25">
        <f>IF(OR(Apresentação!$I$5='Base de Dados e filtragem'!AP$2,Apresentação!$I$5='Base de Dados e filtragem'!L1087),1,0)</f>
        <v>1</v>
      </c>
      <c r="AQ1087" s="25">
        <f>IF(OR(Apresentação!$I$6='Base de Dados e filtragem'!AQ$2,Apresentação!$I$6='Base de Dados e filtragem'!M1087),1,0)</f>
        <v>1</v>
      </c>
      <c r="AR1087" s="25">
        <v>1</v>
      </c>
      <c r="AS1087" s="25">
        <v>1</v>
      </c>
      <c r="AT1087" s="25">
        <v>1</v>
      </c>
      <c r="AU1087" s="25">
        <v>1</v>
      </c>
      <c r="AV1087" s="25">
        <v>1</v>
      </c>
      <c r="AW1087" s="25">
        <v>1</v>
      </c>
      <c r="AX1087" s="25">
        <v>1</v>
      </c>
      <c r="AY1087" s="25">
        <v>1</v>
      </c>
      <c r="AZ1087" s="25">
        <v>1</v>
      </c>
      <c r="BA1087" s="25">
        <v>1</v>
      </c>
      <c r="BB1087" s="25">
        <v>1</v>
      </c>
      <c r="BC1087" s="25">
        <v>1</v>
      </c>
      <c r="BD1087" s="25">
        <v>1</v>
      </c>
    </row>
    <row r="1088" spans="27:56" x14ac:dyDescent="0.25">
      <c r="AA1088" s="68" t="str">
        <f t="shared" si="65"/>
        <v>Fotos\\.jpg</v>
      </c>
      <c r="AB1088" s="53">
        <f t="shared" si="66"/>
        <v>9.1911764705882352E-4</v>
      </c>
      <c r="AC1088" s="25">
        <f t="shared" si="67"/>
        <v>1088</v>
      </c>
      <c r="AD1088" s="51">
        <f t="shared" si="68"/>
        <v>1</v>
      </c>
      <c r="AE1088" s="25">
        <v>1</v>
      </c>
      <c r="AF1088" s="25">
        <v>1</v>
      </c>
      <c r="AG1088" s="25">
        <v>1</v>
      </c>
      <c r="AH1088" s="25">
        <v>1</v>
      </c>
      <c r="AI1088" s="25">
        <f>IF(OR(Apresentação!$E$3='Base de Dados e filtragem'!AI$2,Apresentação!$E$3='Base de Dados e filtragem'!E1088),1,0)</f>
        <v>1</v>
      </c>
      <c r="AJ1088" s="25">
        <f>IF(OR(Apresentação!$E$4='Base de Dados e filtragem'!AJ$2,Apresentação!$E$4='Base de Dados e filtragem'!F1088),1,0)</f>
        <v>1</v>
      </c>
      <c r="AK1088" s="25">
        <f>IF(OR(Apresentação!$E$5='Base de Dados e filtragem'!AK$2,Apresentação!$E$5='Base de Dados e filtragem'!G1088),1,0)</f>
        <v>1</v>
      </c>
      <c r="AL1088" s="25">
        <f>IF(OR(Apresentação!$E$6='Base de Dados e filtragem'!AL$2,Apresentação!$E$6='Base de Dados e filtragem'!H1088),1,0)</f>
        <v>1</v>
      </c>
      <c r="AM1088" s="25">
        <f>IF(OR(Apresentação!$I$2='Base de Dados e filtragem'!AM$2,Apresentação!$I$2='Base de Dados e filtragem'!I1088),1,0)</f>
        <v>1</v>
      </c>
      <c r="AN1088" s="25">
        <f>IF(OR(Apresentação!$I$3='Base de Dados e filtragem'!AN$2,Apresentação!$I$3='Base de Dados e filtragem'!J1088),1,0)</f>
        <v>1</v>
      </c>
      <c r="AO1088" s="25">
        <f>IF(OR(Apresentação!$I$4='Base de Dados e filtragem'!AO$2,Apresentação!$I$4='Base de Dados e filtragem'!K1088),1,0)</f>
        <v>1</v>
      </c>
      <c r="AP1088" s="25">
        <f>IF(OR(Apresentação!$I$5='Base de Dados e filtragem'!AP$2,Apresentação!$I$5='Base de Dados e filtragem'!L1088),1,0)</f>
        <v>1</v>
      </c>
      <c r="AQ1088" s="25">
        <f>IF(OR(Apresentação!$I$6='Base de Dados e filtragem'!AQ$2,Apresentação!$I$6='Base de Dados e filtragem'!M1088),1,0)</f>
        <v>1</v>
      </c>
      <c r="AR1088" s="25">
        <v>1</v>
      </c>
      <c r="AS1088" s="25">
        <v>1</v>
      </c>
      <c r="AT1088" s="25">
        <v>1</v>
      </c>
      <c r="AU1088" s="25">
        <v>1</v>
      </c>
      <c r="AV1088" s="25">
        <v>1</v>
      </c>
      <c r="AW1088" s="25">
        <v>1</v>
      </c>
      <c r="AX1088" s="25">
        <v>1</v>
      </c>
      <c r="AY1088" s="25">
        <v>1</v>
      </c>
      <c r="AZ1088" s="25">
        <v>1</v>
      </c>
      <c r="BA1088" s="25">
        <v>1</v>
      </c>
      <c r="BB1088" s="25">
        <v>1</v>
      </c>
      <c r="BC1088" s="25">
        <v>1</v>
      </c>
      <c r="BD1088" s="25">
        <v>1</v>
      </c>
    </row>
    <row r="1089" spans="27:56" x14ac:dyDescent="0.25">
      <c r="AA1089" s="68" t="str">
        <f t="shared" si="65"/>
        <v>Fotos\\.jpg</v>
      </c>
      <c r="AB1089" s="53">
        <f t="shared" si="66"/>
        <v>9.1827364554637281E-4</v>
      </c>
      <c r="AC1089" s="25">
        <f t="shared" si="67"/>
        <v>1089</v>
      </c>
      <c r="AD1089" s="51">
        <f t="shared" si="68"/>
        <v>1</v>
      </c>
      <c r="AE1089" s="25">
        <v>1</v>
      </c>
      <c r="AF1089" s="25">
        <v>1</v>
      </c>
      <c r="AG1089" s="25">
        <v>1</v>
      </c>
      <c r="AH1089" s="25">
        <v>1</v>
      </c>
      <c r="AI1089" s="25">
        <f>IF(OR(Apresentação!$E$3='Base de Dados e filtragem'!AI$2,Apresentação!$E$3='Base de Dados e filtragem'!E1089),1,0)</f>
        <v>1</v>
      </c>
      <c r="AJ1089" s="25">
        <f>IF(OR(Apresentação!$E$4='Base de Dados e filtragem'!AJ$2,Apresentação!$E$4='Base de Dados e filtragem'!F1089),1,0)</f>
        <v>1</v>
      </c>
      <c r="AK1089" s="25">
        <f>IF(OR(Apresentação!$E$5='Base de Dados e filtragem'!AK$2,Apresentação!$E$5='Base de Dados e filtragem'!G1089),1,0)</f>
        <v>1</v>
      </c>
      <c r="AL1089" s="25">
        <f>IF(OR(Apresentação!$E$6='Base de Dados e filtragem'!AL$2,Apresentação!$E$6='Base de Dados e filtragem'!H1089),1,0)</f>
        <v>1</v>
      </c>
      <c r="AM1089" s="25">
        <f>IF(OR(Apresentação!$I$2='Base de Dados e filtragem'!AM$2,Apresentação!$I$2='Base de Dados e filtragem'!I1089),1,0)</f>
        <v>1</v>
      </c>
      <c r="AN1089" s="25">
        <f>IF(OR(Apresentação!$I$3='Base de Dados e filtragem'!AN$2,Apresentação!$I$3='Base de Dados e filtragem'!J1089),1,0)</f>
        <v>1</v>
      </c>
      <c r="AO1089" s="25">
        <f>IF(OR(Apresentação!$I$4='Base de Dados e filtragem'!AO$2,Apresentação!$I$4='Base de Dados e filtragem'!K1089),1,0)</f>
        <v>1</v>
      </c>
      <c r="AP1089" s="25">
        <f>IF(OR(Apresentação!$I$5='Base de Dados e filtragem'!AP$2,Apresentação!$I$5='Base de Dados e filtragem'!L1089),1,0)</f>
        <v>1</v>
      </c>
      <c r="AQ1089" s="25">
        <f>IF(OR(Apresentação!$I$6='Base de Dados e filtragem'!AQ$2,Apresentação!$I$6='Base de Dados e filtragem'!M1089),1,0)</f>
        <v>1</v>
      </c>
      <c r="AR1089" s="25">
        <v>1</v>
      </c>
      <c r="AS1089" s="25">
        <v>1</v>
      </c>
      <c r="AT1089" s="25">
        <v>1</v>
      </c>
      <c r="AU1089" s="25">
        <v>1</v>
      </c>
      <c r="AV1089" s="25">
        <v>1</v>
      </c>
      <c r="AW1089" s="25">
        <v>1</v>
      </c>
      <c r="AX1089" s="25">
        <v>1</v>
      </c>
      <c r="AY1089" s="25">
        <v>1</v>
      </c>
      <c r="AZ1089" s="25">
        <v>1</v>
      </c>
      <c r="BA1089" s="25">
        <v>1</v>
      </c>
      <c r="BB1089" s="25">
        <v>1</v>
      </c>
      <c r="BC1089" s="25">
        <v>1</v>
      </c>
      <c r="BD1089" s="25">
        <v>1</v>
      </c>
    </row>
    <row r="1090" spans="27:56" x14ac:dyDescent="0.25">
      <c r="AA1090" s="68" t="str">
        <f t="shared" si="65"/>
        <v>Fotos\\.jpg</v>
      </c>
      <c r="AB1090" s="53">
        <f t="shared" si="66"/>
        <v>9.1743119266055051E-4</v>
      </c>
      <c r="AC1090" s="25">
        <f t="shared" si="67"/>
        <v>1090</v>
      </c>
      <c r="AD1090" s="51">
        <f t="shared" si="68"/>
        <v>1</v>
      </c>
      <c r="AE1090" s="25">
        <v>1</v>
      </c>
      <c r="AF1090" s="25">
        <v>1</v>
      </c>
      <c r="AG1090" s="25">
        <v>1</v>
      </c>
      <c r="AH1090" s="25">
        <v>1</v>
      </c>
      <c r="AI1090" s="25">
        <f>IF(OR(Apresentação!$E$3='Base de Dados e filtragem'!AI$2,Apresentação!$E$3='Base de Dados e filtragem'!E1090),1,0)</f>
        <v>1</v>
      </c>
      <c r="AJ1090" s="25">
        <f>IF(OR(Apresentação!$E$4='Base de Dados e filtragem'!AJ$2,Apresentação!$E$4='Base de Dados e filtragem'!F1090),1,0)</f>
        <v>1</v>
      </c>
      <c r="AK1090" s="25">
        <f>IF(OR(Apresentação!$E$5='Base de Dados e filtragem'!AK$2,Apresentação!$E$5='Base de Dados e filtragem'!G1090),1,0)</f>
        <v>1</v>
      </c>
      <c r="AL1090" s="25">
        <f>IF(OR(Apresentação!$E$6='Base de Dados e filtragem'!AL$2,Apresentação!$E$6='Base de Dados e filtragem'!H1090),1,0)</f>
        <v>1</v>
      </c>
      <c r="AM1090" s="25">
        <f>IF(OR(Apresentação!$I$2='Base de Dados e filtragem'!AM$2,Apresentação!$I$2='Base de Dados e filtragem'!I1090),1,0)</f>
        <v>1</v>
      </c>
      <c r="AN1090" s="25">
        <f>IF(OR(Apresentação!$I$3='Base de Dados e filtragem'!AN$2,Apresentação!$I$3='Base de Dados e filtragem'!J1090),1,0)</f>
        <v>1</v>
      </c>
      <c r="AO1090" s="25">
        <f>IF(OR(Apresentação!$I$4='Base de Dados e filtragem'!AO$2,Apresentação!$I$4='Base de Dados e filtragem'!K1090),1,0)</f>
        <v>1</v>
      </c>
      <c r="AP1090" s="25">
        <f>IF(OR(Apresentação!$I$5='Base de Dados e filtragem'!AP$2,Apresentação!$I$5='Base de Dados e filtragem'!L1090),1,0)</f>
        <v>1</v>
      </c>
      <c r="AQ1090" s="25">
        <f>IF(OR(Apresentação!$I$6='Base de Dados e filtragem'!AQ$2,Apresentação!$I$6='Base de Dados e filtragem'!M1090),1,0)</f>
        <v>1</v>
      </c>
      <c r="AR1090" s="25">
        <v>1</v>
      </c>
      <c r="AS1090" s="25">
        <v>1</v>
      </c>
      <c r="AT1090" s="25">
        <v>1</v>
      </c>
      <c r="AU1090" s="25">
        <v>1</v>
      </c>
      <c r="AV1090" s="25">
        <v>1</v>
      </c>
      <c r="AW1090" s="25">
        <v>1</v>
      </c>
      <c r="AX1090" s="25">
        <v>1</v>
      </c>
      <c r="AY1090" s="25">
        <v>1</v>
      </c>
      <c r="AZ1090" s="25">
        <v>1</v>
      </c>
      <c r="BA1090" s="25">
        <v>1</v>
      </c>
      <c r="BB1090" s="25">
        <v>1</v>
      </c>
      <c r="BC1090" s="25">
        <v>1</v>
      </c>
      <c r="BD1090" s="25">
        <v>1</v>
      </c>
    </row>
    <row r="1091" spans="27:56" x14ac:dyDescent="0.25">
      <c r="AA1091" s="68" t="str">
        <f t="shared" si="65"/>
        <v>Fotos\\.jpg</v>
      </c>
      <c r="AB1091" s="53">
        <f t="shared" si="66"/>
        <v>9.1659028414298811E-4</v>
      </c>
      <c r="AC1091" s="25">
        <f t="shared" si="67"/>
        <v>1091</v>
      </c>
      <c r="AD1091" s="51">
        <f t="shared" si="68"/>
        <v>1</v>
      </c>
      <c r="AE1091" s="25">
        <v>1</v>
      </c>
      <c r="AF1091" s="25">
        <v>1</v>
      </c>
      <c r="AG1091" s="25">
        <v>1</v>
      </c>
      <c r="AH1091" s="25">
        <v>1</v>
      </c>
      <c r="AI1091" s="25">
        <f>IF(OR(Apresentação!$E$3='Base de Dados e filtragem'!AI$2,Apresentação!$E$3='Base de Dados e filtragem'!E1091),1,0)</f>
        <v>1</v>
      </c>
      <c r="AJ1091" s="25">
        <f>IF(OR(Apresentação!$E$4='Base de Dados e filtragem'!AJ$2,Apresentação!$E$4='Base de Dados e filtragem'!F1091),1,0)</f>
        <v>1</v>
      </c>
      <c r="AK1091" s="25">
        <f>IF(OR(Apresentação!$E$5='Base de Dados e filtragem'!AK$2,Apresentação!$E$5='Base de Dados e filtragem'!G1091),1,0)</f>
        <v>1</v>
      </c>
      <c r="AL1091" s="25">
        <f>IF(OR(Apresentação!$E$6='Base de Dados e filtragem'!AL$2,Apresentação!$E$6='Base de Dados e filtragem'!H1091),1,0)</f>
        <v>1</v>
      </c>
      <c r="AM1091" s="25">
        <f>IF(OR(Apresentação!$I$2='Base de Dados e filtragem'!AM$2,Apresentação!$I$2='Base de Dados e filtragem'!I1091),1,0)</f>
        <v>1</v>
      </c>
      <c r="AN1091" s="25">
        <f>IF(OR(Apresentação!$I$3='Base de Dados e filtragem'!AN$2,Apresentação!$I$3='Base de Dados e filtragem'!J1091),1,0)</f>
        <v>1</v>
      </c>
      <c r="AO1091" s="25">
        <f>IF(OR(Apresentação!$I$4='Base de Dados e filtragem'!AO$2,Apresentação!$I$4='Base de Dados e filtragem'!K1091),1,0)</f>
        <v>1</v>
      </c>
      <c r="AP1091" s="25">
        <f>IF(OR(Apresentação!$I$5='Base de Dados e filtragem'!AP$2,Apresentação!$I$5='Base de Dados e filtragem'!L1091),1,0)</f>
        <v>1</v>
      </c>
      <c r="AQ1091" s="25">
        <f>IF(OR(Apresentação!$I$6='Base de Dados e filtragem'!AQ$2,Apresentação!$I$6='Base de Dados e filtragem'!M1091),1,0)</f>
        <v>1</v>
      </c>
      <c r="AR1091" s="25">
        <v>1</v>
      </c>
      <c r="AS1091" s="25">
        <v>1</v>
      </c>
      <c r="AT1091" s="25">
        <v>1</v>
      </c>
      <c r="AU1091" s="25">
        <v>1</v>
      </c>
      <c r="AV1091" s="25">
        <v>1</v>
      </c>
      <c r="AW1091" s="25">
        <v>1</v>
      </c>
      <c r="AX1091" s="25">
        <v>1</v>
      </c>
      <c r="AY1091" s="25">
        <v>1</v>
      </c>
      <c r="AZ1091" s="25">
        <v>1</v>
      </c>
      <c r="BA1091" s="25">
        <v>1</v>
      </c>
      <c r="BB1091" s="25">
        <v>1</v>
      </c>
      <c r="BC1091" s="25">
        <v>1</v>
      </c>
      <c r="BD1091" s="25">
        <v>1</v>
      </c>
    </row>
    <row r="1092" spans="27:56" x14ac:dyDescent="0.25">
      <c r="AA1092" s="68" t="str">
        <f t="shared" ref="AA1092:AA1155" si="69">"Fotos\"&amp;I1092&amp;"\"&amp;A1092&amp;".jpg"</f>
        <v>Fotos\\.jpg</v>
      </c>
      <c r="AB1092" s="53">
        <f t="shared" ref="AB1092:AB1155" si="70">AD1092/AC1092</f>
        <v>9.1575091575091575E-4</v>
      </c>
      <c r="AC1092" s="25">
        <f t="shared" ref="AC1092:AC1155" si="71">AC1091+1</f>
        <v>1092</v>
      </c>
      <c r="AD1092" s="51">
        <f t="shared" ref="AD1092:AD1155" si="72">PRODUCT(AE1092:BD1092)</f>
        <v>1</v>
      </c>
      <c r="AE1092" s="25">
        <v>1</v>
      </c>
      <c r="AF1092" s="25">
        <v>1</v>
      </c>
      <c r="AG1092" s="25">
        <v>1</v>
      </c>
      <c r="AH1092" s="25">
        <v>1</v>
      </c>
      <c r="AI1092" s="25">
        <f>IF(OR(Apresentação!$E$3='Base de Dados e filtragem'!AI$2,Apresentação!$E$3='Base de Dados e filtragem'!E1092),1,0)</f>
        <v>1</v>
      </c>
      <c r="AJ1092" s="25">
        <f>IF(OR(Apresentação!$E$4='Base de Dados e filtragem'!AJ$2,Apresentação!$E$4='Base de Dados e filtragem'!F1092),1,0)</f>
        <v>1</v>
      </c>
      <c r="AK1092" s="25">
        <f>IF(OR(Apresentação!$E$5='Base de Dados e filtragem'!AK$2,Apresentação!$E$5='Base de Dados e filtragem'!G1092),1,0)</f>
        <v>1</v>
      </c>
      <c r="AL1092" s="25">
        <f>IF(OR(Apresentação!$E$6='Base de Dados e filtragem'!AL$2,Apresentação!$E$6='Base de Dados e filtragem'!H1092),1,0)</f>
        <v>1</v>
      </c>
      <c r="AM1092" s="25">
        <f>IF(OR(Apresentação!$I$2='Base de Dados e filtragem'!AM$2,Apresentação!$I$2='Base de Dados e filtragem'!I1092),1,0)</f>
        <v>1</v>
      </c>
      <c r="AN1092" s="25">
        <f>IF(OR(Apresentação!$I$3='Base de Dados e filtragem'!AN$2,Apresentação!$I$3='Base de Dados e filtragem'!J1092),1,0)</f>
        <v>1</v>
      </c>
      <c r="AO1092" s="25">
        <f>IF(OR(Apresentação!$I$4='Base de Dados e filtragem'!AO$2,Apresentação!$I$4='Base de Dados e filtragem'!K1092),1,0)</f>
        <v>1</v>
      </c>
      <c r="AP1092" s="25">
        <f>IF(OR(Apresentação!$I$5='Base de Dados e filtragem'!AP$2,Apresentação!$I$5='Base de Dados e filtragem'!L1092),1,0)</f>
        <v>1</v>
      </c>
      <c r="AQ1092" s="25">
        <f>IF(OR(Apresentação!$I$6='Base de Dados e filtragem'!AQ$2,Apresentação!$I$6='Base de Dados e filtragem'!M1092),1,0)</f>
        <v>1</v>
      </c>
      <c r="AR1092" s="25">
        <v>1</v>
      </c>
      <c r="AS1092" s="25">
        <v>1</v>
      </c>
      <c r="AT1092" s="25">
        <v>1</v>
      </c>
      <c r="AU1092" s="25">
        <v>1</v>
      </c>
      <c r="AV1092" s="25">
        <v>1</v>
      </c>
      <c r="AW1092" s="25">
        <v>1</v>
      </c>
      <c r="AX1092" s="25">
        <v>1</v>
      </c>
      <c r="AY1092" s="25">
        <v>1</v>
      </c>
      <c r="AZ1092" s="25">
        <v>1</v>
      </c>
      <c r="BA1092" s="25">
        <v>1</v>
      </c>
      <c r="BB1092" s="25">
        <v>1</v>
      </c>
      <c r="BC1092" s="25">
        <v>1</v>
      </c>
      <c r="BD1092" s="25">
        <v>1</v>
      </c>
    </row>
    <row r="1093" spans="27:56" x14ac:dyDescent="0.25">
      <c r="AA1093" s="68" t="str">
        <f t="shared" si="69"/>
        <v>Fotos\\.jpg</v>
      </c>
      <c r="AB1093" s="53">
        <f t="shared" si="70"/>
        <v>9.1491308325709062E-4</v>
      </c>
      <c r="AC1093" s="25">
        <f t="shared" si="71"/>
        <v>1093</v>
      </c>
      <c r="AD1093" s="51">
        <f t="shared" si="72"/>
        <v>1</v>
      </c>
      <c r="AE1093" s="25">
        <v>1</v>
      </c>
      <c r="AF1093" s="25">
        <v>1</v>
      </c>
      <c r="AG1093" s="25">
        <v>1</v>
      </c>
      <c r="AH1093" s="25">
        <v>1</v>
      </c>
      <c r="AI1093" s="25">
        <f>IF(OR(Apresentação!$E$3='Base de Dados e filtragem'!AI$2,Apresentação!$E$3='Base de Dados e filtragem'!E1093),1,0)</f>
        <v>1</v>
      </c>
      <c r="AJ1093" s="25">
        <f>IF(OR(Apresentação!$E$4='Base de Dados e filtragem'!AJ$2,Apresentação!$E$4='Base de Dados e filtragem'!F1093),1,0)</f>
        <v>1</v>
      </c>
      <c r="AK1093" s="25">
        <f>IF(OR(Apresentação!$E$5='Base de Dados e filtragem'!AK$2,Apresentação!$E$5='Base de Dados e filtragem'!G1093),1,0)</f>
        <v>1</v>
      </c>
      <c r="AL1093" s="25">
        <f>IF(OR(Apresentação!$E$6='Base de Dados e filtragem'!AL$2,Apresentação!$E$6='Base de Dados e filtragem'!H1093),1,0)</f>
        <v>1</v>
      </c>
      <c r="AM1093" s="25">
        <f>IF(OR(Apresentação!$I$2='Base de Dados e filtragem'!AM$2,Apresentação!$I$2='Base de Dados e filtragem'!I1093),1,0)</f>
        <v>1</v>
      </c>
      <c r="AN1093" s="25">
        <f>IF(OR(Apresentação!$I$3='Base de Dados e filtragem'!AN$2,Apresentação!$I$3='Base de Dados e filtragem'!J1093),1,0)</f>
        <v>1</v>
      </c>
      <c r="AO1093" s="25">
        <f>IF(OR(Apresentação!$I$4='Base de Dados e filtragem'!AO$2,Apresentação!$I$4='Base de Dados e filtragem'!K1093),1,0)</f>
        <v>1</v>
      </c>
      <c r="AP1093" s="25">
        <f>IF(OR(Apresentação!$I$5='Base de Dados e filtragem'!AP$2,Apresentação!$I$5='Base de Dados e filtragem'!L1093),1,0)</f>
        <v>1</v>
      </c>
      <c r="AQ1093" s="25">
        <f>IF(OR(Apresentação!$I$6='Base de Dados e filtragem'!AQ$2,Apresentação!$I$6='Base de Dados e filtragem'!M1093),1,0)</f>
        <v>1</v>
      </c>
      <c r="AR1093" s="25">
        <v>1</v>
      </c>
      <c r="AS1093" s="25">
        <v>1</v>
      </c>
      <c r="AT1093" s="25">
        <v>1</v>
      </c>
      <c r="AU1093" s="25">
        <v>1</v>
      </c>
      <c r="AV1093" s="25">
        <v>1</v>
      </c>
      <c r="AW1093" s="25">
        <v>1</v>
      </c>
      <c r="AX1093" s="25">
        <v>1</v>
      </c>
      <c r="AY1093" s="25">
        <v>1</v>
      </c>
      <c r="AZ1093" s="25">
        <v>1</v>
      </c>
      <c r="BA1093" s="25">
        <v>1</v>
      </c>
      <c r="BB1093" s="25">
        <v>1</v>
      </c>
      <c r="BC1093" s="25">
        <v>1</v>
      </c>
      <c r="BD1093" s="25">
        <v>1</v>
      </c>
    </row>
    <row r="1094" spans="27:56" x14ac:dyDescent="0.25">
      <c r="AA1094" s="68" t="str">
        <f t="shared" si="69"/>
        <v>Fotos\\.jpg</v>
      </c>
      <c r="AB1094" s="53">
        <f t="shared" si="70"/>
        <v>9.1407678244972577E-4</v>
      </c>
      <c r="AC1094" s="25">
        <f t="shared" si="71"/>
        <v>1094</v>
      </c>
      <c r="AD1094" s="51">
        <f t="shared" si="72"/>
        <v>1</v>
      </c>
      <c r="AE1094" s="25">
        <v>1</v>
      </c>
      <c r="AF1094" s="25">
        <v>1</v>
      </c>
      <c r="AG1094" s="25">
        <v>1</v>
      </c>
      <c r="AH1094" s="25">
        <v>1</v>
      </c>
      <c r="AI1094" s="25">
        <f>IF(OR(Apresentação!$E$3='Base de Dados e filtragem'!AI$2,Apresentação!$E$3='Base de Dados e filtragem'!E1094),1,0)</f>
        <v>1</v>
      </c>
      <c r="AJ1094" s="25">
        <f>IF(OR(Apresentação!$E$4='Base de Dados e filtragem'!AJ$2,Apresentação!$E$4='Base de Dados e filtragem'!F1094),1,0)</f>
        <v>1</v>
      </c>
      <c r="AK1094" s="25">
        <f>IF(OR(Apresentação!$E$5='Base de Dados e filtragem'!AK$2,Apresentação!$E$5='Base de Dados e filtragem'!G1094),1,0)</f>
        <v>1</v>
      </c>
      <c r="AL1094" s="25">
        <f>IF(OR(Apresentação!$E$6='Base de Dados e filtragem'!AL$2,Apresentação!$E$6='Base de Dados e filtragem'!H1094),1,0)</f>
        <v>1</v>
      </c>
      <c r="AM1094" s="25">
        <f>IF(OR(Apresentação!$I$2='Base de Dados e filtragem'!AM$2,Apresentação!$I$2='Base de Dados e filtragem'!I1094),1,0)</f>
        <v>1</v>
      </c>
      <c r="AN1094" s="25">
        <f>IF(OR(Apresentação!$I$3='Base de Dados e filtragem'!AN$2,Apresentação!$I$3='Base de Dados e filtragem'!J1094),1,0)</f>
        <v>1</v>
      </c>
      <c r="AO1094" s="25">
        <f>IF(OR(Apresentação!$I$4='Base de Dados e filtragem'!AO$2,Apresentação!$I$4='Base de Dados e filtragem'!K1094),1,0)</f>
        <v>1</v>
      </c>
      <c r="AP1094" s="25">
        <f>IF(OR(Apresentação!$I$5='Base de Dados e filtragem'!AP$2,Apresentação!$I$5='Base de Dados e filtragem'!L1094),1,0)</f>
        <v>1</v>
      </c>
      <c r="AQ1094" s="25">
        <f>IF(OR(Apresentação!$I$6='Base de Dados e filtragem'!AQ$2,Apresentação!$I$6='Base de Dados e filtragem'!M1094),1,0)</f>
        <v>1</v>
      </c>
      <c r="AR1094" s="25">
        <v>1</v>
      </c>
      <c r="AS1094" s="25">
        <v>1</v>
      </c>
      <c r="AT1094" s="25">
        <v>1</v>
      </c>
      <c r="AU1094" s="25">
        <v>1</v>
      </c>
      <c r="AV1094" s="25">
        <v>1</v>
      </c>
      <c r="AW1094" s="25">
        <v>1</v>
      </c>
      <c r="AX1094" s="25">
        <v>1</v>
      </c>
      <c r="AY1094" s="25">
        <v>1</v>
      </c>
      <c r="AZ1094" s="25">
        <v>1</v>
      </c>
      <c r="BA1094" s="25">
        <v>1</v>
      </c>
      <c r="BB1094" s="25">
        <v>1</v>
      </c>
      <c r="BC1094" s="25">
        <v>1</v>
      </c>
      <c r="BD1094" s="25">
        <v>1</v>
      </c>
    </row>
    <row r="1095" spans="27:56" x14ac:dyDescent="0.25">
      <c r="AA1095" s="68" t="str">
        <f t="shared" si="69"/>
        <v>Fotos\\.jpg</v>
      </c>
      <c r="AB1095" s="53">
        <f t="shared" si="70"/>
        <v>9.1324200913242006E-4</v>
      </c>
      <c r="AC1095" s="25">
        <f t="shared" si="71"/>
        <v>1095</v>
      </c>
      <c r="AD1095" s="51">
        <f t="shared" si="72"/>
        <v>1</v>
      </c>
      <c r="AE1095" s="25">
        <v>1</v>
      </c>
      <c r="AF1095" s="25">
        <v>1</v>
      </c>
      <c r="AG1095" s="25">
        <v>1</v>
      </c>
      <c r="AH1095" s="25">
        <v>1</v>
      </c>
      <c r="AI1095" s="25">
        <f>IF(OR(Apresentação!$E$3='Base de Dados e filtragem'!AI$2,Apresentação!$E$3='Base de Dados e filtragem'!E1095),1,0)</f>
        <v>1</v>
      </c>
      <c r="AJ1095" s="25">
        <f>IF(OR(Apresentação!$E$4='Base de Dados e filtragem'!AJ$2,Apresentação!$E$4='Base de Dados e filtragem'!F1095),1,0)</f>
        <v>1</v>
      </c>
      <c r="AK1095" s="25">
        <f>IF(OR(Apresentação!$E$5='Base de Dados e filtragem'!AK$2,Apresentação!$E$5='Base de Dados e filtragem'!G1095),1,0)</f>
        <v>1</v>
      </c>
      <c r="AL1095" s="25">
        <f>IF(OR(Apresentação!$E$6='Base de Dados e filtragem'!AL$2,Apresentação!$E$6='Base de Dados e filtragem'!H1095),1,0)</f>
        <v>1</v>
      </c>
      <c r="AM1095" s="25">
        <f>IF(OR(Apresentação!$I$2='Base de Dados e filtragem'!AM$2,Apresentação!$I$2='Base de Dados e filtragem'!I1095),1,0)</f>
        <v>1</v>
      </c>
      <c r="AN1095" s="25">
        <f>IF(OR(Apresentação!$I$3='Base de Dados e filtragem'!AN$2,Apresentação!$I$3='Base de Dados e filtragem'!J1095),1,0)</f>
        <v>1</v>
      </c>
      <c r="AO1095" s="25">
        <f>IF(OR(Apresentação!$I$4='Base de Dados e filtragem'!AO$2,Apresentação!$I$4='Base de Dados e filtragem'!K1095),1,0)</f>
        <v>1</v>
      </c>
      <c r="AP1095" s="25">
        <f>IF(OR(Apresentação!$I$5='Base de Dados e filtragem'!AP$2,Apresentação!$I$5='Base de Dados e filtragem'!L1095),1,0)</f>
        <v>1</v>
      </c>
      <c r="AQ1095" s="25">
        <f>IF(OR(Apresentação!$I$6='Base de Dados e filtragem'!AQ$2,Apresentação!$I$6='Base de Dados e filtragem'!M1095),1,0)</f>
        <v>1</v>
      </c>
      <c r="AR1095" s="25">
        <v>1</v>
      </c>
      <c r="AS1095" s="25">
        <v>1</v>
      </c>
      <c r="AT1095" s="25">
        <v>1</v>
      </c>
      <c r="AU1095" s="25">
        <v>1</v>
      </c>
      <c r="AV1095" s="25">
        <v>1</v>
      </c>
      <c r="AW1095" s="25">
        <v>1</v>
      </c>
      <c r="AX1095" s="25">
        <v>1</v>
      </c>
      <c r="AY1095" s="25">
        <v>1</v>
      </c>
      <c r="AZ1095" s="25">
        <v>1</v>
      </c>
      <c r="BA1095" s="25">
        <v>1</v>
      </c>
      <c r="BB1095" s="25">
        <v>1</v>
      </c>
      <c r="BC1095" s="25">
        <v>1</v>
      </c>
      <c r="BD1095" s="25">
        <v>1</v>
      </c>
    </row>
    <row r="1096" spans="27:56" x14ac:dyDescent="0.25">
      <c r="AA1096" s="68" t="str">
        <f t="shared" si="69"/>
        <v>Fotos\\.jpg</v>
      </c>
      <c r="AB1096" s="53">
        <f t="shared" si="70"/>
        <v>9.1240875912408756E-4</v>
      </c>
      <c r="AC1096" s="25">
        <f t="shared" si="71"/>
        <v>1096</v>
      </c>
      <c r="AD1096" s="51">
        <f t="shared" si="72"/>
        <v>1</v>
      </c>
      <c r="AE1096" s="25">
        <v>1</v>
      </c>
      <c r="AF1096" s="25">
        <v>1</v>
      </c>
      <c r="AG1096" s="25">
        <v>1</v>
      </c>
      <c r="AH1096" s="25">
        <v>1</v>
      </c>
      <c r="AI1096" s="25">
        <f>IF(OR(Apresentação!$E$3='Base de Dados e filtragem'!AI$2,Apresentação!$E$3='Base de Dados e filtragem'!E1096),1,0)</f>
        <v>1</v>
      </c>
      <c r="AJ1096" s="25">
        <f>IF(OR(Apresentação!$E$4='Base de Dados e filtragem'!AJ$2,Apresentação!$E$4='Base de Dados e filtragem'!F1096),1,0)</f>
        <v>1</v>
      </c>
      <c r="AK1096" s="25">
        <f>IF(OR(Apresentação!$E$5='Base de Dados e filtragem'!AK$2,Apresentação!$E$5='Base de Dados e filtragem'!G1096),1,0)</f>
        <v>1</v>
      </c>
      <c r="AL1096" s="25">
        <f>IF(OR(Apresentação!$E$6='Base de Dados e filtragem'!AL$2,Apresentação!$E$6='Base de Dados e filtragem'!H1096),1,0)</f>
        <v>1</v>
      </c>
      <c r="AM1096" s="25">
        <f>IF(OR(Apresentação!$I$2='Base de Dados e filtragem'!AM$2,Apresentação!$I$2='Base de Dados e filtragem'!I1096),1,0)</f>
        <v>1</v>
      </c>
      <c r="AN1096" s="25">
        <f>IF(OR(Apresentação!$I$3='Base de Dados e filtragem'!AN$2,Apresentação!$I$3='Base de Dados e filtragem'!J1096),1,0)</f>
        <v>1</v>
      </c>
      <c r="AO1096" s="25">
        <f>IF(OR(Apresentação!$I$4='Base de Dados e filtragem'!AO$2,Apresentação!$I$4='Base de Dados e filtragem'!K1096),1,0)</f>
        <v>1</v>
      </c>
      <c r="AP1096" s="25">
        <f>IF(OR(Apresentação!$I$5='Base de Dados e filtragem'!AP$2,Apresentação!$I$5='Base de Dados e filtragem'!L1096),1,0)</f>
        <v>1</v>
      </c>
      <c r="AQ1096" s="25">
        <f>IF(OR(Apresentação!$I$6='Base de Dados e filtragem'!AQ$2,Apresentação!$I$6='Base de Dados e filtragem'!M1096),1,0)</f>
        <v>1</v>
      </c>
      <c r="AR1096" s="25">
        <v>1</v>
      </c>
      <c r="AS1096" s="25">
        <v>1</v>
      </c>
      <c r="AT1096" s="25">
        <v>1</v>
      </c>
      <c r="AU1096" s="25">
        <v>1</v>
      </c>
      <c r="AV1096" s="25">
        <v>1</v>
      </c>
      <c r="AW1096" s="25">
        <v>1</v>
      </c>
      <c r="AX1096" s="25">
        <v>1</v>
      </c>
      <c r="AY1096" s="25">
        <v>1</v>
      </c>
      <c r="AZ1096" s="25">
        <v>1</v>
      </c>
      <c r="BA1096" s="25">
        <v>1</v>
      </c>
      <c r="BB1096" s="25">
        <v>1</v>
      </c>
      <c r="BC1096" s="25">
        <v>1</v>
      </c>
      <c r="BD1096" s="25">
        <v>1</v>
      </c>
    </row>
    <row r="1097" spans="27:56" x14ac:dyDescent="0.25">
      <c r="AA1097" s="68" t="str">
        <f t="shared" si="69"/>
        <v>Fotos\\.jpg</v>
      </c>
      <c r="AB1097" s="53">
        <f t="shared" si="70"/>
        <v>9.1157702825888785E-4</v>
      </c>
      <c r="AC1097" s="25">
        <f t="shared" si="71"/>
        <v>1097</v>
      </c>
      <c r="AD1097" s="51">
        <f t="shared" si="72"/>
        <v>1</v>
      </c>
      <c r="AE1097" s="25">
        <v>1</v>
      </c>
      <c r="AF1097" s="25">
        <v>1</v>
      </c>
      <c r="AG1097" s="25">
        <v>1</v>
      </c>
      <c r="AH1097" s="25">
        <v>1</v>
      </c>
      <c r="AI1097" s="25">
        <f>IF(OR(Apresentação!$E$3='Base de Dados e filtragem'!AI$2,Apresentação!$E$3='Base de Dados e filtragem'!E1097),1,0)</f>
        <v>1</v>
      </c>
      <c r="AJ1097" s="25">
        <f>IF(OR(Apresentação!$E$4='Base de Dados e filtragem'!AJ$2,Apresentação!$E$4='Base de Dados e filtragem'!F1097),1,0)</f>
        <v>1</v>
      </c>
      <c r="AK1097" s="25">
        <f>IF(OR(Apresentação!$E$5='Base de Dados e filtragem'!AK$2,Apresentação!$E$5='Base de Dados e filtragem'!G1097),1,0)</f>
        <v>1</v>
      </c>
      <c r="AL1097" s="25">
        <f>IF(OR(Apresentação!$E$6='Base de Dados e filtragem'!AL$2,Apresentação!$E$6='Base de Dados e filtragem'!H1097),1,0)</f>
        <v>1</v>
      </c>
      <c r="AM1097" s="25">
        <f>IF(OR(Apresentação!$I$2='Base de Dados e filtragem'!AM$2,Apresentação!$I$2='Base de Dados e filtragem'!I1097),1,0)</f>
        <v>1</v>
      </c>
      <c r="AN1097" s="25">
        <f>IF(OR(Apresentação!$I$3='Base de Dados e filtragem'!AN$2,Apresentação!$I$3='Base de Dados e filtragem'!J1097),1,0)</f>
        <v>1</v>
      </c>
      <c r="AO1097" s="25">
        <f>IF(OR(Apresentação!$I$4='Base de Dados e filtragem'!AO$2,Apresentação!$I$4='Base de Dados e filtragem'!K1097),1,0)</f>
        <v>1</v>
      </c>
      <c r="AP1097" s="25">
        <f>IF(OR(Apresentação!$I$5='Base de Dados e filtragem'!AP$2,Apresentação!$I$5='Base de Dados e filtragem'!L1097),1,0)</f>
        <v>1</v>
      </c>
      <c r="AQ1097" s="25">
        <f>IF(OR(Apresentação!$I$6='Base de Dados e filtragem'!AQ$2,Apresentação!$I$6='Base de Dados e filtragem'!M1097),1,0)</f>
        <v>1</v>
      </c>
      <c r="AR1097" s="25">
        <v>1</v>
      </c>
      <c r="AS1097" s="25">
        <v>1</v>
      </c>
      <c r="AT1097" s="25">
        <v>1</v>
      </c>
      <c r="AU1097" s="25">
        <v>1</v>
      </c>
      <c r="AV1097" s="25">
        <v>1</v>
      </c>
      <c r="AW1097" s="25">
        <v>1</v>
      </c>
      <c r="AX1097" s="25">
        <v>1</v>
      </c>
      <c r="AY1097" s="25">
        <v>1</v>
      </c>
      <c r="AZ1097" s="25">
        <v>1</v>
      </c>
      <c r="BA1097" s="25">
        <v>1</v>
      </c>
      <c r="BB1097" s="25">
        <v>1</v>
      </c>
      <c r="BC1097" s="25">
        <v>1</v>
      </c>
      <c r="BD1097" s="25">
        <v>1</v>
      </c>
    </row>
    <row r="1098" spans="27:56" x14ac:dyDescent="0.25">
      <c r="AA1098" s="68" t="str">
        <f t="shared" si="69"/>
        <v>Fotos\\.jpg</v>
      </c>
      <c r="AB1098" s="53">
        <f t="shared" si="70"/>
        <v>9.1074681238615665E-4</v>
      </c>
      <c r="AC1098" s="25">
        <f t="shared" si="71"/>
        <v>1098</v>
      </c>
      <c r="AD1098" s="51">
        <f t="shared" si="72"/>
        <v>1</v>
      </c>
      <c r="AE1098" s="25">
        <v>1</v>
      </c>
      <c r="AF1098" s="25">
        <v>1</v>
      </c>
      <c r="AG1098" s="25">
        <v>1</v>
      </c>
      <c r="AH1098" s="25">
        <v>1</v>
      </c>
      <c r="AI1098" s="25">
        <f>IF(OR(Apresentação!$E$3='Base de Dados e filtragem'!AI$2,Apresentação!$E$3='Base de Dados e filtragem'!E1098),1,0)</f>
        <v>1</v>
      </c>
      <c r="AJ1098" s="25">
        <f>IF(OR(Apresentação!$E$4='Base de Dados e filtragem'!AJ$2,Apresentação!$E$4='Base de Dados e filtragem'!F1098),1,0)</f>
        <v>1</v>
      </c>
      <c r="AK1098" s="25">
        <f>IF(OR(Apresentação!$E$5='Base de Dados e filtragem'!AK$2,Apresentação!$E$5='Base de Dados e filtragem'!G1098),1,0)</f>
        <v>1</v>
      </c>
      <c r="AL1098" s="25">
        <f>IF(OR(Apresentação!$E$6='Base de Dados e filtragem'!AL$2,Apresentação!$E$6='Base de Dados e filtragem'!H1098),1,0)</f>
        <v>1</v>
      </c>
      <c r="AM1098" s="25">
        <f>IF(OR(Apresentação!$I$2='Base de Dados e filtragem'!AM$2,Apresentação!$I$2='Base de Dados e filtragem'!I1098),1,0)</f>
        <v>1</v>
      </c>
      <c r="AN1098" s="25">
        <f>IF(OR(Apresentação!$I$3='Base de Dados e filtragem'!AN$2,Apresentação!$I$3='Base de Dados e filtragem'!J1098),1,0)</f>
        <v>1</v>
      </c>
      <c r="AO1098" s="25">
        <f>IF(OR(Apresentação!$I$4='Base de Dados e filtragem'!AO$2,Apresentação!$I$4='Base de Dados e filtragem'!K1098),1,0)</f>
        <v>1</v>
      </c>
      <c r="AP1098" s="25">
        <f>IF(OR(Apresentação!$I$5='Base de Dados e filtragem'!AP$2,Apresentação!$I$5='Base de Dados e filtragem'!L1098),1,0)</f>
        <v>1</v>
      </c>
      <c r="AQ1098" s="25">
        <f>IF(OR(Apresentação!$I$6='Base de Dados e filtragem'!AQ$2,Apresentação!$I$6='Base de Dados e filtragem'!M1098),1,0)</f>
        <v>1</v>
      </c>
      <c r="AR1098" s="25">
        <v>1</v>
      </c>
      <c r="AS1098" s="25">
        <v>1</v>
      </c>
      <c r="AT1098" s="25">
        <v>1</v>
      </c>
      <c r="AU1098" s="25">
        <v>1</v>
      </c>
      <c r="AV1098" s="25">
        <v>1</v>
      </c>
      <c r="AW1098" s="25">
        <v>1</v>
      </c>
      <c r="AX1098" s="25">
        <v>1</v>
      </c>
      <c r="AY1098" s="25">
        <v>1</v>
      </c>
      <c r="AZ1098" s="25">
        <v>1</v>
      </c>
      <c r="BA1098" s="25">
        <v>1</v>
      </c>
      <c r="BB1098" s="25">
        <v>1</v>
      </c>
      <c r="BC1098" s="25">
        <v>1</v>
      </c>
      <c r="BD1098" s="25">
        <v>1</v>
      </c>
    </row>
    <row r="1099" spans="27:56" x14ac:dyDescent="0.25">
      <c r="AA1099" s="68" t="str">
        <f t="shared" si="69"/>
        <v>Fotos\\.jpg</v>
      </c>
      <c r="AB1099" s="53">
        <f t="shared" si="70"/>
        <v>9.099181073703367E-4</v>
      </c>
      <c r="AC1099" s="25">
        <f t="shared" si="71"/>
        <v>1099</v>
      </c>
      <c r="AD1099" s="51">
        <f t="shared" si="72"/>
        <v>1</v>
      </c>
      <c r="AE1099" s="25">
        <v>1</v>
      </c>
      <c r="AF1099" s="25">
        <v>1</v>
      </c>
      <c r="AG1099" s="25">
        <v>1</v>
      </c>
      <c r="AH1099" s="25">
        <v>1</v>
      </c>
      <c r="AI1099" s="25">
        <f>IF(OR(Apresentação!$E$3='Base de Dados e filtragem'!AI$2,Apresentação!$E$3='Base de Dados e filtragem'!E1099),1,0)</f>
        <v>1</v>
      </c>
      <c r="AJ1099" s="25">
        <f>IF(OR(Apresentação!$E$4='Base de Dados e filtragem'!AJ$2,Apresentação!$E$4='Base de Dados e filtragem'!F1099),1,0)</f>
        <v>1</v>
      </c>
      <c r="AK1099" s="25">
        <f>IF(OR(Apresentação!$E$5='Base de Dados e filtragem'!AK$2,Apresentação!$E$5='Base de Dados e filtragem'!G1099),1,0)</f>
        <v>1</v>
      </c>
      <c r="AL1099" s="25">
        <f>IF(OR(Apresentação!$E$6='Base de Dados e filtragem'!AL$2,Apresentação!$E$6='Base de Dados e filtragem'!H1099),1,0)</f>
        <v>1</v>
      </c>
      <c r="AM1099" s="25">
        <f>IF(OR(Apresentação!$I$2='Base de Dados e filtragem'!AM$2,Apresentação!$I$2='Base de Dados e filtragem'!I1099),1,0)</f>
        <v>1</v>
      </c>
      <c r="AN1099" s="25">
        <f>IF(OR(Apresentação!$I$3='Base de Dados e filtragem'!AN$2,Apresentação!$I$3='Base de Dados e filtragem'!J1099),1,0)</f>
        <v>1</v>
      </c>
      <c r="AO1099" s="25">
        <f>IF(OR(Apresentação!$I$4='Base de Dados e filtragem'!AO$2,Apresentação!$I$4='Base de Dados e filtragem'!K1099),1,0)</f>
        <v>1</v>
      </c>
      <c r="AP1099" s="25">
        <f>IF(OR(Apresentação!$I$5='Base de Dados e filtragem'!AP$2,Apresentação!$I$5='Base de Dados e filtragem'!L1099),1,0)</f>
        <v>1</v>
      </c>
      <c r="AQ1099" s="25">
        <f>IF(OR(Apresentação!$I$6='Base de Dados e filtragem'!AQ$2,Apresentação!$I$6='Base de Dados e filtragem'!M1099),1,0)</f>
        <v>1</v>
      </c>
      <c r="AR1099" s="25">
        <v>1</v>
      </c>
      <c r="AS1099" s="25">
        <v>1</v>
      </c>
      <c r="AT1099" s="25">
        <v>1</v>
      </c>
      <c r="AU1099" s="25">
        <v>1</v>
      </c>
      <c r="AV1099" s="25">
        <v>1</v>
      </c>
      <c r="AW1099" s="25">
        <v>1</v>
      </c>
      <c r="AX1099" s="25">
        <v>1</v>
      </c>
      <c r="AY1099" s="25">
        <v>1</v>
      </c>
      <c r="AZ1099" s="25">
        <v>1</v>
      </c>
      <c r="BA1099" s="25">
        <v>1</v>
      </c>
      <c r="BB1099" s="25">
        <v>1</v>
      </c>
      <c r="BC1099" s="25">
        <v>1</v>
      </c>
      <c r="BD1099" s="25">
        <v>1</v>
      </c>
    </row>
    <row r="1100" spans="27:56" x14ac:dyDescent="0.25">
      <c r="AA1100" s="68" t="str">
        <f t="shared" si="69"/>
        <v>Fotos\\.jpg</v>
      </c>
      <c r="AB1100" s="53">
        <f t="shared" si="70"/>
        <v>9.0909090909090909E-4</v>
      </c>
      <c r="AC1100" s="25">
        <f t="shared" si="71"/>
        <v>1100</v>
      </c>
      <c r="AD1100" s="51">
        <f t="shared" si="72"/>
        <v>1</v>
      </c>
      <c r="AE1100" s="25">
        <v>1</v>
      </c>
      <c r="AF1100" s="25">
        <v>1</v>
      </c>
      <c r="AG1100" s="25">
        <v>1</v>
      </c>
      <c r="AH1100" s="25">
        <v>1</v>
      </c>
      <c r="AI1100" s="25">
        <f>IF(OR(Apresentação!$E$3='Base de Dados e filtragem'!AI$2,Apresentação!$E$3='Base de Dados e filtragem'!E1100),1,0)</f>
        <v>1</v>
      </c>
      <c r="AJ1100" s="25">
        <f>IF(OR(Apresentação!$E$4='Base de Dados e filtragem'!AJ$2,Apresentação!$E$4='Base de Dados e filtragem'!F1100),1,0)</f>
        <v>1</v>
      </c>
      <c r="AK1100" s="25">
        <f>IF(OR(Apresentação!$E$5='Base de Dados e filtragem'!AK$2,Apresentação!$E$5='Base de Dados e filtragem'!G1100),1,0)</f>
        <v>1</v>
      </c>
      <c r="AL1100" s="25">
        <f>IF(OR(Apresentação!$E$6='Base de Dados e filtragem'!AL$2,Apresentação!$E$6='Base de Dados e filtragem'!H1100),1,0)</f>
        <v>1</v>
      </c>
      <c r="AM1100" s="25">
        <f>IF(OR(Apresentação!$I$2='Base de Dados e filtragem'!AM$2,Apresentação!$I$2='Base de Dados e filtragem'!I1100),1,0)</f>
        <v>1</v>
      </c>
      <c r="AN1100" s="25">
        <f>IF(OR(Apresentação!$I$3='Base de Dados e filtragem'!AN$2,Apresentação!$I$3='Base de Dados e filtragem'!J1100),1,0)</f>
        <v>1</v>
      </c>
      <c r="AO1100" s="25">
        <f>IF(OR(Apresentação!$I$4='Base de Dados e filtragem'!AO$2,Apresentação!$I$4='Base de Dados e filtragem'!K1100),1,0)</f>
        <v>1</v>
      </c>
      <c r="AP1100" s="25">
        <f>IF(OR(Apresentação!$I$5='Base de Dados e filtragem'!AP$2,Apresentação!$I$5='Base de Dados e filtragem'!L1100),1,0)</f>
        <v>1</v>
      </c>
      <c r="AQ1100" s="25">
        <f>IF(OR(Apresentação!$I$6='Base de Dados e filtragem'!AQ$2,Apresentação!$I$6='Base de Dados e filtragem'!M1100),1,0)</f>
        <v>1</v>
      </c>
      <c r="AR1100" s="25">
        <v>1</v>
      </c>
      <c r="AS1100" s="25">
        <v>1</v>
      </c>
      <c r="AT1100" s="25">
        <v>1</v>
      </c>
      <c r="AU1100" s="25">
        <v>1</v>
      </c>
      <c r="AV1100" s="25">
        <v>1</v>
      </c>
      <c r="AW1100" s="25">
        <v>1</v>
      </c>
      <c r="AX1100" s="25">
        <v>1</v>
      </c>
      <c r="AY1100" s="25">
        <v>1</v>
      </c>
      <c r="AZ1100" s="25">
        <v>1</v>
      </c>
      <c r="BA1100" s="25">
        <v>1</v>
      </c>
      <c r="BB1100" s="25">
        <v>1</v>
      </c>
      <c r="BC1100" s="25">
        <v>1</v>
      </c>
      <c r="BD1100" s="25">
        <v>1</v>
      </c>
    </row>
    <row r="1101" spans="27:56" x14ac:dyDescent="0.25">
      <c r="AA1101" s="68" t="str">
        <f t="shared" si="69"/>
        <v>Fotos\\.jpg</v>
      </c>
      <c r="AB1101" s="53">
        <f t="shared" si="70"/>
        <v>9.0826521344232513E-4</v>
      </c>
      <c r="AC1101" s="25">
        <f t="shared" si="71"/>
        <v>1101</v>
      </c>
      <c r="AD1101" s="51">
        <f t="shared" si="72"/>
        <v>1</v>
      </c>
      <c r="AE1101" s="25">
        <v>1</v>
      </c>
      <c r="AF1101" s="25">
        <v>1</v>
      </c>
      <c r="AG1101" s="25">
        <v>1</v>
      </c>
      <c r="AH1101" s="25">
        <v>1</v>
      </c>
      <c r="AI1101" s="25">
        <f>IF(OR(Apresentação!$E$3='Base de Dados e filtragem'!AI$2,Apresentação!$E$3='Base de Dados e filtragem'!E1101),1,0)</f>
        <v>1</v>
      </c>
      <c r="AJ1101" s="25">
        <f>IF(OR(Apresentação!$E$4='Base de Dados e filtragem'!AJ$2,Apresentação!$E$4='Base de Dados e filtragem'!F1101),1,0)</f>
        <v>1</v>
      </c>
      <c r="AK1101" s="25">
        <f>IF(OR(Apresentação!$E$5='Base de Dados e filtragem'!AK$2,Apresentação!$E$5='Base de Dados e filtragem'!G1101),1,0)</f>
        <v>1</v>
      </c>
      <c r="AL1101" s="25">
        <f>IF(OR(Apresentação!$E$6='Base de Dados e filtragem'!AL$2,Apresentação!$E$6='Base de Dados e filtragem'!H1101),1,0)</f>
        <v>1</v>
      </c>
      <c r="AM1101" s="25">
        <f>IF(OR(Apresentação!$I$2='Base de Dados e filtragem'!AM$2,Apresentação!$I$2='Base de Dados e filtragem'!I1101),1,0)</f>
        <v>1</v>
      </c>
      <c r="AN1101" s="25">
        <f>IF(OR(Apresentação!$I$3='Base de Dados e filtragem'!AN$2,Apresentação!$I$3='Base de Dados e filtragem'!J1101),1,0)</f>
        <v>1</v>
      </c>
      <c r="AO1101" s="25">
        <f>IF(OR(Apresentação!$I$4='Base de Dados e filtragem'!AO$2,Apresentação!$I$4='Base de Dados e filtragem'!K1101),1,0)</f>
        <v>1</v>
      </c>
      <c r="AP1101" s="25">
        <f>IF(OR(Apresentação!$I$5='Base de Dados e filtragem'!AP$2,Apresentação!$I$5='Base de Dados e filtragem'!L1101),1,0)</f>
        <v>1</v>
      </c>
      <c r="AQ1101" s="25">
        <f>IF(OR(Apresentação!$I$6='Base de Dados e filtragem'!AQ$2,Apresentação!$I$6='Base de Dados e filtragem'!M1101),1,0)</f>
        <v>1</v>
      </c>
      <c r="AR1101" s="25">
        <v>1</v>
      </c>
      <c r="AS1101" s="25">
        <v>1</v>
      </c>
      <c r="AT1101" s="25">
        <v>1</v>
      </c>
      <c r="AU1101" s="25">
        <v>1</v>
      </c>
      <c r="AV1101" s="25">
        <v>1</v>
      </c>
      <c r="AW1101" s="25">
        <v>1</v>
      </c>
      <c r="AX1101" s="25">
        <v>1</v>
      </c>
      <c r="AY1101" s="25">
        <v>1</v>
      </c>
      <c r="AZ1101" s="25">
        <v>1</v>
      </c>
      <c r="BA1101" s="25">
        <v>1</v>
      </c>
      <c r="BB1101" s="25">
        <v>1</v>
      </c>
      <c r="BC1101" s="25">
        <v>1</v>
      </c>
      <c r="BD1101" s="25">
        <v>1</v>
      </c>
    </row>
    <row r="1102" spans="27:56" x14ac:dyDescent="0.25">
      <c r="AA1102" s="68" t="str">
        <f t="shared" si="69"/>
        <v>Fotos\\.jpg</v>
      </c>
      <c r="AB1102" s="53">
        <f t="shared" si="70"/>
        <v>9.0744101633393826E-4</v>
      </c>
      <c r="AC1102" s="25">
        <f t="shared" si="71"/>
        <v>1102</v>
      </c>
      <c r="AD1102" s="51">
        <f t="shared" si="72"/>
        <v>1</v>
      </c>
      <c r="AE1102" s="25">
        <v>1</v>
      </c>
      <c r="AF1102" s="25">
        <v>1</v>
      </c>
      <c r="AG1102" s="25">
        <v>1</v>
      </c>
      <c r="AH1102" s="25">
        <v>1</v>
      </c>
      <c r="AI1102" s="25">
        <f>IF(OR(Apresentação!$E$3='Base de Dados e filtragem'!AI$2,Apresentação!$E$3='Base de Dados e filtragem'!E1102),1,0)</f>
        <v>1</v>
      </c>
      <c r="AJ1102" s="25">
        <f>IF(OR(Apresentação!$E$4='Base de Dados e filtragem'!AJ$2,Apresentação!$E$4='Base de Dados e filtragem'!F1102),1,0)</f>
        <v>1</v>
      </c>
      <c r="AK1102" s="25">
        <f>IF(OR(Apresentação!$E$5='Base de Dados e filtragem'!AK$2,Apresentação!$E$5='Base de Dados e filtragem'!G1102),1,0)</f>
        <v>1</v>
      </c>
      <c r="AL1102" s="25">
        <f>IF(OR(Apresentação!$E$6='Base de Dados e filtragem'!AL$2,Apresentação!$E$6='Base de Dados e filtragem'!H1102),1,0)</f>
        <v>1</v>
      </c>
      <c r="AM1102" s="25">
        <f>IF(OR(Apresentação!$I$2='Base de Dados e filtragem'!AM$2,Apresentação!$I$2='Base de Dados e filtragem'!I1102),1,0)</f>
        <v>1</v>
      </c>
      <c r="AN1102" s="25">
        <f>IF(OR(Apresentação!$I$3='Base de Dados e filtragem'!AN$2,Apresentação!$I$3='Base de Dados e filtragem'!J1102),1,0)</f>
        <v>1</v>
      </c>
      <c r="AO1102" s="25">
        <f>IF(OR(Apresentação!$I$4='Base de Dados e filtragem'!AO$2,Apresentação!$I$4='Base de Dados e filtragem'!K1102),1,0)</f>
        <v>1</v>
      </c>
      <c r="AP1102" s="25">
        <f>IF(OR(Apresentação!$I$5='Base de Dados e filtragem'!AP$2,Apresentação!$I$5='Base de Dados e filtragem'!L1102),1,0)</f>
        <v>1</v>
      </c>
      <c r="AQ1102" s="25">
        <f>IF(OR(Apresentação!$I$6='Base de Dados e filtragem'!AQ$2,Apresentação!$I$6='Base de Dados e filtragem'!M1102),1,0)</f>
        <v>1</v>
      </c>
      <c r="AR1102" s="25">
        <v>1</v>
      </c>
      <c r="AS1102" s="25">
        <v>1</v>
      </c>
      <c r="AT1102" s="25">
        <v>1</v>
      </c>
      <c r="AU1102" s="25">
        <v>1</v>
      </c>
      <c r="AV1102" s="25">
        <v>1</v>
      </c>
      <c r="AW1102" s="25">
        <v>1</v>
      </c>
      <c r="AX1102" s="25">
        <v>1</v>
      </c>
      <c r="AY1102" s="25">
        <v>1</v>
      </c>
      <c r="AZ1102" s="25">
        <v>1</v>
      </c>
      <c r="BA1102" s="25">
        <v>1</v>
      </c>
      <c r="BB1102" s="25">
        <v>1</v>
      </c>
      <c r="BC1102" s="25">
        <v>1</v>
      </c>
      <c r="BD1102" s="25">
        <v>1</v>
      </c>
    </row>
    <row r="1103" spans="27:56" x14ac:dyDescent="0.25">
      <c r="AA1103" s="68" t="str">
        <f t="shared" si="69"/>
        <v>Fotos\\.jpg</v>
      </c>
      <c r="AB1103" s="53">
        <f t="shared" si="70"/>
        <v>9.0661831368993653E-4</v>
      </c>
      <c r="AC1103" s="25">
        <f t="shared" si="71"/>
        <v>1103</v>
      </c>
      <c r="AD1103" s="51">
        <f t="shared" si="72"/>
        <v>1</v>
      </c>
      <c r="AE1103" s="25">
        <v>1</v>
      </c>
      <c r="AF1103" s="25">
        <v>1</v>
      </c>
      <c r="AG1103" s="25">
        <v>1</v>
      </c>
      <c r="AH1103" s="25">
        <v>1</v>
      </c>
      <c r="AI1103" s="25">
        <f>IF(OR(Apresentação!$E$3='Base de Dados e filtragem'!AI$2,Apresentação!$E$3='Base de Dados e filtragem'!E1103),1,0)</f>
        <v>1</v>
      </c>
      <c r="AJ1103" s="25">
        <f>IF(OR(Apresentação!$E$4='Base de Dados e filtragem'!AJ$2,Apresentação!$E$4='Base de Dados e filtragem'!F1103),1,0)</f>
        <v>1</v>
      </c>
      <c r="AK1103" s="25">
        <f>IF(OR(Apresentação!$E$5='Base de Dados e filtragem'!AK$2,Apresentação!$E$5='Base de Dados e filtragem'!G1103),1,0)</f>
        <v>1</v>
      </c>
      <c r="AL1103" s="25">
        <f>IF(OR(Apresentação!$E$6='Base de Dados e filtragem'!AL$2,Apresentação!$E$6='Base de Dados e filtragem'!H1103),1,0)</f>
        <v>1</v>
      </c>
      <c r="AM1103" s="25">
        <f>IF(OR(Apresentação!$I$2='Base de Dados e filtragem'!AM$2,Apresentação!$I$2='Base de Dados e filtragem'!I1103),1,0)</f>
        <v>1</v>
      </c>
      <c r="AN1103" s="25">
        <f>IF(OR(Apresentação!$I$3='Base de Dados e filtragem'!AN$2,Apresentação!$I$3='Base de Dados e filtragem'!J1103),1,0)</f>
        <v>1</v>
      </c>
      <c r="AO1103" s="25">
        <f>IF(OR(Apresentação!$I$4='Base de Dados e filtragem'!AO$2,Apresentação!$I$4='Base de Dados e filtragem'!K1103),1,0)</f>
        <v>1</v>
      </c>
      <c r="AP1103" s="25">
        <f>IF(OR(Apresentação!$I$5='Base de Dados e filtragem'!AP$2,Apresentação!$I$5='Base de Dados e filtragem'!L1103),1,0)</f>
        <v>1</v>
      </c>
      <c r="AQ1103" s="25">
        <f>IF(OR(Apresentação!$I$6='Base de Dados e filtragem'!AQ$2,Apresentação!$I$6='Base de Dados e filtragem'!M1103),1,0)</f>
        <v>1</v>
      </c>
      <c r="AR1103" s="25">
        <v>1</v>
      </c>
      <c r="AS1103" s="25">
        <v>1</v>
      </c>
      <c r="AT1103" s="25">
        <v>1</v>
      </c>
      <c r="AU1103" s="25">
        <v>1</v>
      </c>
      <c r="AV1103" s="25">
        <v>1</v>
      </c>
      <c r="AW1103" s="25">
        <v>1</v>
      </c>
      <c r="AX1103" s="25">
        <v>1</v>
      </c>
      <c r="AY1103" s="25">
        <v>1</v>
      </c>
      <c r="AZ1103" s="25">
        <v>1</v>
      </c>
      <c r="BA1103" s="25">
        <v>1</v>
      </c>
      <c r="BB1103" s="25">
        <v>1</v>
      </c>
      <c r="BC1103" s="25">
        <v>1</v>
      </c>
      <c r="BD1103" s="25">
        <v>1</v>
      </c>
    </row>
    <row r="1104" spans="27:56" x14ac:dyDescent="0.25">
      <c r="AA1104" s="68" t="str">
        <f t="shared" si="69"/>
        <v>Fotos\\.jpg</v>
      </c>
      <c r="AB1104" s="53">
        <f t="shared" si="70"/>
        <v>9.0579710144927537E-4</v>
      </c>
      <c r="AC1104" s="25">
        <f t="shared" si="71"/>
        <v>1104</v>
      </c>
      <c r="AD1104" s="51">
        <f t="shared" si="72"/>
        <v>1</v>
      </c>
      <c r="AE1104" s="25">
        <v>1</v>
      </c>
      <c r="AF1104" s="25">
        <v>1</v>
      </c>
      <c r="AG1104" s="25">
        <v>1</v>
      </c>
      <c r="AH1104" s="25">
        <v>1</v>
      </c>
      <c r="AI1104" s="25">
        <f>IF(OR(Apresentação!$E$3='Base de Dados e filtragem'!AI$2,Apresentação!$E$3='Base de Dados e filtragem'!E1104),1,0)</f>
        <v>1</v>
      </c>
      <c r="AJ1104" s="25">
        <f>IF(OR(Apresentação!$E$4='Base de Dados e filtragem'!AJ$2,Apresentação!$E$4='Base de Dados e filtragem'!F1104),1,0)</f>
        <v>1</v>
      </c>
      <c r="AK1104" s="25">
        <f>IF(OR(Apresentação!$E$5='Base de Dados e filtragem'!AK$2,Apresentação!$E$5='Base de Dados e filtragem'!G1104),1,0)</f>
        <v>1</v>
      </c>
      <c r="AL1104" s="25">
        <f>IF(OR(Apresentação!$E$6='Base de Dados e filtragem'!AL$2,Apresentação!$E$6='Base de Dados e filtragem'!H1104),1,0)</f>
        <v>1</v>
      </c>
      <c r="AM1104" s="25">
        <f>IF(OR(Apresentação!$I$2='Base de Dados e filtragem'!AM$2,Apresentação!$I$2='Base de Dados e filtragem'!I1104),1,0)</f>
        <v>1</v>
      </c>
      <c r="AN1104" s="25">
        <f>IF(OR(Apresentação!$I$3='Base de Dados e filtragem'!AN$2,Apresentação!$I$3='Base de Dados e filtragem'!J1104),1,0)</f>
        <v>1</v>
      </c>
      <c r="AO1104" s="25">
        <f>IF(OR(Apresentação!$I$4='Base de Dados e filtragem'!AO$2,Apresentação!$I$4='Base de Dados e filtragem'!K1104),1,0)</f>
        <v>1</v>
      </c>
      <c r="AP1104" s="25">
        <f>IF(OR(Apresentação!$I$5='Base de Dados e filtragem'!AP$2,Apresentação!$I$5='Base de Dados e filtragem'!L1104),1,0)</f>
        <v>1</v>
      </c>
      <c r="AQ1104" s="25">
        <f>IF(OR(Apresentação!$I$6='Base de Dados e filtragem'!AQ$2,Apresentação!$I$6='Base de Dados e filtragem'!M1104),1,0)</f>
        <v>1</v>
      </c>
      <c r="AR1104" s="25">
        <v>1</v>
      </c>
      <c r="AS1104" s="25">
        <v>1</v>
      </c>
      <c r="AT1104" s="25">
        <v>1</v>
      </c>
      <c r="AU1104" s="25">
        <v>1</v>
      </c>
      <c r="AV1104" s="25">
        <v>1</v>
      </c>
      <c r="AW1104" s="25">
        <v>1</v>
      </c>
      <c r="AX1104" s="25">
        <v>1</v>
      </c>
      <c r="AY1104" s="25">
        <v>1</v>
      </c>
      <c r="AZ1104" s="25">
        <v>1</v>
      </c>
      <c r="BA1104" s="25">
        <v>1</v>
      </c>
      <c r="BB1104" s="25">
        <v>1</v>
      </c>
      <c r="BC1104" s="25">
        <v>1</v>
      </c>
      <c r="BD1104" s="25">
        <v>1</v>
      </c>
    </row>
    <row r="1105" spans="27:56" x14ac:dyDescent="0.25">
      <c r="AA1105" s="68" t="str">
        <f t="shared" si="69"/>
        <v>Fotos\\.jpg</v>
      </c>
      <c r="AB1105" s="53">
        <f t="shared" si="70"/>
        <v>9.049773755656109E-4</v>
      </c>
      <c r="AC1105" s="25">
        <f t="shared" si="71"/>
        <v>1105</v>
      </c>
      <c r="AD1105" s="51">
        <f t="shared" si="72"/>
        <v>1</v>
      </c>
      <c r="AE1105" s="25">
        <v>1</v>
      </c>
      <c r="AF1105" s="25">
        <v>1</v>
      </c>
      <c r="AG1105" s="25">
        <v>1</v>
      </c>
      <c r="AH1105" s="25">
        <v>1</v>
      </c>
      <c r="AI1105" s="25">
        <f>IF(OR(Apresentação!$E$3='Base de Dados e filtragem'!AI$2,Apresentação!$E$3='Base de Dados e filtragem'!E1105),1,0)</f>
        <v>1</v>
      </c>
      <c r="AJ1105" s="25">
        <f>IF(OR(Apresentação!$E$4='Base de Dados e filtragem'!AJ$2,Apresentação!$E$4='Base de Dados e filtragem'!F1105),1,0)</f>
        <v>1</v>
      </c>
      <c r="AK1105" s="25">
        <f>IF(OR(Apresentação!$E$5='Base de Dados e filtragem'!AK$2,Apresentação!$E$5='Base de Dados e filtragem'!G1105),1,0)</f>
        <v>1</v>
      </c>
      <c r="AL1105" s="25">
        <f>IF(OR(Apresentação!$E$6='Base de Dados e filtragem'!AL$2,Apresentação!$E$6='Base de Dados e filtragem'!H1105),1,0)</f>
        <v>1</v>
      </c>
      <c r="AM1105" s="25">
        <f>IF(OR(Apresentação!$I$2='Base de Dados e filtragem'!AM$2,Apresentação!$I$2='Base de Dados e filtragem'!I1105),1,0)</f>
        <v>1</v>
      </c>
      <c r="AN1105" s="25">
        <f>IF(OR(Apresentação!$I$3='Base de Dados e filtragem'!AN$2,Apresentação!$I$3='Base de Dados e filtragem'!J1105),1,0)</f>
        <v>1</v>
      </c>
      <c r="AO1105" s="25">
        <f>IF(OR(Apresentação!$I$4='Base de Dados e filtragem'!AO$2,Apresentação!$I$4='Base de Dados e filtragem'!K1105),1,0)</f>
        <v>1</v>
      </c>
      <c r="AP1105" s="25">
        <f>IF(OR(Apresentação!$I$5='Base de Dados e filtragem'!AP$2,Apresentação!$I$5='Base de Dados e filtragem'!L1105),1,0)</f>
        <v>1</v>
      </c>
      <c r="AQ1105" s="25">
        <f>IF(OR(Apresentação!$I$6='Base de Dados e filtragem'!AQ$2,Apresentação!$I$6='Base de Dados e filtragem'!M1105),1,0)</f>
        <v>1</v>
      </c>
      <c r="AR1105" s="25">
        <v>1</v>
      </c>
      <c r="AS1105" s="25">
        <v>1</v>
      </c>
      <c r="AT1105" s="25">
        <v>1</v>
      </c>
      <c r="AU1105" s="25">
        <v>1</v>
      </c>
      <c r="AV1105" s="25">
        <v>1</v>
      </c>
      <c r="AW1105" s="25">
        <v>1</v>
      </c>
      <c r="AX1105" s="25">
        <v>1</v>
      </c>
      <c r="AY1105" s="25">
        <v>1</v>
      </c>
      <c r="AZ1105" s="25">
        <v>1</v>
      </c>
      <c r="BA1105" s="25">
        <v>1</v>
      </c>
      <c r="BB1105" s="25">
        <v>1</v>
      </c>
      <c r="BC1105" s="25">
        <v>1</v>
      </c>
      <c r="BD1105" s="25">
        <v>1</v>
      </c>
    </row>
    <row r="1106" spans="27:56" x14ac:dyDescent="0.25">
      <c r="AA1106" s="68" t="str">
        <f t="shared" si="69"/>
        <v>Fotos\\.jpg</v>
      </c>
      <c r="AB1106" s="53">
        <f t="shared" si="70"/>
        <v>9.0415913200723324E-4</v>
      </c>
      <c r="AC1106" s="25">
        <f t="shared" si="71"/>
        <v>1106</v>
      </c>
      <c r="AD1106" s="51">
        <f t="shared" si="72"/>
        <v>1</v>
      </c>
      <c r="AE1106" s="25">
        <v>1</v>
      </c>
      <c r="AF1106" s="25">
        <v>1</v>
      </c>
      <c r="AG1106" s="25">
        <v>1</v>
      </c>
      <c r="AH1106" s="25">
        <v>1</v>
      </c>
      <c r="AI1106" s="25">
        <f>IF(OR(Apresentação!$E$3='Base de Dados e filtragem'!AI$2,Apresentação!$E$3='Base de Dados e filtragem'!E1106),1,0)</f>
        <v>1</v>
      </c>
      <c r="AJ1106" s="25">
        <f>IF(OR(Apresentação!$E$4='Base de Dados e filtragem'!AJ$2,Apresentação!$E$4='Base de Dados e filtragem'!F1106),1,0)</f>
        <v>1</v>
      </c>
      <c r="AK1106" s="25">
        <f>IF(OR(Apresentação!$E$5='Base de Dados e filtragem'!AK$2,Apresentação!$E$5='Base de Dados e filtragem'!G1106),1,0)</f>
        <v>1</v>
      </c>
      <c r="AL1106" s="25">
        <f>IF(OR(Apresentação!$E$6='Base de Dados e filtragem'!AL$2,Apresentação!$E$6='Base de Dados e filtragem'!H1106),1,0)</f>
        <v>1</v>
      </c>
      <c r="AM1106" s="25">
        <f>IF(OR(Apresentação!$I$2='Base de Dados e filtragem'!AM$2,Apresentação!$I$2='Base de Dados e filtragem'!I1106),1,0)</f>
        <v>1</v>
      </c>
      <c r="AN1106" s="25">
        <f>IF(OR(Apresentação!$I$3='Base de Dados e filtragem'!AN$2,Apresentação!$I$3='Base de Dados e filtragem'!J1106),1,0)</f>
        <v>1</v>
      </c>
      <c r="AO1106" s="25">
        <f>IF(OR(Apresentação!$I$4='Base de Dados e filtragem'!AO$2,Apresentação!$I$4='Base de Dados e filtragem'!K1106),1,0)</f>
        <v>1</v>
      </c>
      <c r="AP1106" s="25">
        <f>IF(OR(Apresentação!$I$5='Base de Dados e filtragem'!AP$2,Apresentação!$I$5='Base de Dados e filtragem'!L1106),1,0)</f>
        <v>1</v>
      </c>
      <c r="AQ1106" s="25">
        <f>IF(OR(Apresentação!$I$6='Base de Dados e filtragem'!AQ$2,Apresentação!$I$6='Base de Dados e filtragem'!M1106),1,0)</f>
        <v>1</v>
      </c>
      <c r="AR1106" s="25">
        <v>1</v>
      </c>
      <c r="AS1106" s="25">
        <v>1</v>
      </c>
      <c r="AT1106" s="25">
        <v>1</v>
      </c>
      <c r="AU1106" s="25">
        <v>1</v>
      </c>
      <c r="AV1106" s="25">
        <v>1</v>
      </c>
      <c r="AW1106" s="25">
        <v>1</v>
      </c>
      <c r="AX1106" s="25">
        <v>1</v>
      </c>
      <c r="AY1106" s="25">
        <v>1</v>
      </c>
      <c r="AZ1106" s="25">
        <v>1</v>
      </c>
      <c r="BA1106" s="25">
        <v>1</v>
      </c>
      <c r="BB1106" s="25">
        <v>1</v>
      </c>
      <c r="BC1106" s="25">
        <v>1</v>
      </c>
      <c r="BD1106" s="25">
        <v>1</v>
      </c>
    </row>
    <row r="1107" spans="27:56" x14ac:dyDescent="0.25">
      <c r="AA1107" s="68" t="str">
        <f t="shared" si="69"/>
        <v>Fotos\\.jpg</v>
      </c>
      <c r="AB1107" s="53">
        <f t="shared" si="70"/>
        <v>9.0334236675700087E-4</v>
      </c>
      <c r="AC1107" s="25">
        <f t="shared" si="71"/>
        <v>1107</v>
      </c>
      <c r="AD1107" s="51">
        <f t="shared" si="72"/>
        <v>1</v>
      </c>
      <c r="AE1107" s="25">
        <v>1</v>
      </c>
      <c r="AF1107" s="25">
        <v>1</v>
      </c>
      <c r="AG1107" s="25">
        <v>1</v>
      </c>
      <c r="AH1107" s="25">
        <v>1</v>
      </c>
      <c r="AI1107" s="25">
        <f>IF(OR(Apresentação!$E$3='Base de Dados e filtragem'!AI$2,Apresentação!$E$3='Base de Dados e filtragem'!E1107),1,0)</f>
        <v>1</v>
      </c>
      <c r="AJ1107" s="25">
        <f>IF(OR(Apresentação!$E$4='Base de Dados e filtragem'!AJ$2,Apresentação!$E$4='Base de Dados e filtragem'!F1107),1,0)</f>
        <v>1</v>
      </c>
      <c r="AK1107" s="25">
        <f>IF(OR(Apresentação!$E$5='Base de Dados e filtragem'!AK$2,Apresentação!$E$5='Base de Dados e filtragem'!G1107),1,0)</f>
        <v>1</v>
      </c>
      <c r="AL1107" s="25">
        <f>IF(OR(Apresentação!$E$6='Base de Dados e filtragem'!AL$2,Apresentação!$E$6='Base de Dados e filtragem'!H1107),1,0)</f>
        <v>1</v>
      </c>
      <c r="AM1107" s="25">
        <f>IF(OR(Apresentação!$I$2='Base de Dados e filtragem'!AM$2,Apresentação!$I$2='Base de Dados e filtragem'!I1107),1,0)</f>
        <v>1</v>
      </c>
      <c r="AN1107" s="25">
        <f>IF(OR(Apresentação!$I$3='Base de Dados e filtragem'!AN$2,Apresentação!$I$3='Base de Dados e filtragem'!J1107),1,0)</f>
        <v>1</v>
      </c>
      <c r="AO1107" s="25">
        <f>IF(OR(Apresentação!$I$4='Base de Dados e filtragem'!AO$2,Apresentação!$I$4='Base de Dados e filtragem'!K1107),1,0)</f>
        <v>1</v>
      </c>
      <c r="AP1107" s="25">
        <f>IF(OR(Apresentação!$I$5='Base de Dados e filtragem'!AP$2,Apresentação!$I$5='Base de Dados e filtragem'!L1107),1,0)</f>
        <v>1</v>
      </c>
      <c r="AQ1107" s="25">
        <f>IF(OR(Apresentação!$I$6='Base de Dados e filtragem'!AQ$2,Apresentação!$I$6='Base de Dados e filtragem'!M1107),1,0)</f>
        <v>1</v>
      </c>
      <c r="AR1107" s="25">
        <v>1</v>
      </c>
      <c r="AS1107" s="25">
        <v>1</v>
      </c>
      <c r="AT1107" s="25">
        <v>1</v>
      </c>
      <c r="AU1107" s="25">
        <v>1</v>
      </c>
      <c r="AV1107" s="25">
        <v>1</v>
      </c>
      <c r="AW1107" s="25">
        <v>1</v>
      </c>
      <c r="AX1107" s="25">
        <v>1</v>
      </c>
      <c r="AY1107" s="25">
        <v>1</v>
      </c>
      <c r="AZ1107" s="25">
        <v>1</v>
      </c>
      <c r="BA1107" s="25">
        <v>1</v>
      </c>
      <c r="BB1107" s="25">
        <v>1</v>
      </c>
      <c r="BC1107" s="25">
        <v>1</v>
      </c>
      <c r="BD1107" s="25">
        <v>1</v>
      </c>
    </row>
    <row r="1108" spans="27:56" x14ac:dyDescent="0.25">
      <c r="AA1108" s="68" t="str">
        <f t="shared" si="69"/>
        <v>Fotos\\.jpg</v>
      </c>
      <c r="AB1108" s="53">
        <f t="shared" si="70"/>
        <v>9.025270758122744E-4</v>
      </c>
      <c r="AC1108" s="25">
        <f t="shared" si="71"/>
        <v>1108</v>
      </c>
      <c r="AD1108" s="51">
        <f t="shared" si="72"/>
        <v>1</v>
      </c>
      <c r="AE1108" s="25">
        <v>1</v>
      </c>
      <c r="AF1108" s="25">
        <v>1</v>
      </c>
      <c r="AG1108" s="25">
        <v>1</v>
      </c>
      <c r="AH1108" s="25">
        <v>1</v>
      </c>
      <c r="AI1108" s="25">
        <f>IF(OR(Apresentação!$E$3='Base de Dados e filtragem'!AI$2,Apresentação!$E$3='Base de Dados e filtragem'!E1108),1,0)</f>
        <v>1</v>
      </c>
      <c r="AJ1108" s="25">
        <f>IF(OR(Apresentação!$E$4='Base de Dados e filtragem'!AJ$2,Apresentação!$E$4='Base de Dados e filtragem'!F1108),1,0)</f>
        <v>1</v>
      </c>
      <c r="AK1108" s="25">
        <f>IF(OR(Apresentação!$E$5='Base de Dados e filtragem'!AK$2,Apresentação!$E$5='Base de Dados e filtragem'!G1108),1,0)</f>
        <v>1</v>
      </c>
      <c r="AL1108" s="25">
        <f>IF(OR(Apresentação!$E$6='Base de Dados e filtragem'!AL$2,Apresentação!$E$6='Base de Dados e filtragem'!H1108),1,0)</f>
        <v>1</v>
      </c>
      <c r="AM1108" s="25">
        <f>IF(OR(Apresentação!$I$2='Base de Dados e filtragem'!AM$2,Apresentação!$I$2='Base de Dados e filtragem'!I1108),1,0)</f>
        <v>1</v>
      </c>
      <c r="AN1108" s="25">
        <f>IF(OR(Apresentação!$I$3='Base de Dados e filtragem'!AN$2,Apresentação!$I$3='Base de Dados e filtragem'!J1108),1,0)</f>
        <v>1</v>
      </c>
      <c r="AO1108" s="25">
        <f>IF(OR(Apresentação!$I$4='Base de Dados e filtragem'!AO$2,Apresentação!$I$4='Base de Dados e filtragem'!K1108),1,0)</f>
        <v>1</v>
      </c>
      <c r="AP1108" s="25">
        <f>IF(OR(Apresentação!$I$5='Base de Dados e filtragem'!AP$2,Apresentação!$I$5='Base de Dados e filtragem'!L1108),1,0)</f>
        <v>1</v>
      </c>
      <c r="AQ1108" s="25">
        <f>IF(OR(Apresentação!$I$6='Base de Dados e filtragem'!AQ$2,Apresentação!$I$6='Base de Dados e filtragem'!M1108),1,0)</f>
        <v>1</v>
      </c>
      <c r="AR1108" s="25">
        <v>1</v>
      </c>
      <c r="AS1108" s="25">
        <v>1</v>
      </c>
      <c r="AT1108" s="25">
        <v>1</v>
      </c>
      <c r="AU1108" s="25">
        <v>1</v>
      </c>
      <c r="AV1108" s="25">
        <v>1</v>
      </c>
      <c r="AW1108" s="25">
        <v>1</v>
      </c>
      <c r="AX1108" s="25">
        <v>1</v>
      </c>
      <c r="AY1108" s="25">
        <v>1</v>
      </c>
      <c r="AZ1108" s="25">
        <v>1</v>
      </c>
      <c r="BA1108" s="25">
        <v>1</v>
      </c>
      <c r="BB1108" s="25">
        <v>1</v>
      </c>
      <c r="BC1108" s="25">
        <v>1</v>
      </c>
      <c r="BD1108" s="25">
        <v>1</v>
      </c>
    </row>
    <row r="1109" spans="27:56" x14ac:dyDescent="0.25">
      <c r="AA1109" s="68" t="str">
        <f t="shared" si="69"/>
        <v>Fotos\\.jpg</v>
      </c>
      <c r="AB1109" s="53">
        <f t="shared" si="70"/>
        <v>9.0171325518485117E-4</v>
      </c>
      <c r="AC1109" s="25">
        <f t="shared" si="71"/>
        <v>1109</v>
      </c>
      <c r="AD1109" s="51">
        <f t="shared" si="72"/>
        <v>1</v>
      </c>
      <c r="AE1109" s="25">
        <v>1</v>
      </c>
      <c r="AF1109" s="25">
        <v>1</v>
      </c>
      <c r="AG1109" s="25">
        <v>1</v>
      </c>
      <c r="AH1109" s="25">
        <v>1</v>
      </c>
      <c r="AI1109" s="25">
        <f>IF(OR(Apresentação!$E$3='Base de Dados e filtragem'!AI$2,Apresentação!$E$3='Base de Dados e filtragem'!E1109),1,0)</f>
        <v>1</v>
      </c>
      <c r="AJ1109" s="25">
        <f>IF(OR(Apresentação!$E$4='Base de Dados e filtragem'!AJ$2,Apresentação!$E$4='Base de Dados e filtragem'!F1109),1,0)</f>
        <v>1</v>
      </c>
      <c r="AK1109" s="25">
        <f>IF(OR(Apresentação!$E$5='Base de Dados e filtragem'!AK$2,Apresentação!$E$5='Base de Dados e filtragem'!G1109),1,0)</f>
        <v>1</v>
      </c>
      <c r="AL1109" s="25">
        <f>IF(OR(Apresentação!$E$6='Base de Dados e filtragem'!AL$2,Apresentação!$E$6='Base de Dados e filtragem'!H1109),1,0)</f>
        <v>1</v>
      </c>
      <c r="AM1109" s="25">
        <f>IF(OR(Apresentação!$I$2='Base de Dados e filtragem'!AM$2,Apresentação!$I$2='Base de Dados e filtragem'!I1109),1,0)</f>
        <v>1</v>
      </c>
      <c r="AN1109" s="25">
        <f>IF(OR(Apresentação!$I$3='Base de Dados e filtragem'!AN$2,Apresentação!$I$3='Base de Dados e filtragem'!J1109),1,0)</f>
        <v>1</v>
      </c>
      <c r="AO1109" s="25">
        <f>IF(OR(Apresentação!$I$4='Base de Dados e filtragem'!AO$2,Apresentação!$I$4='Base de Dados e filtragem'!K1109),1,0)</f>
        <v>1</v>
      </c>
      <c r="AP1109" s="25">
        <f>IF(OR(Apresentação!$I$5='Base de Dados e filtragem'!AP$2,Apresentação!$I$5='Base de Dados e filtragem'!L1109),1,0)</f>
        <v>1</v>
      </c>
      <c r="AQ1109" s="25">
        <f>IF(OR(Apresentação!$I$6='Base de Dados e filtragem'!AQ$2,Apresentação!$I$6='Base de Dados e filtragem'!M1109),1,0)</f>
        <v>1</v>
      </c>
      <c r="AR1109" s="25">
        <v>1</v>
      </c>
      <c r="AS1109" s="25">
        <v>1</v>
      </c>
      <c r="AT1109" s="25">
        <v>1</v>
      </c>
      <c r="AU1109" s="25">
        <v>1</v>
      </c>
      <c r="AV1109" s="25">
        <v>1</v>
      </c>
      <c r="AW1109" s="25">
        <v>1</v>
      </c>
      <c r="AX1109" s="25">
        <v>1</v>
      </c>
      <c r="AY1109" s="25">
        <v>1</v>
      </c>
      <c r="AZ1109" s="25">
        <v>1</v>
      </c>
      <c r="BA1109" s="25">
        <v>1</v>
      </c>
      <c r="BB1109" s="25">
        <v>1</v>
      </c>
      <c r="BC1109" s="25">
        <v>1</v>
      </c>
      <c r="BD1109" s="25">
        <v>1</v>
      </c>
    </row>
    <row r="1110" spans="27:56" x14ac:dyDescent="0.25">
      <c r="AA1110" s="68" t="str">
        <f t="shared" si="69"/>
        <v>Fotos\\.jpg</v>
      </c>
      <c r="AB1110" s="53">
        <f t="shared" si="70"/>
        <v>9.0090090090090091E-4</v>
      </c>
      <c r="AC1110" s="25">
        <f t="shared" si="71"/>
        <v>1110</v>
      </c>
      <c r="AD1110" s="51">
        <f t="shared" si="72"/>
        <v>1</v>
      </c>
      <c r="AE1110" s="25">
        <v>1</v>
      </c>
      <c r="AF1110" s="25">
        <v>1</v>
      </c>
      <c r="AG1110" s="25">
        <v>1</v>
      </c>
      <c r="AH1110" s="25">
        <v>1</v>
      </c>
      <c r="AI1110" s="25">
        <f>IF(OR(Apresentação!$E$3='Base de Dados e filtragem'!AI$2,Apresentação!$E$3='Base de Dados e filtragem'!E1110),1,0)</f>
        <v>1</v>
      </c>
      <c r="AJ1110" s="25">
        <f>IF(OR(Apresentação!$E$4='Base de Dados e filtragem'!AJ$2,Apresentação!$E$4='Base de Dados e filtragem'!F1110),1,0)</f>
        <v>1</v>
      </c>
      <c r="AK1110" s="25">
        <f>IF(OR(Apresentação!$E$5='Base de Dados e filtragem'!AK$2,Apresentação!$E$5='Base de Dados e filtragem'!G1110),1,0)</f>
        <v>1</v>
      </c>
      <c r="AL1110" s="25">
        <f>IF(OR(Apresentação!$E$6='Base de Dados e filtragem'!AL$2,Apresentação!$E$6='Base de Dados e filtragem'!H1110),1,0)</f>
        <v>1</v>
      </c>
      <c r="AM1110" s="25">
        <f>IF(OR(Apresentação!$I$2='Base de Dados e filtragem'!AM$2,Apresentação!$I$2='Base de Dados e filtragem'!I1110),1,0)</f>
        <v>1</v>
      </c>
      <c r="AN1110" s="25">
        <f>IF(OR(Apresentação!$I$3='Base de Dados e filtragem'!AN$2,Apresentação!$I$3='Base de Dados e filtragem'!J1110),1,0)</f>
        <v>1</v>
      </c>
      <c r="AO1110" s="25">
        <f>IF(OR(Apresentação!$I$4='Base de Dados e filtragem'!AO$2,Apresentação!$I$4='Base de Dados e filtragem'!K1110),1,0)</f>
        <v>1</v>
      </c>
      <c r="AP1110" s="25">
        <f>IF(OR(Apresentação!$I$5='Base de Dados e filtragem'!AP$2,Apresentação!$I$5='Base de Dados e filtragem'!L1110),1,0)</f>
        <v>1</v>
      </c>
      <c r="AQ1110" s="25">
        <f>IF(OR(Apresentação!$I$6='Base de Dados e filtragem'!AQ$2,Apresentação!$I$6='Base de Dados e filtragem'!M1110),1,0)</f>
        <v>1</v>
      </c>
      <c r="AR1110" s="25">
        <v>1</v>
      </c>
      <c r="AS1110" s="25">
        <v>1</v>
      </c>
      <c r="AT1110" s="25">
        <v>1</v>
      </c>
      <c r="AU1110" s="25">
        <v>1</v>
      </c>
      <c r="AV1110" s="25">
        <v>1</v>
      </c>
      <c r="AW1110" s="25">
        <v>1</v>
      </c>
      <c r="AX1110" s="25">
        <v>1</v>
      </c>
      <c r="AY1110" s="25">
        <v>1</v>
      </c>
      <c r="AZ1110" s="25">
        <v>1</v>
      </c>
      <c r="BA1110" s="25">
        <v>1</v>
      </c>
      <c r="BB1110" s="25">
        <v>1</v>
      </c>
      <c r="BC1110" s="25">
        <v>1</v>
      </c>
      <c r="BD1110" s="25">
        <v>1</v>
      </c>
    </row>
    <row r="1111" spans="27:56" x14ac:dyDescent="0.25">
      <c r="AA1111" s="68" t="str">
        <f t="shared" si="69"/>
        <v>Fotos\\.jpg</v>
      </c>
      <c r="AB1111" s="53">
        <f t="shared" si="70"/>
        <v>9.0009000900090005E-4</v>
      </c>
      <c r="AC1111" s="25">
        <f t="shared" si="71"/>
        <v>1111</v>
      </c>
      <c r="AD1111" s="51">
        <f t="shared" si="72"/>
        <v>1</v>
      </c>
      <c r="AE1111" s="25">
        <v>1</v>
      </c>
      <c r="AF1111" s="25">
        <v>1</v>
      </c>
      <c r="AG1111" s="25">
        <v>1</v>
      </c>
      <c r="AH1111" s="25">
        <v>1</v>
      </c>
      <c r="AI1111" s="25">
        <f>IF(OR(Apresentação!$E$3='Base de Dados e filtragem'!AI$2,Apresentação!$E$3='Base de Dados e filtragem'!E1111),1,0)</f>
        <v>1</v>
      </c>
      <c r="AJ1111" s="25">
        <f>IF(OR(Apresentação!$E$4='Base de Dados e filtragem'!AJ$2,Apresentação!$E$4='Base de Dados e filtragem'!F1111),1,0)</f>
        <v>1</v>
      </c>
      <c r="AK1111" s="25">
        <f>IF(OR(Apresentação!$E$5='Base de Dados e filtragem'!AK$2,Apresentação!$E$5='Base de Dados e filtragem'!G1111),1,0)</f>
        <v>1</v>
      </c>
      <c r="AL1111" s="25">
        <f>IF(OR(Apresentação!$E$6='Base de Dados e filtragem'!AL$2,Apresentação!$E$6='Base de Dados e filtragem'!H1111),1,0)</f>
        <v>1</v>
      </c>
      <c r="AM1111" s="25">
        <f>IF(OR(Apresentação!$I$2='Base de Dados e filtragem'!AM$2,Apresentação!$I$2='Base de Dados e filtragem'!I1111),1,0)</f>
        <v>1</v>
      </c>
      <c r="AN1111" s="25">
        <f>IF(OR(Apresentação!$I$3='Base de Dados e filtragem'!AN$2,Apresentação!$I$3='Base de Dados e filtragem'!J1111),1,0)</f>
        <v>1</v>
      </c>
      <c r="AO1111" s="25">
        <f>IF(OR(Apresentação!$I$4='Base de Dados e filtragem'!AO$2,Apresentação!$I$4='Base de Dados e filtragem'!K1111),1,0)</f>
        <v>1</v>
      </c>
      <c r="AP1111" s="25">
        <f>IF(OR(Apresentação!$I$5='Base de Dados e filtragem'!AP$2,Apresentação!$I$5='Base de Dados e filtragem'!L1111),1,0)</f>
        <v>1</v>
      </c>
      <c r="AQ1111" s="25">
        <f>IF(OR(Apresentação!$I$6='Base de Dados e filtragem'!AQ$2,Apresentação!$I$6='Base de Dados e filtragem'!M1111),1,0)</f>
        <v>1</v>
      </c>
      <c r="AR1111" s="25">
        <v>1</v>
      </c>
      <c r="AS1111" s="25">
        <v>1</v>
      </c>
      <c r="AT1111" s="25">
        <v>1</v>
      </c>
      <c r="AU1111" s="25">
        <v>1</v>
      </c>
      <c r="AV1111" s="25">
        <v>1</v>
      </c>
      <c r="AW1111" s="25">
        <v>1</v>
      </c>
      <c r="AX1111" s="25">
        <v>1</v>
      </c>
      <c r="AY1111" s="25">
        <v>1</v>
      </c>
      <c r="AZ1111" s="25">
        <v>1</v>
      </c>
      <c r="BA1111" s="25">
        <v>1</v>
      </c>
      <c r="BB1111" s="25">
        <v>1</v>
      </c>
      <c r="BC1111" s="25">
        <v>1</v>
      </c>
      <c r="BD1111" s="25">
        <v>1</v>
      </c>
    </row>
    <row r="1112" spans="27:56" x14ac:dyDescent="0.25">
      <c r="AA1112" s="68" t="str">
        <f t="shared" si="69"/>
        <v>Fotos\\.jpg</v>
      </c>
      <c r="AB1112" s="53">
        <f t="shared" si="70"/>
        <v>8.9928057553956839E-4</v>
      </c>
      <c r="AC1112" s="25">
        <f t="shared" si="71"/>
        <v>1112</v>
      </c>
      <c r="AD1112" s="51">
        <f t="shared" si="72"/>
        <v>1</v>
      </c>
      <c r="AE1112" s="25">
        <v>1</v>
      </c>
      <c r="AF1112" s="25">
        <v>1</v>
      </c>
      <c r="AG1112" s="25">
        <v>1</v>
      </c>
      <c r="AH1112" s="25">
        <v>1</v>
      </c>
      <c r="AI1112" s="25">
        <f>IF(OR(Apresentação!$E$3='Base de Dados e filtragem'!AI$2,Apresentação!$E$3='Base de Dados e filtragem'!E1112),1,0)</f>
        <v>1</v>
      </c>
      <c r="AJ1112" s="25">
        <f>IF(OR(Apresentação!$E$4='Base de Dados e filtragem'!AJ$2,Apresentação!$E$4='Base de Dados e filtragem'!F1112),1,0)</f>
        <v>1</v>
      </c>
      <c r="AK1112" s="25">
        <f>IF(OR(Apresentação!$E$5='Base de Dados e filtragem'!AK$2,Apresentação!$E$5='Base de Dados e filtragem'!G1112),1,0)</f>
        <v>1</v>
      </c>
      <c r="AL1112" s="25">
        <f>IF(OR(Apresentação!$E$6='Base de Dados e filtragem'!AL$2,Apresentação!$E$6='Base de Dados e filtragem'!H1112),1,0)</f>
        <v>1</v>
      </c>
      <c r="AM1112" s="25">
        <f>IF(OR(Apresentação!$I$2='Base de Dados e filtragem'!AM$2,Apresentação!$I$2='Base de Dados e filtragem'!I1112),1,0)</f>
        <v>1</v>
      </c>
      <c r="AN1112" s="25">
        <f>IF(OR(Apresentação!$I$3='Base de Dados e filtragem'!AN$2,Apresentação!$I$3='Base de Dados e filtragem'!J1112),1,0)</f>
        <v>1</v>
      </c>
      <c r="AO1112" s="25">
        <f>IF(OR(Apresentação!$I$4='Base de Dados e filtragem'!AO$2,Apresentação!$I$4='Base de Dados e filtragem'!K1112),1,0)</f>
        <v>1</v>
      </c>
      <c r="AP1112" s="25">
        <f>IF(OR(Apresentação!$I$5='Base de Dados e filtragem'!AP$2,Apresentação!$I$5='Base de Dados e filtragem'!L1112),1,0)</f>
        <v>1</v>
      </c>
      <c r="AQ1112" s="25">
        <f>IF(OR(Apresentação!$I$6='Base de Dados e filtragem'!AQ$2,Apresentação!$I$6='Base de Dados e filtragem'!M1112),1,0)</f>
        <v>1</v>
      </c>
      <c r="AR1112" s="25">
        <v>1</v>
      </c>
      <c r="AS1112" s="25">
        <v>1</v>
      </c>
      <c r="AT1112" s="25">
        <v>1</v>
      </c>
      <c r="AU1112" s="25">
        <v>1</v>
      </c>
      <c r="AV1112" s="25">
        <v>1</v>
      </c>
      <c r="AW1112" s="25">
        <v>1</v>
      </c>
      <c r="AX1112" s="25">
        <v>1</v>
      </c>
      <c r="AY1112" s="25">
        <v>1</v>
      </c>
      <c r="AZ1112" s="25">
        <v>1</v>
      </c>
      <c r="BA1112" s="25">
        <v>1</v>
      </c>
      <c r="BB1112" s="25">
        <v>1</v>
      </c>
      <c r="BC1112" s="25">
        <v>1</v>
      </c>
      <c r="BD1112" s="25">
        <v>1</v>
      </c>
    </row>
    <row r="1113" spans="27:56" x14ac:dyDescent="0.25">
      <c r="AA1113" s="68" t="str">
        <f t="shared" si="69"/>
        <v>Fotos\\.jpg</v>
      </c>
      <c r="AB1113" s="53">
        <f t="shared" si="70"/>
        <v>8.9847259658580418E-4</v>
      </c>
      <c r="AC1113" s="25">
        <f t="shared" si="71"/>
        <v>1113</v>
      </c>
      <c r="AD1113" s="51">
        <f t="shared" si="72"/>
        <v>1</v>
      </c>
      <c r="AE1113" s="25">
        <v>1</v>
      </c>
      <c r="AF1113" s="25">
        <v>1</v>
      </c>
      <c r="AG1113" s="25">
        <v>1</v>
      </c>
      <c r="AH1113" s="25">
        <v>1</v>
      </c>
      <c r="AI1113" s="25">
        <f>IF(OR(Apresentação!$E$3='Base de Dados e filtragem'!AI$2,Apresentação!$E$3='Base de Dados e filtragem'!E1113),1,0)</f>
        <v>1</v>
      </c>
      <c r="AJ1113" s="25">
        <f>IF(OR(Apresentação!$E$4='Base de Dados e filtragem'!AJ$2,Apresentação!$E$4='Base de Dados e filtragem'!F1113),1,0)</f>
        <v>1</v>
      </c>
      <c r="AK1113" s="25">
        <f>IF(OR(Apresentação!$E$5='Base de Dados e filtragem'!AK$2,Apresentação!$E$5='Base de Dados e filtragem'!G1113),1,0)</f>
        <v>1</v>
      </c>
      <c r="AL1113" s="25">
        <f>IF(OR(Apresentação!$E$6='Base de Dados e filtragem'!AL$2,Apresentação!$E$6='Base de Dados e filtragem'!H1113),1,0)</f>
        <v>1</v>
      </c>
      <c r="AM1113" s="25">
        <f>IF(OR(Apresentação!$I$2='Base de Dados e filtragem'!AM$2,Apresentação!$I$2='Base de Dados e filtragem'!I1113),1,0)</f>
        <v>1</v>
      </c>
      <c r="AN1113" s="25">
        <f>IF(OR(Apresentação!$I$3='Base de Dados e filtragem'!AN$2,Apresentação!$I$3='Base de Dados e filtragem'!J1113),1,0)</f>
        <v>1</v>
      </c>
      <c r="AO1113" s="25">
        <f>IF(OR(Apresentação!$I$4='Base de Dados e filtragem'!AO$2,Apresentação!$I$4='Base de Dados e filtragem'!K1113),1,0)</f>
        <v>1</v>
      </c>
      <c r="AP1113" s="25">
        <f>IF(OR(Apresentação!$I$5='Base de Dados e filtragem'!AP$2,Apresentação!$I$5='Base de Dados e filtragem'!L1113),1,0)</f>
        <v>1</v>
      </c>
      <c r="AQ1113" s="25">
        <f>IF(OR(Apresentação!$I$6='Base de Dados e filtragem'!AQ$2,Apresentação!$I$6='Base de Dados e filtragem'!M1113),1,0)</f>
        <v>1</v>
      </c>
      <c r="AR1113" s="25">
        <v>1</v>
      </c>
      <c r="AS1113" s="25">
        <v>1</v>
      </c>
      <c r="AT1113" s="25">
        <v>1</v>
      </c>
      <c r="AU1113" s="25">
        <v>1</v>
      </c>
      <c r="AV1113" s="25">
        <v>1</v>
      </c>
      <c r="AW1113" s="25">
        <v>1</v>
      </c>
      <c r="AX1113" s="25">
        <v>1</v>
      </c>
      <c r="AY1113" s="25">
        <v>1</v>
      </c>
      <c r="AZ1113" s="25">
        <v>1</v>
      </c>
      <c r="BA1113" s="25">
        <v>1</v>
      </c>
      <c r="BB1113" s="25">
        <v>1</v>
      </c>
      <c r="BC1113" s="25">
        <v>1</v>
      </c>
      <c r="BD1113" s="25">
        <v>1</v>
      </c>
    </row>
    <row r="1114" spans="27:56" x14ac:dyDescent="0.25">
      <c r="AA1114" s="68" t="str">
        <f t="shared" si="69"/>
        <v>Fotos\\.jpg</v>
      </c>
      <c r="AB1114" s="53">
        <f t="shared" si="70"/>
        <v>8.9766606822262122E-4</v>
      </c>
      <c r="AC1114" s="25">
        <f t="shared" si="71"/>
        <v>1114</v>
      </c>
      <c r="AD1114" s="51">
        <f t="shared" si="72"/>
        <v>1</v>
      </c>
      <c r="AE1114" s="25">
        <v>1</v>
      </c>
      <c r="AF1114" s="25">
        <v>1</v>
      </c>
      <c r="AG1114" s="25">
        <v>1</v>
      </c>
      <c r="AH1114" s="25">
        <v>1</v>
      </c>
      <c r="AI1114" s="25">
        <f>IF(OR(Apresentação!$E$3='Base de Dados e filtragem'!AI$2,Apresentação!$E$3='Base de Dados e filtragem'!E1114),1,0)</f>
        <v>1</v>
      </c>
      <c r="AJ1114" s="25">
        <f>IF(OR(Apresentação!$E$4='Base de Dados e filtragem'!AJ$2,Apresentação!$E$4='Base de Dados e filtragem'!F1114),1,0)</f>
        <v>1</v>
      </c>
      <c r="AK1114" s="25">
        <f>IF(OR(Apresentação!$E$5='Base de Dados e filtragem'!AK$2,Apresentação!$E$5='Base de Dados e filtragem'!G1114),1,0)</f>
        <v>1</v>
      </c>
      <c r="AL1114" s="25">
        <f>IF(OR(Apresentação!$E$6='Base de Dados e filtragem'!AL$2,Apresentação!$E$6='Base de Dados e filtragem'!H1114),1,0)</f>
        <v>1</v>
      </c>
      <c r="AM1114" s="25">
        <f>IF(OR(Apresentação!$I$2='Base de Dados e filtragem'!AM$2,Apresentação!$I$2='Base de Dados e filtragem'!I1114),1,0)</f>
        <v>1</v>
      </c>
      <c r="AN1114" s="25">
        <f>IF(OR(Apresentação!$I$3='Base de Dados e filtragem'!AN$2,Apresentação!$I$3='Base de Dados e filtragem'!J1114),1,0)</f>
        <v>1</v>
      </c>
      <c r="AO1114" s="25">
        <f>IF(OR(Apresentação!$I$4='Base de Dados e filtragem'!AO$2,Apresentação!$I$4='Base de Dados e filtragem'!K1114),1,0)</f>
        <v>1</v>
      </c>
      <c r="AP1114" s="25">
        <f>IF(OR(Apresentação!$I$5='Base de Dados e filtragem'!AP$2,Apresentação!$I$5='Base de Dados e filtragem'!L1114),1,0)</f>
        <v>1</v>
      </c>
      <c r="AQ1114" s="25">
        <f>IF(OR(Apresentação!$I$6='Base de Dados e filtragem'!AQ$2,Apresentação!$I$6='Base de Dados e filtragem'!M1114),1,0)</f>
        <v>1</v>
      </c>
      <c r="AR1114" s="25">
        <v>1</v>
      </c>
      <c r="AS1114" s="25">
        <v>1</v>
      </c>
      <c r="AT1114" s="25">
        <v>1</v>
      </c>
      <c r="AU1114" s="25">
        <v>1</v>
      </c>
      <c r="AV1114" s="25">
        <v>1</v>
      </c>
      <c r="AW1114" s="25">
        <v>1</v>
      </c>
      <c r="AX1114" s="25">
        <v>1</v>
      </c>
      <c r="AY1114" s="25">
        <v>1</v>
      </c>
      <c r="AZ1114" s="25">
        <v>1</v>
      </c>
      <c r="BA1114" s="25">
        <v>1</v>
      </c>
      <c r="BB1114" s="25">
        <v>1</v>
      </c>
      <c r="BC1114" s="25">
        <v>1</v>
      </c>
      <c r="BD1114" s="25">
        <v>1</v>
      </c>
    </row>
    <row r="1115" spans="27:56" x14ac:dyDescent="0.25">
      <c r="AA1115" s="68" t="str">
        <f t="shared" si="69"/>
        <v>Fotos\\.jpg</v>
      </c>
      <c r="AB1115" s="53">
        <f t="shared" si="70"/>
        <v>8.9686098654708521E-4</v>
      </c>
      <c r="AC1115" s="25">
        <f t="shared" si="71"/>
        <v>1115</v>
      </c>
      <c r="AD1115" s="51">
        <f t="shared" si="72"/>
        <v>1</v>
      </c>
      <c r="AE1115" s="25">
        <v>1</v>
      </c>
      <c r="AF1115" s="25">
        <v>1</v>
      </c>
      <c r="AG1115" s="25">
        <v>1</v>
      </c>
      <c r="AH1115" s="25">
        <v>1</v>
      </c>
      <c r="AI1115" s="25">
        <f>IF(OR(Apresentação!$E$3='Base de Dados e filtragem'!AI$2,Apresentação!$E$3='Base de Dados e filtragem'!E1115),1,0)</f>
        <v>1</v>
      </c>
      <c r="AJ1115" s="25">
        <f>IF(OR(Apresentação!$E$4='Base de Dados e filtragem'!AJ$2,Apresentação!$E$4='Base de Dados e filtragem'!F1115),1,0)</f>
        <v>1</v>
      </c>
      <c r="AK1115" s="25">
        <f>IF(OR(Apresentação!$E$5='Base de Dados e filtragem'!AK$2,Apresentação!$E$5='Base de Dados e filtragem'!G1115),1,0)</f>
        <v>1</v>
      </c>
      <c r="AL1115" s="25">
        <f>IF(OR(Apresentação!$E$6='Base de Dados e filtragem'!AL$2,Apresentação!$E$6='Base de Dados e filtragem'!H1115),1,0)</f>
        <v>1</v>
      </c>
      <c r="AM1115" s="25">
        <f>IF(OR(Apresentação!$I$2='Base de Dados e filtragem'!AM$2,Apresentação!$I$2='Base de Dados e filtragem'!I1115),1,0)</f>
        <v>1</v>
      </c>
      <c r="AN1115" s="25">
        <f>IF(OR(Apresentação!$I$3='Base de Dados e filtragem'!AN$2,Apresentação!$I$3='Base de Dados e filtragem'!J1115),1,0)</f>
        <v>1</v>
      </c>
      <c r="AO1115" s="25">
        <f>IF(OR(Apresentação!$I$4='Base de Dados e filtragem'!AO$2,Apresentação!$I$4='Base de Dados e filtragem'!K1115),1,0)</f>
        <v>1</v>
      </c>
      <c r="AP1115" s="25">
        <f>IF(OR(Apresentação!$I$5='Base de Dados e filtragem'!AP$2,Apresentação!$I$5='Base de Dados e filtragem'!L1115),1,0)</f>
        <v>1</v>
      </c>
      <c r="AQ1115" s="25">
        <f>IF(OR(Apresentação!$I$6='Base de Dados e filtragem'!AQ$2,Apresentação!$I$6='Base de Dados e filtragem'!M1115),1,0)</f>
        <v>1</v>
      </c>
      <c r="AR1115" s="25">
        <v>1</v>
      </c>
      <c r="AS1115" s="25">
        <v>1</v>
      </c>
      <c r="AT1115" s="25">
        <v>1</v>
      </c>
      <c r="AU1115" s="25">
        <v>1</v>
      </c>
      <c r="AV1115" s="25">
        <v>1</v>
      </c>
      <c r="AW1115" s="25">
        <v>1</v>
      </c>
      <c r="AX1115" s="25">
        <v>1</v>
      </c>
      <c r="AY1115" s="25">
        <v>1</v>
      </c>
      <c r="AZ1115" s="25">
        <v>1</v>
      </c>
      <c r="BA1115" s="25">
        <v>1</v>
      </c>
      <c r="BB1115" s="25">
        <v>1</v>
      </c>
      <c r="BC1115" s="25">
        <v>1</v>
      </c>
      <c r="BD1115" s="25">
        <v>1</v>
      </c>
    </row>
    <row r="1116" spans="27:56" x14ac:dyDescent="0.25">
      <c r="AA1116" s="68" t="str">
        <f t="shared" si="69"/>
        <v>Fotos\\.jpg</v>
      </c>
      <c r="AB1116" s="53">
        <f t="shared" si="70"/>
        <v>8.960573476702509E-4</v>
      </c>
      <c r="AC1116" s="25">
        <f t="shared" si="71"/>
        <v>1116</v>
      </c>
      <c r="AD1116" s="51">
        <f t="shared" si="72"/>
        <v>1</v>
      </c>
      <c r="AE1116" s="25">
        <v>1</v>
      </c>
      <c r="AF1116" s="25">
        <v>1</v>
      </c>
      <c r="AG1116" s="25">
        <v>1</v>
      </c>
      <c r="AH1116" s="25">
        <v>1</v>
      </c>
      <c r="AI1116" s="25">
        <f>IF(OR(Apresentação!$E$3='Base de Dados e filtragem'!AI$2,Apresentação!$E$3='Base de Dados e filtragem'!E1116),1,0)</f>
        <v>1</v>
      </c>
      <c r="AJ1116" s="25">
        <f>IF(OR(Apresentação!$E$4='Base de Dados e filtragem'!AJ$2,Apresentação!$E$4='Base de Dados e filtragem'!F1116),1,0)</f>
        <v>1</v>
      </c>
      <c r="AK1116" s="25">
        <f>IF(OR(Apresentação!$E$5='Base de Dados e filtragem'!AK$2,Apresentação!$E$5='Base de Dados e filtragem'!G1116),1,0)</f>
        <v>1</v>
      </c>
      <c r="AL1116" s="25">
        <f>IF(OR(Apresentação!$E$6='Base de Dados e filtragem'!AL$2,Apresentação!$E$6='Base de Dados e filtragem'!H1116),1,0)</f>
        <v>1</v>
      </c>
      <c r="AM1116" s="25">
        <f>IF(OR(Apresentação!$I$2='Base de Dados e filtragem'!AM$2,Apresentação!$I$2='Base de Dados e filtragem'!I1116),1,0)</f>
        <v>1</v>
      </c>
      <c r="AN1116" s="25">
        <f>IF(OR(Apresentação!$I$3='Base de Dados e filtragem'!AN$2,Apresentação!$I$3='Base de Dados e filtragem'!J1116),1,0)</f>
        <v>1</v>
      </c>
      <c r="AO1116" s="25">
        <f>IF(OR(Apresentação!$I$4='Base de Dados e filtragem'!AO$2,Apresentação!$I$4='Base de Dados e filtragem'!K1116),1,0)</f>
        <v>1</v>
      </c>
      <c r="AP1116" s="25">
        <f>IF(OR(Apresentação!$I$5='Base de Dados e filtragem'!AP$2,Apresentação!$I$5='Base de Dados e filtragem'!L1116),1,0)</f>
        <v>1</v>
      </c>
      <c r="AQ1116" s="25">
        <f>IF(OR(Apresentação!$I$6='Base de Dados e filtragem'!AQ$2,Apresentação!$I$6='Base de Dados e filtragem'!M1116),1,0)</f>
        <v>1</v>
      </c>
      <c r="AR1116" s="25">
        <v>1</v>
      </c>
      <c r="AS1116" s="25">
        <v>1</v>
      </c>
      <c r="AT1116" s="25">
        <v>1</v>
      </c>
      <c r="AU1116" s="25">
        <v>1</v>
      </c>
      <c r="AV1116" s="25">
        <v>1</v>
      </c>
      <c r="AW1116" s="25">
        <v>1</v>
      </c>
      <c r="AX1116" s="25">
        <v>1</v>
      </c>
      <c r="AY1116" s="25">
        <v>1</v>
      </c>
      <c r="AZ1116" s="25">
        <v>1</v>
      </c>
      <c r="BA1116" s="25">
        <v>1</v>
      </c>
      <c r="BB1116" s="25">
        <v>1</v>
      </c>
      <c r="BC1116" s="25">
        <v>1</v>
      </c>
      <c r="BD1116" s="25">
        <v>1</v>
      </c>
    </row>
    <row r="1117" spans="27:56" x14ac:dyDescent="0.25">
      <c r="AA1117" s="68" t="str">
        <f t="shared" si="69"/>
        <v>Fotos\\.jpg</v>
      </c>
      <c r="AB1117" s="53">
        <f t="shared" si="70"/>
        <v>8.9525514771709937E-4</v>
      </c>
      <c r="AC1117" s="25">
        <f t="shared" si="71"/>
        <v>1117</v>
      </c>
      <c r="AD1117" s="51">
        <f t="shared" si="72"/>
        <v>1</v>
      </c>
      <c r="AE1117" s="25">
        <v>1</v>
      </c>
      <c r="AF1117" s="25">
        <v>1</v>
      </c>
      <c r="AG1117" s="25">
        <v>1</v>
      </c>
      <c r="AH1117" s="25">
        <v>1</v>
      </c>
      <c r="AI1117" s="25">
        <f>IF(OR(Apresentação!$E$3='Base de Dados e filtragem'!AI$2,Apresentação!$E$3='Base de Dados e filtragem'!E1117),1,0)</f>
        <v>1</v>
      </c>
      <c r="AJ1117" s="25">
        <f>IF(OR(Apresentação!$E$4='Base de Dados e filtragem'!AJ$2,Apresentação!$E$4='Base de Dados e filtragem'!F1117),1,0)</f>
        <v>1</v>
      </c>
      <c r="AK1117" s="25">
        <f>IF(OR(Apresentação!$E$5='Base de Dados e filtragem'!AK$2,Apresentação!$E$5='Base de Dados e filtragem'!G1117),1,0)</f>
        <v>1</v>
      </c>
      <c r="AL1117" s="25">
        <f>IF(OR(Apresentação!$E$6='Base de Dados e filtragem'!AL$2,Apresentação!$E$6='Base de Dados e filtragem'!H1117),1,0)</f>
        <v>1</v>
      </c>
      <c r="AM1117" s="25">
        <f>IF(OR(Apresentação!$I$2='Base de Dados e filtragem'!AM$2,Apresentação!$I$2='Base de Dados e filtragem'!I1117),1,0)</f>
        <v>1</v>
      </c>
      <c r="AN1117" s="25">
        <f>IF(OR(Apresentação!$I$3='Base de Dados e filtragem'!AN$2,Apresentação!$I$3='Base de Dados e filtragem'!J1117),1,0)</f>
        <v>1</v>
      </c>
      <c r="AO1117" s="25">
        <f>IF(OR(Apresentação!$I$4='Base de Dados e filtragem'!AO$2,Apresentação!$I$4='Base de Dados e filtragem'!K1117),1,0)</f>
        <v>1</v>
      </c>
      <c r="AP1117" s="25">
        <f>IF(OR(Apresentação!$I$5='Base de Dados e filtragem'!AP$2,Apresentação!$I$5='Base de Dados e filtragem'!L1117),1,0)</f>
        <v>1</v>
      </c>
      <c r="AQ1117" s="25">
        <f>IF(OR(Apresentação!$I$6='Base de Dados e filtragem'!AQ$2,Apresentação!$I$6='Base de Dados e filtragem'!M1117),1,0)</f>
        <v>1</v>
      </c>
      <c r="AR1117" s="25">
        <v>1</v>
      </c>
      <c r="AS1117" s="25">
        <v>1</v>
      </c>
      <c r="AT1117" s="25">
        <v>1</v>
      </c>
      <c r="AU1117" s="25">
        <v>1</v>
      </c>
      <c r="AV1117" s="25">
        <v>1</v>
      </c>
      <c r="AW1117" s="25">
        <v>1</v>
      </c>
      <c r="AX1117" s="25">
        <v>1</v>
      </c>
      <c r="AY1117" s="25">
        <v>1</v>
      </c>
      <c r="AZ1117" s="25">
        <v>1</v>
      </c>
      <c r="BA1117" s="25">
        <v>1</v>
      </c>
      <c r="BB1117" s="25">
        <v>1</v>
      </c>
      <c r="BC1117" s="25">
        <v>1</v>
      </c>
      <c r="BD1117" s="25">
        <v>1</v>
      </c>
    </row>
    <row r="1118" spans="27:56" x14ac:dyDescent="0.25">
      <c r="AA1118" s="68" t="str">
        <f t="shared" si="69"/>
        <v>Fotos\\.jpg</v>
      </c>
      <c r="AB1118" s="53">
        <f t="shared" si="70"/>
        <v>8.9445438282647585E-4</v>
      </c>
      <c r="AC1118" s="25">
        <f t="shared" si="71"/>
        <v>1118</v>
      </c>
      <c r="AD1118" s="51">
        <f t="shared" si="72"/>
        <v>1</v>
      </c>
      <c r="AE1118" s="25">
        <v>1</v>
      </c>
      <c r="AF1118" s="25">
        <v>1</v>
      </c>
      <c r="AG1118" s="25">
        <v>1</v>
      </c>
      <c r="AH1118" s="25">
        <v>1</v>
      </c>
      <c r="AI1118" s="25">
        <f>IF(OR(Apresentação!$E$3='Base de Dados e filtragem'!AI$2,Apresentação!$E$3='Base de Dados e filtragem'!E1118),1,0)</f>
        <v>1</v>
      </c>
      <c r="AJ1118" s="25">
        <f>IF(OR(Apresentação!$E$4='Base de Dados e filtragem'!AJ$2,Apresentação!$E$4='Base de Dados e filtragem'!F1118),1,0)</f>
        <v>1</v>
      </c>
      <c r="AK1118" s="25">
        <f>IF(OR(Apresentação!$E$5='Base de Dados e filtragem'!AK$2,Apresentação!$E$5='Base de Dados e filtragem'!G1118),1,0)</f>
        <v>1</v>
      </c>
      <c r="AL1118" s="25">
        <f>IF(OR(Apresentação!$E$6='Base de Dados e filtragem'!AL$2,Apresentação!$E$6='Base de Dados e filtragem'!H1118),1,0)</f>
        <v>1</v>
      </c>
      <c r="AM1118" s="25">
        <f>IF(OR(Apresentação!$I$2='Base de Dados e filtragem'!AM$2,Apresentação!$I$2='Base de Dados e filtragem'!I1118),1,0)</f>
        <v>1</v>
      </c>
      <c r="AN1118" s="25">
        <f>IF(OR(Apresentação!$I$3='Base de Dados e filtragem'!AN$2,Apresentação!$I$3='Base de Dados e filtragem'!J1118),1,0)</f>
        <v>1</v>
      </c>
      <c r="AO1118" s="25">
        <f>IF(OR(Apresentação!$I$4='Base de Dados e filtragem'!AO$2,Apresentação!$I$4='Base de Dados e filtragem'!K1118),1,0)</f>
        <v>1</v>
      </c>
      <c r="AP1118" s="25">
        <f>IF(OR(Apresentação!$I$5='Base de Dados e filtragem'!AP$2,Apresentação!$I$5='Base de Dados e filtragem'!L1118),1,0)</f>
        <v>1</v>
      </c>
      <c r="AQ1118" s="25">
        <f>IF(OR(Apresentação!$I$6='Base de Dados e filtragem'!AQ$2,Apresentação!$I$6='Base de Dados e filtragem'!M1118),1,0)</f>
        <v>1</v>
      </c>
      <c r="AR1118" s="25">
        <v>1</v>
      </c>
      <c r="AS1118" s="25">
        <v>1</v>
      </c>
      <c r="AT1118" s="25">
        <v>1</v>
      </c>
      <c r="AU1118" s="25">
        <v>1</v>
      </c>
      <c r="AV1118" s="25">
        <v>1</v>
      </c>
      <c r="AW1118" s="25">
        <v>1</v>
      </c>
      <c r="AX1118" s="25">
        <v>1</v>
      </c>
      <c r="AY1118" s="25">
        <v>1</v>
      </c>
      <c r="AZ1118" s="25">
        <v>1</v>
      </c>
      <c r="BA1118" s="25">
        <v>1</v>
      </c>
      <c r="BB1118" s="25">
        <v>1</v>
      </c>
      <c r="BC1118" s="25">
        <v>1</v>
      </c>
      <c r="BD1118" s="25">
        <v>1</v>
      </c>
    </row>
    <row r="1119" spans="27:56" x14ac:dyDescent="0.25">
      <c r="AA1119" s="68" t="str">
        <f t="shared" si="69"/>
        <v>Fotos\\.jpg</v>
      </c>
      <c r="AB1119" s="53">
        <f t="shared" si="70"/>
        <v>8.9365504915102768E-4</v>
      </c>
      <c r="AC1119" s="25">
        <f t="shared" si="71"/>
        <v>1119</v>
      </c>
      <c r="AD1119" s="51">
        <f t="shared" si="72"/>
        <v>1</v>
      </c>
      <c r="AE1119" s="25">
        <v>1</v>
      </c>
      <c r="AF1119" s="25">
        <v>1</v>
      </c>
      <c r="AG1119" s="25">
        <v>1</v>
      </c>
      <c r="AH1119" s="25">
        <v>1</v>
      </c>
      <c r="AI1119" s="25">
        <f>IF(OR(Apresentação!$E$3='Base de Dados e filtragem'!AI$2,Apresentação!$E$3='Base de Dados e filtragem'!E1119),1,0)</f>
        <v>1</v>
      </c>
      <c r="AJ1119" s="25">
        <f>IF(OR(Apresentação!$E$4='Base de Dados e filtragem'!AJ$2,Apresentação!$E$4='Base de Dados e filtragem'!F1119),1,0)</f>
        <v>1</v>
      </c>
      <c r="AK1119" s="25">
        <f>IF(OR(Apresentação!$E$5='Base de Dados e filtragem'!AK$2,Apresentação!$E$5='Base de Dados e filtragem'!G1119),1,0)</f>
        <v>1</v>
      </c>
      <c r="AL1119" s="25">
        <f>IF(OR(Apresentação!$E$6='Base de Dados e filtragem'!AL$2,Apresentação!$E$6='Base de Dados e filtragem'!H1119),1,0)</f>
        <v>1</v>
      </c>
      <c r="AM1119" s="25">
        <f>IF(OR(Apresentação!$I$2='Base de Dados e filtragem'!AM$2,Apresentação!$I$2='Base de Dados e filtragem'!I1119),1,0)</f>
        <v>1</v>
      </c>
      <c r="AN1119" s="25">
        <f>IF(OR(Apresentação!$I$3='Base de Dados e filtragem'!AN$2,Apresentação!$I$3='Base de Dados e filtragem'!J1119),1,0)</f>
        <v>1</v>
      </c>
      <c r="AO1119" s="25">
        <f>IF(OR(Apresentação!$I$4='Base de Dados e filtragem'!AO$2,Apresentação!$I$4='Base de Dados e filtragem'!K1119),1,0)</f>
        <v>1</v>
      </c>
      <c r="AP1119" s="25">
        <f>IF(OR(Apresentação!$I$5='Base de Dados e filtragem'!AP$2,Apresentação!$I$5='Base de Dados e filtragem'!L1119),1,0)</f>
        <v>1</v>
      </c>
      <c r="AQ1119" s="25">
        <f>IF(OR(Apresentação!$I$6='Base de Dados e filtragem'!AQ$2,Apresentação!$I$6='Base de Dados e filtragem'!M1119),1,0)</f>
        <v>1</v>
      </c>
      <c r="AR1119" s="25">
        <v>1</v>
      </c>
      <c r="AS1119" s="25">
        <v>1</v>
      </c>
      <c r="AT1119" s="25">
        <v>1</v>
      </c>
      <c r="AU1119" s="25">
        <v>1</v>
      </c>
      <c r="AV1119" s="25">
        <v>1</v>
      </c>
      <c r="AW1119" s="25">
        <v>1</v>
      </c>
      <c r="AX1119" s="25">
        <v>1</v>
      </c>
      <c r="AY1119" s="25">
        <v>1</v>
      </c>
      <c r="AZ1119" s="25">
        <v>1</v>
      </c>
      <c r="BA1119" s="25">
        <v>1</v>
      </c>
      <c r="BB1119" s="25">
        <v>1</v>
      </c>
      <c r="BC1119" s="25">
        <v>1</v>
      </c>
      <c r="BD1119" s="25">
        <v>1</v>
      </c>
    </row>
    <row r="1120" spans="27:56" x14ac:dyDescent="0.25">
      <c r="AA1120" s="68" t="str">
        <f t="shared" si="69"/>
        <v>Fotos\\.jpg</v>
      </c>
      <c r="AB1120" s="53">
        <f t="shared" si="70"/>
        <v>8.9285714285714283E-4</v>
      </c>
      <c r="AC1120" s="25">
        <f t="shared" si="71"/>
        <v>1120</v>
      </c>
      <c r="AD1120" s="51">
        <f t="shared" si="72"/>
        <v>1</v>
      </c>
      <c r="AE1120" s="25">
        <v>1</v>
      </c>
      <c r="AF1120" s="25">
        <v>1</v>
      </c>
      <c r="AG1120" s="25">
        <v>1</v>
      </c>
      <c r="AH1120" s="25">
        <v>1</v>
      </c>
      <c r="AI1120" s="25">
        <f>IF(OR(Apresentação!$E$3='Base de Dados e filtragem'!AI$2,Apresentação!$E$3='Base de Dados e filtragem'!E1120),1,0)</f>
        <v>1</v>
      </c>
      <c r="AJ1120" s="25">
        <f>IF(OR(Apresentação!$E$4='Base de Dados e filtragem'!AJ$2,Apresentação!$E$4='Base de Dados e filtragem'!F1120),1,0)</f>
        <v>1</v>
      </c>
      <c r="AK1120" s="25">
        <f>IF(OR(Apresentação!$E$5='Base de Dados e filtragem'!AK$2,Apresentação!$E$5='Base de Dados e filtragem'!G1120),1,0)</f>
        <v>1</v>
      </c>
      <c r="AL1120" s="25">
        <f>IF(OR(Apresentação!$E$6='Base de Dados e filtragem'!AL$2,Apresentação!$E$6='Base de Dados e filtragem'!H1120),1,0)</f>
        <v>1</v>
      </c>
      <c r="AM1120" s="25">
        <f>IF(OR(Apresentação!$I$2='Base de Dados e filtragem'!AM$2,Apresentação!$I$2='Base de Dados e filtragem'!I1120),1,0)</f>
        <v>1</v>
      </c>
      <c r="AN1120" s="25">
        <f>IF(OR(Apresentação!$I$3='Base de Dados e filtragem'!AN$2,Apresentação!$I$3='Base de Dados e filtragem'!J1120),1,0)</f>
        <v>1</v>
      </c>
      <c r="AO1120" s="25">
        <f>IF(OR(Apresentação!$I$4='Base de Dados e filtragem'!AO$2,Apresentação!$I$4='Base de Dados e filtragem'!K1120),1,0)</f>
        <v>1</v>
      </c>
      <c r="AP1120" s="25">
        <f>IF(OR(Apresentação!$I$5='Base de Dados e filtragem'!AP$2,Apresentação!$I$5='Base de Dados e filtragem'!L1120),1,0)</f>
        <v>1</v>
      </c>
      <c r="AQ1120" s="25">
        <f>IF(OR(Apresentação!$I$6='Base de Dados e filtragem'!AQ$2,Apresentação!$I$6='Base de Dados e filtragem'!M1120),1,0)</f>
        <v>1</v>
      </c>
      <c r="AR1120" s="25">
        <v>1</v>
      </c>
      <c r="AS1120" s="25">
        <v>1</v>
      </c>
      <c r="AT1120" s="25">
        <v>1</v>
      </c>
      <c r="AU1120" s="25">
        <v>1</v>
      </c>
      <c r="AV1120" s="25">
        <v>1</v>
      </c>
      <c r="AW1120" s="25">
        <v>1</v>
      </c>
      <c r="AX1120" s="25">
        <v>1</v>
      </c>
      <c r="AY1120" s="25">
        <v>1</v>
      </c>
      <c r="AZ1120" s="25">
        <v>1</v>
      </c>
      <c r="BA1120" s="25">
        <v>1</v>
      </c>
      <c r="BB1120" s="25">
        <v>1</v>
      </c>
      <c r="BC1120" s="25">
        <v>1</v>
      </c>
      <c r="BD1120" s="25">
        <v>1</v>
      </c>
    </row>
    <row r="1121" spans="27:56" x14ac:dyDescent="0.25">
      <c r="AA1121" s="68" t="str">
        <f t="shared" si="69"/>
        <v>Fotos\\.jpg</v>
      </c>
      <c r="AB1121" s="53">
        <f t="shared" si="70"/>
        <v>8.9206066012488853E-4</v>
      </c>
      <c r="AC1121" s="25">
        <f t="shared" si="71"/>
        <v>1121</v>
      </c>
      <c r="AD1121" s="51">
        <f t="shared" si="72"/>
        <v>1</v>
      </c>
      <c r="AE1121" s="25">
        <v>1</v>
      </c>
      <c r="AF1121" s="25">
        <v>1</v>
      </c>
      <c r="AG1121" s="25">
        <v>1</v>
      </c>
      <c r="AH1121" s="25">
        <v>1</v>
      </c>
      <c r="AI1121" s="25">
        <f>IF(OR(Apresentação!$E$3='Base de Dados e filtragem'!AI$2,Apresentação!$E$3='Base de Dados e filtragem'!E1121),1,0)</f>
        <v>1</v>
      </c>
      <c r="AJ1121" s="25">
        <f>IF(OR(Apresentação!$E$4='Base de Dados e filtragem'!AJ$2,Apresentação!$E$4='Base de Dados e filtragem'!F1121),1,0)</f>
        <v>1</v>
      </c>
      <c r="AK1121" s="25">
        <f>IF(OR(Apresentação!$E$5='Base de Dados e filtragem'!AK$2,Apresentação!$E$5='Base de Dados e filtragem'!G1121),1,0)</f>
        <v>1</v>
      </c>
      <c r="AL1121" s="25">
        <f>IF(OR(Apresentação!$E$6='Base de Dados e filtragem'!AL$2,Apresentação!$E$6='Base de Dados e filtragem'!H1121),1,0)</f>
        <v>1</v>
      </c>
      <c r="AM1121" s="25">
        <f>IF(OR(Apresentação!$I$2='Base de Dados e filtragem'!AM$2,Apresentação!$I$2='Base de Dados e filtragem'!I1121),1,0)</f>
        <v>1</v>
      </c>
      <c r="AN1121" s="25">
        <f>IF(OR(Apresentação!$I$3='Base de Dados e filtragem'!AN$2,Apresentação!$I$3='Base de Dados e filtragem'!J1121),1,0)</f>
        <v>1</v>
      </c>
      <c r="AO1121" s="25">
        <f>IF(OR(Apresentação!$I$4='Base de Dados e filtragem'!AO$2,Apresentação!$I$4='Base de Dados e filtragem'!K1121),1,0)</f>
        <v>1</v>
      </c>
      <c r="AP1121" s="25">
        <f>IF(OR(Apresentação!$I$5='Base de Dados e filtragem'!AP$2,Apresentação!$I$5='Base de Dados e filtragem'!L1121),1,0)</f>
        <v>1</v>
      </c>
      <c r="AQ1121" s="25">
        <f>IF(OR(Apresentação!$I$6='Base de Dados e filtragem'!AQ$2,Apresentação!$I$6='Base de Dados e filtragem'!M1121),1,0)</f>
        <v>1</v>
      </c>
      <c r="AR1121" s="25">
        <v>1</v>
      </c>
      <c r="AS1121" s="25">
        <v>1</v>
      </c>
      <c r="AT1121" s="25">
        <v>1</v>
      </c>
      <c r="AU1121" s="25">
        <v>1</v>
      </c>
      <c r="AV1121" s="25">
        <v>1</v>
      </c>
      <c r="AW1121" s="25">
        <v>1</v>
      </c>
      <c r="AX1121" s="25">
        <v>1</v>
      </c>
      <c r="AY1121" s="25">
        <v>1</v>
      </c>
      <c r="AZ1121" s="25">
        <v>1</v>
      </c>
      <c r="BA1121" s="25">
        <v>1</v>
      </c>
      <c r="BB1121" s="25">
        <v>1</v>
      </c>
      <c r="BC1121" s="25">
        <v>1</v>
      </c>
      <c r="BD1121" s="25">
        <v>1</v>
      </c>
    </row>
    <row r="1122" spans="27:56" x14ac:dyDescent="0.25">
      <c r="AA1122" s="68" t="str">
        <f t="shared" si="69"/>
        <v>Fotos\\.jpg</v>
      </c>
      <c r="AB1122" s="53">
        <f t="shared" si="70"/>
        <v>8.9126559714795004E-4</v>
      </c>
      <c r="AC1122" s="25">
        <f t="shared" si="71"/>
        <v>1122</v>
      </c>
      <c r="AD1122" s="51">
        <f t="shared" si="72"/>
        <v>1</v>
      </c>
      <c r="AE1122" s="25">
        <v>1</v>
      </c>
      <c r="AF1122" s="25">
        <v>1</v>
      </c>
      <c r="AG1122" s="25">
        <v>1</v>
      </c>
      <c r="AH1122" s="25">
        <v>1</v>
      </c>
      <c r="AI1122" s="25">
        <f>IF(OR(Apresentação!$E$3='Base de Dados e filtragem'!AI$2,Apresentação!$E$3='Base de Dados e filtragem'!E1122),1,0)</f>
        <v>1</v>
      </c>
      <c r="AJ1122" s="25">
        <f>IF(OR(Apresentação!$E$4='Base de Dados e filtragem'!AJ$2,Apresentação!$E$4='Base de Dados e filtragem'!F1122),1,0)</f>
        <v>1</v>
      </c>
      <c r="AK1122" s="25">
        <f>IF(OR(Apresentação!$E$5='Base de Dados e filtragem'!AK$2,Apresentação!$E$5='Base de Dados e filtragem'!G1122),1,0)</f>
        <v>1</v>
      </c>
      <c r="AL1122" s="25">
        <f>IF(OR(Apresentação!$E$6='Base de Dados e filtragem'!AL$2,Apresentação!$E$6='Base de Dados e filtragem'!H1122),1,0)</f>
        <v>1</v>
      </c>
      <c r="AM1122" s="25">
        <f>IF(OR(Apresentação!$I$2='Base de Dados e filtragem'!AM$2,Apresentação!$I$2='Base de Dados e filtragem'!I1122),1,0)</f>
        <v>1</v>
      </c>
      <c r="AN1122" s="25">
        <f>IF(OR(Apresentação!$I$3='Base de Dados e filtragem'!AN$2,Apresentação!$I$3='Base de Dados e filtragem'!J1122),1,0)</f>
        <v>1</v>
      </c>
      <c r="AO1122" s="25">
        <f>IF(OR(Apresentação!$I$4='Base de Dados e filtragem'!AO$2,Apresentação!$I$4='Base de Dados e filtragem'!K1122),1,0)</f>
        <v>1</v>
      </c>
      <c r="AP1122" s="25">
        <f>IF(OR(Apresentação!$I$5='Base de Dados e filtragem'!AP$2,Apresentação!$I$5='Base de Dados e filtragem'!L1122),1,0)</f>
        <v>1</v>
      </c>
      <c r="AQ1122" s="25">
        <f>IF(OR(Apresentação!$I$6='Base de Dados e filtragem'!AQ$2,Apresentação!$I$6='Base de Dados e filtragem'!M1122),1,0)</f>
        <v>1</v>
      </c>
      <c r="AR1122" s="25">
        <v>1</v>
      </c>
      <c r="AS1122" s="25">
        <v>1</v>
      </c>
      <c r="AT1122" s="25">
        <v>1</v>
      </c>
      <c r="AU1122" s="25">
        <v>1</v>
      </c>
      <c r="AV1122" s="25">
        <v>1</v>
      </c>
      <c r="AW1122" s="25">
        <v>1</v>
      </c>
      <c r="AX1122" s="25">
        <v>1</v>
      </c>
      <c r="AY1122" s="25">
        <v>1</v>
      </c>
      <c r="AZ1122" s="25">
        <v>1</v>
      </c>
      <c r="BA1122" s="25">
        <v>1</v>
      </c>
      <c r="BB1122" s="25">
        <v>1</v>
      </c>
      <c r="BC1122" s="25">
        <v>1</v>
      </c>
      <c r="BD1122" s="25">
        <v>1</v>
      </c>
    </row>
    <row r="1123" spans="27:56" x14ac:dyDescent="0.25">
      <c r="AA1123" s="68" t="str">
        <f t="shared" si="69"/>
        <v>Fotos\\.jpg</v>
      </c>
      <c r="AB1123" s="53">
        <f t="shared" si="70"/>
        <v>8.9047195013357077E-4</v>
      </c>
      <c r="AC1123" s="25">
        <f t="shared" si="71"/>
        <v>1123</v>
      </c>
      <c r="AD1123" s="51">
        <f t="shared" si="72"/>
        <v>1</v>
      </c>
      <c r="AE1123" s="25">
        <v>1</v>
      </c>
      <c r="AF1123" s="25">
        <v>1</v>
      </c>
      <c r="AG1123" s="25">
        <v>1</v>
      </c>
      <c r="AH1123" s="25">
        <v>1</v>
      </c>
      <c r="AI1123" s="25">
        <f>IF(OR(Apresentação!$E$3='Base de Dados e filtragem'!AI$2,Apresentação!$E$3='Base de Dados e filtragem'!E1123),1,0)</f>
        <v>1</v>
      </c>
      <c r="AJ1123" s="25">
        <f>IF(OR(Apresentação!$E$4='Base de Dados e filtragem'!AJ$2,Apresentação!$E$4='Base de Dados e filtragem'!F1123),1,0)</f>
        <v>1</v>
      </c>
      <c r="AK1123" s="25">
        <f>IF(OR(Apresentação!$E$5='Base de Dados e filtragem'!AK$2,Apresentação!$E$5='Base de Dados e filtragem'!G1123),1,0)</f>
        <v>1</v>
      </c>
      <c r="AL1123" s="25">
        <f>IF(OR(Apresentação!$E$6='Base de Dados e filtragem'!AL$2,Apresentação!$E$6='Base de Dados e filtragem'!H1123),1,0)</f>
        <v>1</v>
      </c>
      <c r="AM1123" s="25">
        <f>IF(OR(Apresentação!$I$2='Base de Dados e filtragem'!AM$2,Apresentação!$I$2='Base de Dados e filtragem'!I1123),1,0)</f>
        <v>1</v>
      </c>
      <c r="AN1123" s="25">
        <f>IF(OR(Apresentação!$I$3='Base de Dados e filtragem'!AN$2,Apresentação!$I$3='Base de Dados e filtragem'!J1123),1,0)</f>
        <v>1</v>
      </c>
      <c r="AO1123" s="25">
        <f>IF(OR(Apresentação!$I$4='Base de Dados e filtragem'!AO$2,Apresentação!$I$4='Base de Dados e filtragem'!K1123),1,0)</f>
        <v>1</v>
      </c>
      <c r="AP1123" s="25">
        <f>IF(OR(Apresentação!$I$5='Base de Dados e filtragem'!AP$2,Apresentação!$I$5='Base de Dados e filtragem'!L1123),1,0)</f>
        <v>1</v>
      </c>
      <c r="AQ1123" s="25">
        <f>IF(OR(Apresentação!$I$6='Base de Dados e filtragem'!AQ$2,Apresentação!$I$6='Base de Dados e filtragem'!M1123),1,0)</f>
        <v>1</v>
      </c>
      <c r="AR1123" s="25">
        <v>1</v>
      </c>
      <c r="AS1123" s="25">
        <v>1</v>
      </c>
      <c r="AT1123" s="25">
        <v>1</v>
      </c>
      <c r="AU1123" s="25">
        <v>1</v>
      </c>
      <c r="AV1123" s="25">
        <v>1</v>
      </c>
      <c r="AW1123" s="25">
        <v>1</v>
      </c>
      <c r="AX1123" s="25">
        <v>1</v>
      </c>
      <c r="AY1123" s="25">
        <v>1</v>
      </c>
      <c r="AZ1123" s="25">
        <v>1</v>
      </c>
      <c r="BA1123" s="25">
        <v>1</v>
      </c>
      <c r="BB1123" s="25">
        <v>1</v>
      </c>
      <c r="BC1123" s="25">
        <v>1</v>
      </c>
      <c r="BD1123" s="25">
        <v>1</v>
      </c>
    </row>
    <row r="1124" spans="27:56" x14ac:dyDescent="0.25">
      <c r="AA1124" s="68" t="str">
        <f t="shared" si="69"/>
        <v>Fotos\\.jpg</v>
      </c>
      <c r="AB1124" s="53">
        <f t="shared" si="70"/>
        <v>8.8967971530249106E-4</v>
      </c>
      <c r="AC1124" s="25">
        <f t="shared" si="71"/>
        <v>1124</v>
      </c>
      <c r="AD1124" s="51">
        <f t="shared" si="72"/>
        <v>1</v>
      </c>
      <c r="AE1124" s="25">
        <v>1</v>
      </c>
      <c r="AF1124" s="25">
        <v>1</v>
      </c>
      <c r="AG1124" s="25">
        <v>1</v>
      </c>
      <c r="AH1124" s="25">
        <v>1</v>
      </c>
      <c r="AI1124" s="25">
        <f>IF(OR(Apresentação!$E$3='Base de Dados e filtragem'!AI$2,Apresentação!$E$3='Base de Dados e filtragem'!E1124),1,0)</f>
        <v>1</v>
      </c>
      <c r="AJ1124" s="25">
        <f>IF(OR(Apresentação!$E$4='Base de Dados e filtragem'!AJ$2,Apresentação!$E$4='Base de Dados e filtragem'!F1124),1,0)</f>
        <v>1</v>
      </c>
      <c r="AK1124" s="25">
        <f>IF(OR(Apresentação!$E$5='Base de Dados e filtragem'!AK$2,Apresentação!$E$5='Base de Dados e filtragem'!G1124),1,0)</f>
        <v>1</v>
      </c>
      <c r="AL1124" s="25">
        <f>IF(OR(Apresentação!$E$6='Base de Dados e filtragem'!AL$2,Apresentação!$E$6='Base de Dados e filtragem'!H1124),1,0)</f>
        <v>1</v>
      </c>
      <c r="AM1124" s="25">
        <f>IF(OR(Apresentação!$I$2='Base de Dados e filtragem'!AM$2,Apresentação!$I$2='Base de Dados e filtragem'!I1124),1,0)</f>
        <v>1</v>
      </c>
      <c r="AN1124" s="25">
        <f>IF(OR(Apresentação!$I$3='Base de Dados e filtragem'!AN$2,Apresentação!$I$3='Base de Dados e filtragem'!J1124),1,0)</f>
        <v>1</v>
      </c>
      <c r="AO1124" s="25">
        <f>IF(OR(Apresentação!$I$4='Base de Dados e filtragem'!AO$2,Apresentação!$I$4='Base de Dados e filtragem'!K1124),1,0)</f>
        <v>1</v>
      </c>
      <c r="AP1124" s="25">
        <f>IF(OR(Apresentação!$I$5='Base de Dados e filtragem'!AP$2,Apresentação!$I$5='Base de Dados e filtragem'!L1124),1,0)</f>
        <v>1</v>
      </c>
      <c r="AQ1124" s="25">
        <f>IF(OR(Apresentação!$I$6='Base de Dados e filtragem'!AQ$2,Apresentação!$I$6='Base de Dados e filtragem'!M1124),1,0)</f>
        <v>1</v>
      </c>
      <c r="AR1124" s="25">
        <v>1</v>
      </c>
      <c r="AS1124" s="25">
        <v>1</v>
      </c>
      <c r="AT1124" s="25">
        <v>1</v>
      </c>
      <c r="AU1124" s="25">
        <v>1</v>
      </c>
      <c r="AV1124" s="25">
        <v>1</v>
      </c>
      <c r="AW1124" s="25">
        <v>1</v>
      </c>
      <c r="AX1124" s="25">
        <v>1</v>
      </c>
      <c r="AY1124" s="25">
        <v>1</v>
      </c>
      <c r="AZ1124" s="25">
        <v>1</v>
      </c>
      <c r="BA1124" s="25">
        <v>1</v>
      </c>
      <c r="BB1124" s="25">
        <v>1</v>
      </c>
      <c r="BC1124" s="25">
        <v>1</v>
      </c>
      <c r="BD1124" s="25">
        <v>1</v>
      </c>
    </row>
    <row r="1125" spans="27:56" x14ac:dyDescent="0.25">
      <c r="AA1125" s="68" t="str">
        <f t="shared" si="69"/>
        <v>Fotos\\.jpg</v>
      </c>
      <c r="AB1125" s="53">
        <f t="shared" si="70"/>
        <v>8.8888888888888893E-4</v>
      </c>
      <c r="AC1125" s="25">
        <f t="shared" si="71"/>
        <v>1125</v>
      </c>
      <c r="AD1125" s="51">
        <f t="shared" si="72"/>
        <v>1</v>
      </c>
      <c r="AE1125" s="25">
        <v>1</v>
      </c>
      <c r="AF1125" s="25">
        <v>1</v>
      </c>
      <c r="AG1125" s="25">
        <v>1</v>
      </c>
      <c r="AH1125" s="25">
        <v>1</v>
      </c>
      <c r="AI1125" s="25">
        <f>IF(OR(Apresentação!$E$3='Base de Dados e filtragem'!AI$2,Apresentação!$E$3='Base de Dados e filtragem'!E1125),1,0)</f>
        <v>1</v>
      </c>
      <c r="AJ1125" s="25">
        <f>IF(OR(Apresentação!$E$4='Base de Dados e filtragem'!AJ$2,Apresentação!$E$4='Base de Dados e filtragem'!F1125),1,0)</f>
        <v>1</v>
      </c>
      <c r="AK1125" s="25">
        <f>IF(OR(Apresentação!$E$5='Base de Dados e filtragem'!AK$2,Apresentação!$E$5='Base de Dados e filtragem'!G1125),1,0)</f>
        <v>1</v>
      </c>
      <c r="AL1125" s="25">
        <f>IF(OR(Apresentação!$E$6='Base de Dados e filtragem'!AL$2,Apresentação!$E$6='Base de Dados e filtragem'!H1125),1,0)</f>
        <v>1</v>
      </c>
      <c r="AM1125" s="25">
        <f>IF(OR(Apresentação!$I$2='Base de Dados e filtragem'!AM$2,Apresentação!$I$2='Base de Dados e filtragem'!I1125),1,0)</f>
        <v>1</v>
      </c>
      <c r="AN1125" s="25">
        <f>IF(OR(Apresentação!$I$3='Base de Dados e filtragem'!AN$2,Apresentação!$I$3='Base de Dados e filtragem'!J1125),1,0)</f>
        <v>1</v>
      </c>
      <c r="AO1125" s="25">
        <f>IF(OR(Apresentação!$I$4='Base de Dados e filtragem'!AO$2,Apresentação!$I$4='Base de Dados e filtragem'!K1125),1,0)</f>
        <v>1</v>
      </c>
      <c r="AP1125" s="25">
        <f>IF(OR(Apresentação!$I$5='Base de Dados e filtragem'!AP$2,Apresentação!$I$5='Base de Dados e filtragem'!L1125),1,0)</f>
        <v>1</v>
      </c>
      <c r="AQ1125" s="25">
        <f>IF(OR(Apresentação!$I$6='Base de Dados e filtragem'!AQ$2,Apresentação!$I$6='Base de Dados e filtragem'!M1125),1,0)</f>
        <v>1</v>
      </c>
      <c r="AR1125" s="25">
        <v>1</v>
      </c>
      <c r="AS1125" s="25">
        <v>1</v>
      </c>
      <c r="AT1125" s="25">
        <v>1</v>
      </c>
      <c r="AU1125" s="25">
        <v>1</v>
      </c>
      <c r="AV1125" s="25">
        <v>1</v>
      </c>
      <c r="AW1125" s="25">
        <v>1</v>
      </c>
      <c r="AX1125" s="25">
        <v>1</v>
      </c>
      <c r="AY1125" s="25">
        <v>1</v>
      </c>
      <c r="AZ1125" s="25">
        <v>1</v>
      </c>
      <c r="BA1125" s="25">
        <v>1</v>
      </c>
      <c r="BB1125" s="25">
        <v>1</v>
      </c>
      <c r="BC1125" s="25">
        <v>1</v>
      </c>
      <c r="BD1125" s="25">
        <v>1</v>
      </c>
    </row>
    <row r="1126" spans="27:56" x14ac:dyDescent="0.25">
      <c r="AA1126" s="68" t="str">
        <f t="shared" si="69"/>
        <v>Fotos\\.jpg</v>
      </c>
      <c r="AB1126" s="53">
        <f t="shared" si="70"/>
        <v>8.8809946714031975E-4</v>
      </c>
      <c r="AC1126" s="25">
        <f t="shared" si="71"/>
        <v>1126</v>
      </c>
      <c r="AD1126" s="51">
        <f t="shared" si="72"/>
        <v>1</v>
      </c>
      <c r="AE1126" s="25">
        <v>1</v>
      </c>
      <c r="AF1126" s="25">
        <v>1</v>
      </c>
      <c r="AG1126" s="25">
        <v>1</v>
      </c>
      <c r="AH1126" s="25">
        <v>1</v>
      </c>
      <c r="AI1126" s="25">
        <f>IF(OR(Apresentação!$E$3='Base de Dados e filtragem'!AI$2,Apresentação!$E$3='Base de Dados e filtragem'!E1126),1,0)</f>
        <v>1</v>
      </c>
      <c r="AJ1126" s="25">
        <f>IF(OR(Apresentação!$E$4='Base de Dados e filtragem'!AJ$2,Apresentação!$E$4='Base de Dados e filtragem'!F1126),1,0)</f>
        <v>1</v>
      </c>
      <c r="AK1126" s="25">
        <f>IF(OR(Apresentação!$E$5='Base de Dados e filtragem'!AK$2,Apresentação!$E$5='Base de Dados e filtragem'!G1126),1,0)</f>
        <v>1</v>
      </c>
      <c r="AL1126" s="25">
        <f>IF(OR(Apresentação!$E$6='Base de Dados e filtragem'!AL$2,Apresentação!$E$6='Base de Dados e filtragem'!H1126),1,0)</f>
        <v>1</v>
      </c>
      <c r="AM1126" s="25">
        <f>IF(OR(Apresentação!$I$2='Base de Dados e filtragem'!AM$2,Apresentação!$I$2='Base de Dados e filtragem'!I1126),1,0)</f>
        <v>1</v>
      </c>
      <c r="AN1126" s="25">
        <f>IF(OR(Apresentação!$I$3='Base de Dados e filtragem'!AN$2,Apresentação!$I$3='Base de Dados e filtragem'!J1126),1,0)</f>
        <v>1</v>
      </c>
      <c r="AO1126" s="25">
        <f>IF(OR(Apresentação!$I$4='Base de Dados e filtragem'!AO$2,Apresentação!$I$4='Base de Dados e filtragem'!K1126),1,0)</f>
        <v>1</v>
      </c>
      <c r="AP1126" s="25">
        <f>IF(OR(Apresentação!$I$5='Base de Dados e filtragem'!AP$2,Apresentação!$I$5='Base de Dados e filtragem'!L1126),1,0)</f>
        <v>1</v>
      </c>
      <c r="AQ1126" s="25">
        <f>IF(OR(Apresentação!$I$6='Base de Dados e filtragem'!AQ$2,Apresentação!$I$6='Base de Dados e filtragem'!M1126),1,0)</f>
        <v>1</v>
      </c>
      <c r="AR1126" s="25">
        <v>1</v>
      </c>
      <c r="AS1126" s="25">
        <v>1</v>
      </c>
      <c r="AT1126" s="25">
        <v>1</v>
      </c>
      <c r="AU1126" s="25">
        <v>1</v>
      </c>
      <c r="AV1126" s="25">
        <v>1</v>
      </c>
      <c r="AW1126" s="25">
        <v>1</v>
      </c>
      <c r="AX1126" s="25">
        <v>1</v>
      </c>
      <c r="AY1126" s="25">
        <v>1</v>
      </c>
      <c r="AZ1126" s="25">
        <v>1</v>
      </c>
      <c r="BA1126" s="25">
        <v>1</v>
      </c>
      <c r="BB1126" s="25">
        <v>1</v>
      </c>
      <c r="BC1126" s="25">
        <v>1</v>
      </c>
      <c r="BD1126" s="25">
        <v>1</v>
      </c>
    </row>
    <row r="1127" spans="27:56" x14ac:dyDescent="0.25">
      <c r="AA1127" s="68" t="str">
        <f t="shared" si="69"/>
        <v>Fotos\\.jpg</v>
      </c>
      <c r="AB1127" s="53">
        <f t="shared" si="70"/>
        <v>8.8731144631765753E-4</v>
      </c>
      <c r="AC1127" s="25">
        <f t="shared" si="71"/>
        <v>1127</v>
      </c>
      <c r="AD1127" s="51">
        <f t="shared" si="72"/>
        <v>1</v>
      </c>
      <c r="AE1127" s="25">
        <v>1</v>
      </c>
      <c r="AF1127" s="25">
        <v>1</v>
      </c>
      <c r="AG1127" s="25">
        <v>1</v>
      </c>
      <c r="AH1127" s="25">
        <v>1</v>
      </c>
      <c r="AI1127" s="25">
        <f>IF(OR(Apresentação!$E$3='Base de Dados e filtragem'!AI$2,Apresentação!$E$3='Base de Dados e filtragem'!E1127),1,0)</f>
        <v>1</v>
      </c>
      <c r="AJ1127" s="25">
        <f>IF(OR(Apresentação!$E$4='Base de Dados e filtragem'!AJ$2,Apresentação!$E$4='Base de Dados e filtragem'!F1127),1,0)</f>
        <v>1</v>
      </c>
      <c r="AK1127" s="25">
        <f>IF(OR(Apresentação!$E$5='Base de Dados e filtragem'!AK$2,Apresentação!$E$5='Base de Dados e filtragem'!G1127),1,0)</f>
        <v>1</v>
      </c>
      <c r="AL1127" s="25">
        <f>IF(OR(Apresentação!$E$6='Base de Dados e filtragem'!AL$2,Apresentação!$E$6='Base de Dados e filtragem'!H1127),1,0)</f>
        <v>1</v>
      </c>
      <c r="AM1127" s="25">
        <f>IF(OR(Apresentação!$I$2='Base de Dados e filtragem'!AM$2,Apresentação!$I$2='Base de Dados e filtragem'!I1127),1,0)</f>
        <v>1</v>
      </c>
      <c r="AN1127" s="25">
        <f>IF(OR(Apresentação!$I$3='Base de Dados e filtragem'!AN$2,Apresentação!$I$3='Base de Dados e filtragem'!J1127),1,0)</f>
        <v>1</v>
      </c>
      <c r="AO1127" s="25">
        <f>IF(OR(Apresentação!$I$4='Base de Dados e filtragem'!AO$2,Apresentação!$I$4='Base de Dados e filtragem'!K1127),1,0)</f>
        <v>1</v>
      </c>
      <c r="AP1127" s="25">
        <f>IF(OR(Apresentação!$I$5='Base de Dados e filtragem'!AP$2,Apresentação!$I$5='Base de Dados e filtragem'!L1127),1,0)</f>
        <v>1</v>
      </c>
      <c r="AQ1127" s="25">
        <f>IF(OR(Apresentação!$I$6='Base de Dados e filtragem'!AQ$2,Apresentação!$I$6='Base de Dados e filtragem'!M1127),1,0)</f>
        <v>1</v>
      </c>
      <c r="AR1127" s="25">
        <v>1</v>
      </c>
      <c r="AS1127" s="25">
        <v>1</v>
      </c>
      <c r="AT1127" s="25">
        <v>1</v>
      </c>
      <c r="AU1127" s="25">
        <v>1</v>
      </c>
      <c r="AV1127" s="25">
        <v>1</v>
      </c>
      <c r="AW1127" s="25">
        <v>1</v>
      </c>
      <c r="AX1127" s="25">
        <v>1</v>
      </c>
      <c r="AY1127" s="25">
        <v>1</v>
      </c>
      <c r="AZ1127" s="25">
        <v>1</v>
      </c>
      <c r="BA1127" s="25">
        <v>1</v>
      </c>
      <c r="BB1127" s="25">
        <v>1</v>
      </c>
      <c r="BC1127" s="25">
        <v>1</v>
      </c>
      <c r="BD1127" s="25">
        <v>1</v>
      </c>
    </row>
    <row r="1128" spans="27:56" x14ac:dyDescent="0.25">
      <c r="AA1128" s="68" t="str">
        <f t="shared" si="69"/>
        <v>Fotos\\.jpg</v>
      </c>
      <c r="AB1128" s="53">
        <f t="shared" si="70"/>
        <v>8.8652482269503544E-4</v>
      </c>
      <c r="AC1128" s="25">
        <f t="shared" si="71"/>
        <v>1128</v>
      </c>
      <c r="AD1128" s="51">
        <f t="shared" si="72"/>
        <v>1</v>
      </c>
      <c r="AE1128" s="25">
        <v>1</v>
      </c>
      <c r="AF1128" s="25">
        <v>1</v>
      </c>
      <c r="AG1128" s="25">
        <v>1</v>
      </c>
      <c r="AH1128" s="25">
        <v>1</v>
      </c>
      <c r="AI1128" s="25">
        <f>IF(OR(Apresentação!$E$3='Base de Dados e filtragem'!AI$2,Apresentação!$E$3='Base de Dados e filtragem'!E1128),1,0)</f>
        <v>1</v>
      </c>
      <c r="AJ1128" s="25">
        <f>IF(OR(Apresentação!$E$4='Base de Dados e filtragem'!AJ$2,Apresentação!$E$4='Base de Dados e filtragem'!F1128),1,0)</f>
        <v>1</v>
      </c>
      <c r="AK1128" s="25">
        <f>IF(OR(Apresentação!$E$5='Base de Dados e filtragem'!AK$2,Apresentação!$E$5='Base de Dados e filtragem'!G1128),1,0)</f>
        <v>1</v>
      </c>
      <c r="AL1128" s="25">
        <f>IF(OR(Apresentação!$E$6='Base de Dados e filtragem'!AL$2,Apresentação!$E$6='Base de Dados e filtragem'!H1128),1,0)</f>
        <v>1</v>
      </c>
      <c r="AM1128" s="25">
        <f>IF(OR(Apresentação!$I$2='Base de Dados e filtragem'!AM$2,Apresentação!$I$2='Base de Dados e filtragem'!I1128),1,0)</f>
        <v>1</v>
      </c>
      <c r="AN1128" s="25">
        <f>IF(OR(Apresentação!$I$3='Base de Dados e filtragem'!AN$2,Apresentação!$I$3='Base de Dados e filtragem'!J1128),1,0)</f>
        <v>1</v>
      </c>
      <c r="AO1128" s="25">
        <f>IF(OR(Apresentação!$I$4='Base de Dados e filtragem'!AO$2,Apresentação!$I$4='Base de Dados e filtragem'!K1128),1,0)</f>
        <v>1</v>
      </c>
      <c r="AP1128" s="25">
        <f>IF(OR(Apresentação!$I$5='Base de Dados e filtragem'!AP$2,Apresentação!$I$5='Base de Dados e filtragem'!L1128),1,0)</f>
        <v>1</v>
      </c>
      <c r="AQ1128" s="25">
        <f>IF(OR(Apresentação!$I$6='Base de Dados e filtragem'!AQ$2,Apresentação!$I$6='Base de Dados e filtragem'!M1128),1,0)</f>
        <v>1</v>
      </c>
      <c r="AR1128" s="25">
        <v>1</v>
      </c>
      <c r="AS1128" s="25">
        <v>1</v>
      </c>
      <c r="AT1128" s="25">
        <v>1</v>
      </c>
      <c r="AU1128" s="25">
        <v>1</v>
      </c>
      <c r="AV1128" s="25">
        <v>1</v>
      </c>
      <c r="AW1128" s="25">
        <v>1</v>
      </c>
      <c r="AX1128" s="25">
        <v>1</v>
      </c>
      <c r="AY1128" s="25">
        <v>1</v>
      </c>
      <c r="AZ1128" s="25">
        <v>1</v>
      </c>
      <c r="BA1128" s="25">
        <v>1</v>
      </c>
      <c r="BB1128" s="25">
        <v>1</v>
      </c>
      <c r="BC1128" s="25">
        <v>1</v>
      </c>
      <c r="BD1128" s="25">
        <v>1</v>
      </c>
    </row>
    <row r="1129" spans="27:56" x14ac:dyDescent="0.25">
      <c r="AA1129" s="68" t="str">
        <f t="shared" si="69"/>
        <v>Fotos\\.jpg</v>
      </c>
      <c r="AB1129" s="53">
        <f t="shared" si="70"/>
        <v>8.8573959255978745E-4</v>
      </c>
      <c r="AC1129" s="25">
        <f t="shared" si="71"/>
        <v>1129</v>
      </c>
      <c r="AD1129" s="51">
        <f t="shared" si="72"/>
        <v>1</v>
      </c>
      <c r="AE1129" s="25">
        <v>1</v>
      </c>
      <c r="AF1129" s="25">
        <v>1</v>
      </c>
      <c r="AG1129" s="25">
        <v>1</v>
      </c>
      <c r="AH1129" s="25">
        <v>1</v>
      </c>
      <c r="AI1129" s="25">
        <f>IF(OR(Apresentação!$E$3='Base de Dados e filtragem'!AI$2,Apresentação!$E$3='Base de Dados e filtragem'!E1129),1,0)</f>
        <v>1</v>
      </c>
      <c r="AJ1129" s="25">
        <f>IF(OR(Apresentação!$E$4='Base de Dados e filtragem'!AJ$2,Apresentação!$E$4='Base de Dados e filtragem'!F1129),1,0)</f>
        <v>1</v>
      </c>
      <c r="AK1129" s="25">
        <f>IF(OR(Apresentação!$E$5='Base de Dados e filtragem'!AK$2,Apresentação!$E$5='Base de Dados e filtragem'!G1129),1,0)</f>
        <v>1</v>
      </c>
      <c r="AL1129" s="25">
        <f>IF(OR(Apresentação!$E$6='Base de Dados e filtragem'!AL$2,Apresentação!$E$6='Base de Dados e filtragem'!H1129),1,0)</f>
        <v>1</v>
      </c>
      <c r="AM1129" s="25">
        <f>IF(OR(Apresentação!$I$2='Base de Dados e filtragem'!AM$2,Apresentação!$I$2='Base de Dados e filtragem'!I1129),1,0)</f>
        <v>1</v>
      </c>
      <c r="AN1129" s="25">
        <f>IF(OR(Apresentação!$I$3='Base de Dados e filtragem'!AN$2,Apresentação!$I$3='Base de Dados e filtragem'!J1129),1,0)</f>
        <v>1</v>
      </c>
      <c r="AO1129" s="25">
        <f>IF(OR(Apresentação!$I$4='Base de Dados e filtragem'!AO$2,Apresentação!$I$4='Base de Dados e filtragem'!K1129),1,0)</f>
        <v>1</v>
      </c>
      <c r="AP1129" s="25">
        <f>IF(OR(Apresentação!$I$5='Base de Dados e filtragem'!AP$2,Apresentação!$I$5='Base de Dados e filtragem'!L1129),1,0)</f>
        <v>1</v>
      </c>
      <c r="AQ1129" s="25">
        <f>IF(OR(Apresentação!$I$6='Base de Dados e filtragem'!AQ$2,Apresentação!$I$6='Base de Dados e filtragem'!M1129),1,0)</f>
        <v>1</v>
      </c>
      <c r="AR1129" s="25">
        <v>1</v>
      </c>
      <c r="AS1129" s="25">
        <v>1</v>
      </c>
      <c r="AT1129" s="25">
        <v>1</v>
      </c>
      <c r="AU1129" s="25">
        <v>1</v>
      </c>
      <c r="AV1129" s="25">
        <v>1</v>
      </c>
      <c r="AW1129" s="25">
        <v>1</v>
      </c>
      <c r="AX1129" s="25">
        <v>1</v>
      </c>
      <c r="AY1129" s="25">
        <v>1</v>
      </c>
      <c r="AZ1129" s="25">
        <v>1</v>
      </c>
      <c r="BA1129" s="25">
        <v>1</v>
      </c>
      <c r="BB1129" s="25">
        <v>1</v>
      </c>
      <c r="BC1129" s="25">
        <v>1</v>
      </c>
      <c r="BD1129" s="25">
        <v>1</v>
      </c>
    </row>
    <row r="1130" spans="27:56" x14ac:dyDescent="0.25">
      <c r="AA1130" s="68" t="str">
        <f t="shared" si="69"/>
        <v>Fotos\\.jpg</v>
      </c>
      <c r="AB1130" s="53">
        <f t="shared" si="70"/>
        <v>8.8495575221238937E-4</v>
      </c>
      <c r="AC1130" s="25">
        <f t="shared" si="71"/>
        <v>1130</v>
      </c>
      <c r="AD1130" s="51">
        <f t="shared" si="72"/>
        <v>1</v>
      </c>
      <c r="AE1130" s="25">
        <v>1</v>
      </c>
      <c r="AF1130" s="25">
        <v>1</v>
      </c>
      <c r="AG1130" s="25">
        <v>1</v>
      </c>
      <c r="AH1130" s="25">
        <v>1</v>
      </c>
      <c r="AI1130" s="25">
        <f>IF(OR(Apresentação!$E$3='Base de Dados e filtragem'!AI$2,Apresentação!$E$3='Base de Dados e filtragem'!E1130),1,0)</f>
        <v>1</v>
      </c>
      <c r="AJ1130" s="25">
        <f>IF(OR(Apresentação!$E$4='Base de Dados e filtragem'!AJ$2,Apresentação!$E$4='Base de Dados e filtragem'!F1130),1,0)</f>
        <v>1</v>
      </c>
      <c r="AK1130" s="25">
        <f>IF(OR(Apresentação!$E$5='Base de Dados e filtragem'!AK$2,Apresentação!$E$5='Base de Dados e filtragem'!G1130),1,0)</f>
        <v>1</v>
      </c>
      <c r="AL1130" s="25">
        <f>IF(OR(Apresentação!$E$6='Base de Dados e filtragem'!AL$2,Apresentação!$E$6='Base de Dados e filtragem'!H1130),1,0)</f>
        <v>1</v>
      </c>
      <c r="AM1130" s="25">
        <f>IF(OR(Apresentação!$I$2='Base de Dados e filtragem'!AM$2,Apresentação!$I$2='Base de Dados e filtragem'!I1130),1,0)</f>
        <v>1</v>
      </c>
      <c r="AN1130" s="25">
        <f>IF(OR(Apresentação!$I$3='Base de Dados e filtragem'!AN$2,Apresentação!$I$3='Base de Dados e filtragem'!J1130),1,0)</f>
        <v>1</v>
      </c>
      <c r="AO1130" s="25">
        <f>IF(OR(Apresentação!$I$4='Base de Dados e filtragem'!AO$2,Apresentação!$I$4='Base de Dados e filtragem'!K1130),1,0)</f>
        <v>1</v>
      </c>
      <c r="AP1130" s="25">
        <f>IF(OR(Apresentação!$I$5='Base de Dados e filtragem'!AP$2,Apresentação!$I$5='Base de Dados e filtragem'!L1130),1,0)</f>
        <v>1</v>
      </c>
      <c r="AQ1130" s="25">
        <f>IF(OR(Apresentação!$I$6='Base de Dados e filtragem'!AQ$2,Apresentação!$I$6='Base de Dados e filtragem'!M1130),1,0)</f>
        <v>1</v>
      </c>
      <c r="AR1130" s="25">
        <v>1</v>
      </c>
      <c r="AS1130" s="25">
        <v>1</v>
      </c>
      <c r="AT1130" s="25">
        <v>1</v>
      </c>
      <c r="AU1130" s="25">
        <v>1</v>
      </c>
      <c r="AV1130" s="25">
        <v>1</v>
      </c>
      <c r="AW1130" s="25">
        <v>1</v>
      </c>
      <c r="AX1130" s="25">
        <v>1</v>
      </c>
      <c r="AY1130" s="25">
        <v>1</v>
      </c>
      <c r="AZ1130" s="25">
        <v>1</v>
      </c>
      <c r="BA1130" s="25">
        <v>1</v>
      </c>
      <c r="BB1130" s="25">
        <v>1</v>
      </c>
      <c r="BC1130" s="25">
        <v>1</v>
      </c>
      <c r="BD1130" s="25">
        <v>1</v>
      </c>
    </row>
    <row r="1131" spans="27:56" x14ac:dyDescent="0.25">
      <c r="AA1131" s="68" t="str">
        <f t="shared" si="69"/>
        <v>Fotos\\.jpg</v>
      </c>
      <c r="AB1131" s="53">
        <f t="shared" si="70"/>
        <v>8.8417329796640137E-4</v>
      </c>
      <c r="AC1131" s="25">
        <f t="shared" si="71"/>
        <v>1131</v>
      </c>
      <c r="AD1131" s="51">
        <f t="shared" si="72"/>
        <v>1</v>
      </c>
      <c r="AE1131" s="25">
        <v>1</v>
      </c>
      <c r="AF1131" s="25">
        <v>1</v>
      </c>
      <c r="AG1131" s="25">
        <v>1</v>
      </c>
      <c r="AH1131" s="25">
        <v>1</v>
      </c>
      <c r="AI1131" s="25">
        <f>IF(OR(Apresentação!$E$3='Base de Dados e filtragem'!AI$2,Apresentação!$E$3='Base de Dados e filtragem'!E1131),1,0)</f>
        <v>1</v>
      </c>
      <c r="AJ1131" s="25">
        <f>IF(OR(Apresentação!$E$4='Base de Dados e filtragem'!AJ$2,Apresentação!$E$4='Base de Dados e filtragem'!F1131),1,0)</f>
        <v>1</v>
      </c>
      <c r="AK1131" s="25">
        <f>IF(OR(Apresentação!$E$5='Base de Dados e filtragem'!AK$2,Apresentação!$E$5='Base de Dados e filtragem'!G1131),1,0)</f>
        <v>1</v>
      </c>
      <c r="AL1131" s="25">
        <f>IF(OR(Apresentação!$E$6='Base de Dados e filtragem'!AL$2,Apresentação!$E$6='Base de Dados e filtragem'!H1131),1,0)</f>
        <v>1</v>
      </c>
      <c r="AM1131" s="25">
        <f>IF(OR(Apresentação!$I$2='Base de Dados e filtragem'!AM$2,Apresentação!$I$2='Base de Dados e filtragem'!I1131),1,0)</f>
        <v>1</v>
      </c>
      <c r="AN1131" s="25">
        <f>IF(OR(Apresentação!$I$3='Base de Dados e filtragem'!AN$2,Apresentação!$I$3='Base de Dados e filtragem'!J1131),1,0)</f>
        <v>1</v>
      </c>
      <c r="AO1131" s="25">
        <f>IF(OR(Apresentação!$I$4='Base de Dados e filtragem'!AO$2,Apresentação!$I$4='Base de Dados e filtragem'!K1131),1,0)</f>
        <v>1</v>
      </c>
      <c r="AP1131" s="25">
        <f>IF(OR(Apresentação!$I$5='Base de Dados e filtragem'!AP$2,Apresentação!$I$5='Base de Dados e filtragem'!L1131),1,0)</f>
        <v>1</v>
      </c>
      <c r="AQ1131" s="25">
        <f>IF(OR(Apresentação!$I$6='Base de Dados e filtragem'!AQ$2,Apresentação!$I$6='Base de Dados e filtragem'!M1131),1,0)</f>
        <v>1</v>
      </c>
      <c r="AR1131" s="25">
        <v>1</v>
      </c>
      <c r="AS1131" s="25">
        <v>1</v>
      </c>
      <c r="AT1131" s="25">
        <v>1</v>
      </c>
      <c r="AU1131" s="25">
        <v>1</v>
      </c>
      <c r="AV1131" s="25">
        <v>1</v>
      </c>
      <c r="AW1131" s="25">
        <v>1</v>
      </c>
      <c r="AX1131" s="25">
        <v>1</v>
      </c>
      <c r="AY1131" s="25">
        <v>1</v>
      </c>
      <c r="AZ1131" s="25">
        <v>1</v>
      </c>
      <c r="BA1131" s="25">
        <v>1</v>
      </c>
      <c r="BB1131" s="25">
        <v>1</v>
      </c>
      <c r="BC1131" s="25">
        <v>1</v>
      </c>
      <c r="BD1131" s="25">
        <v>1</v>
      </c>
    </row>
    <row r="1132" spans="27:56" x14ac:dyDescent="0.25">
      <c r="AA1132" s="68" t="str">
        <f t="shared" si="69"/>
        <v>Fotos\\.jpg</v>
      </c>
      <c r="AB1132" s="53">
        <f t="shared" si="70"/>
        <v>8.8339222614840988E-4</v>
      </c>
      <c r="AC1132" s="25">
        <f t="shared" si="71"/>
        <v>1132</v>
      </c>
      <c r="AD1132" s="51">
        <f t="shared" si="72"/>
        <v>1</v>
      </c>
      <c r="AE1132" s="25">
        <v>1</v>
      </c>
      <c r="AF1132" s="25">
        <v>1</v>
      </c>
      <c r="AG1132" s="25">
        <v>1</v>
      </c>
      <c r="AH1132" s="25">
        <v>1</v>
      </c>
      <c r="AI1132" s="25">
        <f>IF(OR(Apresentação!$E$3='Base de Dados e filtragem'!AI$2,Apresentação!$E$3='Base de Dados e filtragem'!E1132),1,0)</f>
        <v>1</v>
      </c>
      <c r="AJ1132" s="25">
        <f>IF(OR(Apresentação!$E$4='Base de Dados e filtragem'!AJ$2,Apresentação!$E$4='Base de Dados e filtragem'!F1132),1,0)</f>
        <v>1</v>
      </c>
      <c r="AK1132" s="25">
        <f>IF(OR(Apresentação!$E$5='Base de Dados e filtragem'!AK$2,Apresentação!$E$5='Base de Dados e filtragem'!G1132),1,0)</f>
        <v>1</v>
      </c>
      <c r="AL1132" s="25">
        <f>IF(OR(Apresentação!$E$6='Base de Dados e filtragem'!AL$2,Apresentação!$E$6='Base de Dados e filtragem'!H1132),1,0)</f>
        <v>1</v>
      </c>
      <c r="AM1132" s="25">
        <f>IF(OR(Apresentação!$I$2='Base de Dados e filtragem'!AM$2,Apresentação!$I$2='Base de Dados e filtragem'!I1132),1,0)</f>
        <v>1</v>
      </c>
      <c r="AN1132" s="25">
        <f>IF(OR(Apresentação!$I$3='Base de Dados e filtragem'!AN$2,Apresentação!$I$3='Base de Dados e filtragem'!J1132),1,0)</f>
        <v>1</v>
      </c>
      <c r="AO1132" s="25">
        <f>IF(OR(Apresentação!$I$4='Base de Dados e filtragem'!AO$2,Apresentação!$I$4='Base de Dados e filtragem'!K1132),1,0)</f>
        <v>1</v>
      </c>
      <c r="AP1132" s="25">
        <f>IF(OR(Apresentação!$I$5='Base de Dados e filtragem'!AP$2,Apresentação!$I$5='Base de Dados e filtragem'!L1132),1,0)</f>
        <v>1</v>
      </c>
      <c r="AQ1132" s="25">
        <f>IF(OR(Apresentação!$I$6='Base de Dados e filtragem'!AQ$2,Apresentação!$I$6='Base de Dados e filtragem'!M1132),1,0)</f>
        <v>1</v>
      </c>
      <c r="AR1132" s="25">
        <v>1</v>
      </c>
      <c r="AS1132" s="25">
        <v>1</v>
      </c>
      <c r="AT1132" s="25">
        <v>1</v>
      </c>
      <c r="AU1132" s="25">
        <v>1</v>
      </c>
      <c r="AV1132" s="25">
        <v>1</v>
      </c>
      <c r="AW1132" s="25">
        <v>1</v>
      </c>
      <c r="AX1132" s="25">
        <v>1</v>
      </c>
      <c r="AY1132" s="25">
        <v>1</v>
      </c>
      <c r="AZ1132" s="25">
        <v>1</v>
      </c>
      <c r="BA1132" s="25">
        <v>1</v>
      </c>
      <c r="BB1132" s="25">
        <v>1</v>
      </c>
      <c r="BC1132" s="25">
        <v>1</v>
      </c>
      <c r="BD1132" s="25">
        <v>1</v>
      </c>
    </row>
    <row r="1133" spans="27:56" x14ac:dyDescent="0.25">
      <c r="AA1133" s="68" t="str">
        <f t="shared" si="69"/>
        <v>Fotos\\.jpg</v>
      </c>
      <c r="AB1133" s="53">
        <f t="shared" si="70"/>
        <v>8.8261253309797002E-4</v>
      </c>
      <c r="AC1133" s="25">
        <f t="shared" si="71"/>
        <v>1133</v>
      </c>
      <c r="AD1133" s="51">
        <f t="shared" si="72"/>
        <v>1</v>
      </c>
      <c r="AE1133" s="25">
        <v>1</v>
      </c>
      <c r="AF1133" s="25">
        <v>1</v>
      </c>
      <c r="AG1133" s="25">
        <v>1</v>
      </c>
      <c r="AH1133" s="25">
        <v>1</v>
      </c>
      <c r="AI1133" s="25">
        <f>IF(OR(Apresentação!$E$3='Base de Dados e filtragem'!AI$2,Apresentação!$E$3='Base de Dados e filtragem'!E1133),1,0)</f>
        <v>1</v>
      </c>
      <c r="AJ1133" s="25">
        <f>IF(OR(Apresentação!$E$4='Base de Dados e filtragem'!AJ$2,Apresentação!$E$4='Base de Dados e filtragem'!F1133),1,0)</f>
        <v>1</v>
      </c>
      <c r="AK1133" s="25">
        <f>IF(OR(Apresentação!$E$5='Base de Dados e filtragem'!AK$2,Apresentação!$E$5='Base de Dados e filtragem'!G1133),1,0)</f>
        <v>1</v>
      </c>
      <c r="AL1133" s="25">
        <f>IF(OR(Apresentação!$E$6='Base de Dados e filtragem'!AL$2,Apresentação!$E$6='Base de Dados e filtragem'!H1133),1,0)</f>
        <v>1</v>
      </c>
      <c r="AM1133" s="25">
        <f>IF(OR(Apresentação!$I$2='Base de Dados e filtragem'!AM$2,Apresentação!$I$2='Base de Dados e filtragem'!I1133),1,0)</f>
        <v>1</v>
      </c>
      <c r="AN1133" s="25">
        <f>IF(OR(Apresentação!$I$3='Base de Dados e filtragem'!AN$2,Apresentação!$I$3='Base de Dados e filtragem'!J1133),1,0)</f>
        <v>1</v>
      </c>
      <c r="AO1133" s="25">
        <f>IF(OR(Apresentação!$I$4='Base de Dados e filtragem'!AO$2,Apresentação!$I$4='Base de Dados e filtragem'!K1133),1,0)</f>
        <v>1</v>
      </c>
      <c r="AP1133" s="25">
        <f>IF(OR(Apresentação!$I$5='Base de Dados e filtragem'!AP$2,Apresentação!$I$5='Base de Dados e filtragem'!L1133),1,0)</f>
        <v>1</v>
      </c>
      <c r="AQ1133" s="25">
        <f>IF(OR(Apresentação!$I$6='Base de Dados e filtragem'!AQ$2,Apresentação!$I$6='Base de Dados e filtragem'!M1133),1,0)</f>
        <v>1</v>
      </c>
      <c r="AR1133" s="25">
        <v>1</v>
      </c>
      <c r="AS1133" s="25">
        <v>1</v>
      </c>
      <c r="AT1133" s="25">
        <v>1</v>
      </c>
      <c r="AU1133" s="25">
        <v>1</v>
      </c>
      <c r="AV1133" s="25">
        <v>1</v>
      </c>
      <c r="AW1133" s="25">
        <v>1</v>
      </c>
      <c r="AX1133" s="25">
        <v>1</v>
      </c>
      <c r="AY1133" s="25">
        <v>1</v>
      </c>
      <c r="AZ1133" s="25">
        <v>1</v>
      </c>
      <c r="BA1133" s="25">
        <v>1</v>
      </c>
      <c r="BB1133" s="25">
        <v>1</v>
      </c>
      <c r="BC1133" s="25">
        <v>1</v>
      </c>
      <c r="BD1133" s="25">
        <v>1</v>
      </c>
    </row>
    <row r="1134" spans="27:56" x14ac:dyDescent="0.25">
      <c r="AA1134" s="68" t="str">
        <f t="shared" si="69"/>
        <v>Fotos\\.jpg</v>
      </c>
      <c r="AB1134" s="53">
        <f t="shared" si="70"/>
        <v>8.8183421516754845E-4</v>
      </c>
      <c r="AC1134" s="25">
        <f t="shared" si="71"/>
        <v>1134</v>
      </c>
      <c r="AD1134" s="51">
        <f t="shared" si="72"/>
        <v>1</v>
      </c>
      <c r="AE1134" s="25">
        <v>1</v>
      </c>
      <c r="AF1134" s="25">
        <v>1</v>
      </c>
      <c r="AG1134" s="25">
        <v>1</v>
      </c>
      <c r="AH1134" s="25">
        <v>1</v>
      </c>
      <c r="AI1134" s="25">
        <f>IF(OR(Apresentação!$E$3='Base de Dados e filtragem'!AI$2,Apresentação!$E$3='Base de Dados e filtragem'!E1134),1,0)</f>
        <v>1</v>
      </c>
      <c r="AJ1134" s="25">
        <f>IF(OR(Apresentação!$E$4='Base de Dados e filtragem'!AJ$2,Apresentação!$E$4='Base de Dados e filtragem'!F1134),1,0)</f>
        <v>1</v>
      </c>
      <c r="AK1134" s="25">
        <f>IF(OR(Apresentação!$E$5='Base de Dados e filtragem'!AK$2,Apresentação!$E$5='Base de Dados e filtragem'!G1134),1,0)</f>
        <v>1</v>
      </c>
      <c r="AL1134" s="25">
        <f>IF(OR(Apresentação!$E$6='Base de Dados e filtragem'!AL$2,Apresentação!$E$6='Base de Dados e filtragem'!H1134),1,0)</f>
        <v>1</v>
      </c>
      <c r="AM1134" s="25">
        <f>IF(OR(Apresentação!$I$2='Base de Dados e filtragem'!AM$2,Apresentação!$I$2='Base de Dados e filtragem'!I1134),1,0)</f>
        <v>1</v>
      </c>
      <c r="AN1134" s="25">
        <f>IF(OR(Apresentação!$I$3='Base de Dados e filtragem'!AN$2,Apresentação!$I$3='Base de Dados e filtragem'!J1134),1,0)</f>
        <v>1</v>
      </c>
      <c r="AO1134" s="25">
        <f>IF(OR(Apresentação!$I$4='Base de Dados e filtragem'!AO$2,Apresentação!$I$4='Base de Dados e filtragem'!K1134),1,0)</f>
        <v>1</v>
      </c>
      <c r="AP1134" s="25">
        <f>IF(OR(Apresentação!$I$5='Base de Dados e filtragem'!AP$2,Apresentação!$I$5='Base de Dados e filtragem'!L1134),1,0)</f>
        <v>1</v>
      </c>
      <c r="AQ1134" s="25">
        <f>IF(OR(Apresentação!$I$6='Base de Dados e filtragem'!AQ$2,Apresentação!$I$6='Base de Dados e filtragem'!M1134),1,0)</f>
        <v>1</v>
      </c>
      <c r="AR1134" s="25">
        <v>1</v>
      </c>
      <c r="AS1134" s="25">
        <v>1</v>
      </c>
      <c r="AT1134" s="25">
        <v>1</v>
      </c>
      <c r="AU1134" s="25">
        <v>1</v>
      </c>
      <c r="AV1134" s="25">
        <v>1</v>
      </c>
      <c r="AW1134" s="25">
        <v>1</v>
      </c>
      <c r="AX1134" s="25">
        <v>1</v>
      </c>
      <c r="AY1134" s="25">
        <v>1</v>
      </c>
      <c r="AZ1134" s="25">
        <v>1</v>
      </c>
      <c r="BA1134" s="25">
        <v>1</v>
      </c>
      <c r="BB1134" s="25">
        <v>1</v>
      </c>
      <c r="BC1134" s="25">
        <v>1</v>
      </c>
      <c r="BD1134" s="25">
        <v>1</v>
      </c>
    </row>
    <row r="1135" spans="27:56" x14ac:dyDescent="0.25">
      <c r="AA1135" s="68" t="str">
        <f t="shared" si="69"/>
        <v>Fotos\\.jpg</v>
      </c>
      <c r="AB1135" s="53">
        <f t="shared" si="70"/>
        <v>8.81057268722467E-4</v>
      </c>
      <c r="AC1135" s="25">
        <f t="shared" si="71"/>
        <v>1135</v>
      </c>
      <c r="AD1135" s="51">
        <f t="shared" si="72"/>
        <v>1</v>
      </c>
      <c r="AE1135" s="25">
        <v>1</v>
      </c>
      <c r="AF1135" s="25">
        <v>1</v>
      </c>
      <c r="AG1135" s="25">
        <v>1</v>
      </c>
      <c r="AH1135" s="25">
        <v>1</v>
      </c>
      <c r="AI1135" s="25">
        <f>IF(OR(Apresentação!$E$3='Base de Dados e filtragem'!AI$2,Apresentação!$E$3='Base de Dados e filtragem'!E1135),1,0)</f>
        <v>1</v>
      </c>
      <c r="AJ1135" s="25">
        <f>IF(OR(Apresentação!$E$4='Base de Dados e filtragem'!AJ$2,Apresentação!$E$4='Base de Dados e filtragem'!F1135),1,0)</f>
        <v>1</v>
      </c>
      <c r="AK1135" s="25">
        <f>IF(OR(Apresentação!$E$5='Base de Dados e filtragem'!AK$2,Apresentação!$E$5='Base de Dados e filtragem'!G1135),1,0)</f>
        <v>1</v>
      </c>
      <c r="AL1135" s="25">
        <f>IF(OR(Apresentação!$E$6='Base de Dados e filtragem'!AL$2,Apresentação!$E$6='Base de Dados e filtragem'!H1135),1,0)</f>
        <v>1</v>
      </c>
      <c r="AM1135" s="25">
        <f>IF(OR(Apresentação!$I$2='Base de Dados e filtragem'!AM$2,Apresentação!$I$2='Base de Dados e filtragem'!I1135),1,0)</f>
        <v>1</v>
      </c>
      <c r="AN1135" s="25">
        <f>IF(OR(Apresentação!$I$3='Base de Dados e filtragem'!AN$2,Apresentação!$I$3='Base de Dados e filtragem'!J1135),1,0)</f>
        <v>1</v>
      </c>
      <c r="AO1135" s="25">
        <f>IF(OR(Apresentação!$I$4='Base de Dados e filtragem'!AO$2,Apresentação!$I$4='Base de Dados e filtragem'!K1135),1,0)</f>
        <v>1</v>
      </c>
      <c r="AP1135" s="25">
        <f>IF(OR(Apresentação!$I$5='Base de Dados e filtragem'!AP$2,Apresentação!$I$5='Base de Dados e filtragem'!L1135),1,0)</f>
        <v>1</v>
      </c>
      <c r="AQ1135" s="25">
        <f>IF(OR(Apresentação!$I$6='Base de Dados e filtragem'!AQ$2,Apresentação!$I$6='Base de Dados e filtragem'!M1135),1,0)</f>
        <v>1</v>
      </c>
      <c r="AR1135" s="25">
        <v>1</v>
      </c>
      <c r="AS1135" s="25">
        <v>1</v>
      </c>
      <c r="AT1135" s="25">
        <v>1</v>
      </c>
      <c r="AU1135" s="25">
        <v>1</v>
      </c>
      <c r="AV1135" s="25">
        <v>1</v>
      </c>
      <c r="AW1135" s="25">
        <v>1</v>
      </c>
      <c r="AX1135" s="25">
        <v>1</v>
      </c>
      <c r="AY1135" s="25">
        <v>1</v>
      </c>
      <c r="AZ1135" s="25">
        <v>1</v>
      </c>
      <c r="BA1135" s="25">
        <v>1</v>
      </c>
      <c r="BB1135" s="25">
        <v>1</v>
      </c>
      <c r="BC1135" s="25">
        <v>1</v>
      </c>
      <c r="BD1135" s="25">
        <v>1</v>
      </c>
    </row>
    <row r="1136" spans="27:56" x14ac:dyDescent="0.25">
      <c r="AA1136" s="68" t="str">
        <f t="shared" si="69"/>
        <v>Fotos\\.jpg</v>
      </c>
      <c r="AB1136" s="53">
        <f t="shared" si="70"/>
        <v>8.8028169014084509E-4</v>
      </c>
      <c r="AC1136" s="25">
        <f t="shared" si="71"/>
        <v>1136</v>
      </c>
      <c r="AD1136" s="51">
        <f t="shared" si="72"/>
        <v>1</v>
      </c>
      <c r="AE1136" s="25">
        <v>1</v>
      </c>
      <c r="AF1136" s="25">
        <v>1</v>
      </c>
      <c r="AG1136" s="25">
        <v>1</v>
      </c>
      <c r="AH1136" s="25">
        <v>1</v>
      </c>
      <c r="AI1136" s="25">
        <f>IF(OR(Apresentação!$E$3='Base de Dados e filtragem'!AI$2,Apresentação!$E$3='Base de Dados e filtragem'!E1136),1,0)</f>
        <v>1</v>
      </c>
      <c r="AJ1136" s="25">
        <f>IF(OR(Apresentação!$E$4='Base de Dados e filtragem'!AJ$2,Apresentação!$E$4='Base de Dados e filtragem'!F1136),1,0)</f>
        <v>1</v>
      </c>
      <c r="AK1136" s="25">
        <f>IF(OR(Apresentação!$E$5='Base de Dados e filtragem'!AK$2,Apresentação!$E$5='Base de Dados e filtragem'!G1136),1,0)</f>
        <v>1</v>
      </c>
      <c r="AL1136" s="25">
        <f>IF(OR(Apresentação!$E$6='Base de Dados e filtragem'!AL$2,Apresentação!$E$6='Base de Dados e filtragem'!H1136),1,0)</f>
        <v>1</v>
      </c>
      <c r="AM1136" s="25">
        <f>IF(OR(Apresentação!$I$2='Base de Dados e filtragem'!AM$2,Apresentação!$I$2='Base de Dados e filtragem'!I1136),1,0)</f>
        <v>1</v>
      </c>
      <c r="AN1136" s="25">
        <f>IF(OR(Apresentação!$I$3='Base de Dados e filtragem'!AN$2,Apresentação!$I$3='Base de Dados e filtragem'!J1136),1,0)</f>
        <v>1</v>
      </c>
      <c r="AO1136" s="25">
        <f>IF(OR(Apresentação!$I$4='Base de Dados e filtragem'!AO$2,Apresentação!$I$4='Base de Dados e filtragem'!K1136),1,0)</f>
        <v>1</v>
      </c>
      <c r="AP1136" s="25">
        <f>IF(OR(Apresentação!$I$5='Base de Dados e filtragem'!AP$2,Apresentação!$I$5='Base de Dados e filtragem'!L1136),1,0)</f>
        <v>1</v>
      </c>
      <c r="AQ1136" s="25">
        <f>IF(OR(Apresentação!$I$6='Base de Dados e filtragem'!AQ$2,Apresentação!$I$6='Base de Dados e filtragem'!M1136),1,0)</f>
        <v>1</v>
      </c>
      <c r="AR1136" s="25">
        <v>1</v>
      </c>
      <c r="AS1136" s="25">
        <v>1</v>
      </c>
      <c r="AT1136" s="25">
        <v>1</v>
      </c>
      <c r="AU1136" s="25">
        <v>1</v>
      </c>
      <c r="AV1136" s="25">
        <v>1</v>
      </c>
      <c r="AW1136" s="25">
        <v>1</v>
      </c>
      <c r="AX1136" s="25">
        <v>1</v>
      </c>
      <c r="AY1136" s="25">
        <v>1</v>
      </c>
      <c r="AZ1136" s="25">
        <v>1</v>
      </c>
      <c r="BA1136" s="25">
        <v>1</v>
      </c>
      <c r="BB1136" s="25">
        <v>1</v>
      </c>
      <c r="BC1136" s="25">
        <v>1</v>
      </c>
      <c r="BD1136" s="25">
        <v>1</v>
      </c>
    </row>
    <row r="1137" spans="27:56" x14ac:dyDescent="0.25">
      <c r="AA1137" s="68" t="str">
        <f t="shared" si="69"/>
        <v>Fotos\\.jpg</v>
      </c>
      <c r="AB1137" s="53">
        <f t="shared" si="70"/>
        <v>8.7950747581354446E-4</v>
      </c>
      <c r="AC1137" s="25">
        <f t="shared" si="71"/>
        <v>1137</v>
      </c>
      <c r="AD1137" s="51">
        <f t="shared" si="72"/>
        <v>1</v>
      </c>
      <c r="AE1137" s="25">
        <v>1</v>
      </c>
      <c r="AF1137" s="25">
        <v>1</v>
      </c>
      <c r="AG1137" s="25">
        <v>1</v>
      </c>
      <c r="AH1137" s="25">
        <v>1</v>
      </c>
      <c r="AI1137" s="25">
        <f>IF(OR(Apresentação!$E$3='Base de Dados e filtragem'!AI$2,Apresentação!$E$3='Base de Dados e filtragem'!E1137),1,0)</f>
        <v>1</v>
      </c>
      <c r="AJ1137" s="25">
        <f>IF(OR(Apresentação!$E$4='Base de Dados e filtragem'!AJ$2,Apresentação!$E$4='Base de Dados e filtragem'!F1137),1,0)</f>
        <v>1</v>
      </c>
      <c r="AK1137" s="25">
        <f>IF(OR(Apresentação!$E$5='Base de Dados e filtragem'!AK$2,Apresentação!$E$5='Base de Dados e filtragem'!G1137),1,0)</f>
        <v>1</v>
      </c>
      <c r="AL1137" s="25">
        <f>IF(OR(Apresentação!$E$6='Base de Dados e filtragem'!AL$2,Apresentação!$E$6='Base de Dados e filtragem'!H1137),1,0)</f>
        <v>1</v>
      </c>
      <c r="AM1137" s="25">
        <f>IF(OR(Apresentação!$I$2='Base de Dados e filtragem'!AM$2,Apresentação!$I$2='Base de Dados e filtragem'!I1137),1,0)</f>
        <v>1</v>
      </c>
      <c r="AN1137" s="25">
        <f>IF(OR(Apresentação!$I$3='Base de Dados e filtragem'!AN$2,Apresentação!$I$3='Base de Dados e filtragem'!J1137),1,0)</f>
        <v>1</v>
      </c>
      <c r="AO1137" s="25">
        <f>IF(OR(Apresentação!$I$4='Base de Dados e filtragem'!AO$2,Apresentação!$I$4='Base de Dados e filtragem'!K1137),1,0)</f>
        <v>1</v>
      </c>
      <c r="AP1137" s="25">
        <f>IF(OR(Apresentação!$I$5='Base de Dados e filtragem'!AP$2,Apresentação!$I$5='Base de Dados e filtragem'!L1137),1,0)</f>
        <v>1</v>
      </c>
      <c r="AQ1137" s="25">
        <f>IF(OR(Apresentação!$I$6='Base de Dados e filtragem'!AQ$2,Apresentação!$I$6='Base de Dados e filtragem'!M1137),1,0)</f>
        <v>1</v>
      </c>
      <c r="AR1137" s="25">
        <v>1</v>
      </c>
      <c r="AS1137" s="25">
        <v>1</v>
      </c>
      <c r="AT1137" s="25">
        <v>1</v>
      </c>
      <c r="AU1137" s="25">
        <v>1</v>
      </c>
      <c r="AV1137" s="25">
        <v>1</v>
      </c>
      <c r="AW1137" s="25">
        <v>1</v>
      </c>
      <c r="AX1137" s="25">
        <v>1</v>
      </c>
      <c r="AY1137" s="25">
        <v>1</v>
      </c>
      <c r="AZ1137" s="25">
        <v>1</v>
      </c>
      <c r="BA1137" s="25">
        <v>1</v>
      </c>
      <c r="BB1137" s="25">
        <v>1</v>
      </c>
      <c r="BC1137" s="25">
        <v>1</v>
      </c>
      <c r="BD1137" s="25">
        <v>1</v>
      </c>
    </row>
    <row r="1138" spans="27:56" x14ac:dyDescent="0.25">
      <c r="AA1138" s="68" t="str">
        <f t="shared" si="69"/>
        <v>Fotos\\.jpg</v>
      </c>
      <c r="AB1138" s="53">
        <f t="shared" si="70"/>
        <v>8.7873462214411243E-4</v>
      </c>
      <c r="AC1138" s="25">
        <f t="shared" si="71"/>
        <v>1138</v>
      </c>
      <c r="AD1138" s="51">
        <f t="shared" si="72"/>
        <v>1</v>
      </c>
      <c r="AE1138" s="25">
        <v>1</v>
      </c>
      <c r="AF1138" s="25">
        <v>1</v>
      </c>
      <c r="AG1138" s="25">
        <v>1</v>
      </c>
      <c r="AH1138" s="25">
        <v>1</v>
      </c>
      <c r="AI1138" s="25">
        <f>IF(OR(Apresentação!$E$3='Base de Dados e filtragem'!AI$2,Apresentação!$E$3='Base de Dados e filtragem'!E1138),1,0)</f>
        <v>1</v>
      </c>
      <c r="AJ1138" s="25">
        <f>IF(OR(Apresentação!$E$4='Base de Dados e filtragem'!AJ$2,Apresentação!$E$4='Base de Dados e filtragem'!F1138),1,0)</f>
        <v>1</v>
      </c>
      <c r="AK1138" s="25">
        <f>IF(OR(Apresentação!$E$5='Base de Dados e filtragem'!AK$2,Apresentação!$E$5='Base de Dados e filtragem'!G1138),1,0)</f>
        <v>1</v>
      </c>
      <c r="AL1138" s="25">
        <f>IF(OR(Apresentação!$E$6='Base de Dados e filtragem'!AL$2,Apresentação!$E$6='Base de Dados e filtragem'!H1138),1,0)</f>
        <v>1</v>
      </c>
      <c r="AM1138" s="25">
        <f>IF(OR(Apresentação!$I$2='Base de Dados e filtragem'!AM$2,Apresentação!$I$2='Base de Dados e filtragem'!I1138),1,0)</f>
        <v>1</v>
      </c>
      <c r="AN1138" s="25">
        <f>IF(OR(Apresentação!$I$3='Base de Dados e filtragem'!AN$2,Apresentação!$I$3='Base de Dados e filtragem'!J1138),1,0)</f>
        <v>1</v>
      </c>
      <c r="AO1138" s="25">
        <f>IF(OR(Apresentação!$I$4='Base de Dados e filtragem'!AO$2,Apresentação!$I$4='Base de Dados e filtragem'!K1138),1,0)</f>
        <v>1</v>
      </c>
      <c r="AP1138" s="25">
        <f>IF(OR(Apresentação!$I$5='Base de Dados e filtragem'!AP$2,Apresentação!$I$5='Base de Dados e filtragem'!L1138),1,0)</f>
        <v>1</v>
      </c>
      <c r="AQ1138" s="25">
        <f>IF(OR(Apresentação!$I$6='Base de Dados e filtragem'!AQ$2,Apresentação!$I$6='Base de Dados e filtragem'!M1138),1,0)</f>
        <v>1</v>
      </c>
      <c r="AR1138" s="25">
        <v>1</v>
      </c>
      <c r="AS1138" s="25">
        <v>1</v>
      </c>
      <c r="AT1138" s="25">
        <v>1</v>
      </c>
      <c r="AU1138" s="25">
        <v>1</v>
      </c>
      <c r="AV1138" s="25">
        <v>1</v>
      </c>
      <c r="AW1138" s="25">
        <v>1</v>
      </c>
      <c r="AX1138" s="25">
        <v>1</v>
      </c>
      <c r="AY1138" s="25">
        <v>1</v>
      </c>
      <c r="AZ1138" s="25">
        <v>1</v>
      </c>
      <c r="BA1138" s="25">
        <v>1</v>
      </c>
      <c r="BB1138" s="25">
        <v>1</v>
      </c>
      <c r="BC1138" s="25">
        <v>1</v>
      </c>
      <c r="BD1138" s="25">
        <v>1</v>
      </c>
    </row>
    <row r="1139" spans="27:56" x14ac:dyDescent="0.25">
      <c r="AA1139" s="68" t="str">
        <f t="shared" si="69"/>
        <v>Fotos\\.jpg</v>
      </c>
      <c r="AB1139" s="53">
        <f t="shared" si="70"/>
        <v>8.7796312554872696E-4</v>
      </c>
      <c r="AC1139" s="25">
        <f t="shared" si="71"/>
        <v>1139</v>
      </c>
      <c r="AD1139" s="51">
        <f t="shared" si="72"/>
        <v>1</v>
      </c>
      <c r="AE1139" s="25">
        <v>1</v>
      </c>
      <c r="AF1139" s="25">
        <v>1</v>
      </c>
      <c r="AG1139" s="25">
        <v>1</v>
      </c>
      <c r="AH1139" s="25">
        <v>1</v>
      </c>
      <c r="AI1139" s="25">
        <f>IF(OR(Apresentação!$E$3='Base de Dados e filtragem'!AI$2,Apresentação!$E$3='Base de Dados e filtragem'!E1139),1,0)</f>
        <v>1</v>
      </c>
      <c r="AJ1139" s="25">
        <f>IF(OR(Apresentação!$E$4='Base de Dados e filtragem'!AJ$2,Apresentação!$E$4='Base de Dados e filtragem'!F1139),1,0)</f>
        <v>1</v>
      </c>
      <c r="AK1139" s="25">
        <f>IF(OR(Apresentação!$E$5='Base de Dados e filtragem'!AK$2,Apresentação!$E$5='Base de Dados e filtragem'!G1139),1,0)</f>
        <v>1</v>
      </c>
      <c r="AL1139" s="25">
        <f>IF(OR(Apresentação!$E$6='Base de Dados e filtragem'!AL$2,Apresentação!$E$6='Base de Dados e filtragem'!H1139),1,0)</f>
        <v>1</v>
      </c>
      <c r="AM1139" s="25">
        <f>IF(OR(Apresentação!$I$2='Base de Dados e filtragem'!AM$2,Apresentação!$I$2='Base de Dados e filtragem'!I1139),1,0)</f>
        <v>1</v>
      </c>
      <c r="AN1139" s="25">
        <f>IF(OR(Apresentação!$I$3='Base de Dados e filtragem'!AN$2,Apresentação!$I$3='Base de Dados e filtragem'!J1139),1,0)</f>
        <v>1</v>
      </c>
      <c r="AO1139" s="25">
        <f>IF(OR(Apresentação!$I$4='Base de Dados e filtragem'!AO$2,Apresentação!$I$4='Base de Dados e filtragem'!K1139),1,0)</f>
        <v>1</v>
      </c>
      <c r="AP1139" s="25">
        <f>IF(OR(Apresentação!$I$5='Base de Dados e filtragem'!AP$2,Apresentação!$I$5='Base de Dados e filtragem'!L1139),1,0)</f>
        <v>1</v>
      </c>
      <c r="AQ1139" s="25">
        <f>IF(OR(Apresentação!$I$6='Base de Dados e filtragem'!AQ$2,Apresentação!$I$6='Base de Dados e filtragem'!M1139),1,0)</f>
        <v>1</v>
      </c>
      <c r="AR1139" s="25">
        <v>1</v>
      </c>
      <c r="AS1139" s="25">
        <v>1</v>
      </c>
      <c r="AT1139" s="25">
        <v>1</v>
      </c>
      <c r="AU1139" s="25">
        <v>1</v>
      </c>
      <c r="AV1139" s="25">
        <v>1</v>
      </c>
      <c r="AW1139" s="25">
        <v>1</v>
      </c>
      <c r="AX1139" s="25">
        <v>1</v>
      </c>
      <c r="AY1139" s="25">
        <v>1</v>
      </c>
      <c r="AZ1139" s="25">
        <v>1</v>
      </c>
      <c r="BA1139" s="25">
        <v>1</v>
      </c>
      <c r="BB1139" s="25">
        <v>1</v>
      </c>
      <c r="BC1139" s="25">
        <v>1</v>
      </c>
      <c r="BD1139" s="25">
        <v>1</v>
      </c>
    </row>
    <row r="1140" spans="27:56" x14ac:dyDescent="0.25">
      <c r="AA1140" s="68" t="str">
        <f t="shared" si="69"/>
        <v>Fotos\\.jpg</v>
      </c>
      <c r="AB1140" s="53">
        <f t="shared" si="70"/>
        <v>8.7719298245614037E-4</v>
      </c>
      <c r="AC1140" s="25">
        <f t="shared" si="71"/>
        <v>1140</v>
      </c>
      <c r="AD1140" s="51">
        <f t="shared" si="72"/>
        <v>1</v>
      </c>
      <c r="AE1140" s="25">
        <v>1</v>
      </c>
      <c r="AF1140" s="25">
        <v>1</v>
      </c>
      <c r="AG1140" s="25">
        <v>1</v>
      </c>
      <c r="AH1140" s="25">
        <v>1</v>
      </c>
      <c r="AI1140" s="25">
        <f>IF(OR(Apresentação!$E$3='Base de Dados e filtragem'!AI$2,Apresentação!$E$3='Base de Dados e filtragem'!E1140),1,0)</f>
        <v>1</v>
      </c>
      <c r="AJ1140" s="25">
        <f>IF(OR(Apresentação!$E$4='Base de Dados e filtragem'!AJ$2,Apresentação!$E$4='Base de Dados e filtragem'!F1140),1,0)</f>
        <v>1</v>
      </c>
      <c r="AK1140" s="25">
        <f>IF(OR(Apresentação!$E$5='Base de Dados e filtragem'!AK$2,Apresentação!$E$5='Base de Dados e filtragem'!G1140),1,0)</f>
        <v>1</v>
      </c>
      <c r="AL1140" s="25">
        <f>IF(OR(Apresentação!$E$6='Base de Dados e filtragem'!AL$2,Apresentação!$E$6='Base de Dados e filtragem'!H1140),1,0)</f>
        <v>1</v>
      </c>
      <c r="AM1140" s="25">
        <f>IF(OR(Apresentação!$I$2='Base de Dados e filtragem'!AM$2,Apresentação!$I$2='Base de Dados e filtragem'!I1140),1,0)</f>
        <v>1</v>
      </c>
      <c r="AN1140" s="25">
        <f>IF(OR(Apresentação!$I$3='Base de Dados e filtragem'!AN$2,Apresentação!$I$3='Base de Dados e filtragem'!J1140),1,0)</f>
        <v>1</v>
      </c>
      <c r="AO1140" s="25">
        <f>IF(OR(Apresentação!$I$4='Base de Dados e filtragem'!AO$2,Apresentação!$I$4='Base de Dados e filtragem'!K1140),1,0)</f>
        <v>1</v>
      </c>
      <c r="AP1140" s="25">
        <f>IF(OR(Apresentação!$I$5='Base de Dados e filtragem'!AP$2,Apresentação!$I$5='Base de Dados e filtragem'!L1140),1,0)</f>
        <v>1</v>
      </c>
      <c r="AQ1140" s="25">
        <f>IF(OR(Apresentação!$I$6='Base de Dados e filtragem'!AQ$2,Apresentação!$I$6='Base de Dados e filtragem'!M1140),1,0)</f>
        <v>1</v>
      </c>
      <c r="AR1140" s="25">
        <v>1</v>
      </c>
      <c r="AS1140" s="25">
        <v>1</v>
      </c>
      <c r="AT1140" s="25">
        <v>1</v>
      </c>
      <c r="AU1140" s="25">
        <v>1</v>
      </c>
      <c r="AV1140" s="25">
        <v>1</v>
      </c>
      <c r="AW1140" s="25">
        <v>1</v>
      </c>
      <c r="AX1140" s="25">
        <v>1</v>
      </c>
      <c r="AY1140" s="25">
        <v>1</v>
      </c>
      <c r="AZ1140" s="25">
        <v>1</v>
      </c>
      <c r="BA1140" s="25">
        <v>1</v>
      </c>
      <c r="BB1140" s="25">
        <v>1</v>
      </c>
      <c r="BC1140" s="25">
        <v>1</v>
      </c>
      <c r="BD1140" s="25">
        <v>1</v>
      </c>
    </row>
    <row r="1141" spans="27:56" x14ac:dyDescent="0.25">
      <c r="AA1141" s="68" t="str">
        <f t="shared" si="69"/>
        <v>Fotos\\.jpg</v>
      </c>
      <c r="AB1141" s="53">
        <f t="shared" si="70"/>
        <v>8.7642418930762491E-4</v>
      </c>
      <c r="AC1141" s="25">
        <f t="shared" si="71"/>
        <v>1141</v>
      </c>
      <c r="AD1141" s="51">
        <f t="shared" si="72"/>
        <v>1</v>
      </c>
      <c r="AE1141" s="25">
        <v>1</v>
      </c>
      <c r="AF1141" s="25">
        <v>1</v>
      </c>
      <c r="AG1141" s="25">
        <v>1</v>
      </c>
      <c r="AH1141" s="25">
        <v>1</v>
      </c>
      <c r="AI1141" s="25">
        <f>IF(OR(Apresentação!$E$3='Base de Dados e filtragem'!AI$2,Apresentação!$E$3='Base de Dados e filtragem'!E1141),1,0)</f>
        <v>1</v>
      </c>
      <c r="AJ1141" s="25">
        <f>IF(OR(Apresentação!$E$4='Base de Dados e filtragem'!AJ$2,Apresentação!$E$4='Base de Dados e filtragem'!F1141),1,0)</f>
        <v>1</v>
      </c>
      <c r="AK1141" s="25">
        <f>IF(OR(Apresentação!$E$5='Base de Dados e filtragem'!AK$2,Apresentação!$E$5='Base de Dados e filtragem'!G1141),1,0)</f>
        <v>1</v>
      </c>
      <c r="AL1141" s="25">
        <f>IF(OR(Apresentação!$E$6='Base de Dados e filtragem'!AL$2,Apresentação!$E$6='Base de Dados e filtragem'!H1141),1,0)</f>
        <v>1</v>
      </c>
      <c r="AM1141" s="25">
        <f>IF(OR(Apresentação!$I$2='Base de Dados e filtragem'!AM$2,Apresentação!$I$2='Base de Dados e filtragem'!I1141),1,0)</f>
        <v>1</v>
      </c>
      <c r="AN1141" s="25">
        <f>IF(OR(Apresentação!$I$3='Base de Dados e filtragem'!AN$2,Apresentação!$I$3='Base de Dados e filtragem'!J1141),1,0)</f>
        <v>1</v>
      </c>
      <c r="AO1141" s="25">
        <f>IF(OR(Apresentação!$I$4='Base de Dados e filtragem'!AO$2,Apresentação!$I$4='Base de Dados e filtragem'!K1141),1,0)</f>
        <v>1</v>
      </c>
      <c r="AP1141" s="25">
        <f>IF(OR(Apresentação!$I$5='Base de Dados e filtragem'!AP$2,Apresentação!$I$5='Base de Dados e filtragem'!L1141),1,0)</f>
        <v>1</v>
      </c>
      <c r="AQ1141" s="25">
        <f>IF(OR(Apresentação!$I$6='Base de Dados e filtragem'!AQ$2,Apresentação!$I$6='Base de Dados e filtragem'!M1141),1,0)</f>
        <v>1</v>
      </c>
      <c r="AR1141" s="25">
        <v>1</v>
      </c>
      <c r="AS1141" s="25">
        <v>1</v>
      </c>
      <c r="AT1141" s="25">
        <v>1</v>
      </c>
      <c r="AU1141" s="25">
        <v>1</v>
      </c>
      <c r="AV1141" s="25">
        <v>1</v>
      </c>
      <c r="AW1141" s="25">
        <v>1</v>
      </c>
      <c r="AX1141" s="25">
        <v>1</v>
      </c>
      <c r="AY1141" s="25">
        <v>1</v>
      </c>
      <c r="AZ1141" s="25">
        <v>1</v>
      </c>
      <c r="BA1141" s="25">
        <v>1</v>
      </c>
      <c r="BB1141" s="25">
        <v>1</v>
      </c>
      <c r="BC1141" s="25">
        <v>1</v>
      </c>
      <c r="BD1141" s="25">
        <v>1</v>
      </c>
    </row>
    <row r="1142" spans="27:56" x14ac:dyDescent="0.25">
      <c r="AA1142" s="68" t="str">
        <f t="shared" si="69"/>
        <v>Fotos\\.jpg</v>
      </c>
      <c r="AB1142" s="53">
        <f t="shared" si="70"/>
        <v>8.7565674255691769E-4</v>
      </c>
      <c r="AC1142" s="25">
        <f t="shared" si="71"/>
        <v>1142</v>
      </c>
      <c r="AD1142" s="51">
        <f t="shared" si="72"/>
        <v>1</v>
      </c>
      <c r="AE1142" s="25">
        <v>1</v>
      </c>
      <c r="AF1142" s="25">
        <v>1</v>
      </c>
      <c r="AG1142" s="25">
        <v>1</v>
      </c>
      <c r="AH1142" s="25">
        <v>1</v>
      </c>
      <c r="AI1142" s="25">
        <f>IF(OR(Apresentação!$E$3='Base de Dados e filtragem'!AI$2,Apresentação!$E$3='Base de Dados e filtragem'!E1142),1,0)</f>
        <v>1</v>
      </c>
      <c r="AJ1142" s="25">
        <f>IF(OR(Apresentação!$E$4='Base de Dados e filtragem'!AJ$2,Apresentação!$E$4='Base de Dados e filtragem'!F1142),1,0)</f>
        <v>1</v>
      </c>
      <c r="AK1142" s="25">
        <f>IF(OR(Apresentação!$E$5='Base de Dados e filtragem'!AK$2,Apresentação!$E$5='Base de Dados e filtragem'!G1142),1,0)</f>
        <v>1</v>
      </c>
      <c r="AL1142" s="25">
        <f>IF(OR(Apresentação!$E$6='Base de Dados e filtragem'!AL$2,Apresentação!$E$6='Base de Dados e filtragem'!H1142),1,0)</f>
        <v>1</v>
      </c>
      <c r="AM1142" s="25">
        <f>IF(OR(Apresentação!$I$2='Base de Dados e filtragem'!AM$2,Apresentação!$I$2='Base de Dados e filtragem'!I1142),1,0)</f>
        <v>1</v>
      </c>
      <c r="AN1142" s="25">
        <f>IF(OR(Apresentação!$I$3='Base de Dados e filtragem'!AN$2,Apresentação!$I$3='Base de Dados e filtragem'!J1142),1,0)</f>
        <v>1</v>
      </c>
      <c r="AO1142" s="25">
        <f>IF(OR(Apresentação!$I$4='Base de Dados e filtragem'!AO$2,Apresentação!$I$4='Base de Dados e filtragem'!K1142),1,0)</f>
        <v>1</v>
      </c>
      <c r="AP1142" s="25">
        <f>IF(OR(Apresentação!$I$5='Base de Dados e filtragem'!AP$2,Apresentação!$I$5='Base de Dados e filtragem'!L1142),1,0)</f>
        <v>1</v>
      </c>
      <c r="AQ1142" s="25">
        <f>IF(OR(Apresentação!$I$6='Base de Dados e filtragem'!AQ$2,Apresentação!$I$6='Base de Dados e filtragem'!M1142),1,0)</f>
        <v>1</v>
      </c>
      <c r="AR1142" s="25">
        <v>1</v>
      </c>
      <c r="AS1142" s="25">
        <v>1</v>
      </c>
      <c r="AT1142" s="25">
        <v>1</v>
      </c>
      <c r="AU1142" s="25">
        <v>1</v>
      </c>
      <c r="AV1142" s="25">
        <v>1</v>
      </c>
      <c r="AW1142" s="25">
        <v>1</v>
      </c>
      <c r="AX1142" s="25">
        <v>1</v>
      </c>
      <c r="AY1142" s="25">
        <v>1</v>
      </c>
      <c r="AZ1142" s="25">
        <v>1</v>
      </c>
      <c r="BA1142" s="25">
        <v>1</v>
      </c>
      <c r="BB1142" s="25">
        <v>1</v>
      </c>
      <c r="BC1142" s="25">
        <v>1</v>
      </c>
      <c r="BD1142" s="25">
        <v>1</v>
      </c>
    </row>
    <row r="1143" spans="27:56" x14ac:dyDescent="0.25">
      <c r="AA1143" s="68" t="str">
        <f t="shared" si="69"/>
        <v>Fotos\\.jpg</v>
      </c>
      <c r="AB1143" s="53">
        <f t="shared" si="70"/>
        <v>8.7489063867016625E-4</v>
      </c>
      <c r="AC1143" s="25">
        <f t="shared" si="71"/>
        <v>1143</v>
      </c>
      <c r="AD1143" s="51">
        <f t="shared" si="72"/>
        <v>1</v>
      </c>
      <c r="AE1143" s="25">
        <v>1</v>
      </c>
      <c r="AF1143" s="25">
        <v>1</v>
      </c>
      <c r="AG1143" s="25">
        <v>1</v>
      </c>
      <c r="AH1143" s="25">
        <v>1</v>
      </c>
      <c r="AI1143" s="25">
        <f>IF(OR(Apresentação!$E$3='Base de Dados e filtragem'!AI$2,Apresentação!$E$3='Base de Dados e filtragem'!E1143),1,0)</f>
        <v>1</v>
      </c>
      <c r="AJ1143" s="25">
        <f>IF(OR(Apresentação!$E$4='Base de Dados e filtragem'!AJ$2,Apresentação!$E$4='Base de Dados e filtragem'!F1143),1,0)</f>
        <v>1</v>
      </c>
      <c r="AK1143" s="25">
        <f>IF(OR(Apresentação!$E$5='Base de Dados e filtragem'!AK$2,Apresentação!$E$5='Base de Dados e filtragem'!G1143),1,0)</f>
        <v>1</v>
      </c>
      <c r="AL1143" s="25">
        <f>IF(OR(Apresentação!$E$6='Base de Dados e filtragem'!AL$2,Apresentação!$E$6='Base de Dados e filtragem'!H1143),1,0)</f>
        <v>1</v>
      </c>
      <c r="AM1143" s="25">
        <f>IF(OR(Apresentação!$I$2='Base de Dados e filtragem'!AM$2,Apresentação!$I$2='Base de Dados e filtragem'!I1143),1,0)</f>
        <v>1</v>
      </c>
      <c r="AN1143" s="25">
        <f>IF(OR(Apresentação!$I$3='Base de Dados e filtragem'!AN$2,Apresentação!$I$3='Base de Dados e filtragem'!J1143),1,0)</f>
        <v>1</v>
      </c>
      <c r="AO1143" s="25">
        <f>IF(OR(Apresentação!$I$4='Base de Dados e filtragem'!AO$2,Apresentação!$I$4='Base de Dados e filtragem'!K1143),1,0)</f>
        <v>1</v>
      </c>
      <c r="AP1143" s="25">
        <f>IF(OR(Apresentação!$I$5='Base de Dados e filtragem'!AP$2,Apresentação!$I$5='Base de Dados e filtragem'!L1143),1,0)</f>
        <v>1</v>
      </c>
      <c r="AQ1143" s="25">
        <f>IF(OR(Apresentação!$I$6='Base de Dados e filtragem'!AQ$2,Apresentação!$I$6='Base de Dados e filtragem'!M1143),1,0)</f>
        <v>1</v>
      </c>
      <c r="AR1143" s="25">
        <v>1</v>
      </c>
      <c r="AS1143" s="25">
        <v>1</v>
      </c>
      <c r="AT1143" s="25">
        <v>1</v>
      </c>
      <c r="AU1143" s="25">
        <v>1</v>
      </c>
      <c r="AV1143" s="25">
        <v>1</v>
      </c>
      <c r="AW1143" s="25">
        <v>1</v>
      </c>
      <c r="AX1143" s="25">
        <v>1</v>
      </c>
      <c r="AY1143" s="25">
        <v>1</v>
      </c>
      <c r="AZ1143" s="25">
        <v>1</v>
      </c>
      <c r="BA1143" s="25">
        <v>1</v>
      </c>
      <c r="BB1143" s="25">
        <v>1</v>
      </c>
      <c r="BC1143" s="25">
        <v>1</v>
      </c>
      <c r="BD1143" s="25">
        <v>1</v>
      </c>
    </row>
    <row r="1144" spans="27:56" x14ac:dyDescent="0.25">
      <c r="AA1144" s="68" t="str">
        <f t="shared" si="69"/>
        <v>Fotos\\.jpg</v>
      </c>
      <c r="AB1144" s="53">
        <f t="shared" si="70"/>
        <v>8.7412587412587413E-4</v>
      </c>
      <c r="AC1144" s="25">
        <f t="shared" si="71"/>
        <v>1144</v>
      </c>
      <c r="AD1144" s="51">
        <f t="shared" si="72"/>
        <v>1</v>
      </c>
      <c r="AE1144" s="25">
        <v>1</v>
      </c>
      <c r="AF1144" s="25">
        <v>1</v>
      </c>
      <c r="AG1144" s="25">
        <v>1</v>
      </c>
      <c r="AH1144" s="25">
        <v>1</v>
      </c>
      <c r="AI1144" s="25">
        <f>IF(OR(Apresentação!$E$3='Base de Dados e filtragem'!AI$2,Apresentação!$E$3='Base de Dados e filtragem'!E1144),1,0)</f>
        <v>1</v>
      </c>
      <c r="AJ1144" s="25">
        <f>IF(OR(Apresentação!$E$4='Base de Dados e filtragem'!AJ$2,Apresentação!$E$4='Base de Dados e filtragem'!F1144),1,0)</f>
        <v>1</v>
      </c>
      <c r="AK1144" s="25">
        <f>IF(OR(Apresentação!$E$5='Base de Dados e filtragem'!AK$2,Apresentação!$E$5='Base de Dados e filtragem'!G1144),1,0)</f>
        <v>1</v>
      </c>
      <c r="AL1144" s="25">
        <f>IF(OR(Apresentação!$E$6='Base de Dados e filtragem'!AL$2,Apresentação!$E$6='Base de Dados e filtragem'!H1144),1,0)</f>
        <v>1</v>
      </c>
      <c r="AM1144" s="25">
        <f>IF(OR(Apresentação!$I$2='Base de Dados e filtragem'!AM$2,Apresentação!$I$2='Base de Dados e filtragem'!I1144),1,0)</f>
        <v>1</v>
      </c>
      <c r="AN1144" s="25">
        <f>IF(OR(Apresentação!$I$3='Base de Dados e filtragem'!AN$2,Apresentação!$I$3='Base de Dados e filtragem'!J1144),1,0)</f>
        <v>1</v>
      </c>
      <c r="AO1144" s="25">
        <f>IF(OR(Apresentação!$I$4='Base de Dados e filtragem'!AO$2,Apresentação!$I$4='Base de Dados e filtragem'!K1144),1,0)</f>
        <v>1</v>
      </c>
      <c r="AP1144" s="25">
        <f>IF(OR(Apresentação!$I$5='Base de Dados e filtragem'!AP$2,Apresentação!$I$5='Base de Dados e filtragem'!L1144),1,0)</f>
        <v>1</v>
      </c>
      <c r="AQ1144" s="25">
        <f>IF(OR(Apresentação!$I$6='Base de Dados e filtragem'!AQ$2,Apresentação!$I$6='Base de Dados e filtragem'!M1144),1,0)</f>
        <v>1</v>
      </c>
      <c r="AR1144" s="25">
        <v>1</v>
      </c>
      <c r="AS1144" s="25">
        <v>1</v>
      </c>
      <c r="AT1144" s="25">
        <v>1</v>
      </c>
      <c r="AU1144" s="25">
        <v>1</v>
      </c>
      <c r="AV1144" s="25">
        <v>1</v>
      </c>
      <c r="AW1144" s="25">
        <v>1</v>
      </c>
      <c r="AX1144" s="25">
        <v>1</v>
      </c>
      <c r="AY1144" s="25">
        <v>1</v>
      </c>
      <c r="AZ1144" s="25">
        <v>1</v>
      </c>
      <c r="BA1144" s="25">
        <v>1</v>
      </c>
      <c r="BB1144" s="25">
        <v>1</v>
      </c>
      <c r="BC1144" s="25">
        <v>1</v>
      </c>
      <c r="BD1144" s="25">
        <v>1</v>
      </c>
    </row>
    <row r="1145" spans="27:56" x14ac:dyDescent="0.25">
      <c r="AA1145" s="68" t="str">
        <f t="shared" si="69"/>
        <v>Fotos\\.jpg</v>
      </c>
      <c r="AB1145" s="53">
        <f t="shared" si="70"/>
        <v>8.7336244541484718E-4</v>
      </c>
      <c r="AC1145" s="25">
        <f t="shared" si="71"/>
        <v>1145</v>
      </c>
      <c r="AD1145" s="51">
        <f t="shared" si="72"/>
        <v>1</v>
      </c>
      <c r="AE1145" s="25">
        <v>1</v>
      </c>
      <c r="AF1145" s="25">
        <v>1</v>
      </c>
      <c r="AG1145" s="25">
        <v>1</v>
      </c>
      <c r="AH1145" s="25">
        <v>1</v>
      </c>
      <c r="AI1145" s="25">
        <f>IF(OR(Apresentação!$E$3='Base de Dados e filtragem'!AI$2,Apresentação!$E$3='Base de Dados e filtragem'!E1145),1,0)</f>
        <v>1</v>
      </c>
      <c r="AJ1145" s="25">
        <f>IF(OR(Apresentação!$E$4='Base de Dados e filtragem'!AJ$2,Apresentação!$E$4='Base de Dados e filtragem'!F1145),1,0)</f>
        <v>1</v>
      </c>
      <c r="AK1145" s="25">
        <f>IF(OR(Apresentação!$E$5='Base de Dados e filtragem'!AK$2,Apresentação!$E$5='Base de Dados e filtragem'!G1145),1,0)</f>
        <v>1</v>
      </c>
      <c r="AL1145" s="25">
        <f>IF(OR(Apresentação!$E$6='Base de Dados e filtragem'!AL$2,Apresentação!$E$6='Base de Dados e filtragem'!H1145),1,0)</f>
        <v>1</v>
      </c>
      <c r="AM1145" s="25">
        <f>IF(OR(Apresentação!$I$2='Base de Dados e filtragem'!AM$2,Apresentação!$I$2='Base de Dados e filtragem'!I1145),1,0)</f>
        <v>1</v>
      </c>
      <c r="AN1145" s="25">
        <f>IF(OR(Apresentação!$I$3='Base de Dados e filtragem'!AN$2,Apresentação!$I$3='Base de Dados e filtragem'!J1145),1,0)</f>
        <v>1</v>
      </c>
      <c r="AO1145" s="25">
        <f>IF(OR(Apresentação!$I$4='Base de Dados e filtragem'!AO$2,Apresentação!$I$4='Base de Dados e filtragem'!K1145),1,0)</f>
        <v>1</v>
      </c>
      <c r="AP1145" s="25">
        <f>IF(OR(Apresentação!$I$5='Base de Dados e filtragem'!AP$2,Apresentação!$I$5='Base de Dados e filtragem'!L1145),1,0)</f>
        <v>1</v>
      </c>
      <c r="AQ1145" s="25">
        <f>IF(OR(Apresentação!$I$6='Base de Dados e filtragem'!AQ$2,Apresentação!$I$6='Base de Dados e filtragem'!M1145),1,0)</f>
        <v>1</v>
      </c>
      <c r="AR1145" s="25">
        <v>1</v>
      </c>
      <c r="AS1145" s="25">
        <v>1</v>
      </c>
      <c r="AT1145" s="25">
        <v>1</v>
      </c>
      <c r="AU1145" s="25">
        <v>1</v>
      </c>
      <c r="AV1145" s="25">
        <v>1</v>
      </c>
      <c r="AW1145" s="25">
        <v>1</v>
      </c>
      <c r="AX1145" s="25">
        <v>1</v>
      </c>
      <c r="AY1145" s="25">
        <v>1</v>
      </c>
      <c r="AZ1145" s="25">
        <v>1</v>
      </c>
      <c r="BA1145" s="25">
        <v>1</v>
      </c>
      <c r="BB1145" s="25">
        <v>1</v>
      </c>
      <c r="BC1145" s="25">
        <v>1</v>
      </c>
      <c r="BD1145" s="25">
        <v>1</v>
      </c>
    </row>
    <row r="1146" spans="27:56" x14ac:dyDescent="0.25">
      <c r="AA1146" s="68" t="str">
        <f t="shared" si="69"/>
        <v>Fotos\\.jpg</v>
      </c>
      <c r="AB1146" s="53">
        <f t="shared" si="70"/>
        <v>8.7260034904013963E-4</v>
      </c>
      <c r="AC1146" s="25">
        <f t="shared" si="71"/>
        <v>1146</v>
      </c>
      <c r="AD1146" s="51">
        <f t="shared" si="72"/>
        <v>1</v>
      </c>
      <c r="AE1146" s="25">
        <v>1</v>
      </c>
      <c r="AF1146" s="25">
        <v>1</v>
      </c>
      <c r="AG1146" s="25">
        <v>1</v>
      </c>
      <c r="AH1146" s="25">
        <v>1</v>
      </c>
      <c r="AI1146" s="25">
        <f>IF(OR(Apresentação!$E$3='Base de Dados e filtragem'!AI$2,Apresentação!$E$3='Base de Dados e filtragem'!E1146),1,0)</f>
        <v>1</v>
      </c>
      <c r="AJ1146" s="25">
        <f>IF(OR(Apresentação!$E$4='Base de Dados e filtragem'!AJ$2,Apresentação!$E$4='Base de Dados e filtragem'!F1146),1,0)</f>
        <v>1</v>
      </c>
      <c r="AK1146" s="25">
        <f>IF(OR(Apresentação!$E$5='Base de Dados e filtragem'!AK$2,Apresentação!$E$5='Base de Dados e filtragem'!G1146),1,0)</f>
        <v>1</v>
      </c>
      <c r="AL1146" s="25">
        <f>IF(OR(Apresentação!$E$6='Base de Dados e filtragem'!AL$2,Apresentação!$E$6='Base de Dados e filtragem'!H1146),1,0)</f>
        <v>1</v>
      </c>
      <c r="AM1146" s="25">
        <f>IF(OR(Apresentação!$I$2='Base de Dados e filtragem'!AM$2,Apresentação!$I$2='Base de Dados e filtragem'!I1146),1,0)</f>
        <v>1</v>
      </c>
      <c r="AN1146" s="25">
        <f>IF(OR(Apresentação!$I$3='Base de Dados e filtragem'!AN$2,Apresentação!$I$3='Base de Dados e filtragem'!J1146),1,0)</f>
        <v>1</v>
      </c>
      <c r="AO1146" s="25">
        <f>IF(OR(Apresentação!$I$4='Base de Dados e filtragem'!AO$2,Apresentação!$I$4='Base de Dados e filtragem'!K1146),1,0)</f>
        <v>1</v>
      </c>
      <c r="AP1146" s="25">
        <f>IF(OR(Apresentação!$I$5='Base de Dados e filtragem'!AP$2,Apresentação!$I$5='Base de Dados e filtragem'!L1146),1,0)</f>
        <v>1</v>
      </c>
      <c r="AQ1146" s="25">
        <f>IF(OR(Apresentação!$I$6='Base de Dados e filtragem'!AQ$2,Apresentação!$I$6='Base de Dados e filtragem'!M1146),1,0)</f>
        <v>1</v>
      </c>
      <c r="AR1146" s="25">
        <v>1</v>
      </c>
      <c r="AS1146" s="25">
        <v>1</v>
      </c>
      <c r="AT1146" s="25">
        <v>1</v>
      </c>
      <c r="AU1146" s="25">
        <v>1</v>
      </c>
      <c r="AV1146" s="25">
        <v>1</v>
      </c>
      <c r="AW1146" s="25">
        <v>1</v>
      </c>
      <c r="AX1146" s="25">
        <v>1</v>
      </c>
      <c r="AY1146" s="25">
        <v>1</v>
      </c>
      <c r="AZ1146" s="25">
        <v>1</v>
      </c>
      <c r="BA1146" s="25">
        <v>1</v>
      </c>
      <c r="BB1146" s="25">
        <v>1</v>
      </c>
      <c r="BC1146" s="25">
        <v>1</v>
      </c>
      <c r="BD1146" s="25">
        <v>1</v>
      </c>
    </row>
    <row r="1147" spans="27:56" x14ac:dyDescent="0.25">
      <c r="AA1147" s="68" t="str">
        <f t="shared" si="69"/>
        <v>Fotos\\.jpg</v>
      </c>
      <c r="AB1147" s="53">
        <f t="shared" si="70"/>
        <v>8.7183958151700091E-4</v>
      </c>
      <c r="AC1147" s="25">
        <f t="shared" si="71"/>
        <v>1147</v>
      </c>
      <c r="AD1147" s="51">
        <f t="shared" si="72"/>
        <v>1</v>
      </c>
      <c r="AE1147" s="25">
        <v>1</v>
      </c>
      <c r="AF1147" s="25">
        <v>1</v>
      </c>
      <c r="AG1147" s="25">
        <v>1</v>
      </c>
      <c r="AH1147" s="25">
        <v>1</v>
      </c>
      <c r="AI1147" s="25">
        <f>IF(OR(Apresentação!$E$3='Base de Dados e filtragem'!AI$2,Apresentação!$E$3='Base de Dados e filtragem'!E1147),1,0)</f>
        <v>1</v>
      </c>
      <c r="AJ1147" s="25">
        <f>IF(OR(Apresentação!$E$4='Base de Dados e filtragem'!AJ$2,Apresentação!$E$4='Base de Dados e filtragem'!F1147),1,0)</f>
        <v>1</v>
      </c>
      <c r="AK1147" s="25">
        <f>IF(OR(Apresentação!$E$5='Base de Dados e filtragem'!AK$2,Apresentação!$E$5='Base de Dados e filtragem'!G1147),1,0)</f>
        <v>1</v>
      </c>
      <c r="AL1147" s="25">
        <f>IF(OR(Apresentação!$E$6='Base de Dados e filtragem'!AL$2,Apresentação!$E$6='Base de Dados e filtragem'!H1147),1,0)</f>
        <v>1</v>
      </c>
      <c r="AM1147" s="25">
        <f>IF(OR(Apresentação!$I$2='Base de Dados e filtragem'!AM$2,Apresentação!$I$2='Base de Dados e filtragem'!I1147),1,0)</f>
        <v>1</v>
      </c>
      <c r="AN1147" s="25">
        <f>IF(OR(Apresentação!$I$3='Base de Dados e filtragem'!AN$2,Apresentação!$I$3='Base de Dados e filtragem'!J1147),1,0)</f>
        <v>1</v>
      </c>
      <c r="AO1147" s="25">
        <f>IF(OR(Apresentação!$I$4='Base de Dados e filtragem'!AO$2,Apresentação!$I$4='Base de Dados e filtragem'!K1147),1,0)</f>
        <v>1</v>
      </c>
      <c r="AP1147" s="25">
        <f>IF(OR(Apresentação!$I$5='Base de Dados e filtragem'!AP$2,Apresentação!$I$5='Base de Dados e filtragem'!L1147),1,0)</f>
        <v>1</v>
      </c>
      <c r="AQ1147" s="25">
        <f>IF(OR(Apresentação!$I$6='Base de Dados e filtragem'!AQ$2,Apresentação!$I$6='Base de Dados e filtragem'!M1147),1,0)</f>
        <v>1</v>
      </c>
      <c r="AR1147" s="25">
        <v>1</v>
      </c>
      <c r="AS1147" s="25">
        <v>1</v>
      </c>
      <c r="AT1147" s="25">
        <v>1</v>
      </c>
      <c r="AU1147" s="25">
        <v>1</v>
      </c>
      <c r="AV1147" s="25">
        <v>1</v>
      </c>
      <c r="AW1147" s="25">
        <v>1</v>
      </c>
      <c r="AX1147" s="25">
        <v>1</v>
      </c>
      <c r="AY1147" s="25">
        <v>1</v>
      </c>
      <c r="AZ1147" s="25">
        <v>1</v>
      </c>
      <c r="BA1147" s="25">
        <v>1</v>
      </c>
      <c r="BB1147" s="25">
        <v>1</v>
      </c>
      <c r="BC1147" s="25">
        <v>1</v>
      </c>
      <c r="BD1147" s="25">
        <v>1</v>
      </c>
    </row>
    <row r="1148" spans="27:56" x14ac:dyDescent="0.25">
      <c r="AA1148" s="68" t="str">
        <f t="shared" si="69"/>
        <v>Fotos\\.jpg</v>
      </c>
      <c r="AB1148" s="53">
        <f t="shared" si="70"/>
        <v>8.710801393728223E-4</v>
      </c>
      <c r="AC1148" s="25">
        <f t="shared" si="71"/>
        <v>1148</v>
      </c>
      <c r="AD1148" s="51">
        <f t="shared" si="72"/>
        <v>1</v>
      </c>
      <c r="AE1148" s="25">
        <v>1</v>
      </c>
      <c r="AF1148" s="25">
        <v>1</v>
      </c>
      <c r="AG1148" s="25">
        <v>1</v>
      </c>
      <c r="AH1148" s="25">
        <v>1</v>
      </c>
      <c r="AI1148" s="25">
        <f>IF(OR(Apresentação!$E$3='Base de Dados e filtragem'!AI$2,Apresentação!$E$3='Base de Dados e filtragem'!E1148),1,0)</f>
        <v>1</v>
      </c>
      <c r="AJ1148" s="25">
        <f>IF(OR(Apresentação!$E$4='Base de Dados e filtragem'!AJ$2,Apresentação!$E$4='Base de Dados e filtragem'!F1148),1,0)</f>
        <v>1</v>
      </c>
      <c r="AK1148" s="25">
        <f>IF(OR(Apresentação!$E$5='Base de Dados e filtragem'!AK$2,Apresentação!$E$5='Base de Dados e filtragem'!G1148),1,0)</f>
        <v>1</v>
      </c>
      <c r="AL1148" s="25">
        <f>IF(OR(Apresentação!$E$6='Base de Dados e filtragem'!AL$2,Apresentação!$E$6='Base de Dados e filtragem'!H1148),1,0)</f>
        <v>1</v>
      </c>
      <c r="AM1148" s="25">
        <f>IF(OR(Apresentação!$I$2='Base de Dados e filtragem'!AM$2,Apresentação!$I$2='Base de Dados e filtragem'!I1148),1,0)</f>
        <v>1</v>
      </c>
      <c r="AN1148" s="25">
        <f>IF(OR(Apresentação!$I$3='Base de Dados e filtragem'!AN$2,Apresentação!$I$3='Base de Dados e filtragem'!J1148),1,0)</f>
        <v>1</v>
      </c>
      <c r="AO1148" s="25">
        <f>IF(OR(Apresentação!$I$4='Base de Dados e filtragem'!AO$2,Apresentação!$I$4='Base de Dados e filtragem'!K1148),1,0)</f>
        <v>1</v>
      </c>
      <c r="AP1148" s="25">
        <f>IF(OR(Apresentação!$I$5='Base de Dados e filtragem'!AP$2,Apresentação!$I$5='Base de Dados e filtragem'!L1148),1,0)</f>
        <v>1</v>
      </c>
      <c r="AQ1148" s="25">
        <f>IF(OR(Apresentação!$I$6='Base de Dados e filtragem'!AQ$2,Apresentação!$I$6='Base de Dados e filtragem'!M1148),1,0)</f>
        <v>1</v>
      </c>
      <c r="AR1148" s="25">
        <v>1</v>
      </c>
      <c r="AS1148" s="25">
        <v>1</v>
      </c>
      <c r="AT1148" s="25">
        <v>1</v>
      </c>
      <c r="AU1148" s="25">
        <v>1</v>
      </c>
      <c r="AV1148" s="25">
        <v>1</v>
      </c>
      <c r="AW1148" s="25">
        <v>1</v>
      </c>
      <c r="AX1148" s="25">
        <v>1</v>
      </c>
      <c r="AY1148" s="25">
        <v>1</v>
      </c>
      <c r="AZ1148" s="25">
        <v>1</v>
      </c>
      <c r="BA1148" s="25">
        <v>1</v>
      </c>
      <c r="BB1148" s="25">
        <v>1</v>
      </c>
      <c r="BC1148" s="25">
        <v>1</v>
      </c>
      <c r="BD1148" s="25">
        <v>1</v>
      </c>
    </row>
    <row r="1149" spans="27:56" x14ac:dyDescent="0.25">
      <c r="AA1149" s="68" t="str">
        <f t="shared" si="69"/>
        <v>Fotos\\.jpg</v>
      </c>
      <c r="AB1149" s="53">
        <f t="shared" si="70"/>
        <v>8.703220191470844E-4</v>
      </c>
      <c r="AC1149" s="25">
        <f t="shared" si="71"/>
        <v>1149</v>
      </c>
      <c r="AD1149" s="51">
        <f t="shared" si="72"/>
        <v>1</v>
      </c>
      <c r="AE1149" s="25">
        <v>1</v>
      </c>
      <c r="AF1149" s="25">
        <v>1</v>
      </c>
      <c r="AG1149" s="25">
        <v>1</v>
      </c>
      <c r="AH1149" s="25">
        <v>1</v>
      </c>
      <c r="AI1149" s="25">
        <f>IF(OR(Apresentação!$E$3='Base de Dados e filtragem'!AI$2,Apresentação!$E$3='Base de Dados e filtragem'!E1149),1,0)</f>
        <v>1</v>
      </c>
      <c r="AJ1149" s="25">
        <f>IF(OR(Apresentação!$E$4='Base de Dados e filtragem'!AJ$2,Apresentação!$E$4='Base de Dados e filtragem'!F1149),1,0)</f>
        <v>1</v>
      </c>
      <c r="AK1149" s="25">
        <f>IF(OR(Apresentação!$E$5='Base de Dados e filtragem'!AK$2,Apresentação!$E$5='Base de Dados e filtragem'!G1149),1,0)</f>
        <v>1</v>
      </c>
      <c r="AL1149" s="25">
        <f>IF(OR(Apresentação!$E$6='Base de Dados e filtragem'!AL$2,Apresentação!$E$6='Base de Dados e filtragem'!H1149),1,0)</f>
        <v>1</v>
      </c>
      <c r="AM1149" s="25">
        <f>IF(OR(Apresentação!$I$2='Base de Dados e filtragem'!AM$2,Apresentação!$I$2='Base de Dados e filtragem'!I1149),1,0)</f>
        <v>1</v>
      </c>
      <c r="AN1149" s="25">
        <f>IF(OR(Apresentação!$I$3='Base de Dados e filtragem'!AN$2,Apresentação!$I$3='Base de Dados e filtragem'!J1149),1,0)</f>
        <v>1</v>
      </c>
      <c r="AO1149" s="25">
        <f>IF(OR(Apresentação!$I$4='Base de Dados e filtragem'!AO$2,Apresentação!$I$4='Base de Dados e filtragem'!K1149),1,0)</f>
        <v>1</v>
      </c>
      <c r="AP1149" s="25">
        <f>IF(OR(Apresentação!$I$5='Base de Dados e filtragem'!AP$2,Apresentação!$I$5='Base de Dados e filtragem'!L1149),1,0)</f>
        <v>1</v>
      </c>
      <c r="AQ1149" s="25">
        <f>IF(OR(Apresentação!$I$6='Base de Dados e filtragem'!AQ$2,Apresentação!$I$6='Base de Dados e filtragem'!M1149),1,0)</f>
        <v>1</v>
      </c>
      <c r="AR1149" s="25">
        <v>1</v>
      </c>
      <c r="AS1149" s="25">
        <v>1</v>
      </c>
      <c r="AT1149" s="25">
        <v>1</v>
      </c>
      <c r="AU1149" s="25">
        <v>1</v>
      </c>
      <c r="AV1149" s="25">
        <v>1</v>
      </c>
      <c r="AW1149" s="25">
        <v>1</v>
      </c>
      <c r="AX1149" s="25">
        <v>1</v>
      </c>
      <c r="AY1149" s="25">
        <v>1</v>
      </c>
      <c r="AZ1149" s="25">
        <v>1</v>
      </c>
      <c r="BA1149" s="25">
        <v>1</v>
      </c>
      <c r="BB1149" s="25">
        <v>1</v>
      </c>
      <c r="BC1149" s="25">
        <v>1</v>
      </c>
      <c r="BD1149" s="25">
        <v>1</v>
      </c>
    </row>
    <row r="1150" spans="27:56" x14ac:dyDescent="0.25">
      <c r="AA1150" s="68" t="str">
        <f t="shared" si="69"/>
        <v>Fotos\\.jpg</v>
      </c>
      <c r="AB1150" s="53">
        <f t="shared" si="70"/>
        <v>8.6956521739130438E-4</v>
      </c>
      <c r="AC1150" s="25">
        <f t="shared" si="71"/>
        <v>1150</v>
      </c>
      <c r="AD1150" s="51">
        <f t="shared" si="72"/>
        <v>1</v>
      </c>
      <c r="AE1150" s="25">
        <v>1</v>
      </c>
      <c r="AF1150" s="25">
        <v>1</v>
      </c>
      <c r="AG1150" s="25">
        <v>1</v>
      </c>
      <c r="AH1150" s="25">
        <v>1</v>
      </c>
      <c r="AI1150" s="25">
        <f>IF(OR(Apresentação!$E$3='Base de Dados e filtragem'!AI$2,Apresentação!$E$3='Base de Dados e filtragem'!E1150),1,0)</f>
        <v>1</v>
      </c>
      <c r="AJ1150" s="25">
        <f>IF(OR(Apresentação!$E$4='Base de Dados e filtragem'!AJ$2,Apresentação!$E$4='Base de Dados e filtragem'!F1150),1,0)</f>
        <v>1</v>
      </c>
      <c r="AK1150" s="25">
        <f>IF(OR(Apresentação!$E$5='Base de Dados e filtragem'!AK$2,Apresentação!$E$5='Base de Dados e filtragem'!G1150),1,0)</f>
        <v>1</v>
      </c>
      <c r="AL1150" s="25">
        <f>IF(OR(Apresentação!$E$6='Base de Dados e filtragem'!AL$2,Apresentação!$E$6='Base de Dados e filtragem'!H1150),1,0)</f>
        <v>1</v>
      </c>
      <c r="AM1150" s="25">
        <f>IF(OR(Apresentação!$I$2='Base de Dados e filtragem'!AM$2,Apresentação!$I$2='Base de Dados e filtragem'!I1150),1,0)</f>
        <v>1</v>
      </c>
      <c r="AN1150" s="25">
        <f>IF(OR(Apresentação!$I$3='Base de Dados e filtragem'!AN$2,Apresentação!$I$3='Base de Dados e filtragem'!J1150),1,0)</f>
        <v>1</v>
      </c>
      <c r="AO1150" s="25">
        <f>IF(OR(Apresentação!$I$4='Base de Dados e filtragem'!AO$2,Apresentação!$I$4='Base de Dados e filtragem'!K1150),1,0)</f>
        <v>1</v>
      </c>
      <c r="AP1150" s="25">
        <f>IF(OR(Apresentação!$I$5='Base de Dados e filtragem'!AP$2,Apresentação!$I$5='Base de Dados e filtragem'!L1150),1,0)</f>
        <v>1</v>
      </c>
      <c r="AQ1150" s="25">
        <f>IF(OR(Apresentação!$I$6='Base de Dados e filtragem'!AQ$2,Apresentação!$I$6='Base de Dados e filtragem'!M1150),1,0)</f>
        <v>1</v>
      </c>
      <c r="AR1150" s="25">
        <v>1</v>
      </c>
      <c r="AS1150" s="25">
        <v>1</v>
      </c>
      <c r="AT1150" s="25">
        <v>1</v>
      </c>
      <c r="AU1150" s="25">
        <v>1</v>
      </c>
      <c r="AV1150" s="25">
        <v>1</v>
      </c>
      <c r="AW1150" s="25">
        <v>1</v>
      </c>
      <c r="AX1150" s="25">
        <v>1</v>
      </c>
      <c r="AY1150" s="25">
        <v>1</v>
      </c>
      <c r="AZ1150" s="25">
        <v>1</v>
      </c>
      <c r="BA1150" s="25">
        <v>1</v>
      </c>
      <c r="BB1150" s="25">
        <v>1</v>
      </c>
      <c r="BC1150" s="25">
        <v>1</v>
      </c>
      <c r="BD1150" s="25">
        <v>1</v>
      </c>
    </row>
    <row r="1151" spans="27:56" x14ac:dyDescent="0.25">
      <c r="AA1151" s="68" t="str">
        <f t="shared" si="69"/>
        <v>Fotos\\.jpg</v>
      </c>
      <c r="AB1151" s="53">
        <f t="shared" si="70"/>
        <v>8.6880973066898344E-4</v>
      </c>
      <c r="AC1151" s="25">
        <f t="shared" si="71"/>
        <v>1151</v>
      </c>
      <c r="AD1151" s="51">
        <f t="shared" si="72"/>
        <v>1</v>
      </c>
      <c r="AE1151" s="25">
        <v>1</v>
      </c>
      <c r="AF1151" s="25">
        <v>1</v>
      </c>
      <c r="AG1151" s="25">
        <v>1</v>
      </c>
      <c r="AH1151" s="25">
        <v>1</v>
      </c>
      <c r="AI1151" s="25">
        <f>IF(OR(Apresentação!$E$3='Base de Dados e filtragem'!AI$2,Apresentação!$E$3='Base de Dados e filtragem'!E1151),1,0)</f>
        <v>1</v>
      </c>
      <c r="AJ1151" s="25">
        <f>IF(OR(Apresentação!$E$4='Base de Dados e filtragem'!AJ$2,Apresentação!$E$4='Base de Dados e filtragem'!F1151),1,0)</f>
        <v>1</v>
      </c>
      <c r="AK1151" s="25">
        <f>IF(OR(Apresentação!$E$5='Base de Dados e filtragem'!AK$2,Apresentação!$E$5='Base de Dados e filtragem'!G1151),1,0)</f>
        <v>1</v>
      </c>
      <c r="AL1151" s="25">
        <f>IF(OR(Apresentação!$E$6='Base de Dados e filtragem'!AL$2,Apresentação!$E$6='Base de Dados e filtragem'!H1151),1,0)</f>
        <v>1</v>
      </c>
      <c r="AM1151" s="25">
        <f>IF(OR(Apresentação!$I$2='Base de Dados e filtragem'!AM$2,Apresentação!$I$2='Base de Dados e filtragem'!I1151),1,0)</f>
        <v>1</v>
      </c>
      <c r="AN1151" s="25">
        <f>IF(OR(Apresentação!$I$3='Base de Dados e filtragem'!AN$2,Apresentação!$I$3='Base de Dados e filtragem'!J1151),1,0)</f>
        <v>1</v>
      </c>
      <c r="AO1151" s="25">
        <f>IF(OR(Apresentação!$I$4='Base de Dados e filtragem'!AO$2,Apresentação!$I$4='Base de Dados e filtragem'!K1151),1,0)</f>
        <v>1</v>
      </c>
      <c r="AP1151" s="25">
        <f>IF(OR(Apresentação!$I$5='Base de Dados e filtragem'!AP$2,Apresentação!$I$5='Base de Dados e filtragem'!L1151),1,0)</f>
        <v>1</v>
      </c>
      <c r="AQ1151" s="25">
        <f>IF(OR(Apresentação!$I$6='Base de Dados e filtragem'!AQ$2,Apresentação!$I$6='Base de Dados e filtragem'!M1151),1,0)</f>
        <v>1</v>
      </c>
      <c r="AR1151" s="25">
        <v>1</v>
      </c>
      <c r="AS1151" s="25">
        <v>1</v>
      </c>
      <c r="AT1151" s="25">
        <v>1</v>
      </c>
      <c r="AU1151" s="25">
        <v>1</v>
      </c>
      <c r="AV1151" s="25">
        <v>1</v>
      </c>
      <c r="AW1151" s="25">
        <v>1</v>
      </c>
      <c r="AX1151" s="25">
        <v>1</v>
      </c>
      <c r="AY1151" s="25">
        <v>1</v>
      </c>
      <c r="AZ1151" s="25">
        <v>1</v>
      </c>
      <c r="BA1151" s="25">
        <v>1</v>
      </c>
      <c r="BB1151" s="25">
        <v>1</v>
      </c>
      <c r="BC1151" s="25">
        <v>1</v>
      </c>
      <c r="BD1151" s="25">
        <v>1</v>
      </c>
    </row>
    <row r="1152" spans="27:56" x14ac:dyDescent="0.25">
      <c r="AA1152" s="68" t="str">
        <f t="shared" si="69"/>
        <v>Fotos\\.jpg</v>
      </c>
      <c r="AB1152" s="53">
        <f t="shared" si="70"/>
        <v>8.6805555555555551E-4</v>
      </c>
      <c r="AC1152" s="25">
        <f t="shared" si="71"/>
        <v>1152</v>
      </c>
      <c r="AD1152" s="51">
        <f t="shared" si="72"/>
        <v>1</v>
      </c>
      <c r="AE1152" s="25">
        <v>1</v>
      </c>
      <c r="AF1152" s="25">
        <v>1</v>
      </c>
      <c r="AG1152" s="25">
        <v>1</v>
      </c>
      <c r="AH1152" s="25">
        <v>1</v>
      </c>
      <c r="AI1152" s="25">
        <f>IF(OR(Apresentação!$E$3='Base de Dados e filtragem'!AI$2,Apresentação!$E$3='Base de Dados e filtragem'!E1152),1,0)</f>
        <v>1</v>
      </c>
      <c r="AJ1152" s="25">
        <f>IF(OR(Apresentação!$E$4='Base de Dados e filtragem'!AJ$2,Apresentação!$E$4='Base de Dados e filtragem'!F1152),1,0)</f>
        <v>1</v>
      </c>
      <c r="AK1152" s="25">
        <f>IF(OR(Apresentação!$E$5='Base de Dados e filtragem'!AK$2,Apresentação!$E$5='Base de Dados e filtragem'!G1152),1,0)</f>
        <v>1</v>
      </c>
      <c r="AL1152" s="25">
        <f>IF(OR(Apresentação!$E$6='Base de Dados e filtragem'!AL$2,Apresentação!$E$6='Base de Dados e filtragem'!H1152),1,0)</f>
        <v>1</v>
      </c>
      <c r="AM1152" s="25">
        <f>IF(OR(Apresentação!$I$2='Base de Dados e filtragem'!AM$2,Apresentação!$I$2='Base de Dados e filtragem'!I1152),1,0)</f>
        <v>1</v>
      </c>
      <c r="AN1152" s="25">
        <f>IF(OR(Apresentação!$I$3='Base de Dados e filtragem'!AN$2,Apresentação!$I$3='Base de Dados e filtragem'!J1152),1,0)</f>
        <v>1</v>
      </c>
      <c r="AO1152" s="25">
        <f>IF(OR(Apresentação!$I$4='Base de Dados e filtragem'!AO$2,Apresentação!$I$4='Base de Dados e filtragem'!K1152),1,0)</f>
        <v>1</v>
      </c>
      <c r="AP1152" s="25">
        <f>IF(OR(Apresentação!$I$5='Base de Dados e filtragem'!AP$2,Apresentação!$I$5='Base de Dados e filtragem'!L1152),1,0)</f>
        <v>1</v>
      </c>
      <c r="AQ1152" s="25">
        <f>IF(OR(Apresentação!$I$6='Base de Dados e filtragem'!AQ$2,Apresentação!$I$6='Base de Dados e filtragem'!M1152),1,0)</f>
        <v>1</v>
      </c>
      <c r="AR1152" s="25">
        <v>1</v>
      </c>
      <c r="AS1152" s="25">
        <v>1</v>
      </c>
      <c r="AT1152" s="25">
        <v>1</v>
      </c>
      <c r="AU1152" s="25">
        <v>1</v>
      </c>
      <c r="AV1152" s="25">
        <v>1</v>
      </c>
      <c r="AW1152" s="25">
        <v>1</v>
      </c>
      <c r="AX1152" s="25">
        <v>1</v>
      </c>
      <c r="AY1152" s="25">
        <v>1</v>
      </c>
      <c r="AZ1152" s="25">
        <v>1</v>
      </c>
      <c r="BA1152" s="25">
        <v>1</v>
      </c>
      <c r="BB1152" s="25">
        <v>1</v>
      </c>
      <c r="BC1152" s="25">
        <v>1</v>
      </c>
      <c r="BD1152" s="25">
        <v>1</v>
      </c>
    </row>
    <row r="1153" spans="27:56" x14ac:dyDescent="0.25">
      <c r="AA1153" s="68" t="str">
        <f t="shared" si="69"/>
        <v>Fotos\\.jpg</v>
      </c>
      <c r="AB1153" s="53">
        <f t="shared" si="70"/>
        <v>8.6730268863833475E-4</v>
      </c>
      <c r="AC1153" s="25">
        <f t="shared" si="71"/>
        <v>1153</v>
      </c>
      <c r="AD1153" s="51">
        <f t="shared" si="72"/>
        <v>1</v>
      </c>
      <c r="AE1153" s="25">
        <v>1</v>
      </c>
      <c r="AF1153" s="25">
        <v>1</v>
      </c>
      <c r="AG1153" s="25">
        <v>1</v>
      </c>
      <c r="AH1153" s="25">
        <v>1</v>
      </c>
      <c r="AI1153" s="25">
        <f>IF(OR(Apresentação!$E$3='Base de Dados e filtragem'!AI$2,Apresentação!$E$3='Base de Dados e filtragem'!E1153),1,0)</f>
        <v>1</v>
      </c>
      <c r="AJ1153" s="25">
        <f>IF(OR(Apresentação!$E$4='Base de Dados e filtragem'!AJ$2,Apresentação!$E$4='Base de Dados e filtragem'!F1153),1,0)</f>
        <v>1</v>
      </c>
      <c r="AK1153" s="25">
        <f>IF(OR(Apresentação!$E$5='Base de Dados e filtragem'!AK$2,Apresentação!$E$5='Base de Dados e filtragem'!G1153),1,0)</f>
        <v>1</v>
      </c>
      <c r="AL1153" s="25">
        <f>IF(OR(Apresentação!$E$6='Base de Dados e filtragem'!AL$2,Apresentação!$E$6='Base de Dados e filtragem'!H1153),1,0)</f>
        <v>1</v>
      </c>
      <c r="AM1153" s="25">
        <f>IF(OR(Apresentação!$I$2='Base de Dados e filtragem'!AM$2,Apresentação!$I$2='Base de Dados e filtragem'!I1153),1,0)</f>
        <v>1</v>
      </c>
      <c r="AN1153" s="25">
        <f>IF(OR(Apresentação!$I$3='Base de Dados e filtragem'!AN$2,Apresentação!$I$3='Base de Dados e filtragem'!J1153),1,0)</f>
        <v>1</v>
      </c>
      <c r="AO1153" s="25">
        <f>IF(OR(Apresentação!$I$4='Base de Dados e filtragem'!AO$2,Apresentação!$I$4='Base de Dados e filtragem'!K1153),1,0)</f>
        <v>1</v>
      </c>
      <c r="AP1153" s="25">
        <f>IF(OR(Apresentação!$I$5='Base de Dados e filtragem'!AP$2,Apresentação!$I$5='Base de Dados e filtragem'!L1153),1,0)</f>
        <v>1</v>
      </c>
      <c r="AQ1153" s="25">
        <f>IF(OR(Apresentação!$I$6='Base de Dados e filtragem'!AQ$2,Apresentação!$I$6='Base de Dados e filtragem'!M1153),1,0)</f>
        <v>1</v>
      </c>
      <c r="AR1153" s="25">
        <v>1</v>
      </c>
      <c r="AS1153" s="25">
        <v>1</v>
      </c>
      <c r="AT1153" s="25">
        <v>1</v>
      </c>
      <c r="AU1153" s="25">
        <v>1</v>
      </c>
      <c r="AV1153" s="25">
        <v>1</v>
      </c>
      <c r="AW1153" s="25">
        <v>1</v>
      </c>
      <c r="AX1153" s="25">
        <v>1</v>
      </c>
      <c r="AY1153" s="25">
        <v>1</v>
      </c>
      <c r="AZ1153" s="25">
        <v>1</v>
      </c>
      <c r="BA1153" s="25">
        <v>1</v>
      </c>
      <c r="BB1153" s="25">
        <v>1</v>
      </c>
      <c r="BC1153" s="25">
        <v>1</v>
      </c>
      <c r="BD1153" s="25">
        <v>1</v>
      </c>
    </row>
    <row r="1154" spans="27:56" x14ac:dyDescent="0.25">
      <c r="AA1154" s="68" t="str">
        <f t="shared" si="69"/>
        <v>Fotos\\.jpg</v>
      </c>
      <c r="AB1154" s="53">
        <f t="shared" si="70"/>
        <v>8.6655112651646442E-4</v>
      </c>
      <c r="AC1154" s="25">
        <f t="shared" si="71"/>
        <v>1154</v>
      </c>
      <c r="AD1154" s="51">
        <f t="shared" si="72"/>
        <v>1</v>
      </c>
      <c r="AE1154" s="25">
        <v>1</v>
      </c>
      <c r="AF1154" s="25">
        <v>1</v>
      </c>
      <c r="AG1154" s="25">
        <v>1</v>
      </c>
      <c r="AH1154" s="25">
        <v>1</v>
      </c>
      <c r="AI1154" s="25">
        <f>IF(OR(Apresentação!$E$3='Base de Dados e filtragem'!AI$2,Apresentação!$E$3='Base de Dados e filtragem'!E1154),1,0)</f>
        <v>1</v>
      </c>
      <c r="AJ1154" s="25">
        <f>IF(OR(Apresentação!$E$4='Base de Dados e filtragem'!AJ$2,Apresentação!$E$4='Base de Dados e filtragem'!F1154),1,0)</f>
        <v>1</v>
      </c>
      <c r="AK1154" s="25">
        <f>IF(OR(Apresentação!$E$5='Base de Dados e filtragem'!AK$2,Apresentação!$E$5='Base de Dados e filtragem'!G1154),1,0)</f>
        <v>1</v>
      </c>
      <c r="AL1154" s="25">
        <f>IF(OR(Apresentação!$E$6='Base de Dados e filtragem'!AL$2,Apresentação!$E$6='Base de Dados e filtragem'!H1154),1,0)</f>
        <v>1</v>
      </c>
      <c r="AM1154" s="25">
        <f>IF(OR(Apresentação!$I$2='Base de Dados e filtragem'!AM$2,Apresentação!$I$2='Base de Dados e filtragem'!I1154),1,0)</f>
        <v>1</v>
      </c>
      <c r="AN1154" s="25">
        <f>IF(OR(Apresentação!$I$3='Base de Dados e filtragem'!AN$2,Apresentação!$I$3='Base de Dados e filtragem'!J1154),1,0)</f>
        <v>1</v>
      </c>
      <c r="AO1154" s="25">
        <f>IF(OR(Apresentação!$I$4='Base de Dados e filtragem'!AO$2,Apresentação!$I$4='Base de Dados e filtragem'!K1154),1,0)</f>
        <v>1</v>
      </c>
      <c r="AP1154" s="25">
        <f>IF(OR(Apresentação!$I$5='Base de Dados e filtragem'!AP$2,Apresentação!$I$5='Base de Dados e filtragem'!L1154),1,0)</f>
        <v>1</v>
      </c>
      <c r="AQ1154" s="25">
        <f>IF(OR(Apresentação!$I$6='Base de Dados e filtragem'!AQ$2,Apresentação!$I$6='Base de Dados e filtragem'!M1154),1,0)</f>
        <v>1</v>
      </c>
      <c r="AR1154" s="25">
        <v>1</v>
      </c>
      <c r="AS1154" s="25">
        <v>1</v>
      </c>
      <c r="AT1154" s="25">
        <v>1</v>
      </c>
      <c r="AU1154" s="25">
        <v>1</v>
      </c>
      <c r="AV1154" s="25">
        <v>1</v>
      </c>
      <c r="AW1154" s="25">
        <v>1</v>
      </c>
      <c r="AX1154" s="25">
        <v>1</v>
      </c>
      <c r="AY1154" s="25">
        <v>1</v>
      </c>
      <c r="AZ1154" s="25">
        <v>1</v>
      </c>
      <c r="BA1154" s="25">
        <v>1</v>
      </c>
      <c r="BB1154" s="25">
        <v>1</v>
      </c>
      <c r="BC1154" s="25">
        <v>1</v>
      </c>
      <c r="BD1154" s="25">
        <v>1</v>
      </c>
    </row>
    <row r="1155" spans="27:56" x14ac:dyDescent="0.25">
      <c r="AA1155" s="68" t="str">
        <f t="shared" si="69"/>
        <v>Fotos\\.jpg</v>
      </c>
      <c r="AB1155" s="53">
        <f t="shared" si="70"/>
        <v>8.658008658008658E-4</v>
      </c>
      <c r="AC1155" s="25">
        <f t="shared" si="71"/>
        <v>1155</v>
      </c>
      <c r="AD1155" s="51">
        <f t="shared" si="72"/>
        <v>1</v>
      </c>
      <c r="AE1155" s="25">
        <v>1</v>
      </c>
      <c r="AF1155" s="25">
        <v>1</v>
      </c>
      <c r="AG1155" s="25">
        <v>1</v>
      </c>
      <c r="AH1155" s="25">
        <v>1</v>
      </c>
      <c r="AI1155" s="25">
        <f>IF(OR(Apresentação!$E$3='Base de Dados e filtragem'!AI$2,Apresentação!$E$3='Base de Dados e filtragem'!E1155),1,0)</f>
        <v>1</v>
      </c>
      <c r="AJ1155" s="25">
        <f>IF(OR(Apresentação!$E$4='Base de Dados e filtragem'!AJ$2,Apresentação!$E$4='Base de Dados e filtragem'!F1155),1,0)</f>
        <v>1</v>
      </c>
      <c r="AK1155" s="25">
        <f>IF(OR(Apresentação!$E$5='Base de Dados e filtragem'!AK$2,Apresentação!$E$5='Base de Dados e filtragem'!G1155),1,0)</f>
        <v>1</v>
      </c>
      <c r="AL1155" s="25">
        <f>IF(OR(Apresentação!$E$6='Base de Dados e filtragem'!AL$2,Apresentação!$E$6='Base de Dados e filtragem'!H1155),1,0)</f>
        <v>1</v>
      </c>
      <c r="AM1155" s="25">
        <f>IF(OR(Apresentação!$I$2='Base de Dados e filtragem'!AM$2,Apresentação!$I$2='Base de Dados e filtragem'!I1155),1,0)</f>
        <v>1</v>
      </c>
      <c r="AN1155" s="25">
        <f>IF(OR(Apresentação!$I$3='Base de Dados e filtragem'!AN$2,Apresentação!$I$3='Base de Dados e filtragem'!J1155),1,0)</f>
        <v>1</v>
      </c>
      <c r="AO1155" s="25">
        <f>IF(OR(Apresentação!$I$4='Base de Dados e filtragem'!AO$2,Apresentação!$I$4='Base de Dados e filtragem'!K1155),1,0)</f>
        <v>1</v>
      </c>
      <c r="AP1155" s="25">
        <f>IF(OR(Apresentação!$I$5='Base de Dados e filtragem'!AP$2,Apresentação!$I$5='Base de Dados e filtragem'!L1155),1,0)</f>
        <v>1</v>
      </c>
      <c r="AQ1155" s="25">
        <f>IF(OR(Apresentação!$I$6='Base de Dados e filtragem'!AQ$2,Apresentação!$I$6='Base de Dados e filtragem'!M1155),1,0)</f>
        <v>1</v>
      </c>
      <c r="AR1155" s="25">
        <v>1</v>
      </c>
      <c r="AS1155" s="25">
        <v>1</v>
      </c>
      <c r="AT1155" s="25">
        <v>1</v>
      </c>
      <c r="AU1155" s="25">
        <v>1</v>
      </c>
      <c r="AV1155" s="25">
        <v>1</v>
      </c>
      <c r="AW1155" s="25">
        <v>1</v>
      </c>
      <c r="AX1155" s="25">
        <v>1</v>
      </c>
      <c r="AY1155" s="25">
        <v>1</v>
      </c>
      <c r="AZ1155" s="25">
        <v>1</v>
      </c>
      <c r="BA1155" s="25">
        <v>1</v>
      </c>
      <c r="BB1155" s="25">
        <v>1</v>
      </c>
      <c r="BC1155" s="25">
        <v>1</v>
      </c>
      <c r="BD1155" s="25">
        <v>1</v>
      </c>
    </row>
    <row r="1156" spans="27:56" x14ac:dyDescent="0.25">
      <c r="AA1156" s="68" t="str">
        <f t="shared" ref="AA1156:AA1219" si="73">"Fotos\"&amp;I1156&amp;"\"&amp;A1156&amp;".jpg"</f>
        <v>Fotos\\.jpg</v>
      </c>
      <c r="AB1156" s="53">
        <f t="shared" ref="AB1156:AB1219" si="74">AD1156/AC1156</f>
        <v>8.6505190311418688E-4</v>
      </c>
      <c r="AC1156" s="25">
        <f t="shared" ref="AC1156:AC1219" si="75">AC1155+1</f>
        <v>1156</v>
      </c>
      <c r="AD1156" s="51">
        <f t="shared" ref="AD1156:AD1219" si="76">PRODUCT(AE1156:BD1156)</f>
        <v>1</v>
      </c>
      <c r="AE1156" s="25">
        <v>1</v>
      </c>
      <c r="AF1156" s="25">
        <v>1</v>
      </c>
      <c r="AG1156" s="25">
        <v>1</v>
      </c>
      <c r="AH1156" s="25">
        <v>1</v>
      </c>
      <c r="AI1156" s="25">
        <f>IF(OR(Apresentação!$E$3='Base de Dados e filtragem'!AI$2,Apresentação!$E$3='Base de Dados e filtragem'!E1156),1,0)</f>
        <v>1</v>
      </c>
      <c r="AJ1156" s="25">
        <f>IF(OR(Apresentação!$E$4='Base de Dados e filtragem'!AJ$2,Apresentação!$E$4='Base de Dados e filtragem'!F1156),1,0)</f>
        <v>1</v>
      </c>
      <c r="AK1156" s="25">
        <f>IF(OR(Apresentação!$E$5='Base de Dados e filtragem'!AK$2,Apresentação!$E$5='Base de Dados e filtragem'!G1156),1,0)</f>
        <v>1</v>
      </c>
      <c r="AL1156" s="25">
        <f>IF(OR(Apresentação!$E$6='Base de Dados e filtragem'!AL$2,Apresentação!$E$6='Base de Dados e filtragem'!H1156),1,0)</f>
        <v>1</v>
      </c>
      <c r="AM1156" s="25">
        <f>IF(OR(Apresentação!$I$2='Base de Dados e filtragem'!AM$2,Apresentação!$I$2='Base de Dados e filtragem'!I1156),1,0)</f>
        <v>1</v>
      </c>
      <c r="AN1156" s="25">
        <f>IF(OR(Apresentação!$I$3='Base de Dados e filtragem'!AN$2,Apresentação!$I$3='Base de Dados e filtragem'!J1156),1,0)</f>
        <v>1</v>
      </c>
      <c r="AO1156" s="25">
        <f>IF(OR(Apresentação!$I$4='Base de Dados e filtragem'!AO$2,Apresentação!$I$4='Base de Dados e filtragem'!K1156),1,0)</f>
        <v>1</v>
      </c>
      <c r="AP1156" s="25">
        <f>IF(OR(Apresentação!$I$5='Base de Dados e filtragem'!AP$2,Apresentação!$I$5='Base de Dados e filtragem'!L1156),1,0)</f>
        <v>1</v>
      </c>
      <c r="AQ1156" s="25">
        <f>IF(OR(Apresentação!$I$6='Base de Dados e filtragem'!AQ$2,Apresentação!$I$6='Base de Dados e filtragem'!M1156),1,0)</f>
        <v>1</v>
      </c>
      <c r="AR1156" s="25">
        <v>1</v>
      </c>
      <c r="AS1156" s="25">
        <v>1</v>
      </c>
      <c r="AT1156" s="25">
        <v>1</v>
      </c>
      <c r="AU1156" s="25">
        <v>1</v>
      </c>
      <c r="AV1156" s="25">
        <v>1</v>
      </c>
      <c r="AW1156" s="25">
        <v>1</v>
      </c>
      <c r="AX1156" s="25">
        <v>1</v>
      </c>
      <c r="AY1156" s="25">
        <v>1</v>
      </c>
      <c r="AZ1156" s="25">
        <v>1</v>
      </c>
      <c r="BA1156" s="25">
        <v>1</v>
      </c>
      <c r="BB1156" s="25">
        <v>1</v>
      </c>
      <c r="BC1156" s="25">
        <v>1</v>
      </c>
      <c r="BD1156" s="25">
        <v>1</v>
      </c>
    </row>
    <row r="1157" spans="27:56" x14ac:dyDescent="0.25">
      <c r="AA1157" s="68" t="str">
        <f t="shared" si="73"/>
        <v>Fotos\\.jpg</v>
      </c>
      <c r="AB1157" s="53">
        <f t="shared" si="74"/>
        <v>8.6430423509075197E-4</v>
      </c>
      <c r="AC1157" s="25">
        <f t="shared" si="75"/>
        <v>1157</v>
      </c>
      <c r="AD1157" s="51">
        <f t="shared" si="76"/>
        <v>1</v>
      </c>
      <c r="AE1157" s="25">
        <v>1</v>
      </c>
      <c r="AF1157" s="25">
        <v>1</v>
      </c>
      <c r="AG1157" s="25">
        <v>1</v>
      </c>
      <c r="AH1157" s="25">
        <v>1</v>
      </c>
      <c r="AI1157" s="25">
        <f>IF(OR(Apresentação!$E$3='Base de Dados e filtragem'!AI$2,Apresentação!$E$3='Base de Dados e filtragem'!E1157),1,0)</f>
        <v>1</v>
      </c>
      <c r="AJ1157" s="25">
        <f>IF(OR(Apresentação!$E$4='Base de Dados e filtragem'!AJ$2,Apresentação!$E$4='Base de Dados e filtragem'!F1157),1,0)</f>
        <v>1</v>
      </c>
      <c r="AK1157" s="25">
        <f>IF(OR(Apresentação!$E$5='Base de Dados e filtragem'!AK$2,Apresentação!$E$5='Base de Dados e filtragem'!G1157),1,0)</f>
        <v>1</v>
      </c>
      <c r="AL1157" s="25">
        <f>IF(OR(Apresentação!$E$6='Base de Dados e filtragem'!AL$2,Apresentação!$E$6='Base de Dados e filtragem'!H1157),1,0)</f>
        <v>1</v>
      </c>
      <c r="AM1157" s="25">
        <f>IF(OR(Apresentação!$I$2='Base de Dados e filtragem'!AM$2,Apresentação!$I$2='Base de Dados e filtragem'!I1157),1,0)</f>
        <v>1</v>
      </c>
      <c r="AN1157" s="25">
        <f>IF(OR(Apresentação!$I$3='Base de Dados e filtragem'!AN$2,Apresentação!$I$3='Base de Dados e filtragem'!J1157),1,0)</f>
        <v>1</v>
      </c>
      <c r="AO1157" s="25">
        <f>IF(OR(Apresentação!$I$4='Base de Dados e filtragem'!AO$2,Apresentação!$I$4='Base de Dados e filtragem'!K1157),1,0)</f>
        <v>1</v>
      </c>
      <c r="AP1157" s="25">
        <f>IF(OR(Apresentação!$I$5='Base de Dados e filtragem'!AP$2,Apresentação!$I$5='Base de Dados e filtragem'!L1157),1,0)</f>
        <v>1</v>
      </c>
      <c r="AQ1157" s="25">
        <f>IF(OR(Apresentação!$I$6='Base de Dados e filtragem'!AQ$2,Apresentação!$I$6='Base de Dados e filtragem'!M1157),1,0)</f>
        <v>1</v>
      </c>
      <c r="AR1157" s="25">
        <v>1</v>
      </c>
      <c r="AS1157" s="25">
        <v>1</v>
      </c>
      <c r="AT1157" s="25">
        <v>1</v>
      </c>
      <c r="AU1157" s="25">
        <v>1</v>
      </c>
      <c r="AV1157" s="25">
        <v>1</v>
      </c>
      <c r="AW1157" s="25">
        <v>1</v>
      </c>
      <c r="AX1157" s="25">
        <v>1</v>
      </c>
      <c r="AY1157" s="25">
        <v>1</v>
      </c>
      <c r="AZ1157" s="25">
        <v>1</v>
      </c>
      <c r="BA1157" s="25">
        <v>1</v>
      </c>
      <c r="BB1157" s="25">
        <v>1</v>
      </c>
      <c r="BC1157" s="25">
        <v>1</v>
      </c>
      <c r="BD1157" s="25">
        <v>1</v>
      </c>
    </row>
    <row r="1158" spans="27:56" x14ac:dyDescent="0.25">
      <c r="AA1158" s="68" t="str">
        <f t="shared" si="73"/>
        <v>Fotos\\.jpg</v>
      </c>
      <c r="AB1158" s="53">
        <f t="shared" si="74"/>
        <v>8.6355785837651119E-4</v>
      </c>
      <c r="AC1158" s="25">
        <f t="shared" si="75"/>
        <v>1158</v>
      </c>
      <c r="AD1158" s="51">
        <f t="shared" si="76"/>
        <v>1</v>
      </c>
      <c r="AE1158" s="25">
        <v>1</v>
      </c>
      <c r="AF1158" s="25">
        <v>1</v>
      </c>
      <c r="AG1158" s="25">
        <v>1</v>
      </c>
      <c r="AH1158" s="25">
        <v>1</v>
      </c>
      <c r="AI1158" s="25">
        <f>IF(OR(Apresentação!$E$3='Base de Dados e filtragem'!AI$2,Apresentação!$E$3='Base de Dados e filtragem'!E1158),1,0)</f>
        <v>1</v>
      </c>
      <c r="AJ1158" s="25">
        <f>IF(OR(Apresentação!$E$4='Base de Dados e filtragem'!AJ$2,Apresentação!$E$4='Base de Dados e filtragem'!F1158),1,0)</f>
        <v>1</v>
      </c>
      <c r="AK1158" s="25">
        <f>IF(OR(Apresentação!$E$5='Base de Dados e filtragem'!AK$2,Apresentação!$E$5='Base de Dados e filtragem'!G1158),1,0)</f>
        <v>1</v>
      </c>
      <c r="AL1158" s="25">
        <f>IF(OR(Apresentação!$E$6='Base de Dados e filtragem'!AL$2,Apresentação!$E$6='Base de Dados e filtragem'!H1158),1,0)</f>
        <v>1</v>
      </c>
      <c r="AM1158" s="25">
        <f>IF(OR(Apresentação!$I$2='Base de Dados e filtragem'!AM$2,Apresentação!$I$2='Base de Dados e filtragem'!I1158),1,0)</f>
        <v>1</v>
      </c>
      <c r="AN1158" s="25">
        <f>IF(OR(Apresentação!$I$3='Base de Dados e filtragem'!AN$2,Apresentação!$I$3='Base de Dados e filtragem'!J1158),1,0)</f>
        <v>1</v>
      </c>
      <c r="AO1158" s="25">
        <f>IF(OR(Apresentação!$I$4='Base de Dados e filtragem'!AO$2,Apresentação!$I$4='Base de Dados e filtragem'!K1158),1,0)</f>
        <v>1</v>
      </c>
      <c r="AP1158" s="25">
        <f>IF(OR(Apresentação!$I$5='Base de Dados e filtragem'!AP$2,Apresentação!$I$5='Base de Dados e filtragem'!L1158),1,0)</f>
        <v>1</v>
      </c>
      <c r="AQ1158" s="25">
        <f>IF(OR(Apresentação!$I$6='Base de Dados e filtragem'!AQ$2,Apresentação!$I$6='Base de Dados e filtragem'!M1158),1,0)</f>
        <v>1</v>
      </c>
      <c r="AR1158" s="25">
        <v>1</v>
      </c>
      <c r="AS1158" s="25">
        <v>1</v>
      </c>
      <c r="AT1158" s="25">
        <v>1</v>
      </c>
      <c r="AU1158" s="25">
        <v>1</v>
      </c>
      <c r="AV1158" s="25">
        <v>1</v>
      </c>
      <c r="AW1158" s="25">
        <v>1</v>
      </c>
      <c r="AX1158" s="25">
        <v>1</v>
      </c>
      <c r="AY1158" s="25">
        <v>1</v>
      </c>
      <c r="AZ1158" s="25">
        <v>1</v>
      </c>
      <c r="BA1158" s="25">
        <v>1</v>
      </c>
      <c r="BB1158" s="25">
        <v>1</v>
      </c>
      <c r="BC1158" s="25">
        <v>1</v>
      </c>
      <c r="BD1158" s="25">
        <v>1</v>
      </c>
    </row>
    <row r="1159" spans="27:56" x14ac:dyDescent="0.25">
      <c r="AA1159" s="68" t="str">
        <f t="shared" si="73"/>
        <v>Fotos\\.jpg</v>
      </c>
      <c r="AB1159" s="53">
        <f t="shared" si="74"/>
        <v>8.6281276962899055E-4</v>
      </c>
      <c r="AC1159" s="25">
        <f t="shared" si="75"/>
        <v>1159</v>
      </c>
      <c r="AD1159" s="51">
        <f t="shared" si="76"/>
        <v>1</v>
      </c>
      <c r="AE1159" s="25">
        <v>1</v>
      </c>
      <c r="AF1159" s="25">
        <v>1</v>
      </c>
      <c r="AG1159" s="25">
        <v>1</v>
      </c>
      <c r="AH1159" s="25">
        <v>1</v>
      </c>
      <c r="AI1159" s="25">
        <f>IF(OR(Apresentação!$E$3='Base de Dados e filtragem'!AI$2,Apresentação!$E$3='Base de Dados e filtragem'!E1159),1,0)</f>
        <v>1</v>
      </c>
      <c r="AJ1159" s="25">
        <f>IF(OR(Apresentação!$E$4='Base de Dados e filtragem'!AJ$2,Apresentação!$E$4='Base de Dados e filtragem'!F1159),1,0)</f>
        <v>1</v>
      </c>
      <c r="AK1159" s="25">
        <f>IF(OR(Apresentação!$E$5='Base de Dados e filtragem'!AK$2,Apresentação!$E$5='Base de Dados e filtragem'!G1159),1,0)</f>
        <v>1</v>
      </c>
      <c r="AL1159" s="25">
        <f>IF(OR(Apresentação!$E$6='Base de Dados e filtragem'!AL$2,Apresentação!$E$6='Base de Dados e filtragem'!H1159),1,0)</f>
        <v>1</v>
      </c>
      <c r="AM1159" s="25">
        <f>IF(OR(Apresentação!$I$2='Base de Dados e filtragem'!AM$2,Apresentação!$I$2='Base de Dados e filtragem'!I1159),1,0)</f>
        <v>1</v>
      </c>
      <c r="AN1159" s="25">
        <f>IF(OR(Apresentação!$I$3='Base de Dados e filtragem'!AN$2,Apresentação!$I$3='Base de Dados e filtragem'!J1159),1,0)</f>
        <v>1</v>
      </c>
      <c r="AO1159" s="25">
        <f>IF(OR(Apresentação!$I$4='Base de Dados e filtragem'!AO$2,Apresentação!$I$4='Base de Dados e filtragem'!K1159),1,0)</f>
        <v>1</v>
      </c>
      <c r="AP1159" s="25">
        <f>IF(OR(Apresentação!$I$5='Base de Dados e filtragem'!AP$2,Apresentação!$I$5='Base de Dados e filtragem'!L1159),1,0)</f>
        <v>1</v>
      </c>
      <c r="AQ1159" s="25">
        <f>IF(OR(Apresentação!$I$6='Base de Dados e filtragem'!AQ$2,Apresentação!$I$6='Base de Dados e filtragem'!M1159),1,0)</f>
        <v>1</v>
      </c>
      <c r="AR1159" s="25">
        <v>1</v>
      </c>
      <c r="AS1159" s="25">
        <v>1</v>
      </c>
      <c r="AT1159" s="25">
        <v>1</v>
      </c>
      <c r="AU1159" s="25">
        <v>1</v>
      </c>
      <c r="AV1159" s="25">
        <v>1</v>
      </c>
      <c r="AW1159" s="25">
        <v>1</v>
      </c>
      <c r="AX1159" s="25">
        <v>1</v>
      </c>
      <c r="AY1159" s="25">
        <v>1</v>
      </c>
      <c r="AZ1159" s="25">
        <v>1</v>
      </c>
      <c r="BA1159" s="25">
        <v>1</v>
      </c>
      <c r="BB1159" s="25">
        <v>1</v>
      </c>
      <c r="BC1159" s="25">
        <v>1</v>
      </c>
      <c r="BD1159" s="25">
        <v>1</v>
      </c>
    </row>
    <row r="1160" spans="27:56" x14ac:dyDescent="0.25">
      <c r="AA1160" s="68" t="str">
        <f t="shared" si="73"/>
        <v>Fotos\\.jpg</v>
      </c>
      <c r="AB1160" s="53">
        <f t="shared" si="74"/>
        <v>8.6206896551724137E-4</v>
      </c>
      <c r="AC1160" s="25">
        <f t="shared" si="75"/>
        <v>1160</v>
      </c>
      <c r="AD1160" s="51">
        <f t="shared" si="76"/>
        <v>1</v>
      </c>
      <c r="AE1160" s="25">
        <v>1</v>
      </c>
      <c r="AF1160" s="25">
        <v>1</v>
      </c>
      <c r="AG1160" s="25">
        <v>1</v>
      </c>
      <c r="AH1160" s="25">
        <v>1</v>
      </c>
      <c r="AI1160" s="25">
        <f>IF(OR(Apresentação!$E$3='Base de Dados e filtragem'!AI$2,Apresentação!$E$3='Base de Dados e filtragem'!E1160),1,0)</f>
        <v>1</v>
      </c>
      <c r="AJ1160" s="25">
        <f>IF(OR(Apresentação!$E$4='Base de Dados e filtragem'!AJ$2,Apresentação!$E$4='Base de Dados e filtragem'!F1160),1,0)</f>
        <v>1</v>
      </c>
      <c r="AK1160" s="25">
        <f>IF(OR(Apresentação!$E$5='Base de Dados e filtragem'!AK$2,Apresentação!$E$5='Base de Dados e filtragem'!G1160),1,0)</f>
        <v>1</v>
      </c>
      <c r="AL1160" s="25">
        <f>IF(OR(Apresentação!$E$6='Base de Dados e filtragem'!AL$2,Apresentação!$E$6='Base de Dados e filtragem'!H1160),1,0)</f>
        <v>1</v>
      </c>
      <c r="AM1160" s="25">
        <f>IF(OR(Apresentação!$I$2='Base de Dados e filtragem'!AM$2,Apresentação!$I$2='Base de Dados e filtragem'!I1160),1,0)</f>
        <v>1</v>
      </c>
      <c r="AN1160" s="25">
        <f>IF(OR(Apresentação!$I$3='Base de Dados e filtragem'!AN$2,Apresentação!$I$3='Base de Dados e filtragem'!J1160),1,0)</f>
        <v>1</v>
      </c>
      <c r="AO1160" s="25">
        <f>IF(OR(Apresentação!$I$4='Base de Dados e filtragem'!AO$2,Apresentação!$I$4='Base de Dados e filtragem'!K1160),1,0)</f>
        <v>1</v>
      </c>
      <c r="AP1160" s="25">
        <f>IF(OR(Apresentação!$I$5='Base de Dados e filtragem'!AP$2,Apresentação!$I$5='Base de Dados e filtragem'!L1160),1,0)</f>
        <v>1</v>
      </c>
      <c r="AQ1160" s="25">
        <f>IF(OR(Apresentação!$I$6='Base de Dados e filtragem'!AQ$2,Apresentação!$I$6='Base de Dados e filtragem'!M1160),1,0)</f>
        <v>1</v>
      </c>
      <c r="AR1160" s="25">
        <v>1</v>
      </c>
      <c r="AS1160" s="25">
        <v>1</v>
      </c>
      <c r="AT1160" s="25">
        <v>1</v>
      </c>
      <c r="AU1160" s="25">
        <v>1</v>
      </c>
      <c r="AV1160" s="25">
        <v>1</v>
      </c>
      <c r="AW1160" s="25">
        <v>1</v>
      </c>
      <c r="AX1160" s="25">
        <v>1</v>
      </c>
      <c r="AY1160" s="25">
        <v>1</v>
      </c>
      <c r="AZ1160" s="25">
        <v>1</v>
      </c>
      <c r="BA1160" s="25">
        <v>1</v>
      </c>
      <c r="BB1160" s="25">
        <v>1</v>
      </c>
      <c r="BC1160" s="25">
        <v>1</v>
      </c>
      <c r="BD1160" s="25">
        <v>1</v>
      </c>
    </row>
    <row r="1161" spans="27:56" x14ac:dyDescent="0.25">
      <c r="AA1161" s="68" t="str">
        <f t="shared" si="73"/>
        <v>Fotos\\.jpg</v>
      </c>
      <c r="AB1161" s="53">
        <f t="shared" si="74"/>
        <v>8.6132644272179156E-4</v>
      </c>
      <c r="AC1161" s="25">
        <f t="shared" si="75"/>
        <v>1161</v>
      </c>
      <c r="AD1161" s="51">
        <f t="shared" si="76"/>
        <v>1</v>
      </c>
      <c r="AE1161" s="25">
        <v>1</v>
      </c>
      <c r="AF1161" s="25">
        <v>1</v>
      </c>
      <c r="AG1161" s="25">
        <v>1</v>
      </c>
      <c r="AH1161" s="25">
        <v>1</v>
      </c>
      <c r="AI1161" s="25">
        <f>IF(OR(Apresentação!$E$3='Base de Dados e filtragem'!AI$2,Apresentação!$E$3='Base de Dados e filtragem'!E1161),1,0)</f>
        <v>1</v>
      </c>
      <c r="AJ1161" s="25">
        <f>IF(OR(Apresentação!$E$4='Base de Dados e filtragem'!AJ$2,Apresentação!$E$4='Base de Dados e filtragem'!F1161),1,0)</f>
        <v>1</v>
      </c>
      <c r="AK1161" s="25">
        <f>IF(OR(Apresentação!$E$5='Base de Dados e filtragem'!AK$2,Apresentação!$E$5='Base de Dados e filtragem'!G1161),1,0)</f>
        <v>1</v>
      </c>
      <c r="AL1161" s="25">
        <f>IF(OR(Apresentação!$E$6='Base de Dados e filtragem'!AL$2,Apresentação!$E$6='Base de Dados e filtragem'!H1161),1,0)</f>
        <v>1</v>
      </c>
      <c r="AM1161" s="25">
        <f>IF(OR(Apresentação!$I$2='Base de Dados e filtragem'!AM$2,Apresentação!$I$2='Base de Dados e filtragem'!I1161),1,0)</f>
        <v>1</v>
      </c>
      <c r="AN1161" s="25">
        <f>IF(OR(Apresentação!$I$3='Base de Dados e filtragem'!AN$2,Apresentação!$I$3='Base de Dados e filtragem'!J1161),1,0)</f>
        <v>1</v>
      </c>
      <c r="AO1161" s="25">
        <f>IF(OR(Apresentação!$I$4='Base de Dados e filtragem'!AO$2,Apresentação!$I$4='Base de Dados e filtragem'!K1161),1,0)</f>
        <v>1</v>
      </c>
      <c r="AP1161" s="25">
        <f>IF(OR(Apresentação!$I$5='Base de Dados e filtragem'!AP$2,Apresentação!$I$5='Base de Dados e filtragem'!L1161),1,0)</f>
        <v>1</v>
      </c>
      <c r="AQ1161" s="25">
        <f>IF(OR(Apresentação!$I$6='Base de Dados e filtragem'!AQ$2,Apresentação!$I$6='Base de Dados e filtragem'!M1161),1,0)</f>
        <v>1</v>
      </c>
      <c r="AR1161" s="25">
        <v>1</v>
      </c>
      <c r="AS1161" s="25">
        <v>1</v>
      </c>
      <c r="AT1161" s="25">
        <v>1</v>
      </c>
      <c r="AU1161" s="25">
        <v>1</v>
      </c>
      <c r="AV1161" s="25">
        <v>1</v>
      </c>
      <c r="AW1161" s="25">
        <v>1</v>
      </c>
      <c r="AX1161" s="25">
        <v>1</v>
      </c>
      <c r="AY1161" s="25">
        <v>1</v>
      </c>
      <c r="AZ1161" s="25">
        <v>1</v>
      </c>
      <c r="BA1161" s="25">
        <v>1</v>
      </c>
      <c r="BB1161" s="25">
        <v>1</v>
      </c>
      <c r="BC1161" s="25">
        <v>1</v>
      </c>
      <c r="BD1161" s="25">
        <v>1</v>
      </c>
    </row>
    <row r="1162" spans="27:56" x14ac:dyDescent="0.25">
      <c r="AA1162" s="68" t="str">
        <f t="shared" si="73"/>
        <v>Fotos\\.jpg</v>
      </c>
      <c r="AB1162" s="53">
        <f t="shared" si="74"/>
        <v>8.6058519793459555E-4</v>
      </c>
      <c r="AC1162" s="25">
        <f t="shared" si="75"/>
        <v>1162</v>
      </c>
      <c r="AD1162" s="51">
        <f t="shared" si="76"/>
        <v>1</v>
      </c>
      <c r="AE1162" s="25">
        <v>1</v>
      </c>
      <c r="AF1162" s="25">
        <v>1</v>
      </c>
      <c r="AG1162" s="25">
        <v>1</v>
      </c>
      <c r="AH1162" s="25">
        <v>1</v>
      </c>
      <c r="AI1162" s="25">
        <f>IF(OR(Apresentação!$E$3='Base de Dados e filtragem'!AI$2,Apresentação!$E$3='Base de Dados e filtragem'!E1162),1,0)</f>
        <v>1</v>
      </c>
      <c r="AJ1162" s="25">
        <f>IF(OR(Apresentação!$E$4='Base de Dados e filtragem'!AJ$2,Apresentação!$E$4='Base de Dados e filtragem'!F1162),1,0)</f>
        <v>1</v>
      </c>
      <c r="AK1162" s="25">
        <f>IF(OR(Apresentação!$E$5='Base de Dados e filtragem'!AK$2,Apresentação!$E$5='Base de Dados e filtragem'!G1162),1,0)</f>
        <v>1</v>
      </c>
      <c r="AL1162" s="25">
        <f>IF(OR(Apresentação!$E$6='Base de Dados e filtragem'!AL$2,Apresentação!$E$6='Base de Dados e filtragem'!H1162),1,0)</f>
        <v>1</v>
      </c>
      <c r="AM1162" s="25">
        <f>IF(OR(Apresentação!$I$2='Base de Dados e filtragem'!AM$2,Apresentação!$I$2='Base de Dados e filtragem'!I1162),1,0)</f>
        <v>1</v>
      </c>
      <c r="AN1162" s="25">
        <f>IF(OR(Apresentação!$I$3='Base de Dados e filtragem'!AN$2,Apresentação!$I$3='Base de Dados e filtragem'!J1162),1,0)</f>
        <v>1</v>
      </c>
      <c r="AO1162" s="25">
        <f>IF(OR(Apresentação!$I$4='Base de Dados e filtragem'!AO$2,Apresentação!$I$4='Base de Dados e filtragem'!K1162),1,0)</f>
        <v>1</v>
      </c>
      <c r="AP1162" s="25">
        <f>IF(OR(Apresentação!$I$5='Base de Dados e filtragem'!AP$2,Apresentação!$I$5='Base de Dados e filtragem'!L1162),1,0)</f>
        <v>1</v>
      </c>
      <c r="AQ1162" s="25">
        <f>IF(OR(Apresentação!$I$6='Base de Dados e filtragem'!AQ$2,Apresentação!$I$6='Base de Dados e filtragem'!M1162),1,0)</f>
        <v>1</v>
      </c>
      <c r="AR1162" s="25">
        <v>1</v>
      </c>
      <c r="AS1162" s="25">
        <v>1</v>
      </c>
      <c r="AT1162" s="25">
        <v>1</v>
      </c>
      <c r="AU1162" s="25">
        <v>1</v>
      </c>
      <c r="AV1162" s="25">
        <v>1</v>
      </c>
      <c r="AW1162" s="25">
        <v>1</v>
      </c>
      <c r="AX1162" s="25">
        <v>1</v>
      </c>
      <c r="AY1162" s="25">
        <v>1</v>
      </c>
      <c r="AZ1162" s="25">
        <v>1</v>
      </c>
      <c r="BA1162" s="25">
        <v>1</v>
      </c>
      <c r="BB1162" s="25">
        <v>1</v>
      </c>
      <c r="BC1162" s="25">
        <v>1</v>
      </c>
      <c r="BD1162" s="25">
        <v>1</v>
      </c>
    </row>
    <row r="1163" spans="27:56" x14ac:dyDescent="0.25">
      <c r="AA1163" s="68" t="str">
        <f t="shared" si="73"/>
        <v>Fotos\\.jpg</v>
      </c>
      <c r="AB1163" s="53">
        <f t="shared" si="74"/>
        <v>8.598452278589854E-4</v>
      </c>
      <c r="AC1163" s="25">
        <f t="shared" si="75"/>
        <v>1163</v>
      </c>
      <c r="AD1163" s="51">
        <f t="shared" si="76"/>
        <v>1</v>
      </c>
      <c r="AE1163" s="25">
        <v>1</v>
      </c>
      <c r="AF1163" s="25">
        <v>1</v>
      </c>
      <c r="AG1163" s="25">
        <v>1</v>
      </c>
      <c r="AH1163" s="25">
        <v>1</v>
      </c>
      <c r="AI1163" s="25">
        <f>IF(OR(Apresentação!$E$3='Base de Dados e filtragem'!AI$2,Apresentação!$E$3='Base de Dados e filtragem'!E1163),1,0)</f>
        <v>1</v>
      </c>
      <c r="AJ1163" s="25">
        <f>IF(OR(Apresentação!$E$4='Base de Dados e filtragem'!AJ$2,Apresentação!$E$4='Base de Dados e filtragem'!F1163),1,0)</f>
        <v>1</v>
      </c>
      <c r="AK1163" s="25">
        <f>IF(OR(Apresentação!$E$5='Base de Dados e filtragem'!AK$2,Apresentação!$E$5='Base de Dados e filtragem'!G1163),1,0)</f>
        <v>1</v>
      </c>
      <c r="AL1163" s="25">
        <f>IF(OR(Apresentação!$E$6='Base de Dados e filtragem'!AL$2,Apresentação!$E$6='Base de Dados e filtragem'!H1163),1,0)</f>
        <v>1</v>
      </c>
      <c r="AM1163" s="25">
        <f>IF(OR(Apresentação!$I$2='Base de Dados e filtragem'!AM$2,Apresentação!$I$2='Base de Dados e filtragem'!I1163),1,0)</f>
        <v>1</v>
      </c>
      <c r="AN1163" s="25">
        <f>IF(OR(Apresentação!$I$3='Base de Dados e filtragem'!AN$2,Apresentação!$I$3='Base de Dados e filtragem'!J1163),1,0)</f>
        <v>1</v>
      </c>
      <c r="AO1163" s="25">
        <f>IF(OR(Apresentação!$I$4='Base de Dados e filtragem'!AO$2,Apresentação!$I$4='Base de Dados e filtragem'!K1163),1,0)</f>
        <v>1</v>
      </c>
      <c r="AP1163" s="25">
        <f>IF(OR(Apresentação!$I$5='Base de Dados e filtragem'!AP$2,Apresentação!$I$5='Base de Dados e filtragem'!L1163),1,0)</f>
        <v>1</v>
      </c>
      <c r="AQ1163" s="25">
        <f>IF(OR(Apresentação!$I$6='Base de Dados e filtragem'!AQ$2,Apresentação!$I$6='Base de Dados e filtragem'!M1163),1,0)</f>
        <v>1</v>
      </c>
      <c r="AR1163" s="25">
        <v>1</v>
      </c>
      <c r="AS1163" s="25">
        <v>1</v>
      </c>
      <c r="AT1163" s="25">
        <v>1</v>
      </c>
      <c r="AU1163" s="25">
        <v>1</v>
      </c>
      <c r="AV1163" s="25">
        <v>1</v>
      </c>
      <c r="AW1163" s="25">
        <v>1</v>
      </c>
      <c r="AX1163" s="25">
        <v>1</v>
      </c>
      <c r="AY1163" s="25">
        <v>1</v>
      </c>
      <c r="AZ1163" s="25">
        <v>1</v>
      </c>
      <c r="BA1163" s="25">
        <v>1</v>
      </c>
      <c r="BB1163" s="25">
        <v>1</v>
      </c>
      <c r="BC1163" s="25">
        <v>1</v>
      </c>
      <c r="BD1163" s="25">
        <v>1</v>
      </c>
    </row>
    <row r="1164" spans="27:56" x14ac:dyDescent="0.25">
      <c r="AA1164" s="68" t="str">
        <f t="shared" si="73"/>
        <v>Fotos\\.jpg</v>
      </c>
      <c r="AB1164" s="53">
        <f t="shared" si="74"/>
        <v>8.5910652920962198E-4</v>
      </c>
      <c r="AC1164" s="25">
        <f t="shared" si="75"/>
        <v>1164</v>
      </c>
      <c r="AD1164" s="51">
        <f t="shared" si="76"/>
        <v>1</v>
      </c>
      <c r="AE1164" s="25">
        <v>1</v>
      </c>
      <c r="AF1164" s="25">
        <v>1</v>
      </c>
      <c r="AG1164" s="25">
        <v>1</v>
      </c>
      <c r="AH1164" s="25">
        <v>1</v>
      </c>
      <c r="AI1164" s="25">
        <f>IF(OR(Apresentação!$E$3='Base de Dados e filtragem'!AI$2,Apresentação!$E$3='Base de Dados e filtragem'!E1164),1,0)</f>
        <v>1</v>
      </c>
      <c r="AJ1164" s="25">
        <f>IF(OR(Apresentação!$E$4='Base de Dados e filtragem'!AJ$2,Apresentação!$E$4='Base de Dados e filtragem'!F1164),1,0)</f>
        <v>1</v>
      </c>
      <c r="AK1164" s="25">
        <f>IF(OR(Apresentação!$E$5='Base de Dados e filtragem'!AK$2,Apresentação!$E$5='Base de Dados e filtragem'!G1164),1,0)</f>
        <v>1</v>
      </c>
      <c r="AL1164" s="25">
        <f>IF(OR(Apresentação!$E$6='Base de Dados e filtragem'!AL$2,Apresentação!$E$6='Base de Dados e filtragem'!H1164),1,0)</f>
        <v>1</v>
      </c>
      <c r="AM1164" s="25">
        <f>IF(OR(Apresentação!$I$2='Base de Dados e filtragem'!AM$2,Apresentação!$I$2='Base de Dados e filtragem'!I1164),1,0)</f>
        <v>1</v>
      </c>
      <c r="AN1164" s="25">
        <f>IF(OR(Apresentação!$I$3='Base de Dados e filtragem'!AN$2,Apresentação!$I$3='Base de Dados e filtragem'!J1164),1,0)</f>
        <v>1</v>
      </c>
      <c r="AO1164" s="25">
        <f>IF(OR(Apresentação!$I$4='Base de Dados e filtragem'!AO$2,Apresentação!$I$4='Base de Dados e filtragem'!K1164),1,0)</f>
        <v>1</v>
      </c>
      <c r="AP1164" s="25">
        <f>IF(OR(Apresentação!$I$5='Base de Dados e filtragem'!AP$2,Apresentação!$I$5='Base de Dados e filtragem'!L1164),1,0)</f>
        <v>1</v>
      </c>
      <c r="AQ1164" s="25">
        <f>IF(OR(Apresentação!$I$6='Base de Dados e filtragem'!AQ$2,Apresentação!$I$6='Base de Dados e filtragem'!M1164),1,0)</f>
        <v>1</v>
      </c>
      <c r="AR1164" s="25">
        <v>1</v>
      </c>
      <c r="AS1164" s="25">
        <v>1</v>
      </c>
      <c r="AT1164" s="25">
        <v>1</v>
      </c>
      <c r="AU1164" s="25">
        <v>1</v>
      </c>
      <c r="AV1164" s="25">
        <v>1</v>
      </c>
      <c r="AW1164" s="25">
        <v>1</v>
      </c>
      <c r="AX1164" s="25">
        <v>1</v>
      </c>
      <c r="AY1164" s="25">
        <v>1</v>
      </c>
      <c r="AZ1164" s="25">
        <v>1</v>
      </c>
      <c r="BA1164" s="25">
        <v>1</v>
      </c>
      <c r="BB1164" s="25">
        <v>1</v>
      </c>
      <c r="BC1164" s="25">
        <v>1</v>
      </c>
      <c r="BD1164" s="25">
        <v>1</v>
      </c>
    </row>
    <row r="1165" spans="27:56" x14ac:dyDescent="0.25">
      <c r="AA1165" s="68" t="str">
        <f t="shared" si="73"/>
        <v>Fotos\\.jpg</v>
      </c>
      <c r="AB1165" s="53">
        <f t="shared" si="74"/>
        <v>8.5836909871244631E-4</v>
      </c>
      <c r="AC1165" s="25">
        <f t="shared" si="75"/>
        <v>1165</v>
      </c>
      <c r="AD1165" s="51">
        <f t="shared" si="76"/>
        <v>1</v>
      </c>
      <c r="AE1165" s="25">
        <v>1</v>
      </c>
      <c r="AF1165" s="25">
        <v>1</v>
      </c>
      <c r="AG1165" s="25">
        <v>1</v>
      </c>
      <c r="AH1165" s="25">
        <v>1</v>
      </c>
      <c r="AI1165" s="25">
        <f>IF(OR(Apresentação!$E$3='Base de Dados e filtragem'!AI$2,Apresentação!$E$3='Base de Dados e filtragem'!E1165),1,0)</f>
        <v>1</v>
      </c>
      <c r="AJ1165" s="25">
        <f>IF(OR(Apresentação!$E$4='Base de Dados e filtragem'!AJ$2,Apresentação!$E$4='Base de Dados e filtragem'!F1165),1,0)</f>
        <v>1</v>
      </c>
      <c r="AK1165" s="25">
        <f>IF(OR(Apresentação!$E$5='Base de Dados e filtragem'!AK$2,Apresentação!$E$5='Base de Dados e filtragem'!G1165),1,0)</f>
        <v>1</v>
      </c>
      <c r="AL1165" s="25">
        <f>IF(OR(Apresentação!$E$6='Base de Dados e filtragem'!AL$2,Apresentação!$E$6='Base de Dados e filtragem'!H1165),1,0)</f>
        <v>1</v>
      </c>
      <c r="AM1165" s="25">
        <f>IF(OR(Apresentação!$I$2='Base de Dados e filtragem'!AM$2,Apresentação!$I$2='Base de Dados e filtragem'!I1165),1,0)</f>
        <v>1</v>
      </c>
      <c r="AN1165" s="25">
        <f>IF(OR(Apresentação!$I$3='Base de Dados e filtragem'!AN$2,Apresentação!$I$3='Base de Dados e filtragem'!J1165),1,0)</f>
        <v>1</v>
      </c>
      <c r="AO1165" s="25">
        <f>IF(OR(Apresentação!$I$4='Base de Dados e filtragem'!AO$2,Apresentação!$I$4='Base de Dados e filtragem'!K1165),1,0)</f>
        <v>1</v>
      </c>
      <c r="AP1165" s="25">
        <f>IF(OR(Apresentação!$I$5='Base de Dados e filtragem'!AP$2,Apresentação!$I$5='Base de Dados e filtragem'!L1165),1,0)</f>
        <v>1</v>
      </c>
      <c r="AQ1165" s="25">
        <f>IF(OR(Apresentação!$I$6='Base de Dados e filtragem'!AQ$2,Apresentação!$I$6='Base de Dados e filtragem'!M1165),1,0)</f>
        <v>1</v>
      </c>
      <c r="AR1165" s="25">
        <v>1</v>
      </c>
      <c r="AS1165" s="25">
        <v>1</v>
      </c>
      <c r="AT1165" s="25">
        <v>1</v>
      </c>
      <c r="AU1165" s="25">
        <v>1</v>
      </c>
      <c r="AV1165" s="25">
        <v>1</v>
      </c>
      <c r="AW1165" s="25">
        <v>1</v>
      </c>
      <c r="AX1165" s="25">
        <v>1</v>
      </c>
      <c r="AY1165" s="25">
        <v>1</v>
      </c>
      <c r="AZ1165" s="25">
        <v>1</v>
      </c>
      <c r="BA1165" s="25">
        <v>1</v>
      </c>
      <c r="BB1165" s="25">
        <v>1</v>
      </c>
      <c r="BC1165" s="25">
        <v>1</v>
      </c>
      <c r="BD1165" s="25">
        <v>1</v>
      </c>
    </row>
    <row r="1166" spans="27:56" x14ac:dyDescent="0.25">
      <c r="AA1166" s="68" t="str">
        <f t="shared" si="73"/>
        <v>Fotos\\.jpg</v>
      </c>
      <c r="AB1166" s="53">
        <f t="shared" si="74"/>
        <v>8.576329331046312E-4</v>
      </c>
      <c r="AC1166" s="25">
        <f t="shared" si="75"/>
        <v>1166</v>
      </c>
      <c r="AD1166" s="51">
        <f t="shared" si="76"/>
        <v>1</v>
      </c>
      <c r="AE1166" s="25">
        <v>1</v>
      </c>
      <c r="AF1166" s="25">
        <v>1</v>
      </c>
      <c r="AG1166" s="25">
        <v>1</v>
      </c>
      <c r="AH1166" s="25">
        <v>1</v>
      </c>
      <c r="AI1166" s="25">
        <f>IF(OR(Apresentação!$E$3='Base de Dados e filtragem'!AI$2,Apresentação!$E$3='Base de Dados e filtragem'!E1166),1,0)</f>
        <v>1</v>
      </c>
      <c r="AJ1166" s="25">
        <f>IF(OR(Apresentação!$E$4='Base de Dados e filtragem'!AJ$2,Apresentação!$E$4='Base de Dados e filtragem'!F1166),1,0)</f>
        <v>1</v>
      </c>
      <c r="AK1166" s="25">
        <f>IF(OR(Apresentação!$E$5='Base de Dados e filtragem'!AK$2,Apresentação!$E$5='Base de Dados e filtragem'!G1166),1,0)</f>
        <v>1</v>
      </c>
      <c r="AL1166" s="25">
        <f>IF(OR(Apresentação!$E$6='Base de Dados e filtragem'!AL$2,Apresentação!$E$6='Base de Dados e filtragem'!H1166),1,0)</f>
        <v>1</v>
      </c>
      <c r="AM1166" s="25">
        <f>IF(OR(Apresentação!$I$2='Base de Dados e filtragem'!AM$2,Apresentação!$I$2='Base de Dados e filtragem'!I1166),1,0)</f>
        <v>1</v>
      </c>
      <c r="AN1166" s="25">
        <f>IF(OR(Apresentação!$I$3='Base de Dados e filtragem'!AN$2,Apresentação!$I$3='Base de Dados e filtragem'!J1166),1,0)</f>
        <v>1</v>
      </c>
      <c r="AO1166" s="25">
        <f>IF(OR(Apresentação!$I$4='Base de Dados e filtragem'!AO$2,Apresentação!$I$4='Base de Dados e filtragem'!K1166),1,0)</f>
        <v>1</v>
      </c>
      <c r="AP1166" s="25">
        <f>IF(OR(Apresentação!$I$5='Base de Dados e filtragem'!AP$2,Apresentação!$I$5='Base de Dados e filtragem'!L1166),1,0)</f>
        <v>1</v>
      </c>
      <c r="AQ1166" s="25">
        <f>IF(OR(Apresentação!$I$6='Base de Dados e filtragem'!AQ$2,Apresentação!$I$6='Base de Dados e filtragem'!M1166),1,0)</f>
        <v>1</v>
      </c>
      <c r="AR1166" s="25">
        <v>1</v>
      </c>
      <c r="AS1166" s="25">
        <v>1</v>
      </c>
      <c r="AT1166" s="25">
        <v>1</v>
      </c>
      <c r="AU1166" s="25">
        <v>1</v>
      </c>
      <c r="AV1166" s="25">
        <v>1</v>
      </c>
      <c r="AW1166" s="25">
        <v>1</v>
      </c>
      <c r="AX1166" s="25">
        <v>1</v>
      </c>
      <c r="AY1166" s="25">
        <v>1</v>
      </c>
      <c r="AZ1166" s="25">
        <v>1</v>
      </c>
      <c r="BA1166" s="25">
        <v>1</v>
      </c>
      <c r="BB1166" s="25">
        <v>1</v>
      </c>
      <c r="BC1166" s="25">
        <v>1</v>
      </c>
      <c r="BD1166" s="25">
        <v>1</v>
      </c>
    </row>
    <row r="1167" spans="27:56" x14ac:dyDescent="0.25">
      <c r="AA1167" s="68" t="str">
        <f t="shared" si="73"/>
        <v>Fotos\\.jpg</v>
      </c>
      <c r="AB1167" s="53">
        <f t="shared" si="74"/>
        <v>8.5689802913453304E-4</v>
      </c>
      <c r="AC1167" s="25">
        <f t="shared" si="75"/>
        <v>1167</v>
      </c>
      <c r="AD1167" s="51">
        <f t="shared" si="76"/>
        <v>1</v>
      </c>
      <c r="AE1167" s="25">
        <v>1</v>
      </c>
      <c r="AF1167" s="25">
        <v>1</v>
      </c>
      <c r="AG1167" s="25">
        <v>1</v>
      </c>
      <c r="AH1167" s="25">
        <v>1</v>
      </c>
      <c r="AI1167" s="25">
        <f>IF(OR(Apresentação!$E$3='Base de Dados e filtragem'!AI$2,Apresentação!$E$3='Base de Dados e filtragem'!E1167),1,0)</f>
        <v>1</v>
      </c>
      <c r="AJ1167" s="25">
        <f>IF(OR(Apresentação!$E$4='Base de Dados e filtragem'!AJ$2,Apresentação!$E$4='Base de Dados e filtragem'!F1167),1,0)</f>
        <v>1</v>
      </c>
      <c r="AK1167" s="25">
        <f>IF(OR(Apresentação!$E$5='Base de Dados e filtragem'!AK$2,Apresentação!$E$5='Base de Dados e filtragem'!G1167),1,0)</f>
        <v>1</v>
      </c>
      <c r="AL1167" s="25">
        <f>IF(OR(Apresentação!$E$6='Base de Dados e filtragem'!AL$2,Apresentação!$E$6='Base de Dados e filtragem'!H1167),1,0)</f>
        <v>1</v>
      </c>
      <c r="AM1167" s="25">
        <f>IF(OR(Apresentação!$I$2='Base de Dados e filtragem'!AM$2,Apresentação!$I$2='Base de Dados e filtragem'!I1167),1,0)</f>
        <v>1</v>
      </c>
      <c r="AN1167" s="25">
        <f>IF(OR(Apresentação!$I$3='Base de Dados e filtragem'!AN$2,Apresentação!$I$3='Base de Dados e filtragem'!J1167),1,0)</f>
        <v>1</v>
      </c>
      <c r="AO1167" s="25">
        <f>IF(OR(Apresentação!$I$4='Base de Dados e filtragem'!AO$2,Apresentação!$I$4='Base de Dados e filtragem'!K1167),1,0)</f>
        <v>1</v>
      </c>
      <c r="AP1167" s="25">
        <f>IF(OR(Apresentação!$I$5='Base de Dados e filtragem'!AP$2,Apresentação!$I$5='Base de Dados e filtragem'!L1167),1,0)</f>
        <v>1</v>
      </c>
      <c r="AQ1167" s="25">
        <f>IF(OR(Apresentação!$I$6='Base de Dados e filtragem'!AQ$2,Apresentação!$I$6='Base de Dados e filtragem'!M1167),1,0)</f>
        <v>1</v>
      </c>
      <c r="AR1167" s="25">
        <v>1</v>
      </c>
      <c r="AS1167" s="25">
        <v>1</v>
      </c>
      <c r="AT1167" s="25">
        <v>1</v>
      </c>
      <c r="AU1167" s="25">
        <v>1</v>
      </c>
      <c r="AV1167" s="25">
        <v>1</v>
      </c>
      <c r="AW1167" s="25">
        <v>1</v>
      </c>
      <c r="AX1167" s="25">
        <v>1</v>
      </c>
      <c r="AY1167" s="25">
        <v>1</v>
      </c>
      <c r="AZ1167" s="25">
        <v>1</v>
      </c>
      <c r="BA1167" s="25">
        <v>1</v>
      </c>
      <c r="BB1167" s="25">
        <v>1</v>
      </c>
      <c r="BC1167" s="25">
        <v>1</v>
      </c>
      <c r="BD1167" s="25">
        <v>1</v>
      </c>
    </row>
    <row r="1168" spans="27:56" x14ac:dyDescent="0.25">
      <c r="AA1168" s="68" t="str">
        <f t="shared" si="73"/>
        <v>Fotos\\.jpg</v>
      </c>
      <c r="AB1168" s="53">
        <f t="shared" si="74"/>
        <v>8.5616438356164379E-4</v>
      </c>
      <c r="AC1168" s="25">
        <f t="shared" si="75"/>
        <v>1168</v>
      </c>
      <c r="AD1168" s="51">
        <f t="shared" si="76"/>
        <v>1</v>
      </c>
      <c r="AE1168" s="25">
        <v>1</v>
      </c>
      <c r="AF1168" s="25">
        <v>1</v>
      </c>
      <c r="AG1168" s="25">
        <v>1</v>
      </c>
      <c r="AH1168" s="25">
        <v>1</v>
      </c>
      <c r="AI1168" s="25">
        <f>IF(OR(Apresentação!$E$3='Base de Dados e filtragem'!AI$2,Apresentação!$E$3='Base de Dados e filtragem'!E1168),1,0)</f>
        <v>1</v>
      </c>
      <c r="AJ1168" s="25">
        <f>IF(OR(Apresentação!$E$4='Base de Dados e filtragem'!AJ$2,Apresentação!$E$4='Base de Dados e filtragem'!F1168),1,0)</f>
        <v>1</v>
      </c>
      <c r="AK1168" s="25">
        <f>IF(OR(Apresentação!$E$5='Base de Dados e filtragem'!AK$2,Apresentação!$E$5='Base de Dados e filtragem'!G1168),1,0)</f>
        <v>1</v>
      </c>
      <c r="AL1168" s="25">
        <f>IF(OR(Apresentação!$E$6='Base de Dados e filtragem'!AL$2,Apresentação!$E$6='Base de Dados e filtragem'!H1168),1,0)</f>
        <v>1</v>
      </c>
      <c r="AM1168" s="25">
        <f>IF(OR(Apresentação!$I$2='Base de Dados e filtragem'!AM$2,Apresentação!$I$2='Base de Dados e filtragem'!I1168),1,0)</f>
        <v>1</v>
      </c>
      <c r="AN1168" s="25">
        <f>IF(OR(Apresentação!$I$3='Base de Dados e filtragem'!AN$2,Apresentação!$I$3='Base de Dados e filtragem'!J1168),1,0)</f>
        <v>1</v>
      </c>
      <c r="AO1168" s="25">
        <f>IF(OR(Apresentação!$I$4='Base de Dados e filtragem'!AO$2,Apresentação!$I$4='Base de Dados e filtragem'!K1168),1,0)</f>
        <v>1</v>
      </c>
      <c r="AP1168" s="25">
        <f>IF(OR(Apresentação!$I$5='Base de Dados e filtragem'!AP$2,Apresentação!$I$5='Base de Dados e filtragem'!L1168),1,0)</f>
        <v>1</v>
      </c>
      <c r="AQ1168" s="25">
        <f>IF(OR(Apresentação!$I$6='Base de Dados e filtragem'!AQ$2,Apresentação!$I$6='Base de Dados e filtragem'!M1168),1,0)</f>
        <v>1</v>
      </c>
      <c r="AR1168" s="25">
        <v>1</v>
      </c>
      <c r="AS1168" s="25">
        <v>1</v>
      </c>
      <c r="AT1168" s="25">
        <v>1</v>
      </c>
      <c r="AU1168" s="25">
        <v>1</v>
      </c>
      <c r="AV1168" s="25">
        <v>1</v>
      </c>
      <c r="AW1168" s="25">
        <v>1</v>
      </c>
      <c r="AX1168" s="25">
        <v>1</v>
      </c>
      <c r="AY1168" s="25">
        <v>1</v>
      </c>
      <c r="AZ1168" s="25">
        <v>1</v>
      </c>
      <c r="BA1168" s="25">
        <v>1</v>
      </c>
      <c r="BB1168" s="25">
        <v>1</v>
      </c>
      <c r="BC1168" s="25">
        <v>1</v>
      </c>
      <c r="BD1168" s="25">
        <v>1</v>
      </c>
    </row>
    <row r="1169" spans="27:56" x14ac:dyDescent="0.25">
      <c r="AA1169" s="68" t="str">
        <f t="shared" si="73"/>
        <v>Fotos\\.jpg</v>
      </c>
      <c r="AB1169" s="53">
        <f t="shared" si="74"/>
        <v>8.5543199315654401E-4</v>
      </c>
      <c r="AC1169" s="25">
        <f t="shared" si="75"/>
        <v>1169</v>
      </c>
      <c r="AD1169" s="51">
        <f t="shared" si="76"/>
        <v>1</v>
      </c>
      <c r="AE1169" s="25">
        <v>1</v>
      </c>
      <c r="AF1169" s="25">
        <v>1</v>
      </c>
      <c r="AG1169" s="25">
        <v>1</v>
      </c>
      <c r="AH1169" s="25">
        <v>1</v>
      </c>
      <c r="AI1169" s="25">
        <f>IF(OR(Apresentação!$E$3='Base de Dados e filtragem'!AI$2,Apresentação!$E$3='Base de Dados e filtragem'!E1169),1,0)</f>
        <v>1</v>
      </c>
      <c r="AJ1169" s="25">
        <f>IF(OR(Apresentação!$E$4='Base de Dados e filtragem'!AJ$2,Apresentação!$E$4='Base de Dados e filtragem'!F1169),1,0)</f>
        <v>1</v>
      </c>
      <c r="AK1169" s="25">
        <f>IF(OR(Apresentação!$E$5='Base de Dados e filtragem'!AK$2,Apresentação!$E$5='Base de Dados e filtragem'!G1169),1,0)</f>
        <v>1</v>
      </c>
      <c r="AL1169" s="25">
        <f>IF(OR(Apresentação!$E$6='Base de Dados e filtragem'!AL$2,Apresentação!$E$6='Base de Dados e filtragem'!H1169),1,0)</f>
        <v>1</v>
      </c>
      <c r="AM1169" s="25">
        <f>IF(OR(Apresentação!$I$2='Base de Dados e filtragem'!AM$2,Apresentação!$I$2='Base de Dados e filtragem'!I1169),1,0)</f>
        <v>1</v>
      </c>
      <c r="AN1169" s="25">
        <f>IF(OR(Apresentação!$I$3='Base de Dados e filtragem'!AN$2,Apresentação!$I$3='Base de Dados e filtragem'!J1169),1,0)</f>
        <v>1</v>
      </c>
      <c r="AO1169" s="25">
        <f>IF(OR(Apresentação!$I$4='Base de Dados e filtragem'!AO$2,Apresentação!$I$4='Base de Dados e filtragem'!K1169),1,0)</f>
        <v>1</v>
      </c>
      <c r="AP1169" s="25">
        <f>IF(OR(Apresentação!$I$5='Base de Dados e filtragem'!AP$2,Apresentação!$I$5='Base de Dados e filtragem'!L1169),1,0)</f>
        <v>1</v>
      </c>
      <c r="AQ1169" s="25">
        <f>IF(OR(Apresentação!$I$6='Base de Dados e filtragem'!AQ$2,Apresentação!$I$6='Base de Dados e filtragem'!M1169),1,0)</f>
        <v>1</v>
      </c>
      <c r="AR1169" s="25">
        <v>1</v>
      </c>
      <c r="AS1169" s="25">
        <v>1</v>
      </c>
      <c r="AT1169" s="25">
        <v>1</v>
      </c>
      <c r="AU1169" s="25">
        <v>1</v>
      </c>
      <c r="AV1169" s="25">
        <v>1</v>
      </c>
      <c r="AW1169" s="25">
        <v>1</v>
      </c>
      <c r="AX1169" s="25">
        <v>1</v>
      </c>
      <c r="AY1169" s="25">
        <v>1</v>
      </c>
      <c r="AZ1169" s="25">
        <v>1</v>
      </c>
      <c r="BA1169" s="25">
        <v>1</v>
      </c>
      <c r="BB1169" s="25">
        <v>1</v>
      </c>
      <c r="BC1169" s="25">
        <v>1</v>
      </c>
      <c r="BD1169" s="25">
        <v>1</v>
      </c>
    </row>
    <row r="1170" spans="27:56" x14ac:dyDescent="0.25">
      <c r="AA1170" s="68" t="str">
        <f t="shared" si="73"/>
        <v>Fotos\\.jpg</v>
      </c>
      <c r="AB1170" s="53">
        <f t="shared" si="74"/>
        <v>8.547008547008547E-4</v>
      </c>
      <c r="AC1170" s="25">
        <f t="shared" si="75"/>
        <v>1170</v>
      </c>
      <c r="AD1170" s="51">
        <f t="shared" si="76"/>
        <v>1</v>
      </c>
      <c r="AE1170" s="25">
        <v>1</v>
      </c>
      <c r="AF1170" s="25">
        <v>1</v>
      </c>
      <c r="AG1170" s="25">
        <v>1</v>
      </c>
      <c r="AH1170" s="25">
        <v>1</v>
      </c>
      <c r="AI1170" s="25">
        <f>IF(OR(Apresentação!$E$3='Base de Dados e filtragem'!AI$2,Apresentação!$E$3='Base de Dados e filtragem'!E1170),1,0)</f>
        <v>1</v>
      </c>
      <c r="AJ1170" s="25">
        <f>IF(OR(Apresentação!$E$4='Base de Dados e filtragem'!AJ$2,Apresentação!$E$4='Base de Dados e filtragem'!F1170),1,0)</f>
        <v>1</v>
      </c>
      <c r="AK1170" s="25">
        <f>IF(OR(Apresentação!$E$5='Base de Dados e filtragem'!AK$2,Apresentação!$E$5='Base de Dados e filtragem'!G1170),1,0)</f>
        <v>1</v>
      </c>
      <c r="AL1170" s="25">
        <f>IF(OR(Apresentação!$E$6='Base de Dados e filtragem'!AL$2,Apresentação!$E$6='Base de Dados e filtragem'!H1170),1,0)</f>
        <v>1</v>
      </c>
      <c r="AM1170" s="25">
        <f>IF(OR(Apresentação!$I$2='Base de Dados e filtragem'!AM$2,Apresentação!$I$2='Base de Dados e filtragem'!I1170),1,0)</f>
        <v>1</v>
      </c>
      <c r="AN1170" s="25">
        <f>IF(OR(Apresentação!$I$3='Base de Dados e filtragem'!AN$2,Apresentação!$I$3='Base de Dados e filtragem'!J1170),1,0)</f>
        <v>1</v>
      </c>
      <c r="AO1170" s="25">
        <f>IF(OR(Apresentação!$I$4='Base de Dados e filtragem'!AO$2,Apresentação!$I$4='Base de Dados e filtragem'!K1170),1,0)</f>
        <v>1</v>
      </c>
      <c r="AP1170" s="25">
        <f>IF(OR(Apresentação!$I$5='Base de Dados e filtragem'!AP$2,Apresentação!$I$5='Base de Dados e filtragem'!L1170),1,0)</f>
        <v>1</v>
      </c>
      <c r="AQ1170" s="25">
        <f>IF(OR(Apresentação!$I$6='Base de Dados e filtragem'!AQ$2,Apresentação!$I$6='Base de Dados e filtragem'!M1170),1,0)</f>
        <v>1</v>
      </c>
      <c r="AR1170" s="25">
        <v>1</v>
      </c>
      <c r="AS1170" s="25">
        <v>1</v>
      </c>
      <c r="AT1170" s="25">
        <v>1</v>
      </c>
      <c r="AU1170" s="25">
        <v>1</v>
      </c>
      <c r="AV1170" s="25">
        <v>1</v>
      </c>
      <c r="AW1170" s="25">
        <v>1</v>
      </c>
      <c r="AX1170" s="25">
        <v>1</v>
      </c>
      <c r="AY1170" s="25">
        <v>1</v>
      </c>
      <c r="AZ1170" s="25">
        <v>1</v>
      </c>
      <c r="BA1170" s="25">
        <v>1</v>
      </c>
      <c r="BB1170" s="25">
        <v>1</v>
      </c>
      <c r="BC1170" s="25">
        <v>1</v>
      </c>
      <c r="BD1170" s="25">
        <v>1</v>
      </c>
    </row>
    <row r="1171" spans="27:56" x14ac:dyDescent="0.25">
      <c r="AA1171" s="68" t="str">
        <f t="shared" si="73"/>
        <v>Fotos\\.jpg</v>
      </c>
      <c r="AB1171" s="53">
        <f t="shared" si="74"/>
        <v>8.5397096498719043E-4</v>
      </c>
      <c r="AC1171" s="25">
        <f t="shared" si="75"/>
        <v>1171</v>
      </c>
      <c r="AD1171" s="51">
        <f t="shared" si="76"/>
        <v>1</v>
      </c>
      <c r="AE1171" s="25">
        <v>1</v>
      </c>
      <c r="AF1171" s="25">
        <v>1</v>
      </c>
      <c r="AG1171" s="25">
        <v>1</v>
      </c>
      <c r="AH1171" s="25">
        <v>1</v>
      </c>
      <c r="AI1171" s="25">
        <f>IF(OR(Apresentação!$E$3='Base de Dados e filtragem'!AI$2,Apresentação!$E$3='Base de Dados e filtragem'!E1171),1,0)</f>
        <v>1</v>
      </c>
      <c r="AJ1171" s="25">
        <f>IF(OR(Apresentação!$E$4='Base de Dados e filtragem'!AJ$2,Apresentação!$E$4='Base de Dados e filtragem'!F1171),1,0)</f>
        <v>1</v>
      </c>
      <c r="AK1171" s="25">
        <f>IF(OR(Apresentação!$E$5='Base de Dados e filtragem'!AK$2,Apresentação!$E$5='Base de Dados e filtragem'!G1171),1,0)</f>
        <v>1</v>
      </c>
      <c r="AL1171" s="25">
        <f>IF(OR(Apresentação!$E$6='Base de Dados e filtragem'!AL$2,Apresentação!$E$6='Base de Dados e filtragem'!H1171),1,0)</f>
        <v>1</v>
      </c>
      <c r="AM1171" s="25">
        <f>IF(OR(Apresentação!$I$2='Base de Dados e filtragem'!AM$2,Apresentação!$I$2='Base de Dados e filtragem'!I1171),1,0)</f>
        <v>1</v>
      </c>
      <c r="AN1171" s="25">
        <f>IF(OR(Apresentação!$I$3='Base de Dados e filtragem'!AN$2,Apresentação!$I$3='Base de Dados e filtragem'!J1171),1,0)</f>
        <v>1</v>
      </c>
      <c r="AO1171" s="25">
        <f>IF(OR(Apresentação!$I$4='Base de Dados e filtragem'!AO$2,Apresentação!$I$4='Base de Dados e filtragem'!K1171),1,0)</f>
        <v>1</v>
      </c>
      <c r="AP1171" s="25">
        <f>IF(OR(Apresentação!$I$5='Base de Dados e filtragem'!AP$2,Apresentação!$I$5='Base de Dados e filtragem'!L1171),1,0)</f>
        <v>1</v>
      </c>
      <c r="AQ1171" s="25">
        <f>IF(OR(Apresentação!$I$6='Base de Dados e filtragem'!AQ$2,Apresentação!$I$6='Base de Dados e filtragem'!M1171),1,0)</f>
        <v>1</v>
      </c>
      <c r="AR1171" s="25">
        <v>1</v>
      </c>
      <c r="AS1171" s="25">
        <v>1</v>
      </c>
      <c r="AT1171" s="25">
        <v>1</v>
      </c>
      <c r="AU1171" s="25">
        <v>1</v>
      </c>
      <c r="AV1171" s="25">
        <v>1</v>
      </c>
      <c r="AW1171" s="25">
        <v>1</v>
      </c>
      <c r="AX1171" s="25">
        <v>1</v>
      </c>
      <c r="AY1171" s="25">
        <v>1</v>
      </c>
      <c r="AZ1171" s="25">
        <v>1</v>
      </c>
      <c r="BA1171" s="25">
        <v>1</v>
      </c>
      <c r="BB1171" s="25">
        <v>1</v>
      </c>
      <c r="BC1171" s="25">
        <v>1</v>
      </c>
      <c r="BD1171" s="25">
        <v>1</v>
      </c>
    </row>
    <row r="1172" spans="27:56" x14ac:dyDescent="0.25">
      <c r="AA1172" s="68" t="str">
        <f t="shared" si="73"/>
        <v>Fotos\\.jpg</v>
      </c>
      <c r="AB1172" s="53">
        <f t="shared" si="74"/>
        <v>8.5324232081911264E-4</v>
      </c>
      <c r="AC1172" s="25">
        <f t="shared" si="75"/>
        <v>1172</v>
      </c>
      <c r="AD1172" s="51">
        <f t="shared" si="76"/>
        <v>1</v>
      </c>
      <c r="AE1172" s="25">
        <v>1</v>
      </c>
      <c r="AF1172" s="25">
        <v>1</v>
      </c>
      <c r="AG1172" s="25">
        <v>1</v>
      </c>
      <c r="AH1172" s="25">
        <v>1</v>
      </c>
      <c r="AI1172" s="25">
        <f>IF(OR(Apresentação!$E$3='Base de Dados e filtragem'!AI$2,Apresentação!$E$3='Base de Dados e filtragem'!E1172),1,0)</f>
        <v>1</v>
      </c>
      <c r="AJ1172" s="25">
        <f>IF(OR(Apresentação!$E$4='Base de Dados e filtragem'!AJ$2,Apresentação!$E$4='Base de Dados e filtragem'!F1172),1,0)</f>
        <v>1</v>
      </c>
      <c r="AK1172" s="25">
        <f>IF(OR(Apresentação!$E$5='Base de Dados e filtragem'!AK$2,Apresentação!$E$5='Base de Dados e filtragem'!G1172),1,0)</f>
        <v>1</v>
      </c>
      <c r="AL1172" s="25">
        <f>IF(OR(Apresentação!$E$6='Base de Dados e filtragem'!AL$2,Apresentação!$E$6='Base de Dados e filtragem'!H1172),1,0)</f>
        <v>1</v>
      </c>
      <c r="AM1172" s="25">
        <f>IF(OR(Apresentação!$I$2='Base de Dados e filtragem'!AM$2,Apresentação!$I$2='Base de Dados e filtragem'!I1172),1,0)</f>
        <v>1</v>
      </c>
      <c r="AN1172" s="25">
        <f>IF(OR(Apresentação!$I$3='Base de Dados e filtragem'!AN$2,Apresentação!$I$3='Base de Dados e filtragem'!J1172),1,0)</f>
        <v>1</v>
      </c>
      <c r="AO1172" s="25">
        <f>IF(OR(Apresentação!$I$4='Base de Dados e filtragem'!AO$2,Apresentação!$I$4='Base de Dados e filtragem'!K1172),1,0)</f>
        <v>1</v>
      </c>
      <c r="AP1172" s="25">
        <f>IF(OR(Apresentação!$I$5='Base de Dados e filtragem'!AP$2,Apresentação!$I$5='Base de Dados e filtragem'!L1172),1,0)</f>
        <v>1</v>
      </c>
      <c r="AQ1172" s="25">
        <f>IF(OR(Apresentação!$I$6='Base de Dados e filtragem'!AQ$2,Apresentação!$I$6='Base de Dados e filtragem'!M1172),1,0)</f>
        <v>1</v>
      </c>
      <c r="AR1172" s="25">
        <v>1</v>
      </c>
      <c r="AS1172" s="25">
        <v>1</v>
      </c>
      <c r="AT1172" s="25">
        <v>1</v>
      </c>
      <c r="AU1172" s="25">
        <v>1</v>
      </c>
      <c r="AV1172" s="25">
        <v>1</v>
      </c>
      <c r="AW1172" s="25">
        <v>1</v>
      </c>
      <c r="AX1172" s="25">
        <v>1</v>
      </c>
      <c r="AY1172" s="25">
        <v>1</v>
      </c>
      <c r="AZ1172" s="25">
        <v>1</v>
      </c>
      <c r="BA1172" s="25">
        <v>1</v>
      </c>
      <c r="BB1172" s="25">
        <v>1</v>
      </c>
      <c r="BC1172" s="25">
        <v>1</v>
      </c>
      <c r="BD1172" s="25">
        <v>1</v>
      </c>
    </row>
    <row r="1173" spans="27:56" x14ac:dyDescent="0.25">
      <c r="AA1173" s="68" t="str">
        <f t="shared" si="73"/>
        <v>Fotos\\.jpg</v>
      </c>
      <c r="AB1173" s="53">
        <f t="shared" si="74"/>
        <v>8.5251491901108269E-4</v>
      </c>
      <c r="AC1173" s="25">
        <f t="shared" si="75"/>
        <v>1173</v>
      </c>
      <c r="AD1173" s="51">
        <f t="shared" si="76"/>
        <v>1</v>
      </c>
      <c r="AE1173" s="25">
        <v>1</v>
      </c>
      <c r="AF1173" s="25">
        <v>1</v>
      </c>
      <c r="AG1173" s="25">
        <v>1</v>
      </c>
      <c r="AH1173" s="25">
        <v>1</v>
      </c>
      <c r="AI1173" s="25">
        <f>IF(OR(Apresentação!$E$3='Base de Dados e filtragem'!AI$2,Apresentação!$E$3='Base de Dados e filtragem'!E1173),1,0)</f>
        <v>1</v>
      </c>
      <c r="AJ1173" s="25">
        <f>IF(OR(Apresentação!$E$4='Base de Dados e filtragem'!AJ$2,Apresentação!$E$4='Base de Dados e filtragem'!F1173),1,0)</f>
        <v>1</v>
      </c>
      <c r="AK1173" s="25">
        <f>IF(OR(Apresentação!$E$5='Base de Dados e filtragem'!AK$2,Apresentação!$E$5='Base de Dados e filtragem'!G1173),1,0)</f>
        <v>1</v>
      </c>
      <c r="AL1173" s="25">
        <f>IF(OR(Apresentação!$E$6='Base de Dados e filtragem'!AL$2,Apresentação!$E$6='Base de Dados e filtragem'!H1173),1,0)</f>
        <v>1</v>
      </c>
      <c r="AM1173" s="25">
        <f>IF(OR(Apresentação!$I$2='Base de Dados e filtragem'!AM$2,Apresentação!$I$2='Base de Dados e filtragem'!I1173),1,0)</f>
        <v>1</v>
      </c>
      <c r="AN1173" s="25">
        <f>IF(OR(Apresentação!$I$3='Base de Dados e filtragem'!AN$2,Apresentação!$I$3='Base de Dados e filtragem'!J1173),1,0)</f>
        <v>1</v>
      </c>
      <c r="AO1173" s="25">
        <f>IF(OR(Apresentação!$I$4='Base de Dados e filtragem'!AO$2,Apresentação!$I$4='Base de Dados e filtragem'!K1173),1,0)</f>
        <v>1</v>
      </c>
      <c r="AP1173" s="25">
        <f>IF(OR(Apresentação!$I$5='Base de Dados e filtragem'!AP$2,Apresentação!$I$5='Base de Dados e filtragem'!L1173),1,0)</f>
        <v>1</v>
      </c>
      <c r="AQ1173" s="25">
        <f>IF(OR(Apresentação!$I$6='Base de Dados e filtragem'!AQ$2,Apresentação!$I$6='Base de Dados e filtragem'!M1173),1,0)</f>
        <v>1</v>
      </c>
      <c r="AR1173" s="25">
        <v>1</v>
      </c>
      <c r="AS1173" s="25">
        <v>1</v>
      </c>
      <c r="AT1173" s="25">
        <v>1</v>
      </c>
      <c r="AU1173" s="25">
        <v>1</v>
      </c>
      <c r="AV1173" s="25">
        <v>1</v>
      </c>
      <c r="AW1173" s="25">
        <v>1</v>
      </c>
      <c r="AX1173" s="25">
        <v>1</v>
      </c>
      <c r="AY1173" s="25">
        <v>1</v>
      </c>
      <c r="AZ1173" s="25">
        <v>1</v>
      </c>
      <c r="BA1173" s="25">
        <v>1</v>
      </c>
      <c r="BB1173" s="25">
        <v>1</v>
      </c>
      <c r="BC1173" s="25">
        <v>1</v>
      </c>
      <c r="BD1173" s="25">
        <v>1</v>
      </c>
    </row>
    <row r="1174" spans="27:56" x14ac:dyDescent="0.25">
      <c r="AA1174" s="68" t="str">
        <f t="shared" si="73"/>
        <v>Fotos\\.jpg</v>
      </c>
      <c r="AB1174" s="53">
        <f t="shared" si="74"/>
        <v>8.5178875638841568E-4</v>
      </c>
      <c r="AC1174" s="25">
        <f t="shared" si="75"/>
        <v>1174</v>
      </c>
      <c r="AD1174" s="51">
        <f t="shared" si="76"/>
        <v>1</v>
      </c>
      <c r="AE1174" s="25">
        <v>1</v>
      </c>
      <c r="AF1174" s="25">
        <v>1</v>
      </c>
      <c r="AG1174" s="25">
        <v>1</v>
      </c>
      <c r="AH1174" s="25">
        <v>1</v>
      </c>
      <c r="AI1174" s="25">
        <f>IF(OR(Apresentação!$E$3='Base de Dados e filtragem'!AI$2,Apresentação!$E$3='Base de Dados e filtragem'!E1174),1,0)</f>
        <v>1</v>
      </c>
      <c r="AJ1174" s="25">
        <f>IF(OR(Apresentação!$E$4='Base de Dados e filtragem'!AJ$2,Apresentação!$E$4='Base de Dados e filtragem'!F1174),1,0)</f>
        <v>1</v>
      </c>
      <c r="AK1174" s="25">
        <f>IF(OR(Apresentação!$E$5='Base de Dados e filtragem'!AK$2,Apresentação!$E$5='Base de Dados e filtragem'!G1174),1,0)</f>
        <v>1</v>
      </c>
      <c r="AL1174" s="25">
        <f>IF(OR(Apresentação!$E$6='Base de Dados e filtragem'!AL$2,Apresentação!$E$6='Base de Dados e filtragem'!H1174),1,0)</f>
        <v>1</v>
      </c>
      <c r="AM1174" s="25">
        <f>IF(OR(Apresentação!$I$2='Base de Dados e filtragem'!AM$2,Apresentação!$I$2='Base de Dados e filtragem'!I1174),1,0)</f>
        <v>1</v>
      </c>
      <c r="AN1174" s="25">
        <f>IF(OR(Apresentação!$I$3='Base de Dados e filtragem'!AN$2,Apresentação!$I$3='Base de Dados e filtragem'!J1174),1,0)</f>
        <v>1</v>
      </c>
      <c r="AO1174" s="25">
        <f>IF(OR(Apresentação!$I$4='Base de Dados e filtragem'!AO$2,Apresentação!$I$4='Base de Dados e filtragem'!K1174),1,0)</f>
        <v>1</v>
      </c>
      <c r="AP1174" s="25">
        <f>IF(OR(Apresentação!$I$5='Base de Dados e filtragem'!AP$2,Apresentação!$I$5='Base de Dados e filtragem'!L1174),1,0)</f>
        <v>1</v>
      </c>
      <c r="AQ1174" s="25">
        <f>IF(OR(Apresentação!$I$6='Base de Dados e filtragem'!AQ$2,Apresentação!$I$6='Base de Dados e filtragem'!M1174),1,0)</f>
        <v>1</v>
      </c>
      <c r="AR1174" s="25">
        <v>1</v>
      </c>
      <c r="AS1174" s="25">
        <v>1</v>
      </c>
      <c r="AT1174" s="25">
        <v>1</v>
      </c>
      <c r="AU1174" s="25">
        <v>1</v>
      </c>
      <c r="AV1174" s="25">
        <v>1</v>
      </c>
      <c r="AW1174" s="25">
        <v>1</v>
      </c>
      <c r="AX1174" s="25">
        <v>1</v>
      </c>
      <c r="AY1174" s="25">
        <v>1</v>
      </c>
      <c r="AZ1174" s="25">
        <v>1</v>
      </c>
      <c r="BA1174" s="25">
        <v>1</v>
      </c>
      <c r="BB1174" s="25">
        <v>1</v>
      </c>
      <c r="BC1174" s="25">
        <v>1</v>
      </c>
      <c r="BD1174" s="25">
        <v>1</v>
      </c>
    </row>
    <row r="1175" spans="27:56" x14ac:dyDescent="0.25">
      <c r="AA1175" s="68" t="str">
        <f t="shared" si="73"/>
        <v>Fotos\\.jpg</v>
      </c>
      <c r="AB1175" s="53">
        <f t="shared" si="74"/>
        <v>8.5106382978723403E-4</v>
      </c>
      <c r="AC1175" s="25">
        <f t="shared" si="75"/>
        <v>1175</v>
      </c>
      <c r="AD1175" s="51">
        <f t="shared" si="76"/>
        <v>1</v>
      </c>
      <c r="AE1175" s="25">
        <v>1</v>
      </c>
      <c r="AF1175" s="25">
        <v>1</v>
      </c>
      <c r="AG1175" s="25">
        <v>1</v>
      </c>
      <c r="AH1175" s="25">
        <v>1</v>
      </c>
      <c r="AI1175" s="25">
        <f>IF(OR(Apresentação!$E$3='Base de Dados e filtragem'!AI$2,Apresentação!$E$3='Base de Dados e filtragem'!E1175),1,0)</f>
        <v>1</v>
      </c>
      <c r="AJ1175" s="25">
        <f>IF(OR(Apresentação!$E$4='Base de Dados e filtragem'!AJ$2,Apresentação!$E$4='Base de Dados e filtragem'!F1175),1,0)</f>
        <v>1</v>
      </c>
      <c r="AK1175" s="25">
        <f>IF(OR(Apresentação!$E$5='Base de Dados e filtragem'!AK$2,Apresentação!$E$5='Base de Dados e filtragem'!G1175),1,0)</f>
        <v>1</v>
      </c>
      <c r="AL1175" s="25">
        <f>IF(OR(Apresentação!$E$6='Base de Dados e filtragem'!AL$2,Apresentação!$E$6='Base de Dados e filtragem'!H1175),1,0)</f>
        <v>1</v>
      </c>
      <c r="AM1175" s="25">
        <f>IF(OR(Apresentação!$I$2='Base de Dados e filtragem'!AM$2,Apresentação!$I$2='Base de Dados e filtragem'!I1175),1,0)</f>
        <v>1</v>
      </c>
      <c r="AN1175" s="25">
        <f>IF(OR(Apresentação!$I$3='Base de Dados e filtragem'!AN$2,Apresentação!$I$3='Base de Dados e filtragem'!J1175),1,0)</f>
        <v>1</v>
      </c>
      <c r="AO1175" s="25">
        <f>IF(OR(Apresentação!$I$4='Base de Dados e filtragem'!AO$2,Apresentação!$I$4='Base de Dados e filtragem'!K1175),1,0)</f>
        <v>1</v>
      </c>
      <c r="AP1175" s="25">
        <f>IF(OR(Apresentação!$I$5='Base de Dados e filtragem'!AP$2,Apresentação!$I$5='Base de Dados e filtragem'!L1175),1,0)</f>
        <v>1</v>
      </c>
      <c r="AQ1175" s="25">
        <f>IF(OR(Apresentação!$I$6='Base de Dados e filtragem'!AQ$2,Apresentação!$I$6='Base de Dados e filtragem'!M1175),1,0)</f>
        <v>1</v>
      </c>
      <c r="AR1175" s="25">
        <v>1</v>
      </c>
      <c r="AS1175" s="25">
        <v>1</v>
      </c>
      <c r="AT1175" s="25">
        <v>1</v>
      </c>
      <c r="AU1175" s="25">
        <v>1</v>
      </c>
      <c r="AV1175" s="25">
        <v>1</v>
      </c>
      <c r="AW1175" s="25">
        <v>1</v>
      </c>
      <c r="AX1175" s="25">
        <v>1</v>
      </c>
      <c r="AY1175" s="25">
        <v>1</v>
      </c>
      <c r="AZ1175" s="25">
        <v>1</v>
      </c>
      <c r="BA1175" s="25">
        <v>1</v>
      </c>
      <c r="BB1175" s="25">
        <v>1</v>
      </c>
      <c r="BC1175" s="25">
        <v>1</v>
      </c>
      <c r="BD1175" s="25">
        <v>1</v>
      </c>
    </row>
    <row r="1176" spans="27:56" x14ac:dyDescent="0.25">
      <c r="AA1176" s="68" t="str">
        <f t="shared" si="73"/>
        <v>Fotos\\.jpg</v>
      </c>
      <c r="AB1176" s="53">
        <f t="shared" si="74"/>
        <v>8.5034013605442174E-4</v>
      </c>
      <c r="AC1176" s="25">
        <f t="shared" si="75"/>
        <v>1176</v>
      </c>
      <c r="AD1176" s="51">
        <f t="shared" si="76"/>
        <v>1</v>
      </c>
      <c r="AE1176" s="25">
        <v>1</v>
      </c>
      <c r="AF1176" s="25">
        <v>1</v>
      </c>
      <c r="AG1176" s="25">
        <v>1</v>
      </c>
      <c r="AH1176" s="25">
        <v>1</v>
      </c>
      <c r="AI1176" s="25">
        <f>IF(OR(Apresentação!$E$3='Base de Dados e filtragem'!AI$2,Apresentação!$E$3='Base de Dados e filtragem'!E1176),1,0)</f>
        <v>1</v>
      </c>
      <c r="AJ1176" s="25">
        <f>IF(OR(Apresentação!$E$4='Base de Dados e filtragem'!AJ$2,Apresentação!$E$4='Base de Dados e filtragem'!F1176),1,0)</f>
        <v>1</v>
      </c>
      <c r="AK1176" s="25">
        <f>IF(OR(Apresentação!$E$5='Base de Dados e filtragem'!AK$2,Apresentação!$E$5='Base de Dados e filtragem'!G1176),1,0)</f>
        <v>1</v>
      </c>
      <c r="AL1176" s="25">
        <f>IF(OR(Apresentação!$E$6='Base de Dados e filtragem'!AL$2,Apresentação!$E$6='Base de Dados e filtragem'!H1176),1,0)</f>
        <v>1</v>
      </c>
      <c r="AM1176" s="25">
        <f>IF(OR(Apresentação!$I$2='Base de Dados e filtragem'!AM$2,Apresentação!$I$2='Base de Dados e filtragem'!I1176),1,0)</f>
        <v>1</v>
      </c>
      <c r="AN1176" s="25">
        <f>IF(OR(Apresentação!$I$3='Base de Dados e filtragem'!AN$2,Apresentação!$I$3='Base de Dados e filtragem'!J1176),1,0)</f>
        <v>1</v>
      </c>
      <c r="AO1176" s="25">
        <f>IF(OR(Apresentação!$I$4='Base de Dados e filtragem'!AO$2,Apresentação!$I$4='Base de Dados e filtragem'!K1176),1,0)</f>
        <v>1</v>
      </c>
      <c r="AP1176" s="25">
        <f>IF(OR(Apresentação!$I$5='Base de Dados e filtragem'!AP$2,Apresentação!$I$5='Base de Dados e filtragem'!L1176),1,0)</f>
        <v>1</v>
      </c>
      <c r="AQ1176" s="25">
        <f>IF(OR(Apresentação!$I$6='Base de Dados e filtragem'!AQ$2,Apresentação!$I$6='Base de Dados e filtragem'!M1176),1,0)</f>
        <v>1</v>
      </c>
      <c r="AR1176" s="25">
        <v>1</v>
      </c>
      <c r="AS1176" s="25">
        <v>1</v>
      </c>
      <c r="AT1176" s="25">
        <v>1</v>
      </c>
      <c r="AU1176" s="25">
        <v>1</v>
      </c>
      <c r="AV1176" s="25">
        <v>1</v>
      </c>
      <c r="AW1176" s="25">
        <v>1</v>
      </c>
      <c r="AX1176" s="25">
        <v>1</v>
      </c>
      <c r="AY1176" s="25">
        <v>1</v>
      </c>
      <c r="AZ1176" s="25">
        <v>1</v>
      </c>
      <c r="BA1176" s="25">
        <v>1</v>
      </c>
      <c r="BB1176" s="25">
        <v>1</v>
      </c>
      <c r="BC1176" s="25">
        <v>1</v>
      </c>
      <c r="BD1176" s="25">
        <v>1</v>
      </c>
    </row>
    <row r="1177" spans="27:56" x14ac:dyDescent="0.25">
      <c r="AA1177" s="68" t="str">
        <f t="shared" si="73"/>
        <v>Fotos\\.jpg</v>
      </c>
      <c r="AB1177" s="53">
        <f t="shared" si="74"/>
        <v>8.4961767204757861E-4</v>
      </c>
      <c r="AC1177" s="25">
        <f t="shared" si="75"/>
        <v>1177</v>
      </c>
      <c r="AD1177" s="51">
        <f t="shared" si="76"/>
        <v>1</v>
      </c>
      <c r="AE1177" s="25">
        <v>1</v>
      </c>
      <c r="AF1177" s="25">
        <v>1</v>
      </c>
      <c r="AG1177" s="25">
        <v>1</v>
      </c>
      <c r="AH1177" s="25">
        <v>1</v>
      </c>
      <c r="AI1177" s="25">
        <f>IF(OR(Apresentação!$E$3='Base de Dados e filtragem'!AI$2,Apresentação!$E$3='Base de Dados e filtragem'!E1177),1,0)</f>
        <v>1</v>
      </c>
      <c r="AJ1177" s="25">
        <f>IF(OR(Apresentação!$E$4='Base de Dados e filtragem'!AJ$2,Apresentação!$E$4='Base de Dados e filtragem'!F1177),1,0)</f>
        <v>1</v>
      </c>
      <c r="AK1177" s="25">
        <f>IF(OR(Apresentação!$E$5='Base de Dados e filtragem'!AK$2,Apresentação!$E$5='Base de Dados e filtragem'!G1177),1,0)</f>
        <v>1</v>
      </c>
      <c r="AL1177" s="25">
        <f>IF(OR(Apresentação!$E$6='Base de Dados e filtragem'!AL$2,Apresentação!$E$6='Base de Dados e filtragem'!H1177),1,0)</f>
        <v>1</v>
      </c>
      <c r="AM1177" s="25">
        <f>IF(OR(Apresentação!$I$2='Base de Dados e filtragem'!AM$2,Apresentação!$I$2='Base de Dados e filtragem'!I1177),1,0)</f>
        <v>1</v>
      </c>
      <c r="AN1177" s="25">
        <f>IF(OR(Apresentação!$I$3='Base de Dados e filtragem'!AN$2,Apresentação!$I$3='Base de Dados e filtragem'!J1177),1,0)</f>
        <v>1</v>
      </c>
      <c r="AO1177" s="25">
        <f>IF(OR(Apresentação!$I$4='Base de Dados e filtragem'!AO$2,Apresentação!$I$4='Base de Dados e filtragem'!K1177),1,0)</f>
        <v>1</v>
      </c>
      <c r="AP1177" s="25">
        <f>IF(OR(Apresentação!$I$5='Base de Dados e filtragem'!AP$2,Apresentação!$I$5='Base de Dados e filtragem'!L1177),1,0)</f>
        <v>1</v>
      </c>
      <c r="AQ1177" s="25">
        <f>IF(OR(Apresentação!$I$6='Base de Dados e filtragem'!AQ$2,Apresentação!$I$6='Base de Dados e filtragem'!M1177),1,0)</f>
        <v>1</v>
      </c>
      <c r="AR1177" s="25">
        <v>1</v>
      </c>
      <c r="AS1177" s="25">
        <v>1</v>
      </c>
      <c r="AT1177" s="25">
        <v>1</v>
      </c>
      <c r="AU1177" s="25">
        <v>1</v>
      </c>
      <c r="AV1177" s="25">
        <v>1</v>
      </c>
      <c r="AW1177" s="25">
        <v>1</v>
      </c>
      <c r="AX1177" s="25">
        <v>1</v>
      </c>
      <c r="AY1177" s="25">
        <v>1</v>
      </c>
      <c r="AZ1177" s="25">
        <v>1</v>
      </c>
      <c r="BA1177" s="25">
        <v>1</v>
      </c>
      <c r="BB1177" s="25">
        <v>1</v>
      </c>
      <c r="BC1177" s="25">
        <v>1</v>
      </c>
      <c r="BD1177" s="25">
        <v>1</v>
      </c>
    </row>
    <row r="1178" spans="27:56" x14ac:dyDescent="0.25">
      <c r="AA1178" s="68" t="str">
        <f t="shared" si="73"/>
        <v>Fotos\\.jpg</v>
      </c>
      <c r="AB1178" s="53">
        <f t="shared" si="74"/>
        <v>8.4889643463497452E-4</v>
      </c>
      <c r="AC1178" s="25">
        <f t="shared" si="75"/>
        <v>1178</v>
      </c>
      <c r="AD1178" s="51">
        <f t="shared" si="76"/>
        <v>1</v>
      </c>
      <c r="AE1178" s="25">
        <v>1</v>
      </c>
      <c r="AF1178" s="25">
        <v>1</v>
      </c>
      <c r="AG1178" s="25">
        <v>1</v>
      </c>
      <c r="AH1178" s="25">
        <v>1</v>
      </c>
      <c r="AI1178" s="25">
        <f>IF(OR(Apresentação!$E$3='Base de Dados e filtragem'!AI$2,Apresentação!$E$3='Base de Dados e filtragem'!E1178),1,0)</f>
        <v>1</v>
      </c>
      <c r="AJ1178" s="25">
        <f>IF(OR(Apresentação!$E$4='Base de Dados e filtragem'!AJ$2,Apresentação!$E$4='Base de Dados e filtragem'!F1178),1,0)</f>
        <v>1</v>
      </c>
      <c r="AK1178" s="25">
        <f>IF(OR(Apresentação!$E$5='Base de Dados e filtragem'!AK$2,Apresentação!$E$5='Base de Dados e filtragem'!G1178),1,0)</f>
        <v>1</v>
      </c>
      <c r="AL1178" s="25">
        <f>IF(OR(Apresentação!$E$6='Base de Dados e filtragem'!AL$2,Apresentação!$E$6='Base de Dados e filtragem'!H1178),1,0)</f>
        <v>1</v>
      </c>
      <c r="AM1178" s="25">
        <f>IF(OR(Apresentação!$I$2='Base de Dados e filtragem'!AM$2,Apresentação!$I$2='Base de Dados e filtragem'!I1178),1,0)</f>
        <v>1</v>
      </c>
      <c r="AN1178" s="25">
        <f>IF(OR(Apresentação!$I$3='Base de Dados e filtragem'!AN$2,Apresentação!$I$3='Base de Dados e filtragem'!J1178),1,0)</f>
        <v>1</v>
      </c>
      <c r="AO1178" s="25">
        <f>IF(OR(Apresentação!$I$4='Base de Dados e filtragem'!AO$2,Apresentação!$I$4='Base de Dados e filtragem'!K1178),1,0)</f>
        <v>1</v>
      </c>
      <c r="AP1178" s="25">
        <f>IF(OR(Apresentação!$I$5='Base de Dados e filtragem'!AP$2,Apresentação!$I$5='Base de Dados e filtragem'!L1178),1,0)</f>
        <v>1</v>
      </c>
      <c r="AQ1178" s="25">
        <f>IF(OR(Apresentação!$I$6='Base de Dados e filtragem'!AQ$2,Apresentação!$I$6='Base de Dados e filtragem'!M1178),1,0)</f>
        <v>1</v>
      </c>
      <c r="AR1178" s="25">
        <v>1</v>
      </c>
      <c r="AS1178" s="25">
        <v>1</v>
      </c>
      <c r="AT1178" s="25">
        <v>1</v>
      </c>
      <c r="AU1178" s="25">
        <v>1</v>
      </c>
      <c r="AV1178" s="25">
        <v>1</v>
      </c>
      <c r="AW1178" s="25">
        <v>1</v>
      </c>
      <c r="AX1178" s="25">
        <v>1</v>
      </c>
      <c r="AY1178" s="25">
        <v>1</v>
      </c>
      <c r="AZ1178" s="25">
        <v>1</v>
      </c>
      <c r="BA1178" s="25">
        <v>1</v>
      </c>
      <c r="BB1178" s="25">
        <v>1</v>
      </c>
      <c r="BC1178" s="25">
        <v>1</v>
      </c>
      <c r="BD1178" s="25">
        <v>1</v>
      </c>
    </row>
    <row r="1179" spans="27:56" x14ac:dyDescent="0.25">
      <c r="AA1179" s="68" t="str">
        <f t="shared" si="73"/>
        <v>Fotos\\.jpg</v>
      </c>
      <c r="AB1179" s="53">
        <f t="shared" si="74"/>
        <v>8.4817642069550466E-4</v>
      </c>
      <c r="AC1179" s="25">
        <f t="shared" si="75"/>
        <v>1179</v>
      </c>
      <c r="AD1179" s="51">
        <f t="shared" si="76"/>
        <v>1</v>
      </c>
      <c r="AE1179" s="25">
        <v>1</v>
      </c>
      <c r="AF1179" s="25">
        <v>1</v>
      </c>
      <c r="AG1179" s="25">
        <v>1</v>
      </c>
      <c r="AH1179" s="25">
        <v>1</v>
      </c>
      <c r="AI1179" s="25">
        <f>IF(OR(Apresentação!$E$3='Base de Dados e filtragem'!AI$2,Apresentação!$E$3='Base de Dados e filtragem'!E1179),1,0)</f>
        <v>1</v>
      </c>
      <c r="AJ1179" s="25">
        <f>IF(OR(Apresentação!$E$4='Base de Dados e filtragem'!AJ$2,Apresentação!$E$4='Base de Dados e filtragem'!F1179),1,0)</f>
        <v>1</v>
      </c>
      <c r="AK1179" s="25">
        <f>IF(OR(Apresentação!$E$5='Base de Dados e filtragem'!AK$2,Apresentação!$E$5='Base de Dados e filtragem'!G1179),1,0)</f>
        <v>1</v>
      </c>
      <c r="AL1179" s="25">
        <f>IF(OR(Apresentação!$E$6='Base de Dados e filtragem'!AL$2,Apresentação!$E$6='Base de Dados e filtragem'!H1179),1,0)</f>
        <v>1</v>
      </c>
      <c r="AM1179" s="25">
        <f>IF(OR(Apresentação!$I$2='Base de Dados e filtragem'!AM$2,Apresentação!$I$2='Base de Dados e filtragem'!I1179),1,0)</f>
        <v>1</v>
      </c>
      <c r="AN1179" s="25">
        <f>IF(OR(Apresentação!$I$3='Base de Dados e filtragem'!AN$2,Apresentação!$I$3='Base de Dados e filtragem'!J1179),1,0)</f>
        <v>1</v>
      </c>
      <c r="AO1179" s="25">
        <f>IF(OR(Apresentação!$I$4='Base de Dados e filtragem'!AO$2,Apresentação!$I$4='Base de Dados e filtragem'!K1179),1,0)</f>
        <v>1</v>
      </c>
      <c r="AP1179" s="25">
        <f>IF(OR(Apresentação!$I$5='Base de Dados e filtragem'!AP$2,Apresentação!$I$5='Base de Dados e filtragem'!L1179),1,0)</f>
        <v>1</v>
      </c>
      <c r="AQ1179" s="25">
        <f>IF(OR(Apresentação!$I$6='Base de Dados e filtragem'!AQ$2,Apresentação!$I$6='Base de Dados e filtragem'!M1179),1,0)</f>
        <v>1</v>
      </c>
      <c r="AR1179" s="25">
        <v>1</v>
      </c>
      <c r="AS1179" s="25">
        <v>1</v>
      </c>
      <c r="AT1179" s="25">
        <v>1</v>
      </c>
      <c r="AU1179" s="25">
        <v>1</v>
      </c>
      <c r="AV1179" s="25">
        <v>1</v>
      </c>
      <c r="AW1179" s="25">
        <v>1</v>
      </c>
      <c r="AX1179" s="25">
        <v>1</v>
      </c>
      <c r="AY1179" s="25">
        <v>1</v>
      </c>
      <c r="AZ1179" s="25">
        <v>1</v>
      </c>
      <c r="BA1179" s="25">
        <v>1</v>
      </c>
      <c r="BB1179" s="25">
        <v>1</v>
      </c>
      <c r="BC1179" s="25">
        <v>1</v>
      </c>
      <c r="BD1179" s="25">
        <v>1</v>
      </c>
    </row>
    <row r="1180" spans="27:56" x14ac:dyDescent="0.25">
      <c r="AA1180" s="68" t="str">
        <f t="shared" si="73"/>
        <v>Fotos\\.jpg</v>
      </c>
      <c r="AB1180" s="53">
        <f t="shared" si="74"/>
        <v>8.4745762711864404E-4</v>
      </c>
      <c r="AC1180" s="25">
        <f t="shared" si="75"/>
        <v>1180</v>
      </c>
      <c r="AD1180" s="51">
        <f t="shared" si="76"/>
        <v>1</v>
      </c>
      <c r="AE1180" s="25">
        <v>1</v>
      </c>
      <c r="AF1180" s="25">
        <v>1</v>
      </c>
      <c r="AG1180" s="25">
        <v>1</v>
      </c>
      <c r="AH1180" s="25">
        <v>1</v>
      </c>
      <c r="AI1180" s="25">
        <f>IF(OR(Apresentação!$E$3='Base de Dados e filtragem'!AI$2,Apresentação!$E$3='Base de Dados e filtragem'!E1180),1,0)</f>
        <v>1</v>
      </c>
      <c r="AJ1180" s="25">
        <f>IF(OR(Apresentação!$E$4='Base de Dados e filtragem'!AJ$2,Apresentação!$E$4='Base de Dados e filtragem'!F1180),1,0)</f>
        <v>1</v>
      </c>
      <c r="AK1180" s="25">
        <f>IF(OR(Apresentação!$E$5='Base de Dados e filtragem'!AK$2,Apresentação!$E$5='Base de Dados e filtragem'!G1180),1,0)</f>
        <v>1</v>
      </c>
      <c r="AL1180" s="25">
        <f>IF(OR(Apresentação!$E$6='Base de Dados e filtragem'!AL$2,Apresentação!$E$6='Base de Dados e filtragem'!H1180),1,0)</f>
        <v>1</v>
      </c>
      <c r="AM1180" s="25">
        <f>IF(OR(Apresentação!$I$2='Base de Dados e filtragem'!AM$2,Apresentação!$I$2='Base de Dados e filtragem'!I1180),1,0)</f>
        <v>1</v>
      </c>
      <c r="AN1180" s="25">
        <f>IF(OR(Apresentação!$I$3='Base de Dados e filtragem'!AN$2,Apresentação!$I$3='Base de Dados e filtragem'!J1180),1,0)</f>
        <v>1</v>
      </c>
      <c r="AO1180" s="25">
        <f>IF(OR(Apresentação!$I$4='Base de Dados e filtragem'!AO$2,Apresentação!$I$4='Base de Dados e filtragem'!K1180),1,0)</f>
        <v>1</v>
      </c>
      <c r="AP1180" s="25">
        <f>IF(OR(Apresentação!$I$5='Base de Dados e filtragem'!AP$2,Apresentação!$I$5='Base de Dados e filtragem'!L1180),1,0)</f>
        <v>1</v>
      </c>
      <c r="AQ1180" s="25">
        <f>IF(OR(Apresentação!$I$6='Base de Dados e filtragem'!AQ$2,Apresentação!$I$6='Base de Dados e filtragem'!M1180),1,0)</f>
        <v>1</v>
      </c>
      <c r="AR1180" s="25">
        <v>1</v>
      </c>
      <c r="AS1180" s="25">
        <v>1</v>
      </c>
      <c r="AT1180" s="25">
        <v>1</v>
      </c>
      <c r="AU1180" s="25">
        <v>1</v>
      </c>
      <c r="AV1180" s="25">
        <v>1</v>
      </c>
      <c r="AW1180" s="25">
        <v>1</v>
      </c>
      <c r="AX1180" s="25">
        <v>1</v>
      </c>
      <c r="AY1180" s="25">
        <v>1</v>
      </c>
      <c r="AZ1180" s="25">
        <v>1</v>
      </c>
      <c r="BA1180" s="25">
        <v>1</v>
      </c>
      <c r="BB1180" s="25">
        <v>1</v>
      </c>
      <c r="BC1180" s="25">
        <v>1</v>
      </c>
      <c r="BD1180" s="25">
        <v>1</v>
      </c>
    </row>
    <row r="1181" spans="27:56" x14ac:dyDescent="0.25">
      <c r="AA1181" s="68" t="str">
        <f t="shared" si="73"/>
        <v>Fotos\\.jpg</v>
      </c>
      <c r="AB1181" s="53">
        <f t="shared" si="74"/>
        <v>8.4674005080440302E-4</v>
      </c>
      <c r="AC1181" s="25">
        <f t="shared" si="75"/>
        <v>1181</v>
      </c>
      <c r="AD1181" s="51">
        <f t="shared" si="76"/>
        <v>1</v>
      </c>
      <c r="AE1181" s="25">
        <v>1</v>
      </c>
      <c r="AF1181" s="25">
        <v>1</v>
      </c>
      <c r="AG1181" s="25">
        <v>1</v>
      </c>
      <c r="AH1181" s="25">
        <v>1</v>
      </c>
      <c r="AI1181" s="25">
        <f>IF(OR(Apresentação!$E$3='Base de Dados e filtragem'!AI$2,Apresentação!$E$3='Base de Dados e filtragem'!E1181),1,0)</f>
        <v>1</v>
      </c>
      <c r="AJ1181" s="25">
        <f>IF(OR(Apresentação!$E$4='Base de Dados e filtragem'!AJ$2,Apresentação!$E$4='Base de Dados e filtragem'!F1181),1,0)</f>
        <v>1</v>
      </c>
      <c r="AK1181" s="25">
        <f>IF(OR(Apresentação!$E$5='Base de Dados e filtragem'!AK$2,Apresentação!$E$5='Base de Dados e filtragem'!G1181),1,0)</f>
        <v>1</v>
      </c>
      <c r="AL1181" s="25">
        <f>IF(OR(Apresentação!$E$6='Base de Dados e filtragem'!AL$2,Apresentação!$E$6='Base de Dados e filtragem'!H1181),1,0)</f>
        <v>1</v>
      </c>
      <c r="AM1181" s="25">
        <f>IF(OR(Apresentação!$I$2='Base de Dados e filtragem'!AM$2,Apresentação!$I$2='Base de Dados e filtragem'!I1181),1,0)</f>
        <v>1</v>
      </c>
      <c r="AN1181" s="25">
        <f>IF(OR(Apresentação!$I$3='Base de Dados e filtragem'!AN$2,Apresentação!$I$3='Base de Dados e filtragem'!J1181),1,0)</f>
        <v>1</v>
      </c>
      <c r="AO1181" s="25">
        <f>IF(OR(Apresentação!$I$4='Base de Dados e filtragem'!AO$2,Apresentação!$I$4='Base de Dados e filtragem'!K1181),1,0)</f>
        <v>1</v>
      </c>
      <c r="AP1181" s="25">
        <f>IF(OR(Apresentação!$I$5='Base de Dados e filtragem'!AP$2,Apresentação!$I$5='Base de Dados e filtragem'!L1181),1,0)</f>
        <v>1</v>
      </c>
      <c r="AQ1181" s="25">
        <f>IF(OR(Apresentação!$I$6='Base de Dados e filtragem'!AQ$2,Apresentação!$I$6='Base de Dados e filtragem'!M1181),1,0)</f>
        <v>1</v>
      </c>
      <c r="AR1181" s="25">
        <v>1</v>
      </c>
      <c r="AS1181" s="25">
        <v>1</v>
      </c>
      <c r="AT1181" s="25">
        <v>1</v>
      </c>
      <c r="AU1181" s="25">
        <v>1</v>
      </c>
      <c r="AV1181" s="25">
        <v>1</v>
      </c>
      <c r="AW1181" s="25">
        <v>1</v>
      </c>
      <c r="AX1181" s="25">
        <v>1</v>
      </c>
      <c r="AY1181" s="25">
        <v>1</v>
      </c>
      <c r="AZ1181" s="25">
        <v>1</v>
      </c>
      <c r="BA1181" s="25">
        <v>1</v>
      </c>
      <c r="BB1181" s="25">
        <v>1</v>
      </c>
      <c r="BC1181" s="25">
        <v>1</v>
      </c>
      <c r="BD1181" s="25">
        <v>1</v>
      </c>
    </row>
    <row r="1182" spans="27:56" x14ac:dyDescent="0.25">
      <c r="AA1182" s="68" t="str">
        <f t="shared" si="73"/>
        <v>Fotos\\.jpg</v>
      </c>
      <c r="AB1182" s="53">
        <f t="shared" si="74"/>
        <v>8.4602368866328254E-4</v>
      </c>
      <c r="AC1182" s="25">
        <f t="shared" si="75"/>
        <v>1182</v>
      </c>
      <c r="AD1182" s="51">
        <f t="shared" si="76"/>
        <v>1</v>
      </c>
      <c r="AE1182" s="25">
        <v>1</v>
      </c>
      <c r="AF1182" s="25">
        <v>1</v>
      </c>
      <c r="AG1182" s="25">
        <v>1</v>
      </c>
      <c r="AH1182" s="25">
        <v>1</v>
      </c>
      <c r="AI1182" s="25">
        <f>IF(OR(Apresentação!$E$3='Base de Dados e filtragem'!AI$2,Apresentação!$E$3='Base de Dados e filtragem'!E1182),1,0)</f>
        <v>1</v>
      </c>
      <c r="AJ1182" s="25">
        <f>IF(OR(Apresentação!$E$4='Base de Dados e filtragem'!AJ$2,Apresentação!$E$4='Base de Dados e filtragem'!F1182),1,0)</f>
        <v>1</v>
      </c>
      <c r="AK1182" s="25">
        <f>IF(OR(Apresentação!$E$5='Base de Dados e filtragem'!AK$2,Apresentação!$E$5='Base de Dados e filtragem'!G1182),1,0)</f>
        <v>1</v>
      </c>
      <c r="AL1182" s="25">
        <f>IF(OR(Apresentação!$E$6='Base de Dados e filtragem'!AL$2,Apresentação!$E$6='Base de Dados e filtragem'!H1182),1,0)</f>
        <v>1</v>
      </c>
      <c r="AM1182" s="25">
        <f>IF(OR(Apresentação!$I$2='Base de Dados e filtragem'!AM$2,Apresentação!$I$2='Base de Dados e filtragem'!I1182),1,0)</f>
        <v>1</v>
      </c>
      <c r="AN1182" s="25">
        <f>IF(OR(Apresentação!$I$3='Base de Dados e filtragem'!AN$2,Apresentação!$I$3='Base de Dados e filtragem'!J1182),1,0)</f>
        <v>1</v>
      </c>
      <c r="AO1182" s="25">
        <f>IF(OR(Apresentação!$I$4='Base de Dados e filtragem'!AO$2,Apresentação!$I$4='Base de Dados e filtragem'!K1182),1,0)</f>
        <v>1</v>
      </c>
      <c r="AP1182" s="25">
        <f>IF(OR(Apresentação!$I$5='Base de Dados e filtragem'!AP$2,Apresentação!$I$5='Base de Dados e filtragem'!L1182),1,0)</f>
        <v>1</v>
      </c>
      <c r="AQ1182" s="25">
        <f>IF(OR(Apresentação!$I$6='Base de Dados e filtragem'!AQ$2,Apresentação!$I$6='Base de Dados e filtragem'!M1182),1,0)</f>
        <v>1</v>
      </c>
      <c r="AR1182" s="25">
        <v>1</v>
      </c>
      <c r="AS1182" s="25">
        <v>1</v>
      </c>
      <c r="AT1182" s="25">
        <v>1</v>
      </c>
      <c r="AU1182" s="25">
        <v>1</v>
      </c>
      <c r="AV1182" s="25">
        <v>1</v>
      </c>
      <c r="AW1182" s="25">
        <v>1</v>
      </c>
      <c r="AX1182" s="25">
        <v>1</v>
      </c>
      <c r="AY1182" s="25">
        <v>1</v>
      </c>
      <c r="AZ1182" s="25">
        <v>1</v>
      </c>
      <c r="BA1182" s="25">
        <v>1</v>
      </c>
      <c r="BB1182" s="25">
        <v>1</v>
      </c>
      <c r="BC1182" s="25">
        <v>1</v>
      </c>
      <c r="BD1182" s="25">
        <v>1</v>
      </c>
    </row>
    <row r="1183" spans="27:56" x14ac:dyDescent="0.25">
      <c r="AA1183" s="68" t="str">
        <f t="shared" si="73"/>
        <v>Fotos\\.jpg</v>
      </c>
      <c r="AB1183" s="53">
        <f t="shared" si="74"/>
        <v>8.4530853761622987E-4</v>
      </c>
      <c r="AC1183" s="25">
        <f t="shared" si="75"/>
        <v>1183</v>
      </c>
      <c r="AD1183" s="51">
        <f t="shared" si="76"/>
        <v>1</v>
      </c>
      <c r="AE1183" s="25">
        <v>1</v>
      </c>
      <c r="AF1183" s="25">
        <v>1</v>
      </c>
      <c r="AG1183" s="25">
        <v>1</v>
      </c>
      <c r="AH1183" s="25">
        <v>1</v>
      </c>
      <c r="AI1183" s="25">
        <f>IF(OR(Apresentação!$E$3='Base de Dados e filtragem'!AI$2,Apresentação!$E$3='Base de Dados e filtragem'!E1183),1,0)</f>
        <v>1</v>
      </c>
      <c r="AJ1183" s="25">
        <f>IF(OR(Apresentação!$E$4='Base de Dados e filtragem'!AJ$2,Apresentação!$E$4='Base de Dados e filtragem'!F1183),1,0)</f>
        <v>1</v>
      </c>
      <c r="AK1183" s="25">
        <f>IF(OR(Apresentação!$E$5='Base de Dados e filtragem'!AK$2,Apresentação!$E$5='Base de Dados e filtragem'!G1183),1,0)</f>
        <v>1</v>
      </c>
      <c r="AL1183" s="25">
        <f>IF(OR(Apresentação!$E$6='Base de Dados e filtragem'!AL$2,Apresentação!$E$6='Base de Dados e filtragem'!H1183),1,0)</f>
        <v>1</v>
      </c>
      <c r="AM1183" s="25">
        <f>IF(OR(Apresentação!$I$2='Base de Dados e filtragem'!AM$2,Apresentação!$I$2='Base de Dados e filtragem'!I1183),1,0)</f>
        <v>1</v>
      </c>
      <c r="AN1183" s="25">
        <f>IF(OR(Apresentação!$I$3='Base de Dados e filtragem'!AN$2,Apresentação!$I$3='Base de Dados e filtragem'!J1183),1,0)</f>
        <v>1</v>
      </c>
      <c r="AO1183" s="25">
        <f>IF(OR(Apresentação!$I$4='Base de Dados e filtragem'!AO$2,Apresentação!$I$4='Base de Dados e filtragem'!K1183),1,0)</f>
        <v>1</v>
      </c>
      <c r="AP1183" s="25">
        <f>IF(OR(Apresentação!$I$5='Base de Dados e filtragem'!AP$2,Apresentação!$I$5='Base de Dados e filtragem'!L1183),1,0)</f>
        <v>1</v>
      </c>
      <c r="AQ1183" s="25">
        <f>IF(OR(Apresentação!$I$6='Base de Dados e filtragem'!AQ$2,Apresentação!$I$6='Base de Dados e filtragem'!M1183),1,0)</f>
        <v>1</v>
      </c>
      <c r="AR1183" s="25">
        <v>1</v>
      </c>
      <c r="AS1183" s="25">
        <v>1</v>
      </c>
      <c r="AT1183" s="25">
        <v>1</v>
      </c>
      <c r="AU1183" s="25">
        <v>1</v>
      </c>
      <c r="AV1183" s="25">
        <v>1</v>
      </c>
      <c r="AW1183" s="25">
        <v>1</v>
      </c>
      <c r="AX1183" s="25">
        <v>1</v>
      </c>
      <c r="AY1183" s="25">
        <v>1</v>
      </c>
      <c r="AZ1183" s="25">
        <v>1</v>
      </c>
      <c r="BA1183" s="25">
        <v>1</v>
      </c>
      <c r="BB1183" s="25">
        <v>1</v>
      </c>
      <c r="BC1183" s="25">
        <v>1</v>
      </c>
      <c r="BD1183" s="25">
        <v>1</v>
      </c>
    </row>
    <row r="1184" spans="27:56" x14ac:dyDescent="0.25">
      <c r="AA1184" s="68" t="str">
        <f t="shared" si="73"/>
        <v>Fotos\\.jpg</v>
      </c>
      <c r="AB1184" s="53">
        <f t="shared" si="74"/>
        <v>8.4459459459459464E-4</v>
      </c>
      <c r="AC1184" s="25">
        <f t="shared" si="75"/>
        <v>1184</v>
      </c>
      <c r="AD1184" s="51">
        <f t="shared" si="76"/>
        <v>1</v>
      </c>
      <c r="AE1184" s="25">
        <v>1</v>
      </c>
      <c r="AF1184" s="25">
        <v>1</v>
      </c>
      <c r="AG1184" s="25">
        <v>1</v>
      </c>
      <c r="AH1184" s="25">
        <v>1</v>
      </c>
      <c r="AI1184" s="25">
        <f>IF(OR(Apresentação!$E$3='Base de Dados e filtragem'!AI$2,Apresentação!$E$3='Base de Dados e filtragem'!E1184),1,0)</f>
        <v>1</v>
      </c>
      <c r="AJ1184" s="25">
        <f>IF(OR(Apresentação!$E$4='Base de Dados e filtragem'!AJ$2,Apresentação!$E$4='Base de Dados e filtragem'!F1184),1,0)</f>
        <v>1</v>
      </c>
      <c r="AK1184" s="25">
        <f>IF(OR(Apresentação!$E$5='Base de Dados e filtragem'!AK$2,Apresentação!$E$5='Base de Dados e filtragem'!G1184),1,0)</f>
        <v>1</v>
      </c>
      <c r="AL1184" s="25">
        <f>IF(OR(Apresentação!$E$6='Base de Dados e filtragem'!AL$2,Apresentação!$E$6='Base de Dados e filtragem'!H1184),1,0)</f>
        <v>1</v>
      </c>
      <c r="AM1184" s="25">
        <f>IF(OR(Apresentação!$I$2='Base de Dados e filtragem'!AM$2,Apresentação!$I$2='Base de Dados e filtragem'!I1184),1,0)</f>
        <v>1</v>
      </c>
      <c r="AN1184" s="25">
        <f>IF(OR(Apresentação!$I$3='Base de Dados e filtragem'!AN$2,Apresentação!$I$3='Base de Dados e filtragem'!J1184),1,0)</f>
        <v>1</v>
      </c>
      <c r="AO1184" s="25">
        <f>IF(OR(Apresentação!$I$4='Base de Dados e filtragem'!AO$2,Apresentação!$I$4='Base de Dados e filtragem'!K1184),1,0)</f>
        <v>1</v>
      </c>
      <c r="AP1184" s="25">
        <f>IF(OR(Apresentação!$I$5='Base de Dados e filtragem'!AP$2,Apresentação!$I$5='Base de Dados e filtragem'!L1184),1,0)</f>
        <v>1</v>
      </c>
      <c r="AQ1184" s="25">
        <f>IF(OR(Apresentação!$I$6='Base de Dados e filtragem'!AQ$2,Apresentação!$I$6='Base de Dados e filtragem'!M1184),1,0)</f>
        <v>1</v>
      </c>
      <c r="AR1184" s="25">
        <v>1</v>
      </c>
      <c r="AS1184" s="25">
        <v>1</v>
      </c>
      <c r="AT1184" s="25">
        <v>1</v>
      </c>
      <c r="AU1184" s="25">
        <v>1</v>
      </c>
      <c r="AV1184" s="25">
        <v>1</v>
      </c>
      <c r="AW1184" s="25">
        <v>1</v>
      </c>
      <c r="AX1184" s="25">
        <v>1</v>
      </c>
      <c r="AY1184" s="25">
        <v>1</v>
      </c>
      <c r="AZ1184" s="25">
        <v>1</v>
      </c>
      <c r="BA1184" s="25">
        <v>1</v>
      </c>
      <c r="BB1184" s="25">
        <v>1</v>
      </c>
      <c r="BC1184" s="25">
        <v>1</v>
      </c>
      <c r="BD1184" s="25">
        <v>1</v>
      </c>
    </row>
    <row r="1185" spans="27:56" x14ac:dyDescent="0.25">
      <c r="AA1185" s="68" t="str">
        <f t="shared" si="73"/>
        <v>Fotos\\.jpg</v>
      </c>
      <c r="AB1185" s="53">
        <f t="shared" si="74"/>
        <v>8.438818565400844E-4</v>
      </c>
      <c r="AC1185" s="25">
        <f t="shared" si="75"/>
        <v>1185</v>
      </c>
      <c r="AD1185" s="51">
        <f t="shared" si="76"/>
        <v>1</v>
      </c>
      <c r="AE1185" s="25">
        <v>1</v>
      </c>
      <c r="AF1185" s="25">
        <v>1</v>
      </c>
      <c r="AG1185" s="25">
        <v>1</v>
      </c>
      <c r="AH1185" s="25">
        <v>1</v>
      </c>
      <c r="AI1185" s="25">
        <f>IF(OR(Apresentação!$E$3='Base de Dados e filtragem'!AI$2,Apresentação!$E$3='Base de Dados e filtragem'!E1185),1,0)</f>
        <v>1</v>
      </c>
      <c r="AJ1185" s="25">
        <f>IF(OR(Apresentação!$E$4='Base de Dados e filtragem'!AJ$2,Apresentação!$E$4='Base de Dados e filtragem'!F1185),1,0)</f>
        <v>1</v>
      </c>
      <c r="AK1185" s="25">
        <f>IF(OR(Apresentação!$E$5='Base de Dados e filtragem'!AK$2,Apresentação!$E$5='Base de Dados e filtragem'!G1185),1,0)</f>
        <v>1</v>
      </c>
      <c r="AL1185" s="25">
        <f>IF(OR(Apresentação!$E$6='Base de Dados e filtragem'!AL$2,Apresentação!$E$6='Base de Dados e filtragem'!H1185),1,0)</f>
        <v>1</v>
      </c>
      <c r="AM1185" s="25">
        <f>IF(OR(Apresentação!$I$2='Base de Dados e filtragem'!AM$2,Apresentação!$I$2='Base de Dados e filtragem'!I1185),1,0)</f>
        <v>1</v>
      </c>
      <c r="AN1185" s="25">
        <f>IF(OR(Apresentação!$I$3='Base de Dados e filtragem'!AN$2,Apresentação!$I$3='Base de Dados e filtragem'!J1185),1,0)</f>
        <v>1</v>
      </c>
      <c r="AO1185" s="25">
        <f>IF(OR(Apresentação!$I$4='Base de Dados e filtragem'!AO$2,Apresentação!$I$4='Base de Dados e filtragem'!K1185),1,0)</f>
        <v>1</v>
      </c>
      <c r="AP1185" s="25">
        <f>IF(OR(Apresentação!$I$5='Base de Dados e filtragem'!AP$2,Apresentação!$I$5='Base de Dados e filtragem'!L1185),1,0)</f>
        <v>1</v>
      </c>
      <c r="AQ1185" s="25">
        <f>IF(OR(Apresentação!$I$6='Base de Dados e filtragem'!AQ$2,Apresentação!$I$6='Base de Dados e filtragem'!M1185),1,0)</f>
        <v>1</v>
      </c>
      <c r="AR1185" s="25">
        <v>1</v>
      </c>
      <c r="AS1185" s="25">
        <v>1</v>
      </c>
      <c r="AT1185" s="25">
        <v>1</v>
      </c>
      <c r="AU1185" s="25">
        <v>1</v>
      </c>
      <c r="AV1185" s="25">
        <v>1</v>
      </c>
      <c r="AW1185" s="25">
        <v>1</v>
      </c>
      <c r="AX1185" s="25">
        <v>1</v>
      </c>
      <c r="AY1185" s="25">
        <v>1</v>
      </c>
      <c r="AZ1185" s="25">
        <v>1</v>
      </c>
      <c r="BA1185" s="25">
        <v>1</v>
      </c>
      <c r="BB1185" s="25">
        <v>1</v>
      </c>
      <c r="BC1185" s="25">
        <v>1</v>
      </c>
      <c r="BD1185" s="25">
        <v>1</v>
      </c>
    </row>
    <row r="1186" spans="27:56" x14ac:dyDescent="0.25">
      <c r="AA1186" s="68" t="str">
        <f t="shared" si="73"/>
        <v>Fotos\\.jpg</v>
      </c>
      <c r="AB1186" s="53">
        <f t="shared" si="74"/>
        <v>8.4317032040472171E-4</v>
      </c>
      <c r="AC1186" s="25">
        <f t="shared" si="75"/>
        <v>1186</v>
      </c>
      <c r="AD1186" s="51">
        <f t="shared" si="76"/>
        <v>1</v>
      </c>
      <c r="AE1186" s="25">
        <v>1</v>
      </c>
      <c r="AF1186" s="25">
        <v>1</v>
      </c>
      <c r="AG1186" s="25">
        <v>1</v>
      </c>
      <c r="AH1186" s="25">
        <v>1</v>
      </c>
      <c r="AI1186" s="25">
        <f>IF(OR(Apresentação!$E$3='Base de Dados e filtragem'!AI$2,Apresentação!$E$3='Base de Dados e filtragem'!E1186),1,0)</f>
        <v>1</v>
      </c>
      <c r="AJ1186" s="25">
        <f>IF(OR(Apresentação!$E$4='Base de Dados e filtragem'!AJ$2,Apresentação!$E$4='Base de Dados e filtragem'!F1186),1,0)</f>
        <v>1</v>
      </c>
      <c r="AK1186" s="25">
        <f>IF(OR(Apresentação!$E$5='Base de Dados e filtragem'!AK$2,Apresentação!$E$5='Base de Dados e filtragem'!G1186),1,0)</f>
        <v>1</v>
      </c>
      <c r="AL1186" s="25">
        <f>IF(OR(Apresentação!$E$6='Base de Dados e filtragem'!AL$2,Apresentação!$E$6='Base de Dados e filtragem'!H1186),1,0)</f>
        <v>1</v>
      </c>
      <c r="AM1186" s="25">
        <f>IF(OR(Apresentação!$I$2='Base de Dados e filtragem'!AM$2,Apresentação!$I$2='Base de Dados e filtragem'!I1186),1,0)</f>
        <v>1</v>
      </c>
      <c r="AN1186" s="25">
        <f>IF(OR(Apresentação!$I$3='Base de Dados e filtragem'!AN$2,Apresentação!$I$3='Base de Dados e filtragem'!J1186),1,0)</f>
        <v>1</v>
      </c>
      <c r="AO1186" s="25">
        <f>IF(OR(Apresentação!$I$4='Base de Dados e filtragem'!AO$2,Apresentação!$I$4='Base de Dados e filtragem'!K1186),1,0)</f>
        <v>1</v>
      </c>
      <c r="AP1186" s="25">
        <f>IF(OR(Apresentação!$I$5='Base de Dados e filtragem'!AP$2,Apresentação!$I$5='Base de Dados e filtragem'!L1186),1,0)</f>
        <v>1</v>
      </c>
      <c r="AQ1186" s="25">
        <f>IF(OR(Apresentação!$I$6='Base de Dados e filtragem'!AQ$2,Apresentação!$I$6='Base de Dados e filtragem'!M1186),1,0)</f>
        <v>1</v>
      </c>
      <c r="AR1186" s="25">
        <v>1</v>
      </c>
      <c r="AS1186" s="25">
        <v>1</v>
      </c>
      <c r="AT1186" s="25">
        <v>1</v>
      </c>
      <c r="AU1186" s="25">
        <v>1</v>
      </c>
      <c r="AV1186" s="25">
        <v>1</v>
      </c>
      <c r="AW1186" s="25">
        <v>1</v>
      </c>
      <c r="AX1186" s="25">
        <v>1</v>
      </c>
      <c r="AY1186" s="25">
        <v>1</v>
      </c>
      <c r="AZ1186" s="25">
        <v>1</v>
      </c>
      <c r="BA1186" s="25">
        <v>1</v>
      </c>
      <c r="BB1186" s="25">
        <v>1</v>
      </c>
      <c r="BC1186" s="25">
        <v>1</v>
      </c>
      <c r="BD1186" s="25">
        <v>1</v>
      </c>
    </row>
    <row r="1187" spans="27:56" x14ac:dyDescent="0.25">
      <c r="AA1187" s="68" t="str">
        <f t="shared" si="73"/>
        <v>Fotos\\.jpg</v>
      </c>
      <c r="AB1187" s="53">
        <f t="shared" si="74"/>
        <v>8.4245998315080029E-4</v>
      </c>
      <c r="AC1187" s="25">
        <f t="shared" si="75"/>
        <v>1187</v>
      </c>
      <c r="AD1187" s="51">
        <f t="shared" si="76"/>
        <v>1</v>
      </c>
      <c r="AE1187" s="25">
        <v>1</v>
      </c>
      <c r="AF1187" s="25">
        <v>1</v>
      </c>
      <c r="AG1187" s="25">
        <v>1</v>
      </c>
      <c r="AH1187" s="25">
        <v>1</v>
      </c>
      <c r="AI1187" s="25">
        <f>IF(OR(Apresentação!$E$3='Base de Dados e filtragem'!AI$2,Apresentação!$E$3='Base de Dados e filtragem'!E1187),1,0)</f>
        <v>1</v>
      </c>
      <c r="AJ1187" s="25">
        <f>IF(OR(Apresentação!$E$4='Base de Dados e filtragem'!AJ$2,Apresentação!$E$4='Base de Dados e filtragem'!F1187),1,0)</f>
        <v>1</v>
      </c>
      <c r="AK1187" s="25">
        <f>IF(OR(Apresentação!$E$5='Base de Dados e filtragem'!AK$2,Apresentação!$E$5='Base de Dados e filtragem'!G1187),1,0)</f>
        <v>1</v>
      </c>
      <c r="AL1187" s="25">
        <f>IF(OR(Apresentação!$E$6='Base de Dados e filtragem'!AL$2,Apresentação!$E$6='Base de Dados e filtragem'!H1187),1,0)</f>
        <v>1</v>
      </c>
      <c r="AM1187" s="25">
        <f>IF(OR(Apresentação!$I$2='Base de Dados e filtragem'!AM$2,Apresentação!$I$2='Base de Dados e filtragem'!I1187),1,0)</f>
        <v>1</v>
      </c>
      <c r="AN1187" s="25">
        <f>IF(OR(Apresentação!$I$3='Base de Dados e filtragem'!AN$2,Apresentação!$I$3='Base de Dados e filtragem'!J1187),1,0)</f>
        <v>1</v>
      </c>
      <c r="AO1187" s="25">
        <f>IF(OR(Apresentação!$I$4='Base de Dados e filtragem'!AO$2,Apresentação!$I$4='Base de Dados e filtragem'!K1187),1,0)</f>
        <v>1</v>
      </c>
      <c r="AP1187" s="25">
        <f>IF(OR(Apresentação!$I$5='Base de Dados e filtragem'!AP$2,Apresentação!$I$5='Base de Dados e filtragem'!L1187),1,0)</f>
        <v>1</v>
      </c>
      <c r="AQ1187" s="25">
        <f>IF(OR(Apresentação!$I$6='Base de Dados e filtragem'!AQ$2,Apresentação!$I$6='Base de Dados e filtragem'!M1187),1,0)</f>
        <v>1</v>
      </c>
      <c r="AR1187" s="25">
        <v>1</v>
      </c>
      <c r="AS1187" s="25">
        <v>1</v>
      </c>
      <c r="AT1187" s="25">
        <v>1</v>
      </c>
      <c r="AU1187" s="25">
        <v>1</v>
      </c>
      <c r="AV1187" s="25">
        <v>1</v>
      </c>
      <c r="AW1187" s="25">
        <v>1</v>
      </c>
      <c r="AX1187" s="25">
        <v>1</v>
      </c>
      <c r="AY1187" s="25">
        <v>1</v>
      </c>
      <c r="AZ1187" s="25">
        <v>1</v>
      </c>
      <c r="BA1187" s="25">
        <v>1</v>
      </c>
      <c r="BB1187" s="25">
        <v>1</v>
      </c>
      <c r="BC1187" s="25">
        <v>1</v>
      </c>
      <c r="BD1187" s="25">
        <v>1</v>
      </c>
    </row>
    <row r="1188" spans="27:56" x14ac:dyDescent="0.25">
      <c r="AA1188" s="68" t="str">
        <f t="shared" si="73"/>
        <v>Fotos\\.jpg</v>
      </c>
      <c r="AB1188" s="53">
        <f t="shared" si="74"/>
        <v>8.4175084175084171E-4</v>
      </c>
      <c r="AC1188" s="25">
        <f t="shared" si="75"/>
        <v>1188</v>
      </c>
      <c r="AD1188" s="51">
        <f t="shared" si="76"/>
        <v>1</v>
      </c>
      <c r="AE1188" s="25">
        <v>1</v>
      </c>
      <c r="AF1188" s="25">
        <v>1</v>
      </c>
      <c r="AG1188" s="25">
        <v>1</v>
      </c>
      <c r="AH1188" s="25">
        <v>1</v>
      </c>
      <c r="AI1188" s="25">
        <f>IF(OR(Apresentação!$E$3='Base de Dados e filtragem'!AI$2,Apresentação!$E$3='Base de Dados e filtragem'!E1188),1,0)</f>
        <v>1</v>
      </c>
      <c r="AJ1188" s="25">
        <f>IF(OR(Apresentação!$E$4='Base de Dados e filtragem'!AJ$2,Apresentação!$E$4='Base de Dados e filtragem'!F1188),1,0)</f>
        <v>1</v>
      </c>
      <c r="AK1188" s="25">
        <f>IF(OR(Apresentação!$E$5='Base de Dados e filtragem'!AK$2,Apresentação!$E$5='Base de Dados e filtragem'!G1188),1,0)</f>
        <v>1</v>
      </c>
      <c r="AL1188" s="25">
        <f>IF(OR(Apresentação!$E$6='Base de Dados e filtragem'!AL$2,Apresentação!$E$6='Base de Dados e filtragem'!H1188),1,0)</f>
        <v>1</v>
      </c>
      <c r="AM1188" s="25">
        <f>IF(OR(Apresentação!$I$2='Base de Dados e filtragem'!AM$2,Apresentação!$I$2='Base de Dados e filtragem'!I1188),1,0)</f>
        <v>1</v>
      </c>
      <c r="AN1188" s="25">
        <f>IF(OR(Apresentação!$I$3='Base de Dados e filtragem'!AN$2,Apresentação!$I$3='Base de Dados e filtragem'!J1188),1,0)</f>
        <v>1</v>
      </c>
      <c r="AO1188" s="25">
        <f>IF(OR(Apresentação!$I$4='Base de Dados e filtragem'!AO$2,Apresentação!$I$4='Base de Dados e filtragem'!K1188),1,0)</f>
        <v>1</v>
      </c>
      <c r="AP1188" s="25">
        <f>IF(OR(Apresentação!$I$5='Base de Dados e filtragem'!AP$2,Apresentação!$I$5='Base de Dados e filtragem'!L1188),1,0)</f>
        <v>1</v>
      </c>
      <c r="AQ1188" s="25">
        <f>IF(OR(Apresentação!$I$6='Base de Dados e filtragem'!AQ$2,Apresentação!$I$6='Base de Dados e filtragem'!M1188),1,0)</f>
        <v>1</v>
      </c>
      <c r="AR1188" s="25">
        <v>1</v>
      </c>
      <c r="AS1188" s="25">
        <v>1</v>
      </c>
      <c r="AT1188" s="25">
        <v>1</v>
      </c>
      <c r="AU1188" s="25">
        <v>1</v>
      </c>
      <c r="AV1188" s="25">
        <v>1</v>
      </c>
      <c r="AW1188" s="25">
        <v>1</v>
      </c>
      <c r="AX1188" s="25">
        <v>1</v>
      </c>
      <c r="AY1188" s="25">
        <v>1</v>
      </c>
      <c r="AZ1188" s="25">
        <v>1</v>
      </c>
      <c r="BA1188" s="25">
        <v>1</v>
      </c>
      <c r="BB1188" s="25">
        <v>1</v>
      </c>
      <c r="BC1188" s="25">
        <v>1</v>
      </c>
      <c r="BD1188" s="25">
        <v>1</v>
      </c>
    </row>
    <row r="1189" spans="27:56" x14ac:dyDescent="0.25">
      <c r="AA1189" s="68" t="str">
        <f t="shared" si="73"/>
        <v>Fotos\\.jpg</v>
      </c>
      <c r="AB1189" s="53">
        <f t="shared" si="74"/>
        <v>8.4104289318755253E-4</v>
      </c>
      <c r="AC1189" s="25">
        <f t="shared" si="75"/>
        <v>1189</v>
      </c>
      <c r="AD1189" s="51">
        <f t="shared" si="76"/>
        <v>1</v>
      </c>
      <c r="AE1189" s="25">
        <v>1</v>
      </c>
      <c r="AF1189" s="25">
        <v>1</v>
      </c>
      <c r="AG1189" s="25">
        <v>1</v>
      </c>
      <c r="AH1189" s="25">
        <v>1</v>
      </c>
      <c r="AI1189" s="25">
        <f>IF(OR(Apresentação!$E$3='Base de Dados e filtragem'!AI$2,Apresentação!$E$3='Base de Dados e filtragem'!E1189),1,0)</f>
        <v>1</v>
      </c>
      <c r="AJ1189" s="25">
        <f>IF(OR(Apresentação!$E$4='Base de Dados e filtragem'!AJ$2,Apresentação!$E$4='Base de Dados e filtragem'!F1189),1,0)</f>
        <v>1</v>
      </c>
      <c r="AK1189" s="25">
        <f>IF(OR(Apresentação!$E$5='Base de Dados e filtragem'!AK$2,Apresentação!$E$5='Base de Dados e filtragem'!G1189),1,0)</f>
        <v>1</v>
      </c>
      <c r="AL1189" s="25">
        <f>IF(OR(Apresentação!$E$6='Base de Dados e filtragem'!AL$2,Apresentação!$E$6='Base de Dados e filtragem'!H1189),1,0)</f>
        <v>1</v>
      </c>
      <c r="AM1189" s="25">
        <f>IF(OR(Apresentação!$I$2='Base de Dados e filtragem'!AM$2,Apresentação!$I$2='Base de Dados e filtragem'!I1189),1,0)</f>
        <v>1</v>
      </c>
      <c r="AN1189" s="25">
        <f>IF(OR(Apresentação!$I$3='Base de Dados e filtragem'!AN$2,Apresentação!$I$3='Base de Dados e filtragem'!J1189),1,0)</f>
        <v>1</v>
      </c>
      <c r="AO1189" s="25">
        <f>IF(OR(Apresentação!$I$4='Base de Dados e filtragem'!AO$2,Apresentação!$I$4='Base de Dados e filtragem'!K1189),1,0)</f>
        <v>1</v>
      </c>
      <c r="AP1189" s="25">
        <f>IF(OR(Apresentação!$I$5='Base de Dados e filtragem'!AP$2,Apresentação!$I$5='Base de Dados e filtragem'!L1189),1,0)</f>
        <v>1</v>
      </c>
      <c r="AQ1189" s="25">
        <f>IF(OR(Apresentação!$I$6='Base de Dados e filtragem'!AQ$2,Apresentação!$I$6='Base de Dados e filtragem'!M1189),1,0)</f>
        <v>1</v>
      </c>
      <c r="AR1189" s="25">
        <v>1</v>
      </c>
      <c r="AS1189" s="25">
        <v>1</v>
      </c>
      <c r="AT1189" s="25">
        <v>1</v>
      </c>
      <c r="AU1189" s="25">
        <v>1</v>
      </c>
      <c r="AV1189" s="25">
        <v>1</v>
      </c>
      <c r="AW1189" s="25">
        <v>1</v>
      </c>
      <c r="AX1189" s="25">
        <v>1</v>
      </c>
      <c r="AY1189" s="25">
        <v>1</v>
      </c>
      <c r="AZ1189" s="25">
        <v>1</v>
      </c>
      <c r="BA1189" s="25">
        <v>1</v>
      </c>
      <c r="BB1189" s="25">
        <v>1</v>
      </c>
      <c r="BC1189" s="25">
        <v>1</v>
      </c>
      <c r="BD1189" s="25">
        <v>1</v>
      </c>
    </row>
    <row r="1190" spans="27:56" x14ac:dyDescent="0.25">
      <c r="AA1190" s="68" t="str">
        <f t="shared" si="73"/>
        <v>Fotos\\.jpg</v>
      </c>
      <c r="AB1190" s="53">
        <f t="shared" si="74"/>
        <v>8.4033613445378156E-4</v>
      </c>
      <c r="AC1190" s="25">
        <f t="shared" si="75"/>
        <v>1190</v>
      </c>
      <c r="AD1190" s="51">
        <f t="shared" si="76"/>
        <v>1</v>
      </c>
      <c r="AE1190" s="25">
        <v>1</v>
      </c>
      <c r="AF1190" s="25">
        <v>1</v>
      </c>
      <c r="AG1190" s="25">
        <v>1</v>
      </c>
      <c r="AH1190" s="25">
        <v>1</v>
      </c>
      <c r="AI1190" s="25">
        <f>IF(OR(Apresentação!$E$3='Base de Dados e filtragem'!AI$2,Apresentação!$E$3='Base de Dados e filtragem'!E1190),1,0)</f>
        <v>1</v>
      </c>
      <c r="AJ1190" s="25">
        <f>IF(OR(Apresentação!$E$4='Base de Dados e filtragem'!AJ$2,Apresentação!$E$4='Base de Dados e filtragem'!F1190),1,0)</f>
        <v>1</v>
      </c>
      <c r="AK1190" s="25">
        <f>IF(OR(Apresentação!$E$5='Base de Dados e filtragem'!AK$2,Apresentação!$E$5='Base de Dados e filtragem'!G1190),1,0)</f>
        <v>1</v>
      </c>
      <c r="AL1190" s="25">
        <f>IF(OR(Apresentação!$E$6='Base de Dados e filtragem'!AL$2,Apresentação!$E$6='Base de Dados e filtragem'!H1190),1,0)</f>
        <v>1</v>
      </c>
      <c r="AM1190" s="25">
        <f>IF(OR(Apresentação!$I$2='Base de Dados e filtragem'!AM$2,Apresentação!$I$2='Base de Dados e filtragem'!I1190),1,0)</f>
        <v>1</v>
      </c>
      <c r="AN1190" s="25">
        <f>IF(OR(Apresentação!$I$3='Base de Dados e filtragem'!AN$2,Apresentação!$I$3='Base de Dados e filtragem'!J1190),1,0)</f>
        <v>1</v>
      </c>
      <c r="AO1190" s="25">
        <f>IF(OR(Apresentação!$I$4='Base de Dados e filtragem'!AO$2,Apresentação!$I$4='Base de Dados e filtragem'!K1190),1,0)</f>
        <v>1</v>
      </c>
      <c r="AP1190" s="25">
        <f>IF(OR(Apresentação!$I$5='Base de Dados e filtragem'!AP$2,Apresentação!$I$5='Base de Dados e filtragem'!L1190),1,0)</f>
        <v>1</v>
      </c>
      <c r="AQ1190" s="25">
        <f>IF(OR(Apresentação!$I$6='Base de Dados e filtragem'!AQ$2,Apresentação!$I$6='Base de Dados e filtragem'!M1190),1,0)</f>
        <v>1</v>
      </c>
      <c r="AR1190" s="25">
        <v>1</v>
      </c>
      <c r="AS1190" s="25">
        <v>1</v>
      </c>
      <c r="AT1190" s="25">
        <v>1</v>
      </c>
      <c r="AU1190" s="25">
        <v>1</v>
      </c>
      <c r="AV1190" s="25">
        <v>1</v>
      </c>
      <c r="AW1190" s="25">
        <v>1</v>
      </c>
      <c r="AX1190" s="25">
        <v>1</v>
      </c>
      <c r="AY1190" s="25">
        <v>1</v>
      </c>
      <c r="AZ1190" s="25">
        <v>1</v>
      </c>
      <c r="BA1190" s="25">
        <v>1</v>
      </c>
      <c r="BB1190" s="25">
        <v>1</v>
      </c>
      <c r="BC1190" s="25">
        <v>1</v>
      </c>
      <c r="BD1190" s="25">
        <v>1</v>
      </c>
    </row>
    <row r="1191" spans="27:56" x14ac:dyDescent="0.25">
      <c r="AA1191" s="68" t="str">
        <f t="shared" si="73"/>
        <v>Fotos\\.jpg</v>
      </c>
      <c r="AB1191" s="53">
        <f t="shared" si="74"/>
        <v>8.3963056255247689E-4</v>
      </c>
      <c r="AC1191" s="25">
        <f t="shared" si="75"/>
        <v>1191</v>
      </c>
      <c r="AD1191" s="51">
        <f t="shared" si="76"/>
        <v>1</v>
      </c>
      <c r="AE1191" s="25">
        <v>1</v>
      </c>
      <c r="AF1191" s="25">
        <v>1</v>
      </c>
      <c r="AG1191" s="25">
        <v>1</v>
      </c>
      <c r="AH1191" s="25">
        <v>1</v>
      </c>
      <c r="AI1191" s="25">
        <f>IF(OR(Apresentação!$E$3='Base de Dados e filtragem'!AI$2,Apresentação!$E$3='Base de Dados e filtragem'!E1191),1,0)</f>
        <v>1</v>
      </c>
      <c r="AJ1191" s="25">
        <f>IF(OR(Apresentação!$E$4='Base de Dados e filtragem'!AJ$2,Apresentação!$E$4='Base de Dados e filtragem'!F1191),1,0)</f>
        <v>1</v>
      </c>
      <c r="AK1191" s="25">
        <f>IF(OR(Apresentação!$E$5='Base de Dados e filtragem'!AK$2,Apresentação!$E$5='Base de Dados e filtragem'!G1191),1,0)</f>
        <v>1</v>
      </c>
      <c r="AL1191" s="25">
        <f>IF(OR(Apresentação!$E$6='Base de Dados e filtragem'!AL$2,Apresentação!$E$6='Base de Dados e filtragem'!H1191),1,0)</f>
        <v>1</v>
      </c>
      <c r="AM1191" s="25">
        <f>IF(OR(Apresentação!$I$2='Base de Dados e filtragem'!AM$2,Apresentação!$I$2='Base de Dados e filtragem'!I1191),1,0)</f>
        <v>1</v>
      </c>
      <c r="AN1191" s="25">
        <f>IF(OR(Apresentação!$I$3='Base de Dados e filtragem'!AN$2,Apresentação!$I$3='Base de Dados e filtragem'!J1191),1,0)</f>
        <v>1</v>
      </c>
      <c r="AO1191" s="25">
        <f>IF(OR(Apresentação!$I$4='Base de Dados e filtragem'!AO$2,Apresentação!$I$4='Base de Dados e filtragem'!K1191),1,0)</f>
        <v>1</v>
      </c>
      <c r="AP1191" s="25">
        <f>IF(OR(Apresentação!$I$5='Base de Dados e filtragem'!AP$2,Apresentação!$I$5='Base de Dados e filtragem'!L1191),1,0)</f>
        <v>1</v>
      </c>
      <c r="AQ1191" s="25">
        <f>IF(OR(Apresentação!$I$6='Base de Dados e filtragem'!AQ$2,Apresentação!$I$6='Base de Dados e filtragem'!M1191),1,0)</f>
        <v>1</v>
      </c>
      <c r="AR1191" s="25">
        <v>1</v>
      </c>
      <c r="AS1191" s="25">
        <v>1</v>
      </c>
      <c r="AT1191" s="25">
        <v>1</v>
      </c>
      <c r="AU1191" s="25">
        <v>1</v>
      </c>
      <c r="AV1191" s="25">
        <v>1</v>
      </c>
      <c r="AW1191" s="25">
        <v>1</v>
      </c>
      <c r="AX1191" s="25">
        <v>1</v>
      </c>
      <c r="AY1191" s="25">
        <v>1</v>
      </c>
      <c r="AZ1191" s="25">
        <v>1</v>
      </c>
      <c r="BA1191" s="25">
        <v>1</v>
      </c>
      <c r="BB1191" s="25">
        <v>1</v>
      </c>
      <c r="BC1191" s="25">
        <v>1</v>
      </c>
      <c r="BD1191" s="25">
        <v>1</v>
      </c>
    </row>
    <row r="1192" spans="27:56" x14ac:dyDescent="0.25">
      <c r="AA1192" s="68" t="str">
        <f t="shared" si="73"/>
        <v>Fotos\\.jpg</v>
      </c>
      <c r="AB1192" s="53">
        <f t="shared" si="74"/>
        <v>8.3892617449664428E-4</v>
      </c>
      <c r="AC1192" s="25">
        <f t="shared" si="75"/>
        <v>1192</v>
      </c>
      <c r="AD1192" s="51">
        <f t="shared" si="76"/>
        <v>1</v>
      </c>
      <c r="AE1192" s="25">
        <v>1</v>
      </c>
      <c r="AF1192" s="25">
        <v>1</v>
      </c>
      <c r="AG1192" s="25">
        <v>1</v>
      </c>
      <c r="AH1192" s="25">
        <v>1</v>
      </c>
      <c r="AI1192" s="25">
        <f>IF(OR(Apresentação!$E$3='Base de Dados e filtragem'!AI$2,Apresentação!$E$3='Base de Dados e filtragem'!E1192),1,0)</f>
        <v>1</v>
      </c>
      <c r="AJ1192" s="25">
        <f>IF(OR(Apresentação!$E$4='Base de Dados e filtragem'!AJ$2,Apresentação!$E$4='Base de Dados e filtragem'!F1192),1,0)</f>
        <v>1</v>
      </c>
      <c r="AK1192" s="25">
        <f>IF(OR(Apresentação!$E$5='Base de Dados e filtragem'!AK$2,Apresentação!$E$5='Base de Dados e filtragem'!G1192),1,0)</f>
        <v>1</v>
      </c>
      <c r="AL1192" s="25">
        <f>IF(OR(Apresentação!$E$6='Base de Dados e filtragem'!AL$2,Apresentação!$E$6='Base de Dados e filtragem'!H1192),1,0)</f>
        <v>1</v>
      </c>
      <c r="AM1192" s="25">
        <f>IF(OR(Apresentação!$I$2='Base de Dados e filtragem'!AM$2,Apresentação!$I$2='Base de Dados e filtragem'!I1192),1,0)</f>
        <v>1</v>
      </c>
      <c r="AN1192" s="25">
        <f>IF(OR(Apresentação!$I$3='Base de Dados e filtragem'!AN$2,Apresentação!$I$3='Base de Dados e filtragem'!J1192),1,0)</f>
        <v>1</v>
      </c>
      <c r="AO1192" s="25">
        <f>IF(OR(Apresentação!$I$4='Base de Dados e filtragem'!AO$2,Apresentação!$I$4='Base de Dados e filtragem'!K1192),1,0)</f>
        <v>1</v>
      </c>
      <c r="AP1192" s="25">
        <f>IF(OR(Apresentação!$I$5='Base de Dados e filtragem'!AP$2,Apresentação!$I$5='Base de Dados e filtragem'!L1192),1,0)</f>
        <v>1</v>
      </c>
      <c r="AQ1192" s="25">
        <f>IF(OR(Apresentação!$I$6='Base de Dados e filtragem'!AQ$2,Apresentação!$I$6='Base de Dados e filtragem'!M1192),1,0)</f>
        <v>1</v>
      </c>
      <c r="AR1192" s="25">
        <v>1</v>
      </c>
      <c r="AS1192" s="25">
        <v>1</v>
      </c>
      <c r="AT1192" s="25">
        <v>1</v>
      </c>
      <c r="AU1192" s="25">
        <v>1</v>
      </c>
      <c r="AV1192" s="25">
        <v>1</v>
      </c>
      <c r="AW1192" s="25">
        <v>1</v>
      </c>
      <c r="AX1192" s="25">
        <v>1</v>
      </c>
      <c r="AY1192" s="25">
        <v>1</v>
      </c>
      <c r="AZ1192" s="25">
        <v>1</v>
      </c>
      <c r="BA1192" s="25">
        <v>1</v>
      </c>
      <c r="BB1192" s="25">
        <v>1</v>
      </c>
      <c r="BC1192" s="25">
        <v>1</v>
      </c>
      <c r="BD1192" s="25">
        <v>1</v>
      </c>
    </row>
    <row r="1193" spans="27:56" x14ac:dyDescent="0.25">
      <c r="AA1193" s="68" t="str">
        <f t="shared" si="73"/>
        <v>Fotos\\.jpg</v>
      </c>
      <c r="AB1193" s="53">
        <f t="shared" si="74"/>
        <v>8.3822296730930428E-4</v>
      </c>
      <c r="AC1193" s="25">
        <f t="shared" si="75"/>
        <v>1193</v>
      </c>
      <c r="AD1193" s="51">
        <f t="shared" si="76"/>
        <v>1</v>
      </c>
      <c r="AE1193" s="25">
        <v>1</v>
      </c>
      <c r="AF1193" s="25">
        <v>1</v>
      </c>
      <c r="AG1193" s="25">
        <v>1</v>
      </c>
      <c r="AH1193" s="25">
        <v>1</v>
      </c>
      <c r="AI1193" s="25">
        <f>IF(OR(Apresentação!$E$3='Base de Dados e filtragem'!AI$2,Apresentação!$E$3='Base de Dados e filtragem'!E1193),1,0)</f>
        <v>1</v>
      </c>
      <c r="AJ1193" s="25">
        <f>IF(OR(Apresentação!$E$4='Base de Dados e filtragem'!AJ$2,Apresentação!$E$4='Base de Dados e filtragem'!F1193),1,0)</f>
        <v>1</v>
      </c>
      <c r="AK1193" s="25">
        <f>IF(OR(Apresentação!$E$5='Base de Dados e filtragem'!AK$2,Apresentação!$E$5='Base de Dados e filtragem'!G1193),1,0)</f>
        <v>1</v>
      </c>
      <c r="AL1193" s="25">
        <f>IF(OR(Apresentação!$E$6='Base de Dados e filtragem'!AL$2,Apresentação!$E$6='Base de Dados e filtragem'!H1193),1,0)</f>
        <v>1</v>
      </c>
      <c r="AM1193" s="25">
        <f>IF(OR(Apresentação!$I$2='Base de Dados e filtragem'!AM$2,Apresentação!$I$2='Base de Dados e filtragem'!I1193),1,0)</f>
        <v>1</v>
      </c>
      <c r="AN1193" s="25">
        <f>IF(OR(Apresentação!$I$3='Base de Dados e filtragem'!AN$2,Apresentação!$I$3='Base de Dados e filtragem'!J1193),1,0)</f>
        <v>1</v>
      </c>
      <c r="AO1193" s="25">
        <f>IF(OR(Apresentação!$I$4='Base de Dados e filtragem'!AO$2,Apresentação!$I$4='Base de Dados e filtragem'!K1193),1,0)</f>
        <v>1</v>
      </c>
      <c r="AP1193" s="25">
        <f>IF(OR(Apresentação!$I$5='Base de Dados e filtragem'!AP$2,Apresentação!$I$5='Base de Dados e filtragem'!L1193),1,0)</f>
        <v>1</v>
      </c>
      <c r="AQ1193" s="25">
        <f>IF(OR(Apresentação!$I$6='Base de Dados e filtragem'!AQ$2,Apresentação!$I$6='Base de Dados e filtragem'!M1193),1,0)</f>
        <v>1</v>
      </c>
      <c r="AR1193" s="25">
        <v>1</v>
      </c>
      <c r="AS1193" s="25">
        <v>1</v>
      </c>
      <c r="AT1193" s="25">
        <v>1</v>
      </c>
      <c r="AU1193" s="25">
        <v>1</v>
      </c>
      <c r="AV1193" s="25">
        <v>1</v>
      </c>
      <c r="AW1193" s="25">
        <v>1</v>
      </c>
      <c r="AX1193" s="25">
        <v>1</v>
      </c>
      <c r="AY1193" s="25">
        <v>1</v>
      </c>
      <c r="AZ1193" s="25">
        <v>1</v>
      </c>
      <c r="BA1193" s="25">
        <v>1</v>
      </c>
      <c r="BB1193" s="25">
        <v>1</v>
      </c>
      <c r="BC1193" s="25">
        <v>1</v>
      </c>
      <c r="BD1193" s="25">
        <v>1</v>
      </c>
    </row>
    <row r="1194" spans="27:56" x14ac:dyDescent="0.25">
      <c r="AA1194" s="68" t="str">
        <f t="shared" si="73"/>
        <v>Fotos\\.jpg</v>
      </c>
      <c r="AB1194" s="53">
        <f t="shared" si="74"/>
        <v>8.375209380234506E-4</v>
      </c>
      <c r="AC1194" s="25">
        <f t="shared" si="75"/>
        <v>1194</v>
      </c>
      <c r="AD1194" s="51">
        <f t="shared" si="76"/>
        <v>1</v>
      </c>
      <c r="AE1194" s="25">
        <v>1</v>
      </c>
      <c r="AF1194" s="25">
        <v>1</v>
      </c>
      <c r="AG1194" s="25">
        <v>1</v>
      </c>
      <c r="AH1194" s="25">
        <v>1</v>
      </c>
      <c r="AI1194" s="25">
        <f>IF(OR(Apresentação!$E$3='Base de Dados e filtragem'!AI$2,Apresentação!$E$3='Base de Dados e filtragem'!E1194),1,0)</f>
        <v>1</v>
      </c>
      <c r="AJ1194" s="25">
        <f>IF(OR(Apresentação!$E$4='Base de Dados e filtragem'!AJ$2,Apresentação!$E$4='Base de Dados e filtragem'!F1194),1,0)</f>
        <v>1</v>
      </c>
      <c r="AK1194" s="25">
        <f>IF(OR(Apresentação!$E$5='Base de Dados e filtragem'!AK$2,Apresentação!$E$5='Base de Dados e filtragem'!G1194),1,0)</f>
        <v>1</v>
      </c>
      <c r="AL1194" s="25">
        <f>IF(OR(Apresentação!$E$6='Base de Dados e filtragem'!AL$2,Apresentação!$E$6='Base de Dados e filtragem'!H1194),1,0)</f>
        <v>1</v>
      </c>
      <c r="AM1194" s="25">
        <f>IF(OR(Apresentação!$I$2='Base de Dados e filtragem'!AM$2,Apresentação!$I$2='Base de Dados e filtragem'!I1194),1,0)</f>
        <v>1</v>
      </c>
      <c r="AN1194" s="25">
        <f>IF(OR(Apresentação!$I$3='Base de Dados e filtragem'!AN$2,Apresentação!$I$3='Base de Dados e filtragem'!J1194),1,0)</f>
        <v>1</v>
      </c>
      <c r="AO1194" s="25">
        <f>IF(OR(Apresentação!$I$4='Base de Dados e filtragem'!AO$2,Apresentação!$I$4='Base de Dados e filtragem'!K1194),1,0)</f>
        <v>1</v>
      </c>
      <c r="AP1194" s="25">
        <f>IF(OR(Apresentação!$I$5='Base de Dados e filtragem'!AP$2,Apresentação!$I$5='Base de Dados e filtragem'!L1194),1,0)</f>
        <v>1</v>
      </c>
      <c r="AQ1194" s="25">
        <f>IF(OR(Apresentação!$I$6='Base de Dados e filtragem'!AQ$2,Apresentação!$I$6='Base de Dados e filtragem'!M1194),1,0)</f>
        <v>1</v>
      </c>
      <c r="AR1194" s="25">
        <v>1</v>
      </c>
      <c r="AS1194" s="25">
        <v>1</v>
      </c>
      <c r="AT1194" s="25">
        <v>1</v>
      </c>
      <c r="AU1194" s="25">
        <v>1</v>
      </c>
      <c r="AV1194" s="25">
        <v>1</v>
      </c>
      <c r="AW1194" s="25">
        <v>1</v>
      </c>
      <c r="AX1194" s="25">
        <v>1</v>
      </c>
      <c r="AY1194" s="25">
        <v>1</v>
      </c>
      <c r="AZ1194" s="25">
        <v>1</v>
      </c>
      <c r="BA1194" s="25">
        <v>1</v>
      </c>
      <c r="BB1194" s="25">
        <v>1</v>
      </c>
      <c r="BC1194" s="25">
        <v>1</v>
      </c>
      <c r="BD1194" s="25">
        <v>1</v>
      </c>
    </row>
    <row r="1195" spans="27:56" x14ac:dyDescent="0.25">
      <c r="AA1195" s="68" t="str">
        <f t="shared" si="73"/>
        <v>Fotos\\.jpg</v>
      </c>
      <c r="AB1195" s="53">
        <f t="shared" si="74"/>
        <v>8.3682008368200832E-4</v>
      </c>
      <c r="AC1195" s="25">
        <f t="shared" si="75"/>
        <v>1195</v>
      </c>
      <c r="AD1195" s="51">
        <f t="shared" si="76"/>
        <v>1</v>
      </c>
      <c r="AE1195" s="25">
        <v>1</v>
      </c>
      <c r="AF1195" s="25">
        <v>1</v>
      </c>
      <c r="AG1195" s="25">
        <v>1</v>
      </c>
      <c r="AH1195" s="25">
        <v>1</v>
      </c>
      <c r="AI1195" s="25">
        <f>IF(OR(Apresentação!$E$3='Base de Dados e filtragem'!AI$2,Apresentação!$E$3='Base de Dados e filtragem'!E1195),1,0)</f>
        <v>1</v>
      </c>
      <c r="AJ1195" s="25">
        <f>IF(OR(Apresentação!$E$4='Base de Dados e filtragem'!AJ$2,Apresentação!$E$4='Base de Dados e filtragem'!F1195),1,0)</f>
        <v>1</v>
      </c>
      <c r="AK1195" s="25">
        <f>IF(OR(Apresentação!$E$5='Base de Dados e filtragem'!AK$2,Apresentação!$E$5='Base de Dados e filtragem'!G1195),1,0)</f>
        <v>1</v>
      </c>
      <c r="AL1195" s="25">
        <f>IF(OR(Apresentação!$E$6='Base de Dados e filtragem'!AL$2,Apresentação!$E$6='Base de Dados e filtragem'!H1195),1,0)</f>
        <v>1</v>
      </c>
      <c r="AM1195" s="25">
        <f>IF(OR(Apresentação!$I$2='Base de Dados e filtragem'!AM$2,Apresentação!$I$2='Base de Dados e filtragem'!I1195),1,0)</f>
        <v>1</v>
      </c>
      <c r="AN1195" s="25">
        <f>IF(OR(Apresentação!$I$3='Base de Dados e filtragem'!AN$2,Apresentação!$I$3='Base de Dados e filtragem'!J1195),1,0)</f>
        <v>1</v>
      </c>
      <c r="AO1195" s="25">
        <f>IF(OR(Apresentação!$I$4='Base de Dados e filtragem'!AO$2,Apresentação!$I$4='Base de Dados e filtragem'!K1195),1,0)</f>
        <v>1</v>
      </c>
      <c r="AP1195" s="25">
        <f>IF(OR(Apresentação!$I$5='Base de Dados e filtragem'!AP$2,Apresentação!$I$5='Base de Dados e filtragem'!L1195),1,0)</f>
        <v>1</v>
      </c>
      <c r="AQ1195" s="25">
        <f>IF(OR(Apresentação!$I$6='Base de Dados e filtragem'!AQ$2,Apresentação!$I$6='Base de Dados e filtragem'!M1195),1,0)</f>
        <v>1</v>
      </c>
      <c r="AR1195" s="25">
        <v>1</v>
      </c>
      <c r="AS1195" s="25">
        <v>1</v>
      </c>
      <c r="AT1195" s="25">
        <v>1</v>
      </c>
      <c r="AU1195" s="25">
        <v>1</v>
      </c>
      <c r="AV1195" s="25">
        <v>1</v>
      </c>
      <c r="AW1195" s="25">
        <v>1</v>
      </c>
      <c r="AX1195" s="25">
        <v>1</v>
      </c>
      <c r="AY1195" s="25">
        <v>1</v>
      </c>
      <c r="AZ1195" s="25">
        <v>1</v>
      </c>
      <c r="BA1195" s="25">
        <v>1</v>
      </c>
      <c r="BB1195" s="25">
        <v>1</v>
      </c>
      <c r="BC1195" s="25">
        <v>1</v>
      </c>
      <c r="BD1195" s="25">
        <v>1</v>
      </c>
    </row>
    <row r="1196" spans="27:56" x14ac:dyDescent="0.25">
      <c r="AA1196" s="68" t="str">
        <f t="shared" si="73"/>
        <v>Fotos\\.jpg</v>
      </c>
      <c r="AB1196" s="53">
        <f t="shared" si="74"/>
        <v>8.3612040133779263E-4</v>
      </c>
      <c r="AC1196" s="25">
        <f t="shared" si="75"/>
        <v>1196</v>
      </c>
      <c r="AD1196" s="51">
        <f t="shared" si="76"/>
        <v>1</v>
      </c>
      <c r="AE1196" s="25">
        <v>1</v>
      </c>
      <c r="AF1196" s="25">
        <v>1</v>
      </c>
      <c r="AG1196" s="25">
        <v>1</v>
      </c>
      <c r="AH1196" s="25">
        <v>1</v>
      </c>
      <c r="AI1196" s="25">
        <f>IF(OR(Apresentação!$E$3='Base de Dados e filtragem'!AI$2,Apresentação!$E$3='Base de Dados e filtragem'!E1196),1,0)</f>
        <v>1</v>
      </c>
      <c r="AJ1196" s="25">
        <f>IF(OR(Apresentação!$E$4='Base de Dados e filtragem'!AJ$2,Apresentação!$E$4='Base de Dados e filtragem'!F1196),1,0)</f>
        <v>1</v>
      </c>
      <c r="AK1196" s="25">
        <f>IF(OR(Apresentação!$E$5='Base de Dados e filtragem'!AK$2,Apresentação!$E$5='Base de Dados e filtragem'!G1196),1,0)</f>
        <v>1</v>
      </c>
      <c r="AL1196" s="25">
        <f>IF(OR(Apresentação!$E$6='Base de Dados e filtragem'!AL$2,Apresentação!$E$6='Base de Dados e filtragem'!H1196),1,0)</f>
        <v>1</v>
      </c>
      <c r="AM1196" s="25">
        <f>IF(OR(Apresentação!$I$2='Base de Dados e filtragem'!AM$2,Apresentação!$I$2='Base de Dados e filtragem'!I1196),1,0)</f>
        <v>1</v>
      </c>
      <c r="AN1196" s="25">
        <f>IF(OR(Apresentação!$I$3='Base de Dados e filtragem'!AN$2,Apresentação!$I$3='Base de Dados e filtragem'!J1196),1,0)</f>
        <v>1</v>
      </c>
      <c r="AO1196" s="25">
        <f>IF(OR(Apresentação!$I$4='Base de Dados e filtragem'!AO$2,Apresentação!$I$4='Base de Dados e filtragem'!K1196),1,0)</f>
        <v>1</v>
      </c>
      <c r="AP1196" s="25">
        <f>IF(OR(Apresentação!$I$5='Base de Dados e filtragem'!AP$2,Apresentação!$I$5='Base de Dados e filtragem'!L1196),1,0)</f>
        <v>1</v>
      </c>
      <c r="AQ1196" s="25">
        <f>IF(OR(Apresentação!$I$6='Base de Dados e filtragem'!AQ$2,Apresentação!$I$6='Base de Dados e filtragem'!M1196),1,0)</f>
        <v>1</v>
      </c>
      <c r="AR1196" s="25">
        <v>1</v>
      </c>
      <c r="AS1196" s="25">
        <v>1</v>
      </c>
      <c r="AT1196" s="25">
        <v>1</v>
      </c>
      <c r="AU1196" s="25">
        <v>1</v>
      </c>
      <c r="AV1196" s="25">
        <v>1</v>
      </c>
      <c r="AW1196" s="25">
        <v>1</v>
      </c>
      <c r="AX1196" s="25">
        <v>1</v>
      </c>
      <c r="AY1196" s="25">
        <v>1</v>
      </c>
      <c r="AZ1196" s="25">
        <v>1</v>
      </c>
      <c r="BA1196" s="25">
        <v>1</v>
      </c>
      <c r="BB1196" s="25">
        <v>1</v>
      </c>
      <c r="BC1196" s="25">
        <v>1</v>
      </c>
      <c r="BD1196" s="25">
        <v>1</v>
      </c>
    </row>
    <row r="1197" spans="27:56" x14ac:dyDescent="0.25">
      <c r="AA1197" s="68" t="str">
        <f t="shared" si="73"/>
        <v>Fotos\\.jpg</v>
      </c>
      <c r="AB1197" s="53">
        <f t="shared" si="74"/>
        <v>8.3542188805346695E-4</v>
      </c>
      <c r="AC1197" s="25">
        <f t="shared" si="75"/>
        <v>1197</v>
      </c>
      <c r="AD1197" s="51">
        <f t="shared" si="76"/>
        <v>1</v>
      </c>
      <c r="AE1197" s="25">
        <v>1</v>
      </c>
      <c r="AF1197" s="25">
        <v>1</v>
      </c>
      <c r="AG1197" s="25">
        <v>1</v>
      </c>
      <c r="AH1197" s="25">
        <v>1</v>
      </c>
      <c r="AI1197" s="25">
        <f>IF(OR(Apresentação!$E$3='Base de Dados e filtragem'!AI$2,Apresentação!$E$3='Base de Dados e filtragem'!E1197),1,0)</f>
        <v>1</v>
      </c>
      <c r="AJ1197" s="25">
        <f>IF(OR(Apresentação!$E$4='Base de Dados e filtragem'!AJ$2,Apresentação!$E$4='Base de Dados e filtragem'!F1197),1,0)</f>
        <v>1</v>
      </c>
      <c r="AK1197" s="25">
        <f>IF(OR(Apresentação!$E$5='Base de Dados e filtragem'!AK$2,Apresentação!$E$5='Base de Dados e filtragem'!G1197),1,0)</f>
        <v>1</v>
      </c>
      <c r="AL1197" s="25">
        <f>IF(OR(Apresentação!$E$6='Base de Dados e filtragem'!AL$2,Apresentação!$E$6='Base de Dados e filtragem'!H1197),1,0)</f>
        <v>1</v>
      </c>
      <c r="AM1197" s="25">
        <f>IF(OR(Apresentação!$I$2='Base de Dados e filtragem'!AM$2,Apresentação!$I$2='Base de Dados e filtragem'!I1197),1,0)</f>
        <v>1</v>
      </c>
      <c r="AN1197" s="25">
        <f>IF(OR(Apresentação!$I$3='Base de Dados e filtragem'!AN$2,Apresentação!$I$3='Base de Dados e filtragem'!J1197),1,0)</f>
        <v>1</v>
      </c>
      <c r="AO1197" s="25">
        <f>IF(OR(Apresentação!$I$4='Base de Dados e filtragem'!AO$2,Apresentação!$I$4='Base de Dados e filtragem'!K1197),1,0)</f>
        <v>1</v>
      </c>
      <c r="AP1197" s="25">
        <f>IF(OR(Apresentação!$I$5='Base de Dados e filtragem'!AP$2,Apresentação!$I$5='Base de Dados e filtragem'!L1197),1,0)</f>
        <v>1</v>
      </c>
      <c r="AQ1197" s="25">
        <f>IF(OR(Apresentação!$I$6='Base de Dados e filtragem'!AQ$2,Apresentação!$I$6='Base de Dados e filtragem'!M1197),1,0)</f>
        <v>1</v>
      </c>
      <c r="AR1197" s="25">
        <v>1</v>
      </c>
      <c r="AS1197" s="25">
        <v>1</v>
      </c>
      <c r="AT1197" s="25">
        <v>1</v>
      </c>
      <c r="AU1197" s="25">
        <v>1</v>
      </c>
      <c r="AV1197" s="25">
        <v>1</v>
      </c>
      <c r="AW1197" s="25">
        <v>1</v>
      </c>
      <c r="AX1197" s="25">
        <v>1</v>
      </c>
      <c r="AY1197" s="25">
        <v>1</v>
      </c>
      <c r="AZ1197" s="25">
        <v>1</v>
      </c>
      <c r="BA1197" s="25">
        <v>1</v>
      </c>
      <c r="BB1197" s="25">
        <v>1</v>
      </c>
      <c r="BC1197" s="25">
        <v>1</v>
      </c>
      <c r="BD1197" s="25">
        <v>1</v>
      </c>
    </row>
    <row r="1198" spans="27:56" x14ac:dyDescent="0.25">
      <c r="AA1198" s="68" t="str">
        <f t="shared" si="73"/>
        <v>Fotos\\.jpg</v>
      </c>
      <c r="AB1198" s="53">
        <f t="shared" si="74"/>
        <v>8.3472454090150253E-4</v>
      </c>
      <c r="AC1198" s="25">
        <f t="shared" si="75"/>
        <v>1198</v>
      </c>
      <c r="AD1198" s="51">
        <f t="shared" si="76"/>
        <v>1</v>
      </c>
      <c r="AE1198" s="25">
        <v>1</v>
      </c>
      <c r="AF1198" s="25">
        <v>1</v>
      </c>
      <c r="AG1198" s="25">
        <v>1</v>
      </c>
      <c r="AH1198" s="25">
        <v>1</v>
      </c>
      <c r="AI1198" s="25">
        <f>IF(OR(Apresentação!$E$3='Base de Dados e filtragem'!AI$2,Apresentação!$E$3='Base de Dados e filtragem'!E1198),1,0)</f>
        <v>1</v>
      </c>
      <c r="AJ1198" s="25">
        <f>IF(OR(Apresentação!$E$4='Base de Dados e filtragem'!AJ$2,Apresentação!$E$4='Base de Dados e filtragem'!F1198),1,0)</f>
        <v>1</v>
      </c>
      <c r="AK1198" s="25">
        <f>IF(OR(Apresentação!$E$5='Base de Dados e filtragem'!AK$2,Apresentação!$E$5='Base de Dados e filtragem'!G1198),1,0)</f>
        <v>1</v>
      </c>
      <c r="AL1198" s="25">
        <f>IF(OR(Apresentação!$E$6='Base de Dados e filtragem'!AL$2,Apresentação!$E$6='Base de Dados e filtragem'!H1198),1,0)</f>
        <v>1</v>
      </c>
      <c r="AM1198" s="25">
        <f>IF(OR(Apresentação!$I$2='Base de Dados e filtragem'!AM$2,Apresentação!$I$2='Base de Dados e filtragem'!I1198),1,0)</f>
        <v>1</v>
      </c>
      <c r="AN1198" s="25">
        <f>IF(OR(Apresentação!$I$3='Base de Dados e filtragem'!AN$2,Apresentação!$I$3='Base de Dados e filtragem'!J1198),1,0)</f>
        <v>1</v>
      </c>
      <c r="AO1198" s="25">
        <f>IF(OR(Apresentação!$I$4='Base de Dados e filtragem'!AO$2,Apresentação!$I$4='Base de Dados e filtragem'!K1198),1,0)</f>
        <v>1</v>
      </c>
      <c r="AP1198" s="25">
        <f>IF(OR(Apresentação!$I$5='Base de Dados e filtragem'!AP$2,Apresentação!$I$5='Base de Dados e filtragem'!L1198),1,0)</f>
        <v>1</v>
      </c>
      <c r="AQ1198" s="25">
        <f>IF(OR(Apresentação!$I$6='Base de Dados e filtragem'!AQ$2,Apresentação!$I$6='Base de Dados e filtragem'!M1198),1,0)</f>
        <v>1</v>
      </c>
      <c r="AR1198" s="25">
        <v>1</v>
      </c>
      <c r="AS1198" s="25">
        <v>1</v>
      </c>
      <c r="AT1198" s="25">
        <v>1</v>
      </c>
      <c r="AU1198" s="25">
        <v>1</v>
      </c>
      <c r="AV1198" s="25">
        <v>1</v>
      </c>
      <c r="AW1198" s="25">
        <v>1</v>
      </c>
      <c r="AX1198" s="25">
        <v>1</v>
      </c>
      <c r="AY1198" s="25">
        <v>1</v>
      </c>
      <c r="AZ1198" s="25">
        <v>1</v>
      </c>
      <c r="BA1198" s="25">
        <v>1</v>
      </c>
      <c r="BB1198" s="25">
        <v>1</v>
      </c>
      <c r="BC1198" s="25">
        <v>1</v>
      </c>
      <c r="BD1198" s="25">
        <v>1</v>
      </c>
    </row>
    <row r="1199" spans="27:56" x14ac:dyDescent="0.25">
      <c r="AA1199" s="68" t="str">
        <f t="shared" si="73"/>
        <v>Fotos\\.jpg</v>
      </c>
      <c r="AB1199" s="53">
        <f t="shared" si="74"/>
        <v>8.3402835696413675E-4</v>
      </c>
      <c r="AC1199" s="25">
        <f t="shared" si="75"/>
        <v>1199</v>
      </c>
      <c r="AD1199" s="51">
        <f t="shared" si="76"/>
        <v>1</v>
      </c>
      <c r="AE1199" s="25">
        <v>1</v>
      </c>
      <c r="AF1199" s="25">
        <v>1</v>
      </c>
      <c r="AG1199" s="25">
        <v>1</v>
      </c>
      <c r="AH1199" s="25">
        <v>1</v>
      </c>
      <c r="AI1199" s="25">
        <f>IF(OR(Apresentação!$E$3='Base de Dados e filtragem'!AI$2,Apresentação!$E$3='Base de Dados e filtragem'!E1199),1,0)</f>
        <v>1</v>
      </c>
      <c r="AJ1199" s="25">
        <f>IF(OR(Apresentação!$E$4='Base de Dados e filtragem'!AJ$2,Apresentação!$E$4='Base de Dados e filtragem'!F1199),1,0)</f>
        <v>1</v>
      </c>
      <c r="AK1199" s="25">
        <f>IF(OR(Apresentação!$E$5='Base de Dados e filtragem'!AK$2,Apresentação!$E$5='Base de Dados e filtragem'!G1199),1,0)</f>
        <v>1</v>
      </c>
      <c r="AL1199" s="25">
        <f>IF(OR(Apresentação!$E$6='Base de Dados e filtragem'!AL$2,Apresentação!$E$6='Base de Dados e filtragem'!H1199),1,0)</f>
        <v>1</v>
      </c>
      <c r="AM1199" s="25">
        <f>IF(OR(Apresentação!$I$2='Base de Dados e filtragem'!AM$2,Apresentação!$I$2='Base de Dados e filtragem'!I1199),1,0)</f>
        <v>1</v>
      </c>
      <c r="AN1199" s="25">
        <f>IF(OR(Apresentação!$I$3='Base de Dados e filtragem'!AN$2,Apresentação!$I$3='Base de Dados e filtragem'!J1199),1,0)</f>
        <v>1</v>
      </c>
      <c r="AO1199" s="25">
        <f>IF(OR(Apresentação!$I$4='Base de Dados e filtragem'!AO$2,Apresentação!$I$4='Base de Dados e filtragem'!K1199),1,0)</f>
        <v>1</v>
      </c>
      <c r="AP1199" s="25">
        <f>IF(OR(Apresentação!$I$5='Base de Dados e filtragem'!AP$2,Apresentação!$I$5='Base de Dados e filtragem'!L1199),1,0)</f>
        <v>1</v>
      </c>
      <c r="AQ1199" s="25">
        <f>IF(OR(Apresentação!$I$6='Base de Dados e filtragem'!AQ$2,Apresentação!$I$6='Base de Dados e filtragem'!M1199),1,0)</f>
        <v>1</v>
      </c>
      <c r="AR1199" s="25">
        <v>1</v>
      </c>
      <c r="AS1199" s="25">
        <v>1</v>
      </c>
      <c r="AT1199" s="25">
        <v>1</v>
      </c>
      <c r="AU1199" s="25">
        <v>1</v>
      </c>
      <c r="AV1199" s="25">
        <v>1</v>
      </c>
      <c r="AW1199" s="25">
        <v>1</v>
      </c>
      <c r="AX1199" s="25">
        <v>1</v>
      </c>
      <c r="AY1199" s="25">
        <v>1</v>
      </c>
      <c r="AZ1199" s="25">
        <v>1</v>
      </c>
      <c r="BA1199" s="25">
        <v>1</v>
      </c>
      <c r="BB1199" s="25">
        <v>1</v>
      </c>
      <c r="BC1199" s="25">
        <v>1</v>
      </c>
      <c r="BD1199" s="25">
        <v>1</v>
      </c>
    </row>
    <row r="1200" spans="27:56" x14ac:dyDescent="0.25">
      <c r="AA1200" s="68" t="str">
        <f t="shared" si="73"/>
        <v>Fotos\\.jpg</v>
      </c>
      <c r="AB1200" s="53">
        <f t="shared" si="74"/>
        <v>8.3333333333333339E-4</v>
      </c>
      <c r="AC1200" s="25">
        <f t="shared" si="75"/>
        <v>1200</v>
      </c>
      <c r="AD1200" s="51">
        <f t="shared" si="76"/>
        <v>1</v>
      </c>
      <c r="AE1200" s="25">
        <v>1</v>
      </c>
      <c r="AF1200" s="25">
        <v>1</v>
      </c>
      <c r="AG1200" s="25">
        <v>1</v>
      </c>
      <c r="AH1200" s="25">
        <v>1</v>
      </c>
      <c r="AI1200" s="25">
        <f>IF(OR(Apresentação!$E$3='Base de Dados e filtragem'!AI$2,Apresentação!$E$3='Base de Dados e filtragem'!E1200),1,0)</f>
        <v>1</v>
      </c>
      <c r="AJ1200" s="25">
        <f>IF(OR(Apresentação!$E$4='Base de Dados e filtragem'!AJ$2,Apresentação!$E$4='Base de Dados e filtragem'!F1200),1,0)</f>
        <v>1</v>
      </c>
      <c r="AK1200" s="25">
        <f>IF(OR(Apresentação!$E$5='Base de Dados e filtragem'!AK$2,Apresentação!$E$5='Base de Dados e filtragem'!G1200),1,0)</f>
        <v>1</v>
      </c>
      <c r="AL1200" s="25">
        <f>IF(OR(Apresentação!$E$6='Base de Dados e filtragem'!AL$2,Apresentação!$E$6='Base de Dados e filtragem'!H1200),1,0)</f>
        <v>1</v>
      </c>
      <c r="AM1200" s="25">
        <f>IF(OR(Apresentação!$I$2='Base de Dados e filtragem'!AM$2,Apresentação!$I$2='Base de Dados e filtragem'!I1200),1,0)</f>
        <v>1</v>
      </c>
      <c r="AN1200" s="25">
        <f>IF(OR(Apresentação!$I$3='Base de Dados e filtragem'!AN$2,Apresentação!$I$3='Base de Dados e filtragem'!J1200),1,0)</f>
        <v>1</v>
      </c>
      <c r="AO1200" s="25">
        <f>IF(OR(Apresentação!$I$4='Base de Dados e filtragem'!AO$2,Apresentação!$I$4='Base de Dados e filtragem'!K1200),1,0)</f>
        <v>1</v>
      </c>
      <c r="AP1200" s="25">
        <f>IF(OR(Apresentação!$I$5='Base de Dados e filtragem'!AP$2,Apresentação!$I$5='Base de Dados e filtragem'!L1200),1,0)</f>
        <v>1</v>
      </c>
      <c r="AQ1200" s="25">
        <f>IF(OR(Apresentação!$I$6='Base de Dados e filtragem'!AQ$2,Apresentação!$I$6='Base de Dados e filtragem'!M1200),1,0)</f>
        <v>1</v>
      </c>
      <c r="AR1200" s="25">
        <v>1</v>
      </c>
      <c r="AS1200" s="25">
        <v>1</v>
      </c>
      <c r="AT1200" s="25">
        <v>1</v>
      </c>
      <c r="AU1200" s="25">
        <v>1</v>
      </c>
      <c r="AV1200" s="25">
        <v>1</v>
      </c>
      <c r="AW1200" s="25">
        <v>1</v>
      </c>
      <c r="AX1200" s="25">
        <v>1</v>
      </c>
      <c r="AY1200" s="25">
        <v>1</v>
      </c>
      <c r="AZ1200" s="25">
        <v>1</v>
      </c>
      <c r="BA1200" s="25">
        <v>1</v>
      </c>
      <c r="BB1200" s="25">
        <v>1</v>
      </c>
      <c r="BC1200" s="25">
        <v>1</v>
      </c>
      <c r="BD1200" s="25">
        <v>1</v>
      </c>
    </row>
    <row r="1201" spans="27:56" x14ac:dyDescent="0.25">
      <c r="AA1201" s="68" t="str">
        <f t="shared" si="73"/>
        <v>Fotos\\.jpg</v>
      </c>
      <c r="AB1201" s="53">
        <f t="shared" si="74"/>
        <v>8.3263946711074107E-4</v>
      </c>
      <c r="AC1201" s="25">
        <f t="shared" si="75"/>
        <v>1201</v>
      </c>
      <c r="AD1201" s="51">
        <f t="shared" si="76"/>
        <v>1</v>
      </c>
      <c r="AE1201" s="25">
        <v>1</v>
      </c>
      <c r="AF1201" s="25">
        <v>1</v>
      </c>
      <c r="AG1201" s="25">
        <v>1</v>
      </c>
      <c r="AH1201" s="25">
        <v>1</v>
      </c>
      <c r="AI1201" s="25">
        <f>IF(OR(Apresentação!$E$3='Base de Dados e filtragem'!AI$2,Apresentação!$E$3='Base de Dados e filtragem'!E1201),1,0)</f>
        <v>1</v>
      </c>
      <c r="AJ1201" s="25">
        <f>IF(OR(Apresentação!$E$4='Base de Dados e filtragem'!AJ$2,Apresentação!$E$4='Base de Dados e filtragem'!F1201),1,0)</f>
        <v>1</v>
      </c>
      <c r="AK1201" s="25">
        <f>IF(OR(Apresentação!$E$5='Base de Dados e filtragem'!AK$2,Apresentação!$E$5='Base de Dados e filtragem'!G1201),1,0)</f>
        <v>1</v>
      </c>
      <c r="AL1201" s="25">
        <f>IF(OR(Apresentação!$E$6='Base de Dados e filtragem'!AL$2,Apresentação!$E$6='Base de Dados e filtragem'!H1201),1,0)</f>
        <v>1</v>
      </c>
      <c r="AM1201" s="25">
        <f>IF(OR(Apresentação!$I$2='Base de Dados e filtragem'!AM$2,Apresentação!$I$2='Base de Dados e filtragem'!I1201),1,0)</f>
        <v>1</v>
      </c>
      <c r="AN1201" s="25">
        <f>IF(OR(Apresentação!$I$3='Base de Dados e filtragem'!AN$2,Apresentação!$I$3='Base de Dados e filtragem'!J1201),1,0)</f>
        <v>1</v>
      </c>
      <c r="AO1201" s="25">
        <f>IF(OR(Apresentação!$I$4='Base de Dados e filtragem'!AO$2,Apresentação!$I$4='Base de Dados e filtragem'!K1201),1,0)</f>
        <v>1</v>
      </c>
      <c r="AP1201" s="25">
        <f>IF(OR(Apresentação!$I$5='Base de Dados e filtragem'!AP$2,Apresentação!$I$5='Base de Dados e filtragem'!L1201),1,0)</f>
        <v>1</v>
      </c>
      <c r="AQ1201" s="25">
        <f>IF(OR(Apresentação!$I$6='Base de Dados e filtragem'!AQ$2,Apresentação!$I$6='Base de Dados e filtragem'!M1201),1,0)</f>
        <v>1</v>
      </c>
      <c r="AR1201" s="25">
        <v>1</v>
      </c>
      <c r="AS1201" s="25">
        <v>1</v>
      </c>
      <c r="AT1201" s="25">
        <v>1</v>
      </c>
      <c r="AU1201" s="25">
        <v>1</v>
      </c>
      <c r="AV1201" s="25">
        <v>1</v>
      </c>
      <c r="AW1201" s="25">
        <v>1</v>
      </c>
      <c r="AX1201" s="25">
        <v>1</v>
      </c>
      <c r="AY1201" s="25">
        <v>1</v>
      </c>
      <c r="AZ1201" s="25">
        <v>1</v>
      </c>
      <c r="BA1201" s="25">
        <v>1</v>
      </c>
      <c r="BB1201" s="25">
        <v>1</v>
      </c>
      <c r="BC1201" s="25">
        <v>1</v>
      </c>
      <c r="BD1201" s="25">
        <v>1</v>
      </c>
    </row>
    <row r="1202" spans="27:56" x14ac:dyDescent="0.25">
      <c r="AA1202" s="68" t="str">
        <f t="shared" si="73"/>
        <v>Fotos\\.jpg</v>
      </c>
      <c r="AB1202" s="53">
        <f t="shared" si="74"/>
        <v>8.3194675540765393E-4</v>
      </c>
      <c r="AC1202" s="25">
        <f t="shared" si="75"/>
        <v>1202</v>
      </c>
      <c r="AD1202" s="51">
        <f t="shared" si="76"/>
        <v>1</v>
      </c>
      <c r="AE1202" s="25">
        <v>1</v>
      </c>
      <c r="AF1202" s="25">
        <v>1</v>
      </c>
      <c r="AG1202" s="25">
        <v>1</v>
      </c>
      <c r="AH1202" s="25">
        <v>1</v>
      </c>
      <c r="AI1202" s="25">
        <f>IF(OR(Apresentação!$E$3='Base de Dados e filtragem'!AI$2,Apresentação!$E$3='Base de Dados e filtragem'!E1202),1,0)</f>
        <v>1</v>
      </c>
      <c r="AJ1202" s="25">
        <f>IF(OR(Apresentação!$E$4='Base de Dados e filtragem'!AJ$2,Apresentação!$E$4='Base de Dados e filtragem'!F1202),1,0)</f>
        <v>1</v>
      </c>
      <c r="AK1202" s="25">
        <f>IF(OR(Apresentação!$E$5='Base de Dados e filtragem'!AK$2,Apresentação!$E$5='Base de Dados e filtragem'!G1202),1,0)</f>
        <v>1</v>
      </c>
      <c r="AL1202" s="25">
        <f>IF(OR(Apresentação!$E$6='Base de Dados e filtragem'!AL$2,Apresentação!$E$6='Base de Dados e filtragem'!H1202),1,0)</f>
        <v>1</v>
      </c>
      <c r="AM1202" s="25">
        <f>IF(OR(Apresentação!$I$2='Base de Dados e filtragem'!AM$2,Apresentação!$I$2='Base de Dados e filtragem'!I1202),1,0)</f>
        <v>1</v>
      </c>
      <c r="AN1202" s="25">
        <f>IF(OR(Apresentação!$I$3='Base de Dados e filtragem'!AN$2,Apresentação!$I$3='Base de Dados e filtragem'!J1202),1,0)</f>
        <v>1</v>
      </c>
      <c r="AO1202" s="25">
        <f>IF(OR(Apresentação!$I$4='Base de Dados e filtragem'!AO$2,Apresentação!$I$4='Base de Dados e filtragem'!K1202),1,0)</f>
        <v>1</v>
      </c>
      <c r="AP1202" s="25">
        <f>IF(OR(Apresentação!$I$5='Base de Dados e filtragem'!AP$2,Apresentação!$I$5='Base de Dados e filtragem'!L1202),1,0)</f>
        <v>1</v>
      </c>
      <c r="AQ1202" s="25">
        <f>IF(OR(Apresentação!$I$6='Base de Dados e filtragem'!AQ$2,Apresentação!$I$6='Base de Dados e filtragem'!M1202),1,0)</f>
        <v>1</v>
      </c>
      <c r="AR1202" s="25">
        <v>1</v>
      </c>
      <c r="AS1202" s="25">
        <v>1</v>
      </c>
      <c r="AT1202" s="25">
        <v>1</v>
      </c>
      <c r="AU1202" s="25">
        <v>1</v>
      </c>
      <c r="AV1202" s="25">
        <v>1</v>
      </c>
      <c r="AW1202" s="25">
        <v>1</v>
      </c>
      <c r="AX1202" s="25">
        <v>1</v>
      </c>
      <c r="AY1202" s="25">
        <v>1</v>
      </c>
      <c r="AZ1202" s="25">
        <v>1</v>
      </c>
      <c r="BA1202" s="25">
        <v>1</v>
      </c>
      <c r="BB1202" s="25">
        <v>1</v>
      </c>
      <c r="BC1202" s="25">
        <v>1</v>
      </c>
      <c r="BD1202" s="25">
        <v>1</v>
      </c>
    </row>
    <row r="1203" spans="27:56" x14ac:dyDescent="0.25">
      <c r="AA1203" s="68" t="str">
        <f t="shared" si="73"/>
        <v>Fotos\\.jpg</v>
      </c>
      <c r="AB1203" s="53">
        <f t="shared" si="74"/>
        <v>8.3125519534497092E-4</v>
      </c>
      <c r="AC1203" s="25">
        <f t="shared" si="75"/>
        <v>1203</v>
      </c>
      <c r="AD1203" s="51">
        <f t="shared" si="76"/>
        <v>1</v>
      </c>
      <c r="AE1203" s="25">
        <v>1</v>
      </c>
      <c r="AF1203" s="25">
        <v>1</v>
      </c>
      <c r="AG1203" s="25">
        <v>1</v>
      </c>
      <c r="AH1203" s="25">
        <v>1</v>
      </c>
      <c r="AI1203" s="25">
        <f>IF(OR(Apresentação!$E$3='Base de Dados e filtragem'!AI$2,Apresentação!$E$3='Base de Dados e filtragem'!E1203),1,0)</f>
        <v>1</v>
      </c>
      <c r="AJ1203" s="25">
        <f>IF(OR(Apresentação!$E$4='Base de Dados e filtragem'!AJ$2,Apresentação!$E$4='Base de Dados e filtragem'!F1203),1,0)</f>
        <v>1</v>
      </c>
      <c r="AK1203" s="25">
        <f>IF(OR(Apresentação!$E$5='Base de Dados e filtragem'!AK$2,Apresentação!$E$5='Base de Dados e filtragem'!G1203),1,0)</f>
        <v>1</v>
      </c>
      <c r="AL1203" s="25">
        <f>IF(OR(Apresentação!$E$6='Base de Dados e filtragem'!AL$2,Apresentação!$E$6='Base de Dados e filtragem'!H1203),1,0)</f>
        <v>1</v>
      </c>
      <c r="AM1203" s="25">
        <f>IF(OR(Apresentação!$I$2='Base de Dados e filtragem'!AM$2,Apresentação!$I$2='Base de Dados e filtragem'!I1203),1,0)</f>
        <v>1</v>
      </c>
      <c r="AN1203" s="25">
        <f>IF(OR(Apresentação!$I$3='Base de Dados e filtragem'!AN$2,Apresentação!$I$3='Base de Dados e filtragem'!J1203),1,0)</f>
        <v>1</v>
      </c>
      <c r="AO1203" s="25">
        <f>IF(OR(Apresentação!$I$4='Base de Dados e filtragem'!AO$2,Apresentação!$I$4='Base de Dados e filtragem'!K1203),1,0)</f>
        <v>1</v>
      </c>
      <c r="AP1203" s="25">
        <f>IF(OR(Apresentação!$I$5='Base de Dados e filtragem'!AP$2,Apresentação!$I$5='Base de Dados e filtragem'!L1203),1,0)</f>
        <v>1</v>
      </c>
      <c r="AQ1203" s="25">
        <f>IF(OR(Apresentação!$I$6='Base de Dados e filtragem'!AQ$2,Apresentação!$I$6='Base de Dados e filtragem'!M1203),1,0)</f>
        <v>1</v>
      </c>
      <c r="AR1203" s="25">
        <v>1</v>
      </c>
      <c r="AS1203" s="25">
        <v>1</v>
      </c>
      <c r="AT1203" s="25">
        <v>1</v>
      </c>
      <c r="AU1203" s="25">
        <v>1</v>
      </c>
      <c r="AV1203" s="25">
        <v>1</v>
      </c>
      <c r="AW1203" s="25">
        <v>1</v>
      </c>
      <c r="AX1203" s="25">
        <v>1</v>
      </c>
      <c r="AY1203" s="25">
        <v>1</v>
      </c>
      <c r="AZ1203" s="25">
        <v>1</v>
      </c>
      <c r="BA1203" s="25">
        <v>1</v>
      </c>
      <c r="BB1203" s="25">
        <v>1</v>
      </c>
      <c r="BC1203" s="25">
        <v>1</v>
      </c>
      <c r="BD1203" s="25">
        <v>1</v>
      </c>
    </row>
    <row r="1204" spans="27:56" x14ac:dyDescent="0.25">
      <c r="AA1204" s="68" t="str">
        <f t="shared" si="73"/>
        <v>Fotos\\.jpg</v>
      </c>
      <c r="AB1204" s="53">
        <f t="shared" si="74"/>
        <v>8.3056478405315617E-4</v>
      </c>
      <c r="AC1204" s="25">
        <f t="shared" si="75"/>
        <v>1204</v>
      </c>
      <c r="AD1204" s="51">
        <f t="shared" si="76"/>
        <v>1</v>
      </c>
      <c r="AE1204" s="25">
        <v>1</v>
      </c>
      <c r="AF1204" s="25">
        <v>1</v>
      </c>
      <c r="AG1204" s="25">
        <v>1</v>
      </c>
      <c r="AH1204" s="25">
        <v>1</v>
      </c>
      <c r="AI1204" s="25">
        <f>IF(OR(Apresentação!$E$3='Base de Dados e filtragem'!AI$2,Apresentação!$E$3='Base de Dados e filtragem'!E1204),1,0)</f>
        <v>1</v>
      </c>
      <c r="AJ1204" s="25">
        <f>IF(OR(Apresentação!$E$4='Base de Dados e filtragem'!AJ$2,Apresentação!$E$4='Base de Dados e filtragem'!F1204),1,0)</f>
        <v>1</v>
      </c>
      <c r="AK1204" s="25">
        <f>IF(OR(Apresentação!$E$5='Base de Dados e filtragem'!AK$2,Apresentação!$E$5='Base de Dados e filtragem'!G1204),1,0)</f>
        <v>1</v>
      </c>
      <c r="AL1204" s="25">
        <f>IF(OR(Apresentação!$E$6='Base de Dados e filtragem'!AL$2,Apresentação!$E$6='Base de Dados e filtragem'!H1204),1,0)</f>
        <v>1</v>
      </c>
      <c r="AM1204" s="25">
        <f>IF(OR(Apresentação!$I$2='Base de Dados e filtragem'!AM$2,Apresentação!$I$2='Base de Dados e filtragem'!I1204),1,0)</f>
        <v>1</v>
      </c>
      <c r="AN1204" s="25">
        <f>IF(OR(Apresentação!$I$3='Base de Dados e filtragem'!AN$2,Apresentação!$I$3='Base de Dados e filtragem'!J1204),1,0)</f>
        <v>1</v>
      </c>
      <c r="AO1204" s="25">
        <f>IF(OR(Apresentação!$I$4='Base de Dados e filtragem'!AO$2,Apresentação!$I$4='Base de Dados e filtragem'!K1204),1,0)</f>
        <v>1</v>
      </c>
      <c r="AP1204" s="25">
        <f>IF(OR(Apresentação!$I$5='Base de Dados e filtragem'!AP$2,Apresentação!$I$5='Base de Dados e filtragem'!L1204),1,0)</f>
        <v>1</v>
      </c>
      <c r="AQ1204" s="25">
        <f>IF(OR(Apresentação!$I$6='Base de Dados e filtragem'!AQ$2,Apresentação!$I$6='Base de Dados e filtragem'!M1204),1,0)</f>
        <v>1</v>
      </c>
      <c r="AR1204" s="25">
        <v>1</v>
      </c>
      <c r="AS1204" s="25">
        <v>1</v>
      </c>
      <c r="AT1204" s="25">
        <v>1</v>
      </c>
      <c r="AU1204" s="25">
        <v>1</v>
      </c>
      <c r="AV1204" s="25">
        <v>1</v>
      </c>
      <c r="AW1204" s="25">
        <v>1</v>
      </c>
      <c r="AX1204" s="25">
        <v>1</v>
      </c>
      <c r="AY1204" s="25">
        <v>1</v>
      </c>
      <c r="AZ1204" s="25">
        <v>1</v>
      </c>
      <c r="BA1204" s="25">
        <v>1</v>
      </c>
      <c r="BB1204" s="25">
        <v>1</v>
      </c>
      <c r="BC1204" s="25">
        <v>1</v>
      </c>
      <c r="BD1204" s="25">
        <v>1</v>
      </c>
    </row>
    <row r="1205" spans="27:56" x14ac:dyDescent="0.25">
      <c r="AA1205" s="68" t="str">
        <f t="shared" si="73"/>
        <v>Fotos\\.jpg</v>
      </c>
      <c r="AB1205" s="53">
        <f t="shared" si="74"/>
        <v>8.2987551867219915E-4</v>
      </c>
      <c r="AC1205" s="25">
        <f t="shared" si="75"/>
        <v>1205</v>
      </c>
      <c r="AD1205" s="51">
        <f t="shared" si="76"/>
        <v>1</v>
      </c>
      <c r="AE1205" s="25">
        <v>1</v>
      </c>
      <c r="AF1205" s="25">
        <v>1</v>
      </c>
      <c r="AG1205" s="25">
        <v>1</v>
      </c>
      <c r="AH1205" s="25">
        <v>1</v>
      </c>
      <c r="AI1205" s="25">
        <f>IF(OR(Apresentação!$E$3='Base de Dados e filtragem'!AI$2,Apresentação!$E$3='Base de Dados e filtragem'!E1205),1,0)</f>
        <v>1</v>
      </c>
      <c r="AJ1205" s="25">
        <f>IF(OR(Apresentação!$E$4='Base de Dados e filtragem'!AJ$2,Apresentação!$E$4='Base de Dados e filtragem'!F1205),1,0)</f>
        <v>1</v>
      </c>
      <c r="AK1205" s="25">
        <f>IF(OR(Apresentação!$E$5='Base de Dados e filtragem'!AK$2,Apresentação!$E$5='Base de Dados e filtragem'!G1205),1,0)</f>
        <v>1</v>
      </c>
      <c r="AL1205" s="25">
        <f>IF(OR(Apresentação!$E$6='Base de Dados e filtragem'!AL$2,Apresentação!$E$6='Base de Dados e filtragem'!H1205),1,0)</f>
        <v>1</v>
      </c>
      <c r="AM1205" s="25">
        <f>IF(OR(Apresentação!$I$2='Base de Dados e filtragem'!AM$2,Apresentação!$I$2='Base de Dados e filtragem'!I1205),1,0)</f>
        <v>1</v>
      </c>
      <c r="AN1205" s="25">
        <f>IF(OR(Apresentação!$I$3='Base de Dados e filtragem'!AN$2,Apresentação!$I$3='Base de Dados e filtragem'!J1205),1,0)</f>
        <v>1</v>
      </c>
      <c r="AO1205" s="25">
        <f>IF(OR(Apresentação!$I$4='Base de Dados e filtragem'!AO$2,Apresentação!$I$4='Base de Dados e filtragem'!K1205),1,0)</f>
        <v>1</v>
      </c>
      <c r="AP1205" s="25">
        <f>IF(OR(Apresentação!$I$5='Base de Dados e filtragem'!AP$2,Apresentação!$I$5='Base de Dados e filtragem'!L1205),1,0)</f>
        <v>1</v>
      </c>
      <c r="AQ1205" s="25">
        <f>IF(OR(Apresentação!$I$6='Base de Dados e filtragem'!AQ$2,Apresentação!$I$6='Base de Dados e filtragem'!M1205),1,0)</f>
        <v>1</v>
      </c>
      <c r="AR1205" s="25">
        <v>1</v>
      </c>
      <c r="AS1205" s="25">
        <v>1</v>
      </c>
      <c r="AT1205" s="25">
        <v>1</v>
      </c>
      <c r="AU1205" s="25">
        <v>1</v>
      </c>
      <c r="AV1205" s="25">
        <v>1</v>
      </c>
      <c r="AW1205" s="25">
        <v>1</v>
      </c>
      <c r="AX1205" s="25">
        <v>1</v>
      </c>
      <c r="AY1205" s="25">
        <v>1</v>
      </c>
      <c r="AZ1205" s="25">
        <v>1</v>
      </c>
      <c r="BA1205" s="25">
        <v>1</v>
      </c>
      <c r="BB1205" s="25">
        <v>1</v>
      </c>
      <c r="BC1205" s="25">
        <v>1</v>
      </c>
      <c r="BD1205" s="25">
        <v>1</v>
      </c>
    </row>
    <row r="1206" spans="27:56" x14ac:dyDescent="0.25">
      <c r="AA1206" s="68" t="str">
        <f t="shared" si="73"/>
        <v>Fotos\\.jpg</v>
      </c>
      <c r="AB1206" s="53">
        <f t="shared" si="74"/>
        <v>8.2918739635157548E-4</v>
      </c>
      <c r="AC1206" s="25">
        <f t="shared" si="75"/>
        <v>1206</v>
      </c>
      <c r="AD1206" s="51">
        <f t="shared" si="76"/>
        <v>1</v>
      </c>
      <c r="AE1206" s="25">
        <v>1</v>
      </c>
      <c r="AF1206" s="25">
        <v>1</v>
      </c>
      <c r="AG1206" s="25">
        <v>1</v>
      </c>
      <c r="AH1206" s="25">
        <v>1</v>
      </c>
      <c r="AI1206" s="25">
        <f>IF(OR(Apresentação!$E$3='Base de Dados e filtragem'!AI$2,Apresentação!$E$3='Base de Dados e filtragem'!E1206),1,0)</f>
        <v>1</v>
      </c>
      <c r="AJ1206" s="25">
        <f>IF(OR(Apresentação!$E$4='Base de Dados e filtragem'!AJ$2,Apresentação!$E$4='Base de Dados e filtragem'!F1206),1,0)</f>
        <v>1</v>
      </c>
      <c r="AK1206" s="25">
        <f>IF(OR(Apresentação!$E$5='Base de Dados e filtragem'!AK$2,Apresentação!$E$5='Base de Dados e filtragem'!G1206),1,0)</f>
        <v>1</v>
      </c>
      <c r="AL1206" s="25">
        <f>IF(OR(Apresentação!$E$6='Base de Dados e filtragem'!AL$2,Apresentação!$E$6='Base de Dados e filtragem'!H1206),1,0)</f>
        <v>1</v>
      </c>
      <c r="AM1206" s="25">
        <f>IF(OR(Apresentação!$I$2='Base de Dados e filtragem'!AM$2,Apresentação!$I$2='Base de Dados e filtragem'!I1206),1,0)</f>
        <v>1</v>
      </c>
      <c r="AN1206" s="25">
        <f>IF(OR(Apresentação!$I$3='Base de Dados e filtragem'!AN$2,Apresentação!$I$3='Base de Dados e filtragem'!J1206),1,0)</f>
        <v>1</v>
      </c>
      <c r="AO1206" s="25">
        <f>IF(OR(Apresentação!$I$4='Base de Dados e filtragem'!AO$2,Apresentação!$I$4='Base de Dados e filtragem'!K1206),1,0)</f>
        <v>1</v>
      </c>
      <c r="AP1206" s="25">
        <f>IF(OR(Apresentação!$I$5='Base de Dados e filtragem'!AP$2,Apresentação!$I$5='Base de Dados e filtragem'!L1206),1,0)</f>
        <v>1</v>
      </c>
      <c r="AQ1206" s="25">
        <f>IF(OR(Apresentação!$I$6='Base de Dados e filtragem'!AQ$2,Apresentação!$I$6='Base de Dados e filtragem'!M1206),1,0)</f>
        <v>1</v>
      </c>
      <c r="AR1206" s="25">
        <v>1</v>
      </c>
      <c r="AS1206" s="25">
        <v>1</v>
      </c>
      <c r="AT1206" s="25">
        <v>1</v>
      </c>
      <c r="AU1206" s="25">
        <v>1</v>
      </c>
      <c r="AV1206" s="25">
        <v>1</v>
      </c>
      <c r="AW1206" s="25">
        <v>1</v>
      </c>
      <c r="AX1206" s="25">
        <v>1</v>
      </c>
      <c r="AY1206" s="25">
        <v>1</v>
      </c>
      <c r="AZ1206" s="25">
        <v>1</v>
      </c>
      <c r="BA1206" s="25">
        <v>1</v>
      </c>
      <c r="BB1206" s="25">
        <v>1</v>
      </c>
      <c r="BC1206" s="25">
        <v>1</v>
      </c>
      <c r="BD1206" s="25">
        <v>1</v>
      </c>
    </row>
    <row r="1207" spans="27:56" x14ac:dyDescent="0.25">
      <c r="AA1207" s="68" t="str">
        <f t="shared" si="73"/>
        <v>Fotos\\.jpg</v>
      </c>
      <c r="AB1207" s="53">
        <f t="shared" si="74"/>
        <v>8.2850041425020708E-4</v>
      </c>
      <c r="AC1207" s="25">
        <f t="shared" si="75"/>
        <v>1207</v>
      </c>
      <c r="AD1207" s="51">
        <f t="shared" si="76"/>
        <v>1</v>
      </c>
      <c r="AE1207" s="25">
        <v>1</v>
      </c>
      <c r="AF1207" s="25">
        <v>1</v>
      </c>
      <c r="AG1207" s="25">
        <v>1</v>
      </c>
      <c r="AH1207" s="25">
        <v>1</v>
      </c>
      <c r="AI1207" s="25">
        <f>IF(OR(Apresentação!$E$3='Base de Dados e filtragem'!AI$2,Apresentação!$E$3='Base de Dados e filtragem'!E1207),1,0)</f>
        <v>1</v>
      </c>
      <c r="AJ1207" s="25">
        <f>IF(OR(Apresentação!$E$4='Base de Dados e filtragem'!AJ$2,Apresentação!$E$4='Base de Dados e filtragem'!F1207),1,0)</f>
        <v>1</v>
      </c>
      <c r="AK1207" s="25">
        <f>IF(OR(Apresentação!$E$5='Base de Dados e filtragem'!AK$2,Apresentação!$E$5='Base de Dados e filtragem'!G1207),1,0)</f>
        <v>1</v>
      </c>
      <c r="AL1207" s="25">
        <f>IF(OR(Apresentação!$E$6='Base de Dados e filtragem'!AL$2,Apresentação!$E$6='Base de Dados e filtragem'!H1207),1,0)</f>
        <v>1</v>
      </c>
      <c r="AM1207" s="25">
        <f>IF(OR(Apresentação!$I$2='Base de Dados e filtragem'!AM$2,Apresentação!$I$2='Base de Dados e filtragem'!I1207),1,0)</f>
        <v>1</v>
      </c>
      <c r="AN1207" s="25">
        <f>IF(OR(Apresentação!$I$3='Base de Dados e filtragem'!AN$2,Apresentação!$I$3='Base de Dados e filtragem'!J1207),1,0)</f>
        <v>1</v>
      </c>
      <c r="AO1207" s="25">
        <f>IF(OR(Apresentação!$I$4='Base de Dados e filtragem'!AO$2,Apresentação!$I$4='Base de Dados e filtragem'!K1207),1,0)</f>
        <v>1</v>
      </c>
      <c r="AP1207" s="25">
        <f>IF(OR(Apresentação!$I$5='Base de Dados e filtragem'!AP$2,Apresentação!$I$5='Base de Dados e filtragem'!L1207),1,0)</f>
        <v>1</v>
      </c>
      <c r="AQ1207" s="25">
        <f>IF(OR(Apresentação!$I$6='Base de Dados e filtragem'!AQ$2,Apresentação!$I$6='Base de Dados e filtragem'!M1207),1,0)</f>
        <v>1</v>
      </c>
      <c r="AR1207" s="25">
        <v>1</v>
      </c>
      <c r="AS1207" s="25">
        <v>1</v>
      </c>
      <c r="AT1207" s="25">
        <v>1</v>
      </c>
      <c r="AU1207" s="25">
        <v>1</v>
      </c>
      <c r="AV1207" s="25">
        <v>1</v>
      </c>
      <c r="AW1207" s="25">
        <v>1</v>
      </c>
      <c r="AX1207" s="25">
        <v>1</v>
      </c>
      <c r="AY1207" s="25">
        <v>1</v>
      </c>
      <c r="AZ1207" s="25">
        <v>1</v>
      </c>
      <c r="BA1207" s="25">
        <v>1</v>
      </c>
      <c r="BB1207" s="25">
        <v>1</v>
      </c>
      <c r="BC1207" s="25">
        <v>1</v>
      </c>
      <c r="BD1207" s="25">
        <v>1</v>
      </c>
    </row>
    <row r="1208" spans="27:56" x14ac:dyDescent="0.25">
      <c r="AA1208" s="68" t="str">
        <f t="shared" si="73"/>
        <v>Fotos\\.jpg</v>
      </c>
      <c r="AB1208" s="53">
        <f t="shared" si="74"/>
        <v>8.2781456953642384E-4</v>
      </c>
      <c r="AC1208" s="25">
        <f t="shared" si="75"/>
        <v>1208</v>
      </c>
      <c r="AD1208" s="51">
        <f t="shared" si="76"/>
        <v>1</v>
      </c>
      <c r="AE1208" s="25">
        <v>1</v>
      </c>
      <c r="AF1208" s="25">
        <v>1</v>
      </c>
      <c r="AG1208" s="25">
        <v>1</v>
      </c>
      <c r="AH1208" s="25">
        <v>1</v>
      </c>
      <c r="AI1208" s="25">
        <f>IF(OR(Apresentação!$E$3='Base de Dados e filtragem'!AI$2,Apresentação!$E$3='Base de Dados e filtragem'!E1208),1,0)</f>
        <v>1</v>
      </c>
      <c r="AJ1208" s="25">
        <f>IF(OR(Apresentação!$E$4='Base de Dados e filtragem'!AJ$2,Apresentação!$E$4='Base de Dados e filtragem'!F1208),1,0)</f>
        <v>1</v>
      </c>
      <c r="AK1208" s="25">
        <f>IF(OR(Apresentação!$E$5='Base de Dados e filtragem'!AK$2,Apresentação!$E$5='Base de Dados e filtragem'!G1208),1,0)</f>
        <v>1</v>
      </c>
      <c r="AL1208" s="25">
        <f>IF(OR(Apresentação!$E$6='Base de Dados e filtragem'!AL$2,Apresentação!$E$6='Base de Dados e filtragem'!H1208),1,0)</f>
        <v>1</v>
      </c>
      <c r="AM1208" s="25">
        <f>IF(OR(Apresentação!$I$2='Base de Dados e filtragem'!AM$2,Apresentação!$I$2='Base de Dados e filtragem'!I1208),1,0)</f>
        <v>1</v>
      </c>
      <c r="AN1208" s="25">
        <f>IF(OR(Apresentação!$I$3='Base de Dados e filtragem'!AN$2,Apresentação!$I$3='Base de Dados e filtragem'!J1208),1,0)</f>
        <v>1</v>
      </c>
      <c r="AO1208" s="25">
        <f>IF(OR(Apresentação!$I$4='Base de Dados e filtragem'!AO$2,Apresentação!$I$4='Base de Dados e filtragem'!K1208),1,0)</f>
        <v>1</v>
      </c>
      <c r="AP1208" s="25">
        <f>IF(OR(Apresentação!$I$5='Base de Dados e filtragem'!AP$2,Apresentação!$I$5='Base de Dados e filtragem'!L1208),1,0)</f>
        <v>1</v>
      </c>
      <c r="AQ1208" s="25">
        <f>IF(OR(Apresentação!$I$6='Base de Dados e filtragem'!AQ$2,Apresentação!$I$6='Base de Dados e filtragem'!M1208),1,0)</f>
        <v>1</v>
      </c>
      <c r="AR1208" s="25">
        <v>1</v>
      </c>
      <c r="AS1208" s="25">
        <v>1</v>
      </c>
      <c r="AT1208" s="25">
        <v>1</v>
      </c>
      <c r="AU1208" s="25">
        <v>1</v>
      </c>
      <c r="AV1208" s="25">
        <v>1</v>
      </c>
      <c r="AW1208" s="25">
        <v>1</v>
      </c>
      <c r="AX1208" s="25">
        <v>1</v>
      </c>
      <c r="AY1208" s="25">
        <v>1</v>
      </c>
      <c r="AZ1208" s="25">
        <v>1</v>
      </c>
      <c r="BA1208" s="25">
        <v>1</v>
      </c>
      <c r="BB1208" s="25">
        <v>1</v>
      </c>
      <c r="BC1208" s="25">
        <v>1</v>
      </c>
      <c r="BD1208" s="25">
        <v>1</v>
      </c>
    </row>
    <row r="1209" spans="27:56" x14ac:dyDescent="0.25">
      <c r="AA1209" s="68" t="str">
        <f t="shared" si="73"/>
        <v>Fotos\\.jpg</v>
      </c>
      <c r="AB1209" s="53">
        <f t="shared" si="74"/>
        <v>8.271298593879239E-4</v>
      </c>
      <c r="AC1209" s="25">
        <f t="shared" si="75"/>
        <v>1209</v>
      </c>
      <c r="AD1209" s="51">
        <f t="shared" si="76"/>
        <v>1</v>
      </c>
      <c r="AE1209" s="25">
        <v>1</v>
      </c>
      <c r="AF1209" s="25">
        <v>1</v>
      </c>
      <c r="AG1209" s="25">
        <v>1</v>
      </c>
      <c r="AH1209" s="25">
        <v>1</v>
      </c>
      <c r="AI1209" s="25">
        <f>IF(OR(Apresentação!$E$3='Base de Dados e filtragem'!AI$2,Apresentação!$E$3='Base de Dados e filtragem'!E1209),1,0)</f>
        <v>1</v>
      </c>
      <c r="AJ1209" s="25">
        <f>IF(OR(Apresentação!$E$4='Base de Dados e filtragem'!AJ$2,Apresentação!$E$4='Base de Dados e filtragem'!F1209),1,0)</f>
        <v>1</v>
      </c>
      <c r="AK1209" s="25">
        <f>IF(OR(Apresentação!$E$5='Base de Dados e filtragem'!AK$2,Apresentação!$E$5='Base de Dados e filtragem'!G1209),1,0)</f>
        <v>1</v>
      </c>
      <c r="AL1209" s="25">
        <f>IF(OR(Apresentação!$E$6='Base de Dados e filtragem'!AL$2,Apresentação!$E$6='Base de Dados e filtragem'!H1209),1,0)</f>
        <v>1</v>
      </c>
      <c r="AM1209" s="25">
        <f>IF(OR(Apresentação!$I$2='Base de Dados e filtragem'!AM$2,Apresentação!$I$2='Base de Dados e filtragem'!I1209),1,0)</f>
        <v>1</v>
      </c>
      <c r="AN1209" s="25">
        <f>IF(OR(Apresentação!$I$3='Base de Dados e filtragem'!AN$2,Apresentação!$I$3='Base de Dados e filtragem'!J1209),1,0)</f>
        <v>1</v>
      </c>
      <c r="AO1209" s="25">
        <f>IF(OR(Apresentação!$I$4='Base de Dados e filtragem'!AO$2,Apresentação!$I$4='Base de Dados e filtragem'!K1209),1,0)</f>
        <v>1</v>
      </c>
      <c r="AP1209" s="25">
        <f>IF(OR(Apresentação!$I$5='Base de Dados e filtragem'!AP$2,Apresentação!$I$5='Base de Dados e filtragem'!L1209),1,0)</f>
        <v>1</v>
      </c>
      <c r="AQ1209" s="25">
        <f>IF(OR(Apresentação!$I$6='Base de Dados e filtragem'!AQ$2,Apresentação!$I$6='Base de Dados e filtragem'!M1209),1,0)</f>
        <v>1</v>
      </c>
      <c r="AR1209" s="25">
        <v>1</v>
      </c>
      <c r="AS1209" s="25">
        <v>1</v>
      </c>
      <c r="AT1209" s="25">
        <v>1</v>
      </c>
      <c r="AU1209" s="25">
        <v>1</v>
      </c>
      <c r="AV1209" s="25">
        <v>1</v>
      </c>
      <c r="AW1209" s="25">
        <v>1</v>
      </c>
      <c r="AX1209" s="25">
        <v>1</v>
      </c>
      <c r="AY1209" s="25">
        <v>1</v>
      </c>
      <c r="AZ1209" s="25">
        <v>1</v>
      </c>
      <c r="BA1209" s="25">
        <v>1</v>
      </c>
      <c r="BB1209" s="25">
        <v>1</v>
      </c>
      <c r="BC1209" s="25">
        <v>1</v>
      </c>
      <c r="BD1209" s="25">
        <v>1</v>
      </c>
    </row>
    <row r="1210" spans="27:56" x14ac:dyDescent="0.25">
      <c r="AA1210" s="68" t="str">
        <f t="shared" si="73"/>
        <v>Fotos\\.jpg</v>
      </c>
      <c r="AB1210" s="53">
        <f t="shared" si="74"/>
        <v>8.2644628099173552E-4</v>
      </c>
      <c r="AC1210" s="25">
        <f t="shared" si="75"/>
        <v>1210</v>
      </c>
      <c r="AD1210" s="51">
        <f t="shared" si="76"/>
        <v>1</v>
      </c>
      <c r="AE1210" s="25">
        <v>1</v>
      </c>
      <c r="AF1210" s="25">
        <v>1</v>
      </c>
      <c r="AG1210" s="25">
        <v>1</v>
      </c>
      <c r="AH1210" s="25">
        <v>1</v>
      </c>
      <c r="AI1210" s="25">
        <f>IF(OR(Apresentação!$E$3='Base de Dados e filtragem'!AI$2,Apresentação!$E$3='Base de Dados e filtragem'!E1210),1,0)</f>
        <v>1</v>
      </c>
      <c r="AJ1210" s="25">
        <f>IF(OR(Apresentação!$E$4='Base de Dados e filtragem'!AJ$2,Apresentação!$E$4='Base de Dados e filtragem'!F1210),1,0)</f>
        <v>1</v>
      </c>
      <c r="AK1210" s="25">
        <f>IF(OR(Apresentação!$E$5='Base de Dados e filtragem'!AK$2,Apresentação!$E$5='Base de Dados e filtragem'!G1210),1,0)</f>
        <v>1</v>
      </c>
      <c r="AL1210" s="25">
        <f>IF(OR(Apresentação!$E$6='Base de Dados e filtragem'!AL$2,Apresentação!$E$6='Base de Dados e filtragem'!H1210),1,0)</f>
        <v>1</v>
      </c>
      <c r="AM1210" s="25">
        <f>IF(OR(Apresentação!$I$2='Base de Dados e filtragem'!AM$2,Apresentação!$I$2='Base de Dados e filtragem'!I1210),1,0)</f>
        <v>1</v>
      </c>
      <c r="AN1210" s="25">
        <f>IF(OR(Apresentação!$I$3='Base de Dados e filtragem'!AN$2,Apresentação!$I$3='Base de Dados e filtragem'!J1210),1,0)</f>
        <v>1</v>
      </c>
      <c r="AO1210" s="25">
        <f>IF(OR(Apresentação!$I$4='Base de Dados e filtragem'!AO$2,Apresentação!$I$4='Base de Dados e filtragem'!K1210),1,0)</f>
        <v>1</v>
      </c>
      <c r="AP1210" s="25">
        <f>IF(OR(Apresentação!$I$5='Base de Dados e filtragem'!AP$2,Apresentação!$I$5='Base de Dados e filtragem'!L1210),1,0)</f>
        <v>1</v>
      </c>
      <c r="AQ1210" s="25">
        <f>IF(OR(Apresentação!$I$6='Base de Dados e filtragem'!AQ$2,Apresentação!$I$6='Base de Dados e filtragem'!M1210),1,0)</f>
        <v>1</v>
      </c>
      <c r="AR1210" s="25">
        <v>1</v>
      </c>
      <c r="AS1210" s="25">
        <v>1</v>
      </c>
      <c r="AT1210" s="25">
        <v>1</v>
      </c>
      <c r="AU1210" s="25">
        <v>1</v>
      </c>
      <c r="AV1210" s="25">
        <v>1</v>
      </c>
      <c r="AW1210" s="25">
        <v>1</v>
      </c>
      <c r="AX1210" s="25">
        <v>1</v>
      </c>
      <c r="AY1210" s="25">
        <v>1</v>
      </c>
      <c r="AZ1210" s="25">
        <v>1</v>
      </c>
      <c r="BA1210" s="25">
        <v>1</v>
      </c>
      <c r="BB1210" s="25">
        <v>1</v>
      </c>
      <c r="BC1210" s="25">
        <v>1</v>
      </c>
      <c r="BD1210" s="25">
        <v>1</v>
      </c>
    </row>
    <row r="1211" spans="27:56" x14ac:dyDescent="0.25">
      <c r="AA1211" s="68" t="str">
        <f t="shared" si="73"/>
        <v>Fotos\\.jpg</v>
      </c>
      <c r="AB1211" s="53">
        <f t="shared" si="74"/>
        <v>8.2576383154417832E-4</v>
      </c>
      <c r="AC1211" s="25">
        <f t="shared" si="75"/>
        <v>1211</v>
      </c>
      <c r="AD1211" s="51">
        <f t="shared" si="76"/>
        <v>1</v>
      </c>
      <c r="AE1211" s="25">
        <v>1</v>
      </c>
      <c r="AF1211" s="25">
        <v>1</v>
      </c>
      <c r="AG1211" s="25">
        <v>1</v>
      </c>
      <c r="AH1211" s="25">
        <v>1</v>
      </c>
      <c r="AI1211" s="25">
        <f>IF(OR(Apresentação!$E$3='Base de Dados e filtragem'!AI$2,Apresentação!$E$3='Base de Dados e filtragem'!E1211),1,0)</f>
        <v>1</v>
      </c>
      <c r="AJ1211" s="25">
        <f>IF(OR(Apresentação!$E$4='Base de Dados e filtragem'!AJ$2,Apresentação!$E$4='Base de Dados e filtragem'!F1211),1,0)</f>
        <v>1</v>
      </c>
      <c r="AK1211" s="25">
        <f>IF(OR(Apresentação!$E$5='Base de Dados e filtragem'!AK$2,Apresentação!$E$5='Base de Dados e filtragem'!G1211),1,0)</f>
        <v>1</v>
      </c>
      <c r="AL1211" s="25">
        <f>IF(OR(Apresentação!$E$6='Base de Dados e filtragem'!AL$2,Apresentação!$E$6='Base de Dados e filtragem'!H1211),1,0)</f>
        <v>1</v>
      </c>
      <c r="AM1211" s="25">
        <f>IF(OR(Apresentação!$I$2='Base de Dados e filtragem'!AM$2,Apresentação!$I$2='Base de Dados e filtragem'!I1211),1,0)</f>
        <v>1</v>
      </c>
      <c r="AN1211" s="25">
        <f>IF(OR(Apresentação!$I$3='Base de Dados e filtragem'!AN$2,Apresentação!$I$3='Base de Dados e filtragem'!J1211),1,0)</f>
        <v>1</v>
      </c>
      <c r="AO1211" s="25">
        <f>IF(OR(Apresentação!$I$4='Base de Dados e filtragem'!AO$2,Apresentação!$I$4='Base de Dados e filtragem'!K1211),1,0)</f>
        <v>1</v>
      </c>
      <c r="AP1211" s="25">
        <f>IF(OR(Apresentação!$I$5='Base de Dados e filtragem'!AP$2,Apresentação!$I$5='Base de Dados e filtragem'!L1211),1,0)</f>
        <v>1</v>
      </c>
      <c r="AQ1211" s="25">
        <f>IF(OR(Apresentação!$I$6='Base de Dados e filtragem'!AQ$2,Apresentação!$I$6='Base de Dados e filtragem'!M1211),1,0)</f>
        <v>1</v>
      </c>
      <c r="AR1211" s="25">
        <v>1</v>
      </c>
      <c r="AS1211" s="25">
        <v>1</v>
      </c>
      <c r="AT1211" s="25">
        <v>1</v>
      </c>
      <c r="AU1211" s="25">
        <v>1</v>
      </c>
      <c r="AV1211" s="25">
        <v>1</v>
      </c>
      <c r="AW1211" s="25">
        <v>1</v>
      </c>
      <c r="AX1211" s="25">
        <v>1</v>
      </c>
      <c r="AY1211" s="25">
        <v>1</v>
      </c>
      <c r="AZ1211" s="25">
        <v>1</v>
      </c>
      <c r="BA1211" s="25">
        <v>1</v>
      </c>
      <c r="BB1211" s="25">
        <v>1</v>
      </c>
      <c r="BC1211" s="25">
        <v>1</v>
      </c>
      <c r="BD1211" s="25">
        <v>1</v>
      </c>
    </row>
    <row r="1212" spans="27:56" x14ac:dyDescent="0.25">
      <c r="AA1212" s="68" t="str">
        <f t="shared" si="73"/>
        <v>Fotos\\.jpg</v>
      </c>
      <c r="AB1212" s="53">
        <f t="shared" si="74"/>
        <v>8.2508250825082509E-4</v>
      </c>
      <c r="AC1212" s="25">
        <f t="shared" si="75"/>
        <v>1212</v>
      </c>
      <c r="AD1212" s="51">
        <f t="shared" si="76"/>
        <v>1</v>
      </c>
      <c r="AE1212" s="25">
        <v>1</v>
      </c>
      <c r="AF1212" s="25">
        <v>1</v>
      </c>
      <c r="AG1212" s="25">
        <v>1</v>
      </c>
      <c r="AH1212" s="25">
        <v>1</v>
      </c>
      <c r="AI1212" s="25">
        <f>IF(OR(Apresentação!$E$3='Base de Dados e filtragem'!AI$2,Apresentação!$E$3='Base de Dados e filtragem'!E1212),1,0)</f>
        <v>1</v>
      </c>
      <c r="AJ1212" s="25">
        <f>IF(OR(Apresentação!$E$4='Base de Dados e filtragem'!AJ$2,Apresentação!$E$4='Base de Dados e filtragem'!F1212),1,0)</f>
        <v>1</v>
      </c>
      <c r="AK1212" s="25">
        <f>IF(OR(Apresentação!$E$5='Base de Dados e filtragem'!AK$2,Apresentação!$E$5='Base de Dados e filtragem'!G1212),1,0)</f>
        <v>1</v>
      </c>
      <c r="AL1212" s="25">
        <f>IF(OR(Apresentação!$E$6='Base de Dados e filtragem'!AL$2,Apresentação!$E$6='Base de Dados e filtragem'!H1212),1,0)</f>
        <v>1</v>
      </c>
      <c r="AM1212" s="25">
        <f>IF(OR(Apresentação!$I$2='Base de Dados e filtragem'!AM$2,Apresentação!$I$2='Base de Dados e filtragem'!I1212),1,0)</f>
        <v>1</v>
      </c>
      <c r="AN1212" s="25">
        <f>IF(OR(Apresentação!$I$3='Base de Dados e filtragem'!AN$2,Apresentação!$I$3='Base de Dados e filtragem'!J1212),1,0)</f>
        <v>1</v>
      </c>
      <c r="AO1212" s="25">
        <f>IF(OR(Apresentação!$I$4='Base de Dados e filtragem'!AO$2,Apresentação!$I$4='Base de Dados e filtragem'!K1212),1,0)</f>
        <v>1</v>
      </c>
      <c r="AP1212" s="25">
        <f>IF(OR(Apresentação!$I$5='Base de Dados e filtragem'!AP$2,Apresentação!$I$5='Base de Dados e filtragem'!L1212),1,0)</f>
        <v>1</v>
      </c>
      <c r="AQ1212" s="25">
        <f>IF(OR(Apresentação!$I$6='Base de Dados e filtragem'!AQ$2,Apresentação!$I$6='Base de Dados e filtragem'!M1212),1,0)</f>
        <v>1</v>
      </c>
      <c r="AR1212" s="25">
        <v>1</v>
      </c>
      <c r="AS1212" s="25">
        <v>1</v>
      </c>
      <c r="AT1212" s="25">
        <v>1</v>
      </c>
      <c r="AU1212" s="25">
        <v>1</v>
      </c>
      <c r="AV1212" s="25">
        <v>1</v>
      </c>
      <c r="AW1212" s="25">
        <v>1</v>
      </c>
      <c r="AX1212" s="25">
        <v>1</v>
      </c>
      <c r="AY1212" s="25">
        <v>1</v>
      </c>
      <c r="AZ1212" s="25">
        <v>1</v>
      </c>
      <c r="BA1212" s="25">
        <v>1</v>
      </c>
      <c r="BB1212" s="25">
        <v>1</v>
      </c>
      <c r="BC1212" s="25">
        <v>1</v>
      </c>
      <c r="BD1212" s="25">
        <v>1</v>
      </c>
    </row>
    <row r="1213" spans="27:56" x14ac:dyDescent="0.25">
      <c r="AA1213" s="68" t="str">
        <f t="shared" si="73"/>
        <v>Fotos\\.jpg</v>
      </c>
      <c r="AB1213" s="53">
        <f t="shared" si="74"/>
        <v>8.2440230832646333E-4</v>
      </c>
      <c r="AC1213" s="25">
        <f t="shared" si="75"/>
        <v>1213</v>
      </c>
      <c r="AD1213" s="51">
        <f t="shared" si="76"/>
        <v>1</v>
      </c>
      <c r="AE1213" s="25">
        <v>1</v>
      </c>
      <c r="AF1213" s="25">
        <v>1</v>
      </c>
      <c r="AG1213" s="25">
        <v>1</v>
      </c>
      <c r="AH1213" s="25">
        <v>1</v>
      </c>
      <c r="AI1213" s="25">
        <f>IF(OR(Apresentação!$E$3='Base de Dados e filtragem'!AI$2,Apresentação!$E$3='Base de Dados e filtragem'!E1213),1,0)</f>
        <v>1</v>
      </c>
      <c r="AJ1213" s="25">
        <f>IF(OR(Apresentação!$E$4='Base de Dados e filtragem'!AJ$2,Apresentação!$E$4='Base de Dados e filtragem'!F1213),1,0)</f>
        <v>1</v>
      </c>
      <c r="AK1213" s="25">
        <f>IF(OR(Apresentação!$E$5='Base de Dados e filtragem'!AK$2,Apresentação!$E$5='Base de Dados e filtragem'!G1213),1,0)</f>
        <v>1</v>
      </c>
      <c r="AL1213" s="25">
        <f>IF(OR(Apresentação!$E$6='Base de Dados e filtragem'!AL$2,Apresentação!$E$6='Base de Dados e filtragem'!H1213),1,0)</f>
        <v>1</v>
      </c>
      <c r="AM1213" s="25">
        <f>IF(OR(Apresentação!$I$2='Base de Dados e filtragem'!AM$2,Apresentação!$I$2='Base de Dados e filtragem'!I1213),1,0)</f>
        <v>1</v>
      </c>
      <c r="AN1213" s="25">
        <f>IF(OR(Apresentação!$I$3='Base de Dados e filtragem'!AN$2,Apresentação!$I$3='Base de Dados e filtragem'!J1213),1,0)</f>
        <v>1</v>
      </c>
      <c r="AO1213" s="25">
        <f>IF(OR(Apresentação!$I$4='Base de Dados e filtragem'!AO$2,Apresentação!$I$4='Base de Dados e filtragem'!K1213),1,0)</f>
        <v>1</v>
      </c>
      <c r="AP1213" s="25">
        <f>IF(OR(Apresentação!$I$5='Base de Dados e filtragem'!AP$2,Apresentação!$I$5='Base de Dados e filtragem'!L1213),1,0)</f>
        <v>1</v>
      </c>
      <c r="AQ1213" s="25">
        <f>IF(OR(Apresentação!$I$6='Base de Dados e filtragem'!AQ$2,Apresentação!$I$6='Base de Dados e filtragem'!M1213),1,0)</f>
        <v>1</v>
      </c>
      <c r="AR1213" s="25">
        <v>1</v>
      </c>
      <c r="AS1213" s="25">
        <v>1</v>
      </c>
      <c r="AT1213" s="25">
        <v>1</v>
      </c>
      <c r="AU1213" s="25">
        <v>1</v>
      </c>
      <c r="AV1213" s="25">
        <v>1</v>
      </c>
      <c r="AW1213" s="25">
        <v>1</v>
      </c>
      <c r="AX1213" s="25">
        <v>1</v>
      </c>
      <c r="AY1213" s="25">
        <v>1</v>
      </c>
      <c r="AZ1213" s="25">
        <v>1</v>
      </c>
      <c r="BA1213" s="25">
        <v>1</v>
      </c>
      <c r="BB1213" s="25">
        <v>1</v>
      </c>
      <c r="BC1213" s="25">
        <v>1</v>
      </c>
      <c r="BD1213" s="25">
        <v>1</v>
      </c>
    </row>
    <row r="1214" spans="27:56" x14ac:dyDescent="0.25">
      <c r="AA1214" s="68" t="str">
        <f t="shared" si="73"/>
        <v>Fotos\\.jpg</v>
      </c>
      <c r="AB1214" s="53">
        <f t="shared" si="74"/>
        <v>8.2372322899505767E-4</v>
      </c>
      <c r="AC1214" s="25">
        <f t="shared" si="75"/>
        <v>1214</v>
      </c>
      <c r="AD1214" s="51">
        <f t="shared" si="76"/>
        <v>1</v>
      </c>
      <c r="AE1214" s="25">
        <v>1</v>
      </c>
      <c r="AF1214" s="25">
        <v>1</v>
      </c>
      <c r="AG1214" s="25">
        <v>1</v>
      </c>
      <c r="AH1214" s="25">
        <v>1</v>
      </c>
      <c r="AI1214" s="25">
        <f>IF(OR(Apresentação!$E$3='Base de Dados e filtragem'!AI$2,Apresentação!$E$3='Base de Dados e filtragem'!E1214),1,0)</f>
        <v>1</v>
      </c>
      <c r="AJ1214" s="25">
        <f>IF(OR(Apresentação!$E$4='Base de Dados e filtragem'!AJ$2,Apresentação!$E$4='Base de Dados e filtragem'!F1214),1,0)</f>
        <v>1</v>
      </c>
      <c r="AK1214" s="25">
        <f>IF(OR(Apresentação!$E$5='Base de Dados e filtragem'!AK$2,Apresentação!$E$5='Base de Dados e filtragem'!G1214),1,0)</f>
        <v>1</v>
      </c>
      <c r="AL1214" s="25">
        <f>IF(OR(Apresentação!$E$6='Base de Dados e filtragem'!AL$2,Apresentação!$E$6='Base de Dados e filtragem'!H1214),1,0)</f>
        <v>1</v>
      </c>
      <c r="AM1214" s="25">
        <f>IF(OR(Apresentação!$I$2='Base de Dados e filtragem'!AM$2,Apresentação!$I$2='Base de Dados e filtragem'!I1214),1,0)</f>
        <v>1</v>
      </c>
      <c r="AN1214" s="25">
        <f>IF(OR(Apresentação!$I$3='Base de Dados e filtragem'!AN$2,Apresentação!$I$3='Base de Dados e filtragem'!J1214),1,0)</f>
        <v>1</v>
      </c>
      <c r="AO1214" s="25">
        <f>IF(OR(Apresentação!$I$4='Base de Dados e filtragem'!AO$2,Apresentação!$I$4='Base de Dados e filtragem'!K1214),1,0)</f>
        <v>1</v>
      </c>
      <c r="AP1214" s="25">
        <f>IF(OR(Apresentação!$I$5='Base de Dados e filtragem'!AP$2,Apresentação!$I$5='Base de Dados e filtragem'!L1214),1,0)</f>
        <v>1</v>
      </c>
      <c r="AQ1214" s="25">
        <f>IF(OR(Apresentação!$I$6='Base de Dados e filtragem'!AQ$2,Apresentação!$I$6='Base de Dados e filtragem'!M1214),1,0)</f>
        <v>1</v>
      </c>
      <c r="AR1214" s="25">
        <v>1</v>
      </c>
      <c r="AS1214" s="25">
        <v>1</v>
      </c>
      <c r="AT1214" s="25">
        <v>1</v>
      </c>
      <c r="AU1214" s="25">
        <v>1</v>
      </c>
      <c r="AV1214" s="25">
        <v>1</v>
      </c>
      <c r="AW1214" s="25">
        <v>1</v>
      </c>
      <c r="AX1214" s="25">
        <v>1</v>
      </c>
      <c r="AY1214" s="25">
        <v>1</v>
      </c>
      <c r="AZ1214" s="25">
        <v>1</v>
      </c>
      <c r="BA1214" s="25">
        <v>1</v>
      </c>
      <c r="BB1214" s="25">
        <v>1</v>
      </c>
      <c r="BC1214" s="25">
        <v>1</v>
      </c>
      <c r="BD1214" s="25">
        <v>1</v>
      </c>
    </row>
    <row r="1215" spans="27:56" x14ac:dyDescent="0.25">
      <c r="AA1215" s="68" t="str">
        <f t="shared" si="73"/>
        <v>Fotos\\.jpg</v>
      </c>
      <c r="AB1215" s="53">
        <f t="shared" si="74"/>
        <v>8.2304526748971192E-4</v>
      </c>
      <c r="AC1215" s="25">
        <f t="shared" si="75"/>
        <v>1215</v>
      </c>
      <c r="AD1215" s="51">
        <f t="shared" si="76"/>
        <v>1</v>
      </c>
      <c r="AE1215" s="25">
        <v>1</v>
      </c>
      <c r="AF1215" s="25">
        <v>1</v>
      </c>
      <c r="AG1215" s="25">
        <v>1</v>
      </c>
      <c r="AH1215" s="25">
        <v>1</v>
      </c>
      <c r="AI1215" s="25">
        <f>IF(OR(Apresentação!$E$3='Base de Dados e filtragem'!AI$2,Apresentação!$E$3='Base de Dados e filtragem'!E1215),1,0)</f>
        <v>1</v>
      </c>
      <c r="AJ1215" s="25">
        <f>IF(OR(Apresentação!$E$4='Base de Dados e filtragem'!AJ$2,Apresentação!$E$4='Base de Dados e filtragem'!F1215),1,0)</f>
        <v>1</v>
      </c>
      <c r="AK1215" s="25">
        <f>IF(OR(Apresentação!$E$5='Base de Dados e filtragem'!AK$2,Apresentação!$E$5='Base de Dados e filtragem'!G1215),1,0)</f>
        <v>1</v>
      </c>
      <c r="AL1215" s="25">
        <f>IF(OR(Apresentação!$E$6='Base de Dados e filtragem'!AL$2,Apresentação!$E$6='Base de Dados e filtragem'!H1215),1,0)</f>
        <v>1</v>
      </c>
      <c r="AM1215" s="25">
        <f>IF(OR(Apresentação!$I$2='Base de Dados e filtragem'!AM$2,Apresentação!$I$2='Base de Dados e filtragem'!I1215),1,0)</f>
        <v>1</v>
      </c>
      <c r="AN1215" s="25">
        <f>IF(OR(Apresentação!$I$3='Base de Dados e filtragem'!AN$2,Apresentação!$I$3='Base de Dados e filtragem'!J1215),1,0)</f>
        <v>1</v>
      </c>
      <c r="AO1215" s="25">
        <f>IF(OR(Apresentação!$I$4='Base de Dados e filtragem'!AO$2,Apresentação!$I$4='Base de Dados e filtragem'!K1215),1,0)</f>
        <v>1</v>
      </c>
      <c r="AP1215" s="25">
        <f>IF(OR(Apresentação!$I$5='Base de Dados e filtragem'!AP$2,Apresentação!$I$5='Base de Dados e filtragem'!L1215),1,0)</f>
        <v>1</v>
      </c>
      <c r="AQ1215" s="25">
        <f>IF(OR(Apresentação!$I$6='Base de Dados e filtragem'!AQ$2,Apresentação!$I$6='Base de Dados e filtragem'!M1215),1,0)</f>
        <v>1</v>
      </c>
      <c r="AR1215" s="25">
        <v>1</v>
      </c>
      <c r="AS1215" s="25">
        <v>1</v>
      </c>
      <c r="AT1215" s="25">
        <v>1</v>
      </c>
      <c r="AU1215" s="25">
        <v>1</v>
      </c>
      <c r="AV1215" s="25">
        <v>1</v>
      </c>
      <c r="AW1215" s="25">
        <v>1</v>
      </c>
      <c r="AX1215" s="25">
        <v>1</v>
      </c>
      <c r="AY1215" s="25">
        <v>1</v>
      </c>
      <c r="AZ1215" s="25">
        <v>1</v>
      </c>
      <c r="BA1215" s="25">
        <v>1</v>
      </c>
      <c r="BB1215" s="25">
        <v>1</v>
      </c>
      <c r="BC1215" s="25">
        <v>1</v>
      </c>
      <c r="BD1215" s="25">
        <v>1</v>
      </c>
    </row>
    <row r="1216" spans="27:56" x14ac:dyDescent="0.25">
      <c r="AA1216" s="68" t="str">
        <f t="shared" si="73"/>
        <v>Fotos\\.jpg</v>
      </c>
      <c r="AB1216" s="53">
        <f t="shared" si="74"/>
        <v>8.2236842105263153E-4</v>
      </c>
      <c r="AC1216" s="25">
        <f t="shared" si="75"/>
        <v>1216</v>
      </c>
      <c r="AD1216" s="51">
        <f t="shared" si="76"/>
        <v>1</v>
      </c>
      <c r="AE1216" s="25">
        <v>1</v>
      </c>
      <c r="AF1216" s="25">
        <v>1</v>
      </c>
      <c r="AG1216" s="25">
        <v>1</v>
      </c>
      <c r="AH1216" s="25">
        <v>1</v>
      </c>
      <c r="AI1216" s="25">
        <f>IF(OR(Apresentação!$E$3='Base de Dados e filtragem'!AI$2,Apresentação!$E$3='Base de Dados e filtragem'!E1216),1,0)</f>
        <v>1</v>
      </c>
      <c r="AJ1216" s="25">
        <f>IF(OR(Apresentação!$E$4='Base de Dados e filtragem'!AJ$2,Apresentação!$E$4='Base de Dados e filtragem'!F1216),1,0)</f>
        <v>1</v>
      </c>
      <c r="AK1216" s="25">
        <f>IF(OR(Apresentação!$E$5='Base de Dados e filtragem'!AK$2,Apresentação!$E$5='Base de Dados e filtragem'!G1216),1,0)</f>
        <v>1</v>
      </c>
      <c r="AL1216" s="25">
        <f>IF(OR(Apresentação!$E$6='Base de Dados e filtragem'!AL$2,Apresentação!$E$6='Base de Dados e filtragem'!H1216),1,0)</f>
        <v>1</v>
      </c>
      <c r="AM1216" s="25">
        <f>IF(OR(Apresentação!$I$2='Base de Dados e filtragem'!AM$2,Apresentação!$I$2='Base de Dados e filtragem'!I1216),1,0)</f>
        <v>1</v>
      </c>
      <c r="AN1216" s="25">
        <f>IF(OR(Apresentação!$I$3='Base de Dados e filtragem'!AN$2,Apresentação!$I$3='Base de Dados e filtragem'!J1216),1,0)</f>
        <v>1</v>
      </c>
      <c r="AO1216" s="25">
        <f>IF(OR(Apresentação!$I$4='Base de Dados e filtragem'!AO$2,Apresentação!$I$4='Base de Dados e filtragem'!K1216),1,0)</f>
        <v>1</v>
      </c>
      <c r="AP1216" s="25">
        <f>IF(OR(Apresentação!$I$5='Base de Dados e filtragem'!AP$2,Apresentação!$I$5='Base de Dados e filtragem'!L1216),1,0)</f>
        <v>1</v>
      </c>
      <c r="AQ1216" s="25">
        <f>IF(OR(Apresentação!$I$6='Base de Dados e filtragem'!AQ$2,Apresentação!$I$6='Base de Dados e filtragem'!M1216),1,0)</f>
        <v>1</v>
      </c>
      <c r="AR1216" s="25">
        <v>1</v>
      </c>
      <c r="AS1216" s="25">
        <v>1</v>
      </c>
      <c r="AT1216" s="25">
        <v>1</v>
      </c>
      <c r="AU1216" s="25">
        <v>1</v>
      </c>
      <c r="AV1216" s="25">
        <v>1</v>
      </c>
      <c r="AW1216" s="25">
        <v>1</v>
      </c>
      <c r="AX1216" s="25">
        <v>1</v>
      </c>
      <c r="AY1216" s="25">
        <v>1</v>
      </c>
      <c r="AZ1216" s="25">
        <v>1</v>
      </c>
      <c r="BA1216" s="25">
        <v>1</v>
      </c>
      <c r="BB1216" s="25">
        <v>1</v>
      </c>
      <c r="BC1216" s="25">
        <v>1</v>
      </c>
      <c r="BD1216" s="25">
        <v>1</v>
      </c>
    </row>
    <row r="1217" spans="27:56" x14ac:dyDescent="0.25">
      <c r="AA1217" s="68" t="str">
        <f t="shared" si="73"/>
        <v>Fotos\\.jpg</v>
      </c>
      <c r="AB1217" s="53">
        <f t="shared" si="74"/>
        <v>8.2169268693508624E-4</v>
      </c>
      <c r="AC1217" s="25">
        <f t="shared" si="75"/>
        <v>1217</v>
      </c>
      <c r="AD1217" s="51">
        <f t="shared" si="76"/>
        <v>1</v>
      </c>
      <c r="AE1217" s="25">
        <v>1</v>
      </c>
      <c r="AF1217" s="25">
        <v>1</v>
      </c>
      <c r="AG1217" s="25">
        <v>1</v>
      </c>
      <c r="AH1217" s="25">
        <v>1</v>
      </c>
      <c r="AI1217" s="25">
        <f>IF(OR(Apresentação!$E$3='Base de Dados e filtragem'!AI$2,Apresentação!$E$3='Base de Dados e filtragem'!E1217),1,0)</f>
        <v>1</v>
      </c>
      <c r="AJ1217" s="25">
        <f>IF(OR(Apresentação!$E$4='Base de Dados e filtragem'!AJ$2,Apresentação!$E$4='Base de Dados e filtragem'!F1217),1,0)</f>
        <v>1</v>
      </c>
      <c r="AK1217" s="25">
        <f>IF(OR(Apresentação!$E$5='Base de Dados e filtragem'!AK$2,Apresentação!$E$5='Base de Dados e filtragem'!G1217),1,0)</f>
        <v>1</v>
      </c>
      <c r="AL1217" s="25">
        <f>IF(OR(Apresentação!$E$6='Base de Dados e filtragem'!AL$2,Apresentação!$E$6='Base de Dados e filtragem'!H1217),1,0)</f>
        <v>1</v>
      </c>
      <c r="AM1217" s="25">
        <f>IF(OR(Apresentação!$I$2='Base de Dados e filtragem'!AM$2,Apresentação!$I$2='Base de Dados e filtragem'!I1217),1,0)</f>
        <v>1</v>
      </c>
      <c r="AN1217" s="25">
        <f>IF(OR(Apresentação!$I$3='Base de Dados e filtragem'!AN$2,Apresentação!$I$3='Base de Dados e filtragem'!J1217),1,0)</f>
        <v>1</v>
      </c>
      <c r="AO1217" s="25">
        <f>IF(OR(Apresentação!$I$4='Base de Dados e filtragem'!AO$2,Apresentação!$I$4='Base de Dados e filtragem'!K1217),1,0)</f>
        <v>1</v>
      </c>
      <c r="AP1217" s="25">
        <f>IF(OR(Apresentação!$I$5='Base de Dados e filtragem'!AP$2,Apresentação!$I$5='Base de Dados e filtragem'!L1217),1,0)</f>
        <v>1</v>
      </c>
      <c r="AQ1217" s="25">
        <f>IF(OR(Apresentação!$I$6='Base de Dados e filtragem'!AQ$2,Apresentação!$I$6='Base de Dados e filtragem'!M1217),1,0)</f>
        <v>1</v>
      </c>
      <c r="AR1217" s="25">
        <v>1</v>
      </c>
      <c r="AS1217" s="25">
        <v>1</v>
      </c>
      <c r="AT1217" s="25">
        <v>1</v>
      </c>
      <c r="AU1217" s="25">
        <v>1</v>
      </c>
      <c r="AV1217" s="25">
        <v>1</v>
      </c>
      <c r="AW1217" s="25">
        <v>1</v>
      </c>
      <c r="AX1217" s="25">
        <v>1</v>
      </c>
      <c r="AY1217" s="25">
        <v>1</v>
      </c>
      <c r="AZ1217" s="25">
        <v>1</v>
      </c>
      <c r="BA1217" s="25">
        <v>1</v>
      </c>
      <c r="BB1217" s="25">
        <v>1</v>
      </c>
      <c r="BC1217" s="25">
        <v>1</v>
      </c>
      <c r="BD1217" s="25">
        <v>1</v>
      </c>
    </row>
    <row r="1218" spans="27:56" x14ac:dyDescent="0.25">
      <c r="AA1218" s="68" t="str">
        <f t="shared" si="73"/>
        <v>Fotos\\.jpg</v>
      </c>
      <c r="AB1218" s="53">
        <f t="shared" si="74"/>
        <v>8.2101806239737272E-4</v>
      </c>
      <c r="AC1218" s="25">
        <f t="shared" si="75"/>
        <v>1218</v>
      </c>
      <c r="AD1218" s="51">
        <f t="shared" si="76"/>
        <v>1</v>
      </c>
      <c r="AE1218" s="25">
        <v>1</v>
      </c>
      <c r="AF1218" s="25">
        <v>1</v>
      </c>
      <c r="AG1218" s="25">
        <v>1</v>
      </c>
      <c r="AH1218" s="25">
        <v>1</v>
      </c>
      <c r="AI1218" s="25">
        <f>IF(OR(Apresentação!$E$3='Base de Dados e filtragem'!AI$2,Apresentação!$E$3='Base de Dados e filtragem'!E1218),1,0)</f>
        <v>1</v>
      </c>
      <c r="AJ1218" s="25">
        <f>IF(OR(Apresentação!$E$4='Base de Dados e filtragem'!AJ$2,Apresentação!$E$4='Base de Dados e filtragem'!F1218),1,0)</f>
        <v>1</v>
      </c>
      <c r="AK1218" s="25">
        <f>IF(OR(Apresentação!$E$5='Base de Dados e filtragem'!AK$2,Apresentação!$E$5='Base de Dados e filtragem'!G1218),1,0)</f>
        <v>1</v>
      </c>
      <c r="AL1218" s="25">
        <f>IF(OR(Apresentação!$E$6='Base de Dados e filtragem'!AL$2,Apresentação!$E$6='Base de Dados e filtragem'!H1218),1,0)</f>
        <v>1</v>
      </c>
      <c r="AM1218" s="25">
        <f>IF(OR(Apresentação!$I$2='Base de Dados e filtragem'!AM$2,Apresentação!$I$2='Base de Dados e filtragem'!I1218),1,0)</f>
        <v>1</v>
      </c>
      <c r="AN1218" s="25">
        <f>IF(OR(Apresentação!$I$3='Base de Dados e filtragem'!AN$2,Apresentação!$I$3='Base de Dados e filtragem'!J1218),1,0)</f>
        <v>1</v>
      </c>
      <c r="AO1218" s="25">
        <f>IF(OR(Apresentação!$I$4='Base de Dados e filtragem'!AO$2,Apresentação!$I$4='Base de Dados e filtragem'!K1218),1,0)</f>
        <v>1</v>
      </c>
      <c r="AP1218" s="25">
        <f>IF(OR(Apresentação!$I$5='Base de Dados e filtragem'!AP$2,Apresentação!$I$5='Base de Dados e filtragem'!L1218),1,0)</f>
        <v>1</v>
      </c>
      <c r="AQ1218" s="25">
        <f>IF(OR(Apresentação!$I$6='Base de Dados e filtragem'!AQ$2,Apresentação!$I$6='Base de Dados e filtragem'!M1218),1,0)</f>
        <v>1</v>
      </c>
      <c r="AR1218" s="25">
        <v>1</v>
      </c>
      <c r="AS1218" s="25">
        <v>1</v>
      </c>
      <c r="AT1218" s="25">
        <v>1</v>
      </c>
      <c r="AU1218" s="25">
        <v>1</v>
      </c>
      <c r="AV1218" s="25">
        <v>1</v>
      </c>
      <c r="AW1218" s="25">
        <v>1</v>
      </c>
      <c r="AX1218" s="25">
        <v>1</v>
      </c>
      <c r="AY1218" s="25">
        <v>1</v>
      </c>
      <c r="AZ1218" s="25">
        <v>1</v>
      </c>
      <c r="BA1218" s="25">
        <v>1</v>
      </c>
      <c r="BB1218" s="25">
        <v>1</v>
      </c>
      <c r="BC1218" s="25">
        <v>1</v>
      </c>
      <c r="BD1218" s="25">
        <v>1</v>
      </c>
    </row>
    <row r="1219" spans="27:56" x14ac:dyDescent="0.25">
      <c r="AA1219" s="68" t="str">
        <f t="shared" si="73"/>
        <v>Fotos\\.jpg</v>
      </c>
      <c r="AB1219" s="53">
        <f t="shared" si="74"/>
        <v>8.2034454470877774E-4</v>
      </c>
      <c r="AC1219" s="25">
        <f t="shared" si="75"/>
        <v>1219</v>
      </c>
      <c r="AD1219" s="51">
        <f t="shared" si="76"/>
        <v>1</v>
      </c>
      <c r="AE1219" s="25">
        <v>1</v>
      </c>
      <c r="AF1219" s="25">
        <v>1</v>
      </c>
      <c r="AG1219" s="25">
        <v>1</v>
      </c>
      <c r="AH1219" s="25">
        <v>1</v>
      </c>
      <c r="AI1219" s="25">
        <f>IF(OR(Apresentação!$E$3='Base de Dados e filtragem'!AI$2,Apresentação!$E$3='Base de Dados e filtragem'!E1219),1,0)</f>
        <v>1</v>
      </c>
      <c r="AJ1219" s="25">
        <f>IF(OR(Apresentação!$E$4='Base de Dados e filtragem'!AJ$2,Apresentação!$E$4='Base de Dados e filtragem'!F1219),1,0)</f>
        <v>1</v>
      </c>
      <c r="AK1219" s="25">
        <f>IF(OR(Apresentação!$E$5='Base de Dados e filtragem'!AK$2,Apresentação!$E$5='Base de Dados e filtragem'!G1219),1,0)</f>
        <v>1</v>
      </c>
      <c r="AL1219" s="25">
        <f>IF(OR(Apresentação!$E$6='Base de Dados e filtragem'!AL$2,Apresentação!$E$6='Base de Dados e filtragem'!H1219),1,0)</f>
        <v>1</v>
      </c>
      <c r="AM1219" s="25">
        <f>IF(OR(Apresentação!$I$2='Base de Dados e filtragem'!AM$2,Apresentação!$I$2='Base de Dados e filtragem'!I1219),1,0)</f>
        <v>1</v>
      </c>
      <c r="AN1219" s="25">
        <f>IF(OR(Apresentação!$I$3='Base de Dados e filtragem'!AN$2,Apresentação!$I$3='Base de Dados e filtragem'!J1219),1,0)</f>
        <v>1</v>
      </c>
      <c r="AO1219" s="25">
        <f>IF(OR(Apresentação!$I$4='Base de Dados e filtragem'!AO$2,Apresentação!$I$4='Base de Dados e filtragem'!K1219),1,0)</f>
        <v>1</v>
      </c>
      <c r="AP1219" s="25">
        <f>IF(OR(Apresentação!$I$5='Base de Dados e filtragem'!AP$2,Apresentação!$I$5='Base de Dados e filtragem'!L1219),1,0)</f>
        <v>1</v>
      </c>
      <c r="AQ1219" s="25">
        <f>IF(OR(Apresentação!$I$6='Base de Dados e filtragem'!AQ$2,Apresentação!$I$6='Base de Dados e filtragem'!M1219),1,0)</f>
        <v>1</v>
      </c>
      <c r="AR1219" s="25">
        <v>1</v>
      </c>
      <c r="AS1219" s="25">
        <v>1</v>
      </c>
      <c r="AT1219" s="25">
        <v>1</v>
      </c>
      <c r="AU1219" s="25">
        <v>1</v>
      </c>
      <c r="AV1219" s="25">
        <v>1</v>
      </c>
      <c r="AW1219" s="25">
        <v>1</v>
      </c>
      <c r="AX1219" s="25">
        <v>1</v>
      </c>
      <c r="AY1219" s="25">
        <v>1</v>
      </c>
      <c r="AZ1219" s="25">
        <v>1</v>
      </c>
      <c r="BA1219" s="25">
        <v>1</v>
      </c>
      <c r="BB1219" s="25">
        <v>1</v>
      </c>
      <c r="BC1219" s="25">
        <v>1</v>
      </c>
      <c r="BD1219" s="25">
        <v>1</v>
      </c>
    </row>
    <row r="1220" spans="27:56" x14ac:dyDescent="0.25">
      <c r="AA1220" s="68" t="str">
        <f t="shared" ref="AA1220:AA1283" si="77">"Fotos\"&amp;I1220&amp;"\"&amp;A1220&amp;".jpg"</f>
        <v>Fotos\\.jpg</v>
      </c>
      <c r="AB1220" s="53">
        <f t="shared" ref="AB1220:AB1283" si="78">AD1220/AC1220</f>
        <v>8.1967213114754098E-4</v>
      </c>
      <c r="AC1220" s="25">
        <f t="shared" ref="AC1220:AC1283" si="79">AC1219+1</f>
        <v>1220</v>
      </c>
      <c r="AD1220" s="51">
        <f t="shared" ref="AD1220:AD1283" si="80">PRODUCT(AE1220:BD1220)</f>
        <v>1</v>
      </c>
      <c r="AE1220" s="25">
        <v>1</v>
      </c>
      <c r="AF1220" s="25">
        <v>1</v>
      </c>
      <c r="AG1220" s="25">
        <v>1</v>
      </c>
      <c r="AH1220" s="25">
        <v>1</v>
      </c>
      <c r="AI1220" s="25">
        <f>IF(OR(Apresentação!$E$3='Base de Dados e filtragem'!AI$2,Apresentação!$E$3='Base de Dados e filtragem'!E1220),1,0)</f>
        <v>1</v>
      </c>
      <c r="AJ1220" s="25">
        <f>IF(OR(Apresentação!$E$4='Base de Dados e filtragem'!AJ$2,Apresentação!$E$4='Base de Dados e filtragem'!F1220),1,0)</f>
        <v>1</v>
      </c>
      <c r="AK1220" s="25">
        <f>IF(OR(Apresentação!$E$5='Base de Dados e filtragem'!AK$2,Apresentação!$E$5='Base de Dados e filtragem'!G1220),1,0)</f>
        <v>1</v>
      </c>
      <c r="AL1220" s="25">
        <f>IF(OR(Apresentação!$E$6='Base de Dados e filtragem'!AL$2,Apresentação!$E$6='Base de Dados e filtragem'!H1220),1,0)</f>
        <v>1</v>
      </c>
      <c r="AM1220" s="25">
        <f>IF(OR(Apresentação!$I$2='Base de Dados e filtragem'!AM$2,Apresentação!$I$2='Base de Dados e filtragem'!I1220),1,0)</f>
        <v>1</v>
      </c>
      <c r="AN1220" s="25">
        <f>IF(OR(Apresentação!$I$3='Base de Dados e filtragem'!AN$2,Apresentação!$I$3='Base de Dados e filtragem'!J1220),1,0)</f>
        <v>1</v>
      </c>
      <c r="AO1220" s="25">
        <f>IF(OR(Apresentação!$I$4='Base de Dados e filtragem'!AO$2,Apresentação!$I$4='Base de Dados e filtragem'!K1220),1,0)</f>
        <v>1</v>
      </c>
      <c r="AP1220" s="25">
        <f>IF(OR(Apresentação!$I$5='Base de Dados e filtragem'!AP$2,Apresentação!$I$5='Base de Dados e filtragem'!L1220),1,0)</f>
        <v>1</v>
      </c>
      <c r="AQ1220" s="25">
        <f>IF(OR(Apresentação!$I$6='Base de Dados e filtragem'!AQ$2,Apresentação!$I$6='Base de Dados e filtragem'!M1220),1,0)</f>
        <v>1</v>
      </c>
      <c r="AR1220" s="25">
        <v>1</v>
      </c>
      <c r="AS1220" s="25">
        <v>1</v>
      </c>
      <c r="AT1220" s="25">
        <v>1</v>
      </c>
      <c r="AU1220" s="25">
        <v>1</v>
      </c>
      <c r="AV1220" s="25">
        <v>1</v>
      </c>
      <c r="AW1220" s="25">
        <v>1</v>
      </c>
      <c r="AX1220" s="25">
        <v>1</v>
      </c>
      <c r="AY1220" s="25">
        <v>1</v>
      </c>
      <c r="AZ1220" s="25">
        <v>1</v>
      </c>
      <c r="BA1220" s="25">
        <v>1</v>
      </c>
      <c r="BB1220" s="25">
        <v>1</v>
      </c>
      <c r="BC1220" s="25">
        <v>1</v>
      </c>
      <c r="BD1220" s="25">
        <v>1</v>
      </c>
    </row>
    <row r="1221" spans="27:56" x14ac:dyDescent="0.25">
      <c r="AA1221" s="68" t="str">
        <f t="shared" si="77"/>
        <v>Fotos\\.jpg</v>
      </c>
      <c r="AB1221" s="53">
        <f t="shared" si="78"/>
        <v>8.1900081900081905E-4</v>
      </c>
      <c r="AC1221" s="25">
        <f t="shared" si="79"/>
        <v>1221</v>
      </c>
      <c r="AD1221" s="51">
        <f t="shared" si="80"/>
        <v>1</v>
      </c>
      <c r="AE1221" s="25">
        <v>1</v>
      </c>
      <c r="AF1221" s="25">
        <v>1</v>
      </c>
      <c r="AG1221" s="25">
        <v>1</v>
      </c>
      <c r="AH1221" s="25">
        <v>1</v>
      </c>
      <c r="AI1221" s="25">
        <f>IF(OR(Apresentação!$E$3='Base de Dados e filtragem'!AI$2,Apresentação!$E$3='Base de Dados e filtragem'!E1221),1,0)</f>
        <v>1</v>
      </c>
      <c r="AJ1221" s="25">
        <f>IF(OR(Apresentação!$E$4='Base de Dados e filtragem'!AJ$2,Apresentação!$E$4='Base de Dados e filtragem'!F1221),1,0)</f>
        <v>1</v>
      </c>
      <c r="AK1221" s="25">
        <f>IF(OR(Apresentação!$E$5='Base de Dados e filtragem'!AK$2,Apresentação!$E$5='Base de Dados e filtragem'!G1221),1,0)</f>
        <v>1</v>
      </c>
      <c r="AL1221" s="25">
        <f>IF(OR(Apresentação!$E$6='Base de Dados e filtragem'!AL$2,Apresentação!$E$6='Base de Dados e filtragem'!H1221),1,0)</f>
        <v>1</v>
      </c>
      <c r="AM1221" s="25">
        <f>IF(OR(Apresentação!$I$2='Base de Dados e filtragem'!AM$2,Apresentação!$I$2='Base de Dados e filtragem'!I1221),1,0)</f>
        <v>1</v>
      </c>
      <c r="AN1221" s="25">
        <f>IF(OR(Apresentação!$I$3='Base de Dados e filtragem'!AN$2,Apresentação!$I$3='Base de Dados e filtragem'!J1221),1,0)</f>
        <v>1</v>
      </c>
      <c r="AO1221" s="25">
        <f>IF(OR(Apresentação!$I$4='Base de Dados e filtragem'!AO$2,Apresentação!$I$4='Base de Dados e filtragem'!K1221),1,0)</f>
        <v>1</v>
      </c>
      <c r="AP1221" s="25">
        <f>IF(OR(Apresentação!$I$5='Base de Dados e filtragem'!AP$2,Apresentação!$I$5='Base de Dados e filtragem'!L1221),1,0)</f>
        <v>1</v>
      </c>
      <c r="AQ1221" s="25">
        <f>IF(OR(Apresentação!$I$6='Base de Dados e filtragem'!AQ$2,Apresentação!$I$6='Base de Dados e filtragem'!M1221),1,0)</f>
        <v>1</v>
      </c>
      <c r="AR1221" s="25">
        <v>1</v>
      </c>
      <c r="AS1221" s="25">
        <v>1</v>
      </c>
      <c r="AT1221" s="25">
        <v>1</v>
      </c>
      <c r="AU1221" s="25">
        <v>1</v>
      </c>
      <c r="AV1221" s="25">
        <v>1</v>
      </c>
      <c r="AW1221" s="25">
        <v>1</v>
      </c>
      <c r="AX1221" s="25">
        <v>1</v>
      </c>
      <c r="AY1221" s="25">
        <v>1</v>
      </c>
      <c r="AZ1221" s="25">
        <v>1</v>
      </c>
      <c r="BA1221" s="25">
        <v>1</v>
      </c>
      <c r="BB1221" s="25">
        <v>1</v>
      </c>
      <c r="BC1221" s="25">
        <v>1</v>
      </c>
      <c r="BD1221" s="25">
        <v>1</v>
      </c>
    </row>
    <row r="1222" spans="27:56" x14ac:dyDescent="0.25">
      <c r="AA1222" s="68" t="str">
        <f t="shared" si="77"/>
        <v>Fotos\\.jpg</v>
      </c>
      <c r="AB1222" s="53">
        <f t="shared" si="78"/>
        <v>8.1833060556464816E-4</v>
      </c>
      <c r="AC1222" s="25">
        <f t="shared" si="79"/>
        <v>1222</v>
      </c>
      <c r="AD1222" s="51">
        <f t="shared" si="80"/>
        <v>1</v>
      </c>
      <c r="AE1222" s="25">
        <v>1</v>
      </c>
      <c r="AF1222" s="25">
        <v>1</v>
      </c>
      <c r="AG1222" s="25">
        <v>1</v>
      </c>
      <c r="AH1222" s="25">
        <v>1</v>
      </c>
      <c r="AI1222" s="25">
        <f>IF(OR(Apresentação!$E$3='Base de Dados e filtragem'!AI$2,Apresentação!$E$3='Base de Dados e filtragem'!E1222),1,0)</f>
        <v>1</v>
      </c>
      <c r="AJ1222" s="25">
        <f>IF(OR(Apresentação!$E$4='Base de Dados e filtragem'!AJ$2,Apresentação!$E$4='Base de Dados e filtragem'!F1222),1,0)</f>
        <v>1</v>
      </c>
      <c r="AK1222" s="25">
        <f>IF(OR(Apresentação!$E$5='Base de Dados e filtragem'!AK$2,Apresentação!$E$5='Base de Dados e filtragem'!G1222),1,0)</f>
        <v>1</v>
      </c>
      <c r="AL1222" s="25">
        <f>IF(OR(Apresentação!$E$6='Base de Dados e filtragem'!AL$2,Apresentação!$E$6='Base de Dados e filtragem'!H1222),1,0)</f>
        <v>1</v>
      </c>
      <c r="AM1222" s="25">
        <f>IF(OR(Apresentação!$I$2='Base de Dados e filtragem'!AM$2,Apresentação!$I$2='Base de Dados e filtragem'!I1222),1,0)</f>
        <v>1</v>
      </c>
      <c r="AN1222" s="25">
        <f>IF(OR(Apresentação!$I$3='Base de Dados e filtragem'!AN$2,Apresentação!$I$3='Base de Dados e filtragem'!J1222),1,0)</f>
        <v>1</v>
      </c>
      <c r="AO1222" s="25">
        <f>IF(OR(Apresentação!$I$4='Base de Dados e filtragem'!AO$2,Apresentação!$I$4='Base de Dados e filtragem'!K1222),1,0)</f>
        <v>1</v>
      </c>
      <c r="AP1222" s="25">
        <f>IF(OR(Apresentação!$I$5='Base de Dados e filtragem'!AP$2,Apresentação!$I$5='Base de Dados e filtragem'!L1222),1,0)</f>
        <v>1</v>
      </c>
      <c r="AQ1222" s="25">
        <f>IF(OR(Apresentação!$I$6='Base de Dados e filtragem'!AQ$2,Apresentação!$I$6='Base de Dados e filtragem'!M1222),1,0)</f>
        <v>1</v>
      </c>
      <c r="AR1222" s="25">
        <v>1</v>
      </c>
      <c r="AS1222" s="25">
        <v>1</v>
      </c>
      <c r="AT1222" s="25">
        <v>1</v>
      </c>
      <c r="AU1222" s="25">
        <v>1</v>
      </c>
      <c r="AV1222" s="25">
        <v>1</v>
      </c>
      <c r="AW1222" s="25">
        <v>1</v>
      </c>
      <c r="AX1222" s="25">
        <v>1</v>
      </c>
      <c r="AY1222" s="25">
        <v>1</v>
      </c>
      <c r="AZ1222" s="25">
        <v>1</v>
      </c>
      <c r="BA1222" s="25">
        <v>1</v>
      </c>
      <c r="BB1222" s="25">
        <v>1</v>
      </c>
      <c r="BC1222" s="25">
        <v>1</v>
      </c>
      <c r="BD1222" s="25">
        <v>1</v>
      </c>
    </row>
    <row r="1223" spans="27:56" x14ac:dyDescent="0.25">
      <c r="AA1223" s="68" t="str">
        <f t="shared" si="77"/>
        <v>Fotos\\.jpg</v>
      </c>
      <c r="AB1223" s="53">
        <f t="shared" si="78"/>
        <v>8.1766148814390845E-4</v>
      </c>
      <c r="AC1223" s="25">
        <f t="shared" si="79"/>
        <v>1223</v>
      </c>
      <c r="AD1223" s="51">
        <f t="shared" si="80"/>
        <v>1</v>
      </c>
      <c r="AE1223" s="25">
        <v>1</v>
      </c>
      <c r="AF1223" s="25">
        <v>1</v>
      </c>
      <c r="AG1223" s="25">
        <v>1</v>
      </c>
      <c r="AH1223" s="25">
        <v>1</v>
      </c>
      <c r="AI1223" s="25">
        <f>IF(OR(Apresentação!$E$3='Base de Dados e filtragem'!AI$2,Apresentação!$E$3='Base de Dados e filtragem'!E1223),1,0)</f>
        <v>1</v>
      </c>
      <c r="AJ1223" s="25">
        <f>IF(OR(Apresentação!$E$4='Base de Dados e filtragem'!AJ$2,Apresentação!$E$4='Base de Dados e filtragem'!F1223),1,0)</f>
        <v>1</v>
      </c>
      <c r="AK1223" s="25">
        <f>IF(OR(Apresentação!$E$5='Base de Dados e filtragem'!AK$2,Apresentação!$E$5='Base de Dados e filtragem'!G1223),1,0)</f>
        <v>1</v>
      </c>
      <c r="AL1223" s="25">
        <f>IF(OR(Apresentação!$E$6='Base de Dados e filtragem'!AL$2,Apresentação!$E$6='Base de Dados e filtragem'!H1223),1,0)</f>
        <v>1</v>
      </c>
      <c r="AM1223" s="25">
        <f>IF(OR(Apresentação!$I$2='Base de Dados e filtragem'!AM$2,Apresentação!$I$2='Base de Dados e filtragem'!I1223),1,0)</f>
        <v>1</v>
      </c>
      <c r="AN1223" s="25">
        <f>IF(OR(Apresentação!$I$3='Base de Dados e filtragem'!AN$2,Apresentação!$I$3='Base de Dados e filtragem'!J1223),1,0)</f>
        <v>1</v>
      </c>
      <c r="AO1223" s="25">
        <f>IF(OR(Apresentação!$I$4='Base de Dados e filtragem'!AO$2,Apresentação!$I$4='Base de Dados e filtragem'!K1223),1,0)</f>
        <v>1</v>
      </c>
      <c r="AP1223" s="25">
        <f>IF(OR(Apresentação!$I$5='Base de Dados e filtragem'!AP$2,Apresentação!$I$5='Base de Dados e filtragem'!L1223),1,0)</f>
        <v>1</v>
      </c>
      <c r="AQ1223" s="25">
        <f>IF(OR(Apresentação!$I$6='Base de Dados e filtragem'!AQ$2,Apresentação!$I$6='Base de Dados e filtragem'!M1223),1,0)</f>
        <v>1</v>
      </c>
      <c r="AR1223" s="25">
        <v>1</v>
      </c>
      <c r="AS1223" s="25">
        <v>1</v>
      </c>
      <c r="AT1223" s="25">
        <v>1</v>
      </c>
      <c r="AU1223" s="25">
        <v>1</v>
      </c>
      <c r="AV1223" s="25">
        <v>1</v>
      </c>
      <c r="AW1223" s="25">
        <v>1</v>
      </c>
      <c r="AX1223" s="25">
        <v>1</v>
      </c>
      <c r="AY1223" s="25">
        <v>1</v>
      </c>
      <c r="AZ1223" s="25">
        <v>1</v>
      </c>
      <c r="BA1223" s="25">
        <v>1</v>
      </c>
      <c r="BB1223" s="25">
        <v>1</v>
      </c>
      <c r="BC1223" s="25">
        <v>1</v>
      </c>
      <c r="BD1223" s="25">
        <v>1</v>
      </c>
    </row>
    <row r="1224" spans="27:56" x14ac:dyDescent="0.25">
      <c r="AA1224" s="68" t="str">
        <f t="shared" si="77"/>
        <v>Fotos\\.jpg</v>
      </c>
      <c r="AB1224" s="53">
        <f t="shared" si="78"/>
        <v>8.1699346405228761E-4</v>
      </c>
      <c r="AC1224" s="25">
        <f t="shared" si="79"/>
        <v>1224</v>
      </c>
      <c r="AD1224" s="51">
        <f t="shared" si="80"/>
        <v>1</v>
      </c>
      <c r="AE1224" s="25">
        <v>1</v>
      </c>
      <c r="AF1224" s="25">
        <v>1</v>
      </c>
      <c r="AG1224" s="25">
        <v>1</v>
      </c>
      <c r="AH1224" s="25">
        <v>1</v>
      </c>
      <c r="AI1224" s="25">
        <f>IF(OR(Apresentação!$E$3='Base de Dados e filtragem'!AI$2,Apresentação!$E$3='Base de Dados e filtragem'!E1224),1,0)</f>
        <v>1</v>
      </c>
      <c r="AJ1224" s="25">
        <f>IF(OR(Apresentação!$E$4='Base de Dados e filtragem'!AJ$2,Apresentação!$E$4='Base de Dados e filtragem'!F1224),1,0)</f>
        <v>1</v>
      </c>
      <c r="AK1224" s="25">
        <f>IF(OR(Apresentação!$E$5='Base de Dados e filtragem'!AK$2,Apresentação!$E$5='Base de Dados e filtragem'!G1224),1,0)</f>
        <v>1</v>
      </c>
      <c r="AL1224" s="25">
        <f>IF(OR(Apresentação!$E$6='Base de Dados e filtragem'!AL$2,Apresentação!$E$6='Base de Dados e filtragem'!H1224),1,0)</f>
        <v>1</v>
      </c>
      <c r="AM1224" s="25">
        <f>IF(OR(Apresentação!$I$2='Base de Dados e filtragem'!AM$2,Apresentação!$I$2='Base de Dados e filtragem'!I1224),1,0)</f>
        <v>1</v>
      </c>
      <c r="AN1224" s="25">
        <f>IF(OR(Apresentação!$I$3='Base de Dados e filtragem'!AN$2,Apresentação!$I$3='Base de Dados e filtragem'!J1224),1,0)</f>
        <v>1</v>
      </c>
      <c r="AO1224" s="25">
        <f>IF(OR(Apresentação!$I$4='Base de Dados e filtragem'!AO$2,Apresentação!$I$4='Base de Dados e filtragem'!K1224),1,0)</f>
        <v>1</v>
      </c>
      <c r="AP1224" s="25">
        <f>IF(OR(Apresentação!$I$5='Base de Dados e filtragem'!AP$2,Apresentação!$I$5='Base de Dados e filtragem'!L1224),1,0)</f>
        <v>1</v>
      </c>
      <c r="AQ1224" s="25">
        <f>IF(OR(Apresentação!$I$6='Base de Dados e filtragem'!AQ$2,Apresentação!$I$6='Base de Dados e filtragem'!M1224),1,0)</f>
        <v>1</v>
      </c>
      <c r="AR1224" s="25">
        <v>1</v>
      </c>
      <c r="AS1224" s="25">
        <v>1</v>
      </c>
      <c r="AT1224" s="25">
        <v>1</v>
      </c>
      <c r="AU1224" s="25">
        <v>1</v>
      </c>
      <c r="AV1224" s="25">
        <v>1</v>
      </c>
      <c r="AW1224" s="25">
        <v>1</v>
      </c>
      <c r="AX1224" s="25">
        <v>1</v>
      </c>
      <c r="AY1224" s="25">
        <v>1</v>
      </c>
      <c r="AZ1224" s="25">
        <v>1</v>
      </c>
      <c r="BA1224" s="25">
        <v>1</v>
      </c>
      <c r="BB1224" s="25">
        <v>1</v>
      </c>
      <c r="BC1224" s="25">
        <v>1</v>
      </c>
      <c r="BD1224" s="25">
        <v>1</v>
      </c>
    </row>
    <row r="1225" spans="27:56" x14ac:dyDescent="0.25">
      <c r="AA1225" s="68" t="str">
        <f t="shared" si="77"/>
        <v>Fotos\\.jpg</v>
      </c>
      <c r="AB1225" s="53">
        <f t="shared" si="78"/>
        <v>8.1632653061224493E-4</v>
      </c>
      <c r="AC1225" s="25">
        <f t="shared" si="79"/>
        <v>1225</v>
      </c>
      <c r="AD1225" s="51">
        <f t="shared" si="80"/>
        <v>1</v>
      </c>
      <c r="AE1225" s="25">
        <v>1</v>
      </c>
      <c r="AF1225" s="25">
        <v>1</v>
      </c>
      <c r="AG1225" s="25">
        <v>1</v>
      </c>
      <c r="AH1225" s="25">
        <v>1</v>
      </c>
      <c r="AI1225" s="25">
        <f>IF(OR(Apresentação!$E$3='Base de Dados e filtragem'!AI$2,Apresentação!$E$3='Base de Dados e filtragem'!E1225),1,0)</f>
        <v>1</v>
      </c>
      <c r="AJ1225" s="25">
        <f>IF(OR(Apresentação!$E$4='Base de Dados e filtragem'!AJ$2,Apresentação!$E$4='Base de Dados e filtragem'!F1225),1,0)</f>
        <v>1</v>
      </c>
      <c r="AK1225" s="25">
        <f>IF(OR(Apresentação!$E$5='Base de Dados e filtragem'!AK$2,Apresentação!$E$5='Base de Dados e filtragem'!G1225),1,0)</f>
        <v>1</v>
      </c>
      <c r="AL1225" s="25">
        <f>IF(OR(Apresentação!$E$6='Base de Dados e filtragem'!AL$2,Apresentação!$E$6='Base de Dados e filtragem'!H1225),1,0)</f>
        <v>1</v>
      </c>
      <c r="AM1225" s="25">
        <f>IF(OR(Apresentação!$I$2='Base de Dados e filtragem'!AM$2,Apresentação!$I$2='Base de Dados e filtragem'!I1225),1,0)</f>
        <v>1</v>
      </c>
      <c r="AN1225" s="25">
        <f>IF(OR(Apresentação!$I$3='Base de Dados e filtragem'!AN$2,Apresentação!$I$3='Base de Dados e filtragem'!J1225),1,0)</f>
        <v>1</v>
      </c>
      <c r="AO1225" s="25">
        <f>IF(OR(Apresentação!$I$4='Base de Dados e filtragem'!AO$2,Apresentação!$I$4='Base de Dados e filtragem'!K1225),1,0)</f>
        <v>1</v>
      </c>
      <c r="AP1225" s="25">
        <f>IF(OR(Apresentação!$I$5='Base de Dados e filtragem'!AP$2,Apresentação!$I$5='Base de Dados e filtragem'!L1225),1,0)</f>
        <v>1</v>
      </c>
      <c r="AQ1225" s="25">
        <f>IF(OR(Apresentação!$I$6='Base de Dados e filtragem'!AQ$2,Apresentação!$I$6='Base de Dados e filtragem'!M1225),1,0)</f>
        <v>1</v>
      </c>
      <c r="AR1225" s="25">
        <v>1</v>
      </c>
      <c r="AS1225" s="25">
        <v>1</v>
      </c>
      <c r="AT1225" s="25">
        <v>1</v>
      </c>
      <c r="AU1225" s="25">
        <v>1</v>
      </c>
      <c r="AV1225" s="25">
        <v>1</v>
      </c>
      <c r="AW1225" s="25">
        <v>1</v>
      </c>
      <c r="AX1225" s="25">
        <v>1</v>
      </c>
      <c r="AY1225" s="25">
        <v>1</v>
      </c>
      <c r="AZ1225" s="25">
        <v>1</v>
      </c>
      <c r="BA1225" s="25">
        <v>1</v>
      </c>
      <c r="BB1225" s="25">
        <v>1</v>
      </c>
      <c r="BC1225" s="25">
        <v>1</v>
      </c>
      <c r="BD1225" s="25">
        <v>1</v>
      </c>
    </row>
    <row r="1226" spans="27:56" x14ac:dyDescent="0.25">
      <c r="AA1226" s="68" t="str">
        <f t="shared" si="77"/>
        <v>Fotos\\.jpg</v>
      </c>
      <c r="AB1226" s="53">
        <f t="shared" si="78"/>
        <v>8.1566068515497557E-4</v>
      </c>
      <c r="AC1226" s="25">
        <f t="shared" si="79"/>
        <v>1226</v>
      </c>
      <c r="AD1226" s="51">
        <f t="shared" si="80"/>
        <v>1</v>
      </c>
      <c r="AE1226" s="25">
        <v>1</v>
      </c>
      <c r="AF1226" s="25">
        <v>1</v>
      </c>
      <c r="AG1226" s="25">
        <v>1</v>
      </c>
      <c r="AH1226" s="25">
        <v>1</v>
      </c>
      <c r="AI1226" s="25">
        <f>IF(OR(Apresentação!$E$3='Base de Dados e filtragem'!AI$2,Apresentação!$E$3='Base de Dados e filtragem'!E1226),1,0)</f>
        <v>1</v>
      </c>
      <c r="AJ1226" s="25">
        <f>IF(OR(Apresentação!$E$4='Base de Dados e filtragem'!AJ$2,Apresentação!$E$4='Base de Dados e filtragem'!F1226),1,0)</f>
        <v>1</v>
      </c>
      <c r="AK1226" s="25">
        <f>IF(OR(Apresentação!$E$5='Base de Dados e filtragem'!AK$2,Apresentação!$E$5='Base de Dados e filtragem'!G1226),1,0)</f>
        <v>1</v>
      </c>
      <c r="AL1226" s="25">
        <f>IF(OR(Apresentação!$E$6='Base de Dados e filtragem'!AL$2,Apresentação!$E$6='Base de Dados e filtragem'!H1226),1,0)</f>
        <v>1</v>
      </c>
      <c r="AM1226" s="25">
        <f>IF(OR(Apresentação!$I$2='Base de Dados e filtragem'!AM$2,Apresentação!$I$2='Base de Dados e filtragem'!I1226),1,0)</f>
        <v>1</v>
      </c>
      <c r="AN1226" s="25">
        <f>IF(OR(Apresentação!$I$3='Base de Dados e filtragem'!AN$2,Apresentação!$I$3='Base de Dados e filtragem'!J1226),1,0)</f>
        <v>1</v>
      </c>
      <c r="AO1226" s="25">
        <f>IF(OR(Apresentação!$I$4='Base de Dados e filtragem'!AO$2,Apresentação!$I$4='Base de Dados e filtragem'!K1226),1,0)</f>
        <v>1</v>
      </c>
      <c r="AP1226" s="25">
        <f>IF(OR(Apresentação!$I$5='Base de Dados e filtragem'!AP$2,Apresentação!$I$5='Base de Dados e filtragem'!L1226),1,0)</f>
        <v>1</v>
      </c>
      <c r="AQ1226" s="25">
        <f>IF(OR(Apresentação!$I$6='Base de Dados e filtragem'!AQ$2,Apresentação!$I$6='Base de Dados e filtragem'!M1226),1,0)</f>
        <v>1</v>
      </c>
      <c r="AR1226" s="25">
        <v>1</v>
      </c>
      <c r="AS1226" s="25">
        <v>1</v>
      </c>
      <c r="AT1226" s="25">
        <v>1</v>
      </c>
      <c r="AU1226" s="25">
        <v>1</v>
      </c>
      <c r="AV1226" s="25">
        <v>1</v>
      </c>
      <c r="AW1226" s="25">
        <v>1</v>
      </c>
      <c r="AX1226" s="25">
        <v>1</v>
      </c>
      <c r="AY1226" s="25">
        <v>1</v>
      </c>
      <c r="AZ1226" s="25">
        <v>1</v>
      </c>
      <c r="BA1226" s="25">
        <v>1</v>
      </c>
      <c r="BB1226" s="25">
        <v>1</v>
      </c>
      <c r="BC1226" s="25">
        <v>1</v>
      </c>
      <c r="BD1226" s="25">
        <v>1</v>
      </c>
    </row>
    <row r="1227" spans="27:56" x14ac:dyDescent="0.25">
      <c r="AA1227" s="68" t="str">
        <f t="shared" si="77"/>
        <v>Fotos\\.jpg</v>
      </c>
      <c r="AB1227" s="53">
        <f t="shared" si="78"/>
        <v>8.1499592502037486E-4</v>
      </c>
      <c r="AC1227" s="25">
        <f t="shared" si="79"/>
        <v>1227</v>
      </c>
      <c r="AD1227" s="51">
        <f t="shared" si="80"/>
        <v>1</v>
      </c>
      <c r="AE1227" s="25">
        <v>1</v>
      </c>
      <c r="AF1227" s="25">
        <v>1</v>
      </c>
      <c r="AG1227" s="25">
        <v>1</v>
      </c>
      <c r="AH1227" s="25">
        <v>1</v>
      </c>
      <c r="AI1227" s="25">
        <f>IF(OR(Apresentação!$E$3='Base de Dados e filtragem'!AI$2,Apresentação!$E$3='Base de Dados e filtragem'!E1227),1,0)</f>
        <v>1</v>
      </c>
      <c r="AJ1227" s="25">
        <f>IF(OR(Apresentação!$E$4='Base de Dados e filtragem'!AJ$2,Apresentação!$E$4='Base de Dados e filtragem'!F1227),1,0)</f>
        <v>1</v>
      </c>
      <c r="AK1227" s="25">
        <f>IF(OR(Apresentação!$E$5='Base de Dados e filtragem'!AK$2,Apresentação!$E$5='Base de Dados e filtragem'!G1227),1,0)</f>
        <v>1</v>
      </c>
      <c r="AL1227" s="25">
        <f>IF(OR(Apresentação!$E$6='Base de Dados e filtragem'!AL$2,Apresentação!$E$6='Base de Dados e filtragem'!H1227),1,0)</f>
        <v>1</v>
      </c>
      <c r="AM1227" s="25">
        <f>IF(OR(Apresentação!$I$2='Base de Dados e filtragem'!AM$2,Apresentação!$I$2='Base de Dados e filtragem'!I1227),1,0)</f>
        <v>1</v>
      </c>
      <c r="AN1227" s="25">
        <f>IF(OR(Apresentação!$I$3='Base de Dados e filtragem'!AN$2,Apresentação!$I$3='Base de Dados e filtragem'!J1227),1,0)</f>
        <v>1</v>
      </c>
      <c r="AO1227" s="25">
        <f>IF(OR(Apresentação!$I$4='Base de Dados e filtragem'!AO$2,Apresentação!$I$4='Base de Dados e filtragem'!K1227),1,0)</f>
        <v>1</v>
      </c>
      <c r="AP1227" s="25">
        <f>IF(OR(Apresentação!$I$5='Base de Dados e filtragem'!AP$2,Apresentação!$I$5='Base de Dados e filtragem'!L1227),1,0)</f>
        <v>1</v>
      </c>
      <c r="AQ1227" s="25">
        <f>IF(OR(Apresentação!$I$6='Base de Dados e filtragem'!AQ$2,Apresentação!$I$6='Base de Dados e filtragem'!M1227),1,0)</f>
        <v>1</v>
      </c>
      <c r="AR1227" s="25">
        <v>1</v>
      </c>
      <c r="AS1227" s="25">
        <v>1</v>
      </c>
      <c r="AT1227" s="25">
        <v>1</v>
      </c>
      <c r="AU1227" s="25">
        <v>1</v>
      </c>
      <c r="AV1227" s="25">
        <v>1</v>
      </c>
      <c r="AW1227" s="25">
        <v>1</v>
      </c>
      <c r="AX1227" s="25">
        <v>1</v>
      </c>
      <c r="AY1227" s="25">
        <v>1</v>
      </c>
      <c r="AZ1227" s="25">
        <v>1</v>
      </c>
      <c r="BA1227" s="25">
        <v>1</v>
      </c>
      <c r="BB1227" s="25">
        <v>1</v>
      </c>
      <c r="BC1227" s="25">
        <v>1</v>
      </c>
      <c r="BD1227" s="25">
        <v>1</v>
      </c>
    </row>
    <row r="1228" spans="27:56" x14ac:dyDescent="0.25">
      <c r="AA1228" s="68" t="str">
        <f t="shared" si="77"/>
        <v>Fotos\\.jpg</v>
      </c>
      <c r="AB1228" s="53">
        <f t="shared" si="78"/>
        <v>8.1433224755700329E-4</v>
      </c>
      <c r="AC1228" s="25">
        <f t="shared" si="79"/>
        <v>1228</v>
      </c>
      <c r="AD1228" s="51">
        <f t="shared" si="80"/>
        <v>1</v>
      </c>
      <c r="AE1228" s="25">
        <v>1</v>
      </c>
      <c r="AF1228" s="25">
        <v>1</v>
      </c>
      <c r="AG1228" s="25">
        <v>1</v>
      </c>
      <c r="AH1228" s="25">
        <v>1</v>
      </c>
      <c r="AI1228" s="25">
        <f>IF(OR(Apresentação!$E$3='Base de Dados e filtragem'!AI$2,Apresentação!$E$3='Base de Dados e filtragem'!E1228),1,0)</f>
        <v>1</v>
      </c>
      <c r="AJ1228" s="25">
        <f>IF(OR(Apresentação!$E$4='Base de Dados e filtragem'!AJ$2,Apresentação!$E$4='Base de Dados e filtragem'!F1228),1,0)</f>
        <v>1</v>
      </c>
      <c r="AK1228" s="25">
        <f>IF(OR(Apresentação!$E$5='Base de Dados e filtragem'!AK$2,Apresentação!$E$5='Base de Dados e filtragem'!G1228),1,0)</f>
        <v>1</v>
      </c>
      <c r="AL1228" s="25">
        <f>IF(OR(Apresentação!$E$6='Base de Dados e filtragem'!AL$2,Apresentação!$E$6='Base de Dados e filtragem'!H1228),1,0)</f>
        <v>1</v>
      </c>
      <c r="AM1228" s="25">
        <f>IF(OR(Apresentação!$I$2='Base de Dados e filtragem'!AM$2,Apresentação!$I$2='Base de Dados e filtragem'!I1228),1,0)</f>
        <v>1</v>
      </c>
      <c r="AN1228" s="25">
        <f>IF(OR(Apresentação!$I$3='Base de Dados e filtragem'!AN$2,Apresentação!$I$3='Base de Dados e filtragem'!J1228),1,0)</f>
        <v>1</v>
      </c>
      <c r="AO1228" s="25">
        <f>IF(OR(Apresentação!$I$4='Base de Dados e filtragem'!AO$2,Apresentação!$I$4='Base de Dados e filtragem'!K1228),1,0)</f>
        <v>1</v>
      </c>
      <c r="AP1228" s="25">
        <f>IF(OR(Apresentação!$I$5='Base de Dados e filtragem'!AP$2,Apresentação!$I$5='Base de Dados e filtragem'!L1228),1,0)</f>
        <v>1</v>
      </c>
      <c r="AQ1228" s="25">
        <f>IF(OR(Apresentação!$I$6='Base de Dados e filtragem'!AQ$2,Apresentação!$I$6='Base de Dados e filtragem'!M1228),1,0)</f>
        <v>1</v>
      </c>
      <c r="AR1228" s="25">
        <v>1</v>
      </c>
      <c r="AS1228" s="25">
        <v>1</v>
      </c>
      <c r="AT1228" s="25">
        <v>1</v>
      </c>
      <c r="AU1228" s="25">
        <v>1</v>
      </c>
      <c r="AV1228" s="25">
        <v>1</v>
      </c>
      <c r="AW1228" s="25">
        <v>1</v>
      </c>
      <c r="AX1228" s="25">
        <v>1</v>
      </c>
      <c r="AY1228" s="25">
        <v>1</v>
      </c>
      <c r="AZ1228" s="25">
        <v>1</v>
      </c>
      <c r="BA1228" s="25">
        <v>1</v>
      </c>
      <c r="BB1228" s="25">
        <v>1</v>
      </c>
      <c r="BC1228" s="25">
        <v>1</v>
      </c>
      <c r="BD1228" s="25">
        <v>1</v>
      </c>
    </row>
    <row r="1229" spans="27:56" x14ac:dyDescent="0.25">
      <c r="AA1229" s="68" t="str">
        <f t="shared" si="77"/>
        <v>Fotos\\.jpg</v>
      </c>
      <c r="AB1229" s="53">
        <f t="shared" si="78"/>
        <v>8.1366965012205042E-4</v>
      </c>
      <c r="AC1229" s="25">
        <f t="shared" si="79"/>
        <v>1229</v>
      </c>
      <c r="AD1229" s="51">
        <f t="shared" si="80"/>
        <v>1</v>
      </c>
      <c r="AE1229" s="25">
        <v>1</v>
      </c>
      <c r="AF1229" s="25">
        <v>1</v>
      </c>
      <c r="AG1229" s="25">
        <v>1</v>
      </c>
      <c r="AH1229" s="25">
        <v>1</v>
      </c>
      <c r="AI1229" s="25">
        <f>IF(OR(Apresentação!$E$3='Base de Dados e filtragem'!AI$2,Apresentação!$E$3='Base de Dados e filtragem'!E1229),1,0)</f>
        <v>1</v>
      </c>
      <c r="AJ1229" s="25">
        <f>IF(OR(Apresentação!$E$4='Base de Dados e filtragem'!AJ$2,Apresentação!$E$4='Base de Dados e filtragem'!F1229),1,0)</f>
        <v>1</v>
      </c>
      <c r="AK1229" s="25">
        <f>IF(OR(Apresentação!$E$5='Base de Dados e filtragem'!AK$2,Apresentação!$E$5='Base de Dados e filtragem'!G1229),1,0)</f>
        <v>1</v>
      </c>
      <c r="AL1229" s="25">
        <f>IF(OR(Apresentação!$E$6='Base de Dados e filtragem'!AL$2,Apresentação!$E$6='Base de Dados e filtragem'!H1229),1,0)</f>
        <v>1</v>
      </c>
      <c r="AM1229" s="25">
        <f>IF(OR(Apresentação!$I$2='Base de Dados e filtragem'!AM$2,Apresentação!$I$2='Base de Dados e filtragem'!I1229),1,0)</f>
        <v>1</v>
      </c>
      <c r="AN1229" s="25">
        <f>IF(OR(Apresentação!$I$3='Base de Dados e filtragem'!AN$2,Apresentação!$I$3='Base de Dados e filtragem'!J1229),1,0)</f>
        <v>1</v>
      </c>
      <c r="AO1229" s="25">
        <f>IF(OR(Apresentação!$I$4='Base de Dados e filtragem'!AO$2,Apresentação!$I$4='Base de Dados e filtragem'!K1229),1,0)</f>
        <v>1</v>
      </c>
      <c r="AP1229" s="25">
        <f>IF(OR(Apresentação!$I$5='Base de Dados e filtragem'!AP$2,Apresentação!$I$5='Base de Dados e filtragem'!L1229),1,0)</f>
        <v>1</v>
      </c>
      <c r="AQ1229" s="25">
        <f>IF(OR(Apresentação!$I$6='Base de Dados e filtragem'!AQ$2,Apresentação!$I$6='Base de Dados e filtragem'!M1229),1,0)</f>
        <v>1</v>
      </c>
      <c r="AR1229" s="25">
        <v>1</v>
      </c>
      <c r="AS1229" s="25">
        <v>1</v>
      </c>
      <c r="AT1229" s="25">
        <v>1</v>
      </c>
      <c r="AU1229" s="25">
        <v>1</v>
      </c>
      <c r="AV1229" s="25">
        <v>1</v>
      </c>
      <c r="AW1229" s="25">
        <v>1</v>
      </c>
      <c r="AX1229" s="25">
        <v>1</v>
      </c>
      <c r="AY1229" s="25">
        <v>1</v>
      </c>
      <c r="AZ1229" s="25">
        <v>1</v>
      </c>
      <c r="BA1229" s="25">
        <v>1</v>
      </c>
      <c r="BB1229" s="25">
        <v>1</v>
      </c>
      <c r="BC1229" s="25">
        <v>1</v>
      </c>
      <c r="BD1229" s="25">
        <v>1</v>
      </c>
    </row>
    <row r="1230" spans="27:56" x14ac:dyDescent="0.25">
      <c r="AA1230" s="68" t="str">
        <f t="shared" si="77"/>
        <v>Fotos\\.jpg</v>
      </c>
      <c r="AB1230" s="53">
        <f t="shared" si="78"/>
        <v>8.1300813008130081E-4</v>
      </c>
      <c r="AC1230" s="25">
        <f t="shared" si="79"/>
        <v>1230</v>
      </c>
      <c r="AD1230" s="51">
        <f t="shared" si="80"/>
        <v>1</v>
      </c>
      <c r="AE1230" s="25">
        <v>1</v>
      </c>
      <c r="AF1230" s="25">
        <v>1</v>
      </c>
      <c r="AG1230" s="25">
        <v>1</v>
      </c>
      <c r="AH1230" s="25">
        <v>1</v>
      </c>
      <c r="AI1230" s="25">
        <f>IF(OR(Apresentação!$E$3='Base de Dados e filtragem'!AI$2,Apresentação!$E$3='Base de Dados e filtragem'!E1230),1,0)</f>
        <v>1</v>
      </c>
      <c r="AJ1230" s="25">
        <f>IF(OR(Apresentação!$E$4='Base de Dados e filtragem'!AJ$2,Apresentação!$E$4='Base de Dados e filtragem'!F1230),1,0)</f>
        <v>1</v>
      </c>
      <c r="AK1230" s="25">
        <f>IF(OR(Apresentação!$E$5='Base de Dados e filtragem'!AK$2,Apresentação!$E$5='Base de Dados e filtragem'!G1230),1,0)</f>
        <v>1</v>
      </c>
      <c r="AL1230" s="25">
        <f>IF(OR(Apresentação!$E$6='Base de Dados e filtragem'!AL$2,Apresentação!$E$6='Base de Dados e filtragem'!H1230),1,0)</f>
        <v>1</v>
      </c>
      <c r="AM1230" s="25">
        <f>IF(OR(Apresentação!$I$2='Base de Dados e filtragem'!AM$2,Apresentação!$I$2='Base de Dados e filtragem'!I1230),1,0)</f>
        <v>1</v>
      </c>
      <c r="AN1230" s="25">
        <f>IF(OR(Apresentação!$I$3='Base de Dados e filtragem'!AN$2,Apresentação!$I$3='Base de Dados e filtragem'!J1230),1,0)</f>
        <v>1</v>
      </c>
      <c r="AO1230" s="25">
        <f>IF(OR(Apresentação!$I$4='Base de Dados e filtragem'!AO$2,Apresentação!$I$4='Base de Dados e filtragem'!K1230),1,0)</f>
        <v>1</v>
      </c>
      <c r="AP1230" s="25">
        <f>IF(OR(Apresentação!$I$5='Base de Dados e filtragem'!AP$2,Apresentação!$I$5='Base de Dados e filtragem'!L1230),1,0)</f>
        <v>1</v>
      </c>
      <c r="AQ1230" s="25">
        <f>IF(OR(Apresentação!$I$6='Base de Dados e filtragem'!AQ$2,Apresentação!$I$6='Base de Dados e filtragem'!M1230),1,0)</f>
        <v>1</v>
      </c>
      <c r="AR1230" s="25">
        <v>1</v>
      </c>
      <c r="AS1230" s="25">
        <v>1</v>
      </c>
      <c r="AT1230" s="25">
        <v>1</v>
      </c>
      <c r="AU1230" s="25">
        <v>1</v>
      </c>
      <c r="AV1230" s="25">
        <v>1</v>
      </c>
      <c r="AW1230" s="25">
        <v>1</v>
      </c>
      <c r="AX1230" s="25">
        <v>1</v>
      </c>
      <c r="AY1230" s="25">
        <v>1</v>
      </c>
      <c r="AZ1230" s="25">
        <v>1</v>
      </c>
      <c r="BA1230" s="25">
        <v>1</v>
      </c>
      <c r="BB1230" s="25">
        <v>1</v>
      </c>
      <c r="BC1230" s="25">
        <v>1</v>
      </c>
      <c r="BD1230" s="25">
        <v>1</v>
      </c>
    </row>
    <row r="1231" spans="27:56" x14ac:dyDescent="0.25">
      <c r="AA1231" s="68" t="str">
        <f t="shared" si="77"/>
        <v>Fotos\\.jpg</v>
      </c>
      <c r="AB1231" s="53">
        <f t="shared" si="78"/>
        <v>8.1234768480909826E-4</v>
      </c>
      <c r="AC1231" s="25">
        <f t="shared" si="79"/>
        <v>1231</v>
      </c>
      <c r="AD1231" s="51">
        <f t="shared" si="80"/>
        <v>1</v>
      </c>
      <c r="AE1231" s="25">
        <v>1</v>
      </c>
      <c r="AF1231" s="25">
        <v>1</v>
      </c>
      <c r="AG1231" s="25">
        <v>1</v>
      </c>
      <c r="AH1231" s="25">
        <v>1</v>
      </c>
      <c r="AI1231" s="25">
        <f>IF(OR(Apresentação!$E$3='Base de Dados e filtragem'!AI$2,Apresentação!$E$3='Base de Dados e filtragem'!E1231),1,0)</f>
        <v>1</v>
      </c>
      <c r="AJ1231" s="25">
        <f>IF(OR(Apresentação!$E$4='Base de Dados e filtragem'!AJ$2,Apresentação!$E$4='Base de Dados e filtragem'!F1231),1,0)</f>
        <v>1</v>
      </c>
      <c r="AK1231" s="25">
        <f>IF(OR(Apresentação!$E$5='Base de Dados e filtragem'!AK$2,Apresentação!$E$5='Base de Dados e filtragem'!G1231),1,0)</f>
        <v>1</v>
      </c>
      <c r="AL1231" s="25">
        <f>IF(OR(Apresentação!$E$6='Base de Dados e filtragem'!AL$2,Apresentação!$E$6='Base de Dados e filtragem'!H1231),1,0)</f>
        <v>1</v>
      </c>
      <c r="AM1231" s="25">
        <f>IF(OR(Apresentação!$I$2='Base de Dados e filtragem'!AM$2,Apresentação!$I$2='Base de Dados e filtragem'!I1231),1,0)</f>
        <v>1</v>
      </c>
      <c r="AN1231" s="25">
        <f>IF(OR(Apresentação!$I$3='Base de Dados e filtragem'!AN$2,Apresentação!$I$3='Base de Dados e filtragem'!J1231),1,0)</f>
        <v>1</v>
      </c>
      <c r="AO1231" s="25">
        <f>IF(OR(Apresentação!$I$4='Base de Dados e filtragem'!AO$2,Apresentação!$I$4='Base de Dados e filtragem'!K1231),1,0)</f>
        <v>1</v>
      </c>
      <c r="AP1231" s="25">
        <f>IF(OR(Apresentação!$I$5='Base de Dados e filtragem'!AP$2,Apresentação!$I$5='Base de Dados e filtragem'!L1231),1,0)</f>
        <v>1</v>
      </c>
      <c r="AQ1231" s="25">
        <f>IF(OR(Apresentação!$I$6='Base de Dados e filtragem'!AQ$2,Apresentação!$I$6='Base de Dados e filtragem'!M1231),1,0)</f>
        <v>1</v>
      </c>
      <c r="AR1231" s="25">
        <v>1</v>
      </c>
      <c r="AS1231" s="25">
        <v>1</v>
      </c>
      <c r="AT1231" s="25">
        <v>1</v>
      </c>
      <c r="AU1231" s="25">
        <v>1</v>
      </c>
      <c r="AV1231" s="25">
        <v>1</v>
      </c>
      <c r="AW1231" s="25">
        <v>1</v>
      </c>
      <c r="AX1231" s="25">
        <v>1</v>
      </c>
      <c r="AY1231" s="25">
        <v>1</v>
      </c>
      <c r="AZ1231" s="25">
        <v>1</v>
      </c>
      <c r="BA1231" s="25">
        <v>1</v>
      </c>
      <c r="BB1231" s="25">
        <v>1</v>
      </c>
      <c r="BC1231" s="25">
        <v>1</v>
      </c>
      <c r="BD1231" s="25">
        <v>1</v>
      </c>
    </row>
    <row r="1232" spans="27:56" x14ac:dyDescent="0.25">
      <c r="AA1232" s="68" t="str">
        <f t="shared" si="77"/>
        <v>Fotos\\.jpg</v>
      </c>
      <c r="AB1232" s="53">
        <f t="shared" si="78"/>
        <v>8.1168831168831174E-4</v>
      </c>
      <c r="AC1232" s="25">
        <f t="shared" si="79"/>
        <v>1232</v>
      </c>
      <c r="AD1232" s="51">
        <f t="shared" si="80"/>
        <v>1</v>
      </c>
      <c r="AE1232" s="25">
        <v>1</v>
      </c>
      <c r="AF1232" s="25">
        <v>1</v>
      </c>
      <c r="AG1232" s="25">
        <v>1</v>
      </c>
      <c r="AH1232" s="25">
        <v>1</v>
      </c>
      <c r="AI1232" s="25">
        <f>IF(OR(Apresentação!$E$3='Base de Dados e filtragem'!AI$2,Apresentação!$E$3='Base de Dados e filtragem'!E1232),1,0)</f>
        <v>1</v>
      </c>
      <c r="AJ1232" s="25">
        <f>IF(OR(Apresentação!$E$4='Base de Dados e filtragem'!AJ$2,Apresentação!$E$4='Base de Dados e filtragem'!F1232),1,0)</f>
        <v>1</v>
      </c>
      <c r="AK1232" s="25">
        <f>IF(OR(Apresentação!$E$5='Base de Dados e filtragem'!AK$2,Apresentação!$E$5='Base de Dados e filtragem'!G1232),1,0)</f>
        <v>1</v>
      </c>
      <c r="AL1232" s="25">
        <f>IF(OR(Apresentação!$E$6='Base de Dados e filtragem'!AL$2,Apresentação!$E$6='Base de Dados e filtragem'!H1232),1,0)</f>
        <v>1</v>
      </c>
      <c r="AM1232" s="25">
        <f>IF(OR(Apresentação!$I$2='Base de Dados e filtragem'!AM$2,Apresentação!$I$2='Base de Dados e filtragem'!I1232),1,0)</f>
        <v>1</v>
      </c>
      <c r="AN1232" s="25">
        <f>IF(OR(Apresentação!$I$3='Base de Dados e filtragem'!AN$2,Apresentação!$I$3='Base de Dados e filtragem'!J1232),1,0)</f>
        <v>1</v>
      </c>
      <c r="AO1232" s="25">
        <f>IF(OR(Apresentação!$I$4='Base de Dados e filtragem'!AO$2,Apresentação!$I$4='Base de Dados e filtragem'!K1232),1,0)</f>
        <v>1</v>
      </c>
      <c r="AP1232" s="25">
        <f>IF(OR(Apresentação!$I$5='Base de Dados e filtragem'!AP$2,Apresentação!$I$5='Base de Dados e filtragem'!L1232),1,0)</f>
        <v>1</v>
      </c>
      <c r="AQ1232" s="25">
        <f>IF(OR(Apresentação!$I$6='Base de Dados e filtragem'!AQ$2,Apresentação!$I$6='Base de Dados e filtragem'!M1232),1,0)</f>
        <v>1</v>
      </c>
      <c r="AR1232" s="25">
        <v>1</v>
      </c>
      <c r="AS1232" s="25">
        <v>1</v>
      </c>
      <c r="AT1232" s="25">
        <v>1</v>
      </c>
      <c r="AU1232" s="25">
        <v>1</v>
      </c>
      <c r="AV1232" s="25">
        <v>1</v>
      </c>
      <c r="AW1232" s="25">
        <v>1</v>
      </c>
      <c r="AX1232" s="25">
        <v>1</v>
      </c>
      <c r="AY1232" s="25">
        <v>1</v>
      </c>
      <c r="AZ1232" s="25">
        <v>1</v>
      </c>
      <c r="BA1232" s="25">
        <v>1</v>
      </c>
      <c r="BB1232" s="25">
        <v>1</v>
      </c>
      <c r="BC1232" s="25">
        <v>1</v>
      </c>
      <c r="BD1232" s="25">
        <v>1</v>
      </c>
    </row>
    <row r="1233" spans="27:56" x14ac:dyDescent="0.25">
      <c r="AA1233" s="68" t="str">
        <f t="shared" si="77"/>
        <v>Fotos\\.jpg</v>
      </c>
      <c r="AB1233" s="53">
        <f t="shared" si="78"/>
        <v>8.110300081103001E-4</v>
      </c>
      <c r="AC1233" s="25">
        <f t="shared" si="79"/>
        <v>1233</v>
      </c>
      <c r="AD1233" s="51">
        <f t="shared" si="80"/>
        <v>1</v>
      </c>
      <c r="AE1233" s="25">
        <v>1</v>
      </c>
      <c r="AF1233" s="25">
        <v>1</v>
      </c>
      <c r="AG1233" s="25">
        <v>1</v>
      </c>
      <c r="AH1233" s="25">
        <v>1</v>
      </c>
      <c r="AI1233" s="25">
        <f>IF(OR(Apresentação!$E$3='Base de Dados e filtragem'!AI$2,Apresentação!$E$3='Base de Dados e filtragem'!E1233),1,0)</f>
        <v>1</v>
      </c>
      <c r="AJ1233" s="25">
        <f>IF(OR(Apresentação!$E$4='Base de Dados e filtragem'!AJ$2,Apresentação!$E$4='Base de Dados e filtragem'!F1233),1,0)</f>
        <v>1</v>
      </c>
      <c r="AK1233" s="25">
        <f>IF(OR(Apresentação!$E$5='Base de Dados e filtragem'!AK$2,Apresentação!$E$5='Base de Dados e filtragem'!G1233),1,0)</f>
        <v>1</v>
      </c>
      <c r="AL1233" s="25">
        <f>IF(OR(Apresentação!$E$6='Base de Dados e filtragem'!AL$2,Apresentação!$E$6='Base de Dados e filtragem'!H1233),1,0)</f>
        <v>1</v>
      </c>
      <c r="AM1233" s="25">
        <f>IF(OR(Apresentação!$I$2='Base de Dados e filtragem'!AM$2,Apresentação!$I$2='Base de Dados e filtragem'!I1233),1,0)</f>
        <v>1</v>
      </c>
      <c r="AN1233" s="25">
        <f>IF(OR(Apresentação!$I$3='Base de Dados e filtragem'!AN$2,Apresentação!$I$3='Base de Dados e filtragem'!J1233),1,0)</f>
        <v>1</v>
      </c>
      <c r="AO1233" s="25">
        <f>IF(OR(Apresentação!$I$4='Base de Dados e filtragem'!AO$2,Apresentação!$I$4='Base de Dados e filtragem'!K1233),1,0)</f>
        <v>1</v>
      </c>
      <c r="AP1233" s="25">
        <f>IF(OR(Apresentação!$I$5='Base de Dados e filtragem'!AP$2,Apresentação!$I$5='Base de Dados e filtragem'!L1233),1,0)</f>
        <v>1</v>
      </c>
      <c r="AQ1233" s="25">
        <f>IF(OR(Apresentação!$I$6='Base de Dados e filtragem'!AQ$2,Apresentação!$I$6='Base de Dados e filtragem'!M1233),1,0)</f>
        <v>1</v>
      </c>
      <c r="AR1233" s="25">
        <v>1</v>
      </c>
      <c r="AS1233" s="25">
        <v>1</v>
      </c>
      <c r="AT1233" s="25">
        <v>1</v>
      </c>
      <c r="AU1233" s="25">
        <v>1</v>
      </c>
      <c r="AV1233" s="25">
        <v>1</v>
      </c>
      <c r="AW1233" s="25">
        <v>1</v>
      </c>
      <c r="AX1233" s="25">
        <v>1</v>
      </c>
      <c r="AY1233" s="25">
        <v>1</v>
      </c>
      <c r="AZ1233" s="25">
        <v>1</v>
      </c>
      <c r="BA1233" s="25">
        <v>1</v>
      </c>
      <c r="BB1233" s="25">
        <v>1</v>
      </c>
      <c r="BC1233" s="25">
        <v>1</v>
      </c>
      <c r="BD1233" s="25">
        <v>1</v>
      </c>
    </row>
    <row r="1234" spans="27:56" x14ac:dyDescent="0.25">
      <c r="AA1234" s="68" t="str">
        <f t="shared" si="77"/>
        <v>Fotos\\.jpg</v>
      </c>
      <c r="AB1234" s="53">
        <f t="shared" si="78"/>
        <v>8.1037277147487841E-4</v>
      </c>
      <c r="AC1234" s="25">
        <f t="shared" si="79"/>
        <v>1234</v>
      </c>
      <c r="AD1234" s="51">
        <f t="shared" si="80"/>
        <v>1</v>
      </c>
      <c r="AE1234" s="25">
        <v>1</v>
      </c>
      <c r="AF1234" s="25">
        <v>1</v>
      </c>
      <c r="AG1234" s="25">
        <v>1</v>
      </c>
      <c r="AH1234" s="25">
        <v>1</v>
      </c>
      <c r="AI1234" s="25">
        <f>IF(OR(Apresentação!$E$3='Base de Dados e filtragem'!AI$2,Apresentação!$E$3='Base de Dados e filtragem'!E1234),1,0)</f>
        <v>1</v>
      </c>
      <c r="AJ1234" s="25">
        <f>IF(OR(Apresentação!$E$4='Base de Dados e filtragem'!AJ$2,Apresentação!$E$4='Base de Dados e filtragem'!F1234),1,0)</f>
        <v>1</v>
      </c>
      <c r="AK1234" s="25">
        <f>IF(OR(Apresentação!$E$5='Base de Dados e filtragem'!AK$2,Apresentação!$E$5='Base de Dados e filtragem'!G1234),1,0)</f>
        <v>1</v>
      </c>
      <c r="AL1234" s="25">
        <f>IF(OR(Apresentação!$E$6='Base de Dados e filtragem'!AL$2,Apresentação!$E$6='Base de Dados e filtragem'!H1234),1,0)</f>
        <v>1</v>
      </c>
      <c r="AM1234" s="25">
        <f>IF(OR(Apresentação!$I$2='Base de Dados e filtragem'!AM$2,Apresentação!$I$2='Base de Dados e filtragem'!I1234),1,0)</f>
        <v>1</v>
      </c>
      <c r="AN1234" s="25">
        <f>IF(OR(Apresentação!$I$3='Base de Dados e filtragem'!AN$2,Apresentação!$I$3='Base de Dados e filtragem'!J1234),1,0)</f>
        <v>1</v>
      </c>
      <c r="AO1234" s="25">
        <f>IF(OR(Apresentação!$I$4='Base de Dados e filtragem'!AO$2,Apresentação!$I$4='Base de Dados e filtragem'!K1234),1,0)</f>
        <v>1</v>
      </c>
      <c r="AP1234" s="25">
        <f>IF(OR(Apresentação!$I$5='Base de Dados e filtragem'!AP$2,Apresentação!$I$5='Base de Dados e filtragem'!L1234),1,0)</f>
        <v>1</v>
      </c>
      <c r="AQ1234" s="25">
        <f>IF(OR(Apresentação!$I$6='Base de Dados e filtragem'!AQ$2,Apresentação!$I$6='Base de Dados e filtragem'!M1234),1,0)</f>
        <v>1</v>
      </c>
      <c r="AR1234" s="25">
        <v>1</v>
      </c>
      <c r="AS1234" s="25">
        <v>1</v>
      </c>
      <c r="AT1234" s="25">
        <v>1</v>
      </c>
      <c r="AU1234" s="25">
        <v>1</v>
      </c>
      <c r="AV1234" s="25">
        <v>1</v>
      </c>
      <c r="AW1234" s="25">
        <v>1</v>
      </c>
      <c r="AX1234" s="25">
        <v>1</v>
      </c>
      <c r="AY1234" s="25">
        <v>1</v>
      </c>
      <c r="AZ1234" s="25">
        <v>1</v>
      </c>
      <c r="BA1234" s="25">
        <v>1</v>
      </c>
      <c r="BB1234" s="25">
        <v>1</v>
      </c>
      <c r="BC1234" s="25">
        <v>1</v>
      </c>
      <c r="BD1234" s="25">
        <v>1</v>
      </c>
    </row>
    <row r="1235" spans="27:56" x14ac:dyDescent="0.25">
      <c r="AA1235" s="68" t="str">
        <f t="shared" si="77"/>
        <v>Fotos\\.jpg</v>
      </c>
      <c r="AB1235" s="53">
        <f t="shared" si="78"/>
        <v>8.0971659919028337E-4</v>
      </c>
      <c r="AC1235" s="25">
        <f t="shared" si="79"/>
        <v>1235</v>
      </c>
      <c r="AD1235" s="51">
        <f t="shared" si="80"/>
        <v>1</v>
      </c>
      <c r="AE1235" s="25">
        <v>1</v>
      </c>
      <c r="AF1235" s="25">
        <v>1</v>
      </c>
      <c r="AG1235" s="25">
        <v>1</v>
      </c>
      <c r="AH1235" s="25">
        <v>1</v>
      </c>
      <c r="AI1235" s="25">
        <f>IF(OR(Apresentação!$E$3='Base de Dados e filtragem'!AI$2,Apresentação!$E$3='Base de Dados e filtragem'!E1235),1,0)</f>
        <v>1</v>
      </c>
      <c r="AJ1235" s="25">
        <f>IF(OR(Apresentação!$E$4='Base de Dados e filtragem'!AJ$2,Apresentação!$E$4='Base de Dados e filtragem'!F1235),1,0)</f>
        <v>1</v>
      </c>
      <c r="AK1235" s="25">
        <f>IF(OR(Apresentação!$E$5='Base de Dados e filtragem'!AK$2,Apresentação!$E$5='Base de Dados e filtragem'!G1235),1,0)</f>
        <v>1</v>
      </c>
      <c r="AL1235" s="25">
        <f>IF(OR(Apresentação!$E$6='Base de Dados e filtragem'!AL$2,Apresentação!$E$6='Base de Dados e filtragem'!H1235),1,0)</f>
        <v>1</v>
      </c>
      <c r="AM1235" s="25">
        <f>IF(OR(Apresentação!$I$2='Base de Dados e filtragem'!AM$2,Apresentação!$I$2='Base de Dados e filtragem'!I1235),1,0)</f>
        <v>1</v>
      </c>
      <c r="AN1235" s="25">
        <f>IF(OR(Apresentação!$I$3='Base de Dados e filtragem'!AN$2,Apresentação!$I$3='Base de Dados e filtragem'!J1235),1,0)</f>
        <v>1</v>
      </c>
      <c r="AO1235" s="25">
        <f>IF(OR(Apresentação!$I$4='Base de Dados e filtragem'!AO$2,Apresentação!$I$4='Base de Dados e filtragem'!K1235),1,0)</f>
        <v>1</v>
      </c>
      <c r="AP1235" s="25">
        <f>IF(OR(Apresentação!$I$5='Base de Dados e filtragem'!AP$2,Apresentação!$I$5='Base de Dados e filtragem'!L1235),1,0)</f>
        <v>1</v>
      </c>
      <c r="AQ1235" s="25">
        <f>IF(OR(Apresentação!$I$6='Base de Dados e filtragem'!AQ$2,Apresentação!$I$6='Base de Dados e filtragem'!M1235),1,0)</f>
        <v>1</v>
      </c>
      <c r="AR1235" s="25">
        <v>1</v>
      </c>
      <c r="AS1235" s="25">
        <v>1</v>
      </c>
      <c r="AT1235" s="25">
        <v>1</v>
      </c>
      <c r="AU1235" s="25">
        <v>1</v>
      </c>
      <c r="AV1235" s="25">
        <v>1</v>
      </c>
      <c r="AW1235" s="25">
        <v>1</v>
      </c>
      <c r="AX1235" s="25">
        <v>1</v>
      </c>
      <c r="AY1235" s="25">
        <v>1</v>
      </c>
      <c r="AZ1235" s="25">
        <v>1</v>
      </c>
      <c r="BA1235" s="25">
        <v>1</v>
      </c>
      <c r="BB1235" s="25">
        <v>1</v>
      </c>
      <c r="BC1235" s="25">
        <v>1</v>
      </c>
      <c r="BD1235" s="25">
        <v>1</v>
      </c>
    </row>
    <row r="1236" spans="27:56" x14ac:dyDescent="0.25">
      <c r="AA1236" s="68" t="str">
        <f t="shared" si="77"/>
        <v>Fotos\\.jpg</v>
      </c>
      <c r="AB1236" s="53">
        <f t="shared" si="78"/>
        <v>8.090614886731392E-4</v>
      </c>
      <c r="AC1236" s="25">
        <f t="shared" si="79"/>
        <v>1236</v>
      </c>
      <c r="AD1236" s="51">
        <f t="shared" si="80"/>
        <v>1</v>
      </c>
      <c r="AE1236" s="25">
        <v>1</v>
      </c>
      <c r="AF1236" s="25">
        <v>1</v>
      </c>
      <c r="AG1236" s="25">
        <v>1</v>
      </c>
      <c r="AH1236" s="25">
        <v>1</v>
      </c>
      <c r="AI1236" s="25">
        <f>IF(OR(Apresentação!$E$3='Base de Dados e filtragem'!AI$2,Apresentação!$E$3='Base de Dados e filtragem'!E1236),1,0)</f>
        <v>1</v>
      </c>
      <c r="AJ1236" s="25">
        <f>IF(OR(Apresentação!$E$4='Base de Dados e filtragem'!AJ$2,Apresentação!$E$4='Base de Dados e filtragem'!F1236),1,0)</f>
        <v>1</v>
      </c>
      <c r="AK1236" s="25">
        <f>IF(OR(Apresentação!$E$5='Base de Dados e filtragem'!AK$2,Apresentação!$E$5='Base de Dados e filtragem'!G1236),1,0)</f>
        <v>1</v>
      </c>
      <c r="AL1236" s="25">
        <f>IF(OR(Apresentação!$E$6='Base de Dados e filtragem'!AL$2,Apresentação!$E$6='Base de Dados e filtragem'!H1236),1,0)</f>
        <v>1</v>
      </c>
      <c r="AM1236" s="25">
        <f>IF(OR(Apresentação!$I$2='Base de Dados e filtragem'!AM$2,Apresentação!$I$2='Base de Dados e filtragem'!I1236),1,0)</f>
        <v>1</v>
      </c>
      <c r="AN1236" s="25">
        <f>IF(OR(Apresentação!$I$3='Base de Dados e filtragem'!AN$2,Apresentação!$I$3='Base de Dados e filtragem'!J1236),1,0)</f>
        <v>1</v>
      </c>
      <c r="AO1236" s="25">
        <f>IF(OR(Apresentação!$I$4='Base de Dados e filtragem'!AO$2,Apresentação!$I$4='Base de Dados e filtragem'!K1236),1,0)</f>
        <v>1</v>
      </c>
      <c r="AP1236" s="25">
        <f>IF(OR(Apresentação!$I$5='Base de Dados e filtragem'!AP$2,Apresentação!$I$5='Base de Dados e filtragem'!L1236),1,0)</f>
        <v>1</v>
      </c>
      <c r="AQ1236" s="25">
        <f>IF(OR(Apresentação!$I$6='Base de Dados e filtragem'!AQ$2,Apresentação!$I$6='Base de Dados e filtragem'!M1236),1,0)</f>
        <v>1</v>
      </c>
      <c r="AR1236" s="25">
        <v>1</v>
      </c>
      <c r="AS1236" s="25">
        <v>1</v>
      </c>
      <c r="AT1236" s="25">
        <v>1</v>
      </c>
      <c r="AU1236" s="25">
        <v>1</v>
      </c>
      <c r="AV1236" s="25">
        <v>1</v>
      </c>
      <c r="AW1236" s="25">
        <v>1</v>
      </c>
      <c r="AX1236" s="25">
        <v>1</v>
      </c>
      <c r="AY1236" s="25">
        <v>1</v>
      </c>
      <c r="AZ1236" s="25">
        <v>1</v>
      </c>
      <c r="BA1236" s="25">
        <v>1</v>
      </c>
      <c r="BB1236" s="25">
        <v>1</v>
      </c>
      <c r="BC1236" s="25">
        <v>1</v>
      </c>
      <c r="BD1236" s="25">
        <v>1</v>
      </c>
    </row>
    <row r="1237" spans="27:56" x14ac:dyDescent="0.25">
      <c r="AA1237" s="68" t="str">
        <f t="shared" si="77"/>
        <v>Fotos\\.jpg</v>
      </c>
      <c r="AB1237" s="53">
        <f t="shared" si="78"/>
        <v>8.0840743734842356E-4</v>
      </c>
      <c r="AC1237" s="25">
        <f t="shared" si="79"/>
        <v>1237</v>
      </c>
      <c r="AD1237" s="51">
        <f t="shared" si="80"/>
        <v>1</v>
      </c>
      <c r="AE1237" s="25">
        <v>1</v>
      </c>
      <c r="AF1237" s="25">
        <v>1</v>
      </c>
      <c r="AG1237" s="25">
        <v>1</v>
      </c>
      <c r="AH1237" s="25">
        <v>1</v>
      </c>
      <c r="AI1237" s="25">
        <f>IF(OR(Apresentação!$E$3='Base de Dados e filtragem'!AI$2,Apresentação!$E$3='Base de Dados e filtragem'!E1237),1,0)</f>
        <v>1</v>
      </c>
      <c r="AJ1237" s="25">
        <f>IF(OR(Apresentação!$E$4='Base de Dados e filtragem'!AJ$2,Apresentação!$E$4='Base de Dados e filtragem'!F1237),1,0)</f>
        <v>1</v>
      </c>
      <c r="AK1237" s="25">
        <f>IF(OR(Apresentação!$E$5='Base de Dados e filtragem'!AK$2,Apresentação!$E$5='Base de Dados e filtragem'!G1237),1,0)</f>
        <v>1</v>
      </c>
      <c r="AL1237" s="25">
        <f>IF(OR(Apresentação!$E$6='Base de Dados e filtragem'!AL$2,Apresentação!$E$6='Base de Dados e filtragem'!H1237),1,0)</f>
        <v>1</v>
      </c>
      <c r="AM1237" s="25">
        <f>IF(OR(Apresentação!$I$2='Base de Dados e filtragem'!AM$2,Apresentação!$I$2='Base de Dados e filtragem'!I1237),1,0)</f>
        <v>1</v>
      </c>
      <c r="AN1237" s="25">
        <f>IF(OR(Apresentação!$I$3='Base de Dados e filtragem'!AN$2,Apresentação!$I$3='Base de Dados e filtragem'!J1237),1,0)</f>
        <v>1</v>
      </c>
      <c r="AO1237" s="25">
        <f>IF(OR(Apresentação!$I$4='Base de Dados e filtragem'!AO$2,Apresentação!$I$4='Base de Dados e filtragem'!K1237),1,0)</f>
        <v>1</v>
      </c>
      <c r="AP1237" s="25">
        <f>IF(OR(Apresentação!$I$5='Base de Dados e filtragem'!AP$2,Apresentação!$I$5='Base de Dados e filtragem'!L1237),1,0)</f>
        <v>1</v>
      </c>
      <c r="AQ1237" s="25">
        <f>IF(OR(Apresentação!$I$6='Base de Dados e filtragem'!AQ$2,Apresentação!$I$6='Base de Dados e filtragem'!M1237),1,0)</f>
        <v>1</v>
      </c>
      <c r="AR1237" s="25">
        <v>1</v>
      </c>
      <c r="AS1237" s="25">
        <v>1</v>
      </c>
      <c r="AT1237" s="25">
        <v>1</v>
      </c>
      <c r="AU1237" s="25">
        <v>1</v>
      </c>
      <c r="AV1237" s="25">
        <v>1</v>
      </c>
      <c r="AW1237" s="25">
        <v>1</v>
      </c>
      <c r="AX1237" s="25">
        <v>1</v>
      </c>
      <c r="AY1237" s="25">
        <v>1</v>
      </c>
      <c r="AZ1237" s="25">
        <v>1</v>
      </c>
      <c r="BA1237" s="25">
        <v>1</v>
      </c>
      <c r="BB1237" s="25">
        <v>1</v>
      </c>
      <c r="BC1237" s="25">
        <v>1</v>
      </c>
      <c r="BD1237" s="25">
        <v>1</v>
      </c>
    </row>
    <row r="1238" spans="27:56" x14ac:dyDescent="0.25">
      <c r="AA1238" s="68" t="str">
        <f t="shared" si="77"/>
        <v>Fotos\\.jpg</v>
      </c>
      <c r="AB1238" s="53">
        <f t="shared" si="78"/>
        <v>8.0775444264943462E-4</v>
      </c>
      <c r="AC1238" s="25">
        <f t="shared" si="79"/>
        <v>1238</v>
      </c>
      <c r="AD1238" s="51">
        <f t="shared" si="80"/>
        <v>1</v>
      </c>
      <c r="AE1238" s="25">
        <v>1</v>
      </c>
      <c r="AF1238" s="25">
        <v>1</v>
      </c>
      <c r="AG1238" s="25">
        <v>1</v>
      </c>
      <c r="AH1238" s="25">
        <v>1</v>
      </c>
      <c r="AI1238" s="25">
        <f>IF(OR(Apresentação!$E$3='Base de Dados e filtragem'!AI$2,Apresentação!$E$3='Base de Dados e filtragem'!E1238),1,0)</f>
        <v>1</v>
      </c>
      <c r="AJ1238" s="25">
        <f>IF(OR(Apresentação!$E$4='Base de Dados e filtragem'!AJ$2,Apresentação!$E$4='Base de Dados e filtragem'!F1238),1,0)</f>
        <v>1</v>
      </c>
      <c r="AK1238" s="25">
        <f>IF(OR(Apresentação!$E$5='Base de Dados e filtragem'!AK$2,Apresentação!$E$5='Base de Dados e filtragem'!G1238),1,0)</f>
        <v>1</v>
      </c>
      <c r="AL1238" s="25">
        <f>IF(OR(Apresentação!$E$6='Base de Dados e filtragem'!AL$2,Apresentação!$E$6='Base de Dados e filtragem'!H1238),1,0)</f>
        <v>1</v>
      </c>
      <c r="AM1238" s="25">
        <f>IF(OR(Apresentação!$I$2='Base de Dados e filtragem'!AM$2,Apresentação!$I$2='Base de Dados e filtragem'!I1238),1,0)</f>
        <v>1</v>
      </c>
      <c r="AN1238" s="25">
        <f>IF(OR(Apresentação!$I$3='Base de Dados e filtragem'!AN$2,Apresentação!$I$3='Base de Dados e filtragem'!J1238),1,0)</f>
        <v>1</v>
      </c>
      <c r="AO1238" s="25">
        <f>IF(OR(Apresentação!$I$4='Base de Dados e filtragem'!AO$2,Apresentação!$I$4='Base de Dados e filtragem'!K1238),1,0)</f>
        <v>1</v>
      </c>
      <c r="AP1238" s="25">
        <f>IF(OR(Apresentação!$I$5='Base de Dados e filtragem'!AP$2,Apresentação!$I$5='Base de Dados e filtragem'!L1238),1,0)</f>
        <v>1</v>
      </c>
      <c r="AQ1238" s="25">
        <f>IF(OR(Apresentação!$I$6='Base de Dados e filtragem'!AQ$2,Apresentação!$I$6='Base de Dados e filtragem'!M1238),1,0)</f>
        <v>1</v>
      </c>
      <c r="AR1238" s="25">
        <v>1</v>
      </c>
      <c r="AS1238" s="25">
        <v>1</v>
      </c>
      <c r="AT1238" s="25">
        <v>1</v>
      </c>
      <c r="AU1238" s="25">
        <v>1</v>
      </c>
      <c r="AV1238" s="25">
        <v>1</v>
      </c>
      <c r="AW1238" s="25">
        <v>1</v>
      </c>
      <c r="AX1238" s="25">
        <v>1</v>
      </c>
      <c r="AY1238" s="25">
        <v>1</v>
      </c>
      <c r="AZ1238" s="25">
        <v>1</v>
      </c>
      <c r="BA1238" s="25">
        <v>1</v>
      </c>
      <c r="BB1238" s="25">
        <v>1</v>
      </c>
      <c r="BC1238" s="25">
        <v>1</v>
      </c>
      <c r="BD1238" s="25">
        <v>1</v>
      </c>
    </row>
    <row r="1239" spans="27:56" x14ac:dyDescent="0.25">
      <c r="AA1239" s="68" t="str">
        <f t="shared" si="77"/>
        <v>Fotos\\.jpg</v>
      </c>
      <c r="AB1239" s="53">
        <f t="shared" si="78"/>
        <v>8.0710250201775622E-4</v>
      </c>
      <c r="AC1239" s="25">
        <f t="shared" si="79"/>
        <v>1239</v>
      </c>
      <c r="AD1239" s="51">
        <f t="shared" si="80"/>
        <v>1</v>
      </c>
      <c r="AE1239" s="25">
        <v>1</v>
      </c>
      <c r="AF1239" s="25">
        <v>1</v>
      </c>
      <c r="AG1239" s="25">
        <v>1</v>
      </c>
      <c r="AH1239" s="25">
        <v>1</v>
      </c>
      <c r="AI1239" s="25">
        <f>IF(OR(Apresentação!$E$3='Base de Dados e filtragem'!AI$2,Apresentação!$E$3='Base de Dados e filtragem'!E1239),1,0)</f>
        <v>1</v>
      </c>
      <c r="AJ1239" s="25">
        <f>IF(OR(Apresentação!$E$4='Base de Dados e filtragem'!AJ$2,Apresentação!$E$4='Base de Dados e filtragem'!F1239),1,0)</f>
        <v>1</v>
      </c>
      <c r="AK1239" s="25">
        <f>IF(OR(Apresentação!$E$5='Base de Dados e filtragem'!AK$2,Apresentação!$E$5='Base de Dados e filtragem'!G1239),1,0)</f>
        <v>1</v>
      </c>
      <c r="AL1239" s="25">
        <f>IF(OR(Apresentação!$E$6='Base de Dados e filtragem'!AL$2,Apresentação!$E$6='Base de Dados e filtragem'!H1239),1,0)</f>
        <v>1</v>
      </c>
      <c r="AM1239" s="25">
        <f>IF(OR(Apresentação!$I$2='Base de Dados e filtragem'!AM$2,Apresentação!$I$2='Base de Dados e filtragem'!I1239),1,0)</f>
        <v>1</v>
      </c>
      <c r="AN1239" s="25">
        <f>IF(OR(Apresentação!$I$3='Base de Dados e filtragem'!AN$2,Apresentação!$I$3='Base de Dados e filtragem'!J1239),1,0)</f>
        <v>1</v>
      </c>
      <c r="AO1239" s="25">
        <f>IF(OR(Apresentação!$I$4='Base de Dados e filtragem'!AO$2,Apresentação!$I$4='Base de Dados e filtragem'!K1239),1,0)</f>
        <v>1</v>
      </c>
      <c r="AP1239" s="25">
        <f>IF(OR(Apresentação!$I$5='Base de Dados e filtragem'!AP$2,Apresentação!$I$5='Base de Dados e filtragem'!L1239),1,0)</f>
        <v>1</v>
      </c>
      <c r="AQ1239" s="25">
        <f>IF(OR(Apresentação!$I$6='Base de Dados e filtragem'!AQ$2,Apresentação!$I$6='Base de Dados e filtragem'!M1239),1,0)</f>
        <v>1</v>
      </c>
      <c r="AR1239" s="25">
        <v>1</v>
      </c>
      <c r="AS1239" s="25">
        <v>1</v>
      </c>
      <c r="AT1239" s="25">
        <v>1</v>
      </c>
      <c r="AU1239" s="25">
        <v>1</v>
      </c>
      <c r="AV1239" s="25">
        <v>1</v>
      </c>
      <c r="AW1239" s="25">
        <v>1</v>
      </c>
      <c r="AX1239" s="25">
        <v>1</v>
      </c>
      <c r="AY1239" s="25">
        <v>1</v>
      </c>
      <c r="AZ1239" s="25">
        <v>1</v>
      </c>
      <c r="BA1239" s="25">
        <v>1</v>
      </c>
      <c r="BB1239" s="25">
        <v>1</v>
      </c>
      <c r="BC1239" s="25">
        <v>1</v>
      </c>
      <c r="BD1239" s="25">
        <v>1</v>
      </c>
    </row>
    <row r="1240" spans="27:56" x14ac:dyDescent="0.25">
      <c r="AA1240" s="68" t="str">
        <f t="shared" si="77"/>
        <v>Fotos\\.jpg</v>
      </c>
      <c r="AB1240" s="53">
        <f t="shared" si="78"/>
        <v>8.0645161290322581E-4</v>
      </c>
      <c r="AC1240" s="25">
        <f t="shared" si="79"/>
        <v>1240</v>
      </c>
      <c r="AD1240" s="51">
        <f t="shared" si="80"/>
        <v>1</v>
      </c>
      <c r="AE1240" s="25">
        <v>1</v>
      </c>
      <c r="AF1240" s="25">
        <v>1</v>
      </c>
      <c r="AG1240" s="25">
        <v>1</v>
      </c>
      <c r="AH1240" s="25">
        <v>1</v>
      </c>
      <c r="AI1240" s="25">
        <f>IF(OR(Apresentação!$E$3='Base de Dados e filtragem'!AI$2,Apresentação!$E$3='Base de Dados e filtragem'!E1240),1,0)</f>
        <v>1</v>
      </c>
      <c r="AJ1240" s="25">
        <f>IF(OR(Apresentação!$E$4='Base de Dados e filtragem'!AJ$2,Apresentação!$E$4='Base de Dados e filtragem'!F1240),1,0)</f>
        <v>1</v>
      </c>
      <c r="AK1240" s="25">
        <f>IF(OR(Apresentação!$E$5='Base de Dados e filtragem'!AK$2,Apresentação!$E$5='Base de Dados e filtragem'!G1240),1,0)</f>
        <v>1</v>
      </c>
      <c r="AL1240" s="25">
        <f>IF(OR(Apresentação!$E$6='Base de Dados e filtragem'!AL$2,Apresentação!$E$6='Base de Dados e filtragem'!H1240),1,0)</f>
        <v>1</v>
      </c>
      <c r="AM1240" s="25">
        <f>IF(OR(Apresentação!$I$2='Base de Dados e filtragem'!AM$2,Apresentação!$I$2='Base de Dados e filtragem'!I1240),1,0)</f>
        <v>1</v>
      </c>
      <c r="AN1240" s="25">
        <f>IF(OR(Apresentação!$I$3='Base de Dados e filtragem'!AN$2,Apresentação!$I$3='Base de Dados e filtragem'!J1240),1,0)</f>
        <v>1</v>
      </c>
      <c r="AO1240" s="25">
        <f>IF(OR(Apresentação!$I$4='Base de Dados e filtragem'!AO$2,Apresentação!$I$4='Base de Dados e filtragem'!K1240),1,0)</f>
        <v>1</v>
      </c>
      <c r="AP1240" s="25">
        <f>IF(OR(Apresentação!$I$5='Base de Dados e filtragem'!AP$2,Apresentação!$I$5='Base de Dados e filtragem'!L1240),1,0)</f>
        <v>1</v>
      </c>
      <c r="AQ1240" s="25">
        <f>IF(OR(Apresentação!$I$6='Base de Dados e filtragem'!AQ$2,Apresentação!$I$6='Base de Dados e filtragem'!M1240),1,0)</f>
        <v>1</v>
      </c>
      <c r="AR1240" s="25">
        <v>1</v>
      </c>
      <c r="AS1240" s="25">
        <v>1</v>
      </c>
      <c r="AT1240" s="25">
        <v>1</v>
      </c>
      <c r="AU1240" s="25">
        <v>1</v>
      </c>
      <c r="AV1240" s="25">
        <v>1</v>
      </c>
      <c r="AW1240" s="25">
        <v>1</v>
      </c>
      <c r="AX1240" s="25">
        <v>1</v>
      </c>
      <c r="AY1240" s="25">
        <v>1</v>
      </c>
      <c r="AZ1240" s="25">
        <v>1</v>
      </c>
      <c r="BA1240" s="25">
        <v>1</v>
      </c>
      <c r="BB1240" s="25">
        <v>1</v>
      </c>
      <c r="BC1240" s="25">
        <v>1</v>
      </c>
      <c r="BD1240" s="25">
        <v>1</v>
      </c>
    </row>
    <row r="1241" spans="27:56" x14ac:dyDescent="0.25">
      <c r="AA1241" s="68" t="str">
        <f t="shared" si="77"/>
        <v>Fotos\\.jpg</v>
      </c>
      <c r="AB1241" s="53">
        <f t="shared" si="78"/>
        <v>8.0580177276390005E-4</v>
      </c>
      <c r="AC1241" s="25">
        <f t="shared" si="79"/>
        <v>1241</v>
      </c>
      <c r="AD1241" s="51">
        <f t="shared" si="80"/>
        <v>1</v>
      </c>
      <c r="AE1241" s="25">
        <v>1</v>
      </c>
      <c r="AF1241" s="25">
        <v>1</v>
      </c>
      <c r="AG1241" s="25">
        <v>1</v>
      </c>
      <c r="AH1241" s="25">
        <v>1</v>
      </c>
      <c r="AI1241" s="25">
        <f>IF(OR(Apresentação!$E$3='Base de Dados e filtragem'!AI$2,Apresentação!$E$3='Base de Dados e filtragem'!E1241),1,0)</f>
        <v>1</v>
      </c>
      <c r="AJ1241" s="25">
        <f>IF(OR(Apresentação!$E$4='Base de Dados e filtragem'!AJ$2,Apresentação!$E$4='Base de Dados e filtragem'!F1241),1,0)</f>
        <v>1</v>
      </c>
      <c r="AK1241" s="25">
        <f>IF(OR(Apresentação!$E$5='Base de Dados e filtragem'!AK$2,Apresentação!$E$5='Base de Dados e filtragem'!G1241),1,0)</f>
        <v>1</v>
      </c>
      <c r="AL1241" s="25">
        <f>IF(OR(Apresentação!$E$6='Base de Dados e filtragem'!AL$2,Apresentação!$E$6='Base de Dados e filtragem'!H1241),1,0)</f>
        <v>1</v>
      </c>
      <c r="AM1241" s="25">
        <f>IF(OR(Apresentação!$I$2='Base de Dados e filtragem'!AM$2,Apresentação!$I$2='Base de Dados e filtragem'!I1241),1,0)</f>
        <v>1</v>
      </c>
      <c r="AN1241" s="25">
        <f>IF(OR(Apresentação!$I$3='Base de Dados e filtragem'!AN$2,Apresentação!$I$3='Base de Dados e filtragem'!J1241),1,0)</f>
        <v>1</v>
      </c>
      <c r="AO1241" s="25">
        <f>IF(OR(Apresentação!$I$4='Base de Dados e filtragem'!AO$2,Apresentação!$I$4='Base de Dados e filtragem'!K1241),1,0)</f>
        <v>1</v>
      </c>
      <c r="AP1241" s="25">
        <f>IF(OR(Apresentação!$I$5='Base de Dados e filtragem'!AP$2,Apresentação!$I$5='Base de Dados e filtragem'!L1241),1,0)</f>
        <v>1</v>
      </c>
      <c r="AQ1241" s="25">
        <f>IF(OR(Apresentação!$I$6='Base de Dados e filtragem'!AQ$2,Apresentação!$I$6='Base de Dados e filtragem'!M1241),1,0)</f>
        <v>1</v>
      </c>
      <c r="AR1241" s="25">
        <v>1</v>
      </c>
      <c r="AS1241" s="25">
        <v>1</v>
      </c>
      <c r="AT1241" s="25">
        <v>1</v>
      </c>
      <c r="AU1241" s="25">
        <v>1</v>
      </c>
      <c r="AV1241" s="25">
        <v>1</v>
      </c>
      <c r="AW1241" s="25">
        <v>1</v>
      </c>
      <c r="AX1241" s="25">
        <v>1</v>
      </c>
      <c r="AY1241" s="25">
        <v>1</v>
      </c>
      <c r="AZ1241" s="25">
        <v>1</v>
      </c>
      <c r="BA1241" s="25">
        <v>1</v>
      </c>
      <c r="BB1241" s="25">
        <v>1</v>
      </c>
      <c r="BC1241" s="25">
        <v>1</v>
      </c>
      <c r="BD1241" s="25">
        <v>1</v>
      </c>
    </row>
    <row r="1242" spans="27:56" x14ac:dyDescent="0.25">
      <c r="AA1242" s="68" t="str">
        <f t="shared" si="77"/>
        <v>Fotos\\.jpg</v>
      </c>
      <c r="AB1242" s="53">
        <f t="shared" si="78"/>
        <v>8.0515297906602254E-4</v>
      </c>
      <c r="AC1242" s="25">
        <f t="shared" si="79"/>
        <v>1242</v>
      </c>
      <c r="AD1242" s="51">
        <f t="shared" si="80"/>
        <v>1</v>
      </c>
      <c r="AE1242" s="25">
        <v>1</v>
      </c>
      <c r="AF1242" s="25">
        <v>1</v>
      </c>
      <c r="AG1242" s="25">
        <v>1</v>
      </c>
      <c r="AH1242" s="25">
        <v>1</v>
      </c>
      <c r="AI1242" s="25">
        <f>IF(OR(Apresentação!$E$3='Base de Dados e filtragem'!AI$2,Apresentação!$E$3='Base de Dados e filtragem'!E1242),1,0)</f>
        <v>1</v>
      </c>
      <c r="AJ1242" s="25">
        <f>IF(OR(Apresentação!$E$4='Base de Dados e filtragem'!AJ$2,Apresentação!$E$4='Base de Dados e filtragem'!F1242),1,0)</f>
        <v>1</v>
      </c>
      <c r="AK1242" s="25">
        <f>IF(OR(Apresentação!$E$5='Base de Dados e filtragem'!AK$2,Apresentação!$E$5='Base de Dados e filtragem'!G1242),1,0)</f>
        <v>1</v>
      </c>
      <c r="AL1242" s="25">
        <f>IF(OR(Apresentação!$E$6='Base de Dados e filtragem'!AL$2,Apresentação!$E$6='Base de Dados e filtragem'!H1242),1,0)</f>
        <v>1</v>
      </c>
      <c r="AM1242" s="25">
        <f>IF(OR(Apresentação!$I$2='Base de Dados e filtragem'!AM$2,Apresentação!$I$2='Base de Dados e filtragem'!I1242),1,0)</f>
        <v>1</v>
      </c>
      <c r="AN1242" s="25">
        <f>IF(OR(Apresentação!$I$3='Base de Dados e filtragem'!AN$2,Apresentação!$I$3='Base de Dados e filtragem'!J1242),1,0)</f>
        <v>1</v>
      </c>
      <c r="AO1242" s="25">
        <f>IF(OR(Apresentação!$I$4='Base de Dados e filtragem'!AO$2,Apresentação!$I$4='Base de Dados e filtragem'!K1242),1,0)</f>
        <v>1</v>
      </c>
      <c r="AP1242" s="25">
        <f>IF(OR(Apresentação!$I$5='Base de Dados e filtragem'!AP$2,Apresentação!$I$5='Base de Dados e filtragem'!L1242),1,0)</f>
        <v>1</v>
      </c>
      <c r="AQ1242" s="25">
        <f>IF(OR(Apresentação!$I$6='Base de Dados e filtragem'!AQ$2,Apresentação!$I$6='Base de Dados e filtragem'!M1242),1,0)</f>
        <v>1</v>
      </c>
      <c r="AR1242" s="25">
        <v>1</v>
      </c>
      <c r="AS1242" s="25">
        <v>1</v>
      </c>
      <c r="AT1242" s="25">
        <v>1</v>
      </c>
      <c r="AU1242" s="25">
        <v>1</v>
      </c>
      <c r="AV1242" s="25">
        <v>1</v>
      </c>
      <c r="AW1242" s="25">
        <v>1</v>
      </c>
      <c r="AX1242" s="25">
        <v>1</v>
      </c>
      <c r="AY1242" s="25">
        <v>1</v>
      </c>
      <c r="AZ1242" s="25">
        <v>1</v>
      </c>
      <c r="BA1242" s="25">
        <v>1</v>
      </c>
      <c r="BB1242" s="25">
        <v>1</v>
      </c>
      <c r="BC1242" s="25">
        <v>1</v>
      </c>
      <c r="BD1242" s="25">
        <v>1</v>
      </c>
    </row>
    <row r="1243" spans="27:56" x14ac:dyDescent="0.25">
      <c r="AA1243" s="68" t="str">
        <f t="shared" si="77"/>
        <v>Fotos\\.jpg</v>
      </c>
      <c r="AB1243" s="53">
        <f t="shared" si="78"/>
        <v>8.045052292839903E-4</v>
      </c>
      <c r="AC1243" s="25">
        <f t="shared" si="79"/>
        <v>1243</v>
      </c>
      <c r="AD1243" s="51">
        <f t="shared" si="80"/>
        <v>1</v>
      </c>
      <c r="AE1243" s="25">
        <v>1</v>
      </c>
      <c r="AF1243" s="25">
        <v>1</v>
      </c>
      <c r="AG1243" s="25">
        <v>1</v>
      </c>
      <c r="AH1243" s="25">
        <v>1</v>
      </c>
      <c r="AI1243" s="25">
        <f>IF(OR(Apresentação!$E$3='Base de Dados e filtragem'!AI$2,Apresentação!$E$3='Base de Dados e filtragem'!E1243),1,0)</f>
        <v>1</v>
      </c>
      <c r="AJ1243" s="25">
        <f>IF(OR(Apresentação!$E$4='Base de Dados e filtragem'!AJ$2,Apresentação!$E$4='Base de Dados e filtragem'!F1243),1,0)</f>
        <v>1</v>
      </c>
      <c r="AK1243" s="25">
        <f>IF(OR(Apresentação!$E$5='Base de Dados e filtragem'!AK$2,Apresentação!$E$5='Base de Dados e filtragem'!G1243),1,0)</f>
        <v>1</v>
      </c>
      <c r="AL1243" s="25">
        <f>IF(OR(Apresentação!$E$6='Base de Dados e filtragem'!AL$2,Apresentação!$E$6='Base de Dados e filtragem'!H1243),1,0)</f>
        <v>1</v>
      </c>
      <c r="AM1243" s="25">
        <f>IF(OR(Apresentação!$I$2='Base de Dados e filtragem'!AM$2,Apresentação!$I$2='Base de Dados e filtragem'!I1243),1,0)</f>
        <v>1</v>
      </c>
      <c r="AN1243" s="25">
        <f>IF(OR(Apresentação!$I$3='Base de Dados e filtragem'!AN$2,Apresentação!$I$3='Base de Dados e filtragem'!J1243),1,0)</f>
        <v>1</v>
      </c>
      <c r="AO1243" s="25">
        <f>IF(OR(Apresentação!$I$4='Base de Dados e filtragem'!AO$2,Apresentação!$I$4='Base de Dados e filtragem'!K1243),1,0)</f>
        <v>1</v>
      </c>
      <c r="AP1243" s="25">
        <f>IF(OR(Apresentação!$I$5='Base de Dados e filtragem'!AP$2,Apresentação!$I$5='Base de Dados e filtragem'!L1243),1,0)</f>
        <v>1</v>
      </c>
      <c r="AQ1243" s="25">
        <f>IF(OR(Apresentação!$I$6='Base de Dados e filtragem'!AQ$2,Apresentação!$I$6='Base de Dados e filtragem'!M1243),1,0)</f>
        <v>1</v>
      </c>
      <c r="AR1243" s="25">
        <v>1</v>
      </c>
      <c r="AS1243" s="25">
        <v>1</v>
      </c>
      <c r="AT1243" s="25">
        <v>1</v>
      </c>
      <c r="AU1243" s="25">
        <v>1</v>
      </c>
      <c r="AV1243" s="25">
        <v>1</v>
      </c>
      <c r="AW1243" s="25">
        <v>1</v>
      </c>
      <c r="AX1243" s="25">
        <v>1</v>
      </c>
      <c r="AY1243" s="25">
        <v>1</v>
      </c>
      <c r="AZ1243" s="25">
        <v>1</v>
      </c>
      <c r="BA1243" s="25">
        <v>1</v>
      </c>
      <c r="BB1243" s="25">
        <v>1</v>
      </c>
      <c r="BC1243" s="25">
        <v>1</v>
      </c>
      <c r="BD1243" s="25">
        <v>1</v>
      </c>
    </row>
    <row r="1244" spans="27:56" x14ac:dyDescent="0.25">
      <c r="AA1244" s="68" t="str">
        <f t="shared" si="77"/>
        <v>Fotos\\.jpg</v>
      </c>
      <c r="AB1244" s="53">
        <f t="shared" si="78"/>
        <v>8.0385852090032153E-4</v>
      </c>
      <c r="AC1244" s="25">
        <f t="shared" si="79"/>
        <v>1244</v>
      </c>
      <c r="AD1244" s="51">
        <f t="shared" si="80"/>
        <v>1</v>
      </c>
      <c r="AE1244" s="25">
        <v>1</v>
      </c>
      <c r="AF1244" s="25">
        <v>1</v>
      </c>
      <c r="AG1244" s="25">
        <v>1</v>
      </c>
      <c r="AH1244" s="25">
        <v>1</v>
      </c>
      <c r="AI1244" s="25">
        <f>IF(OR(Apresentação!$E$3='Base de Dados e filtragem'!AI$2,Apresentação!$E$3='Base de Dados e filtragem'!E1244),1,0)</f>
        <v>1</v>
      </c>
      <c r="AJ1244" s="25">
        <f>IF(OR(Apresentação!$E$4='Base de Dados e filtragem'!AJ$2,Apresentação!$E$4='Base de Dados e filtragem'!F1244),1,0)</f>
        <v>1</v>
      </c>
      <c r="AK1244" s="25">
        <f>IF(OR(Apresentação!$E$5='Base de Dados e filtragem'!AK$2,Apresentação!$E$5='Base de Dados e filtragem'!G1244),1,0)</f>
        <v>1</v>
      </c>
      <c r="AL1244" s="25">
        <f>IF(OR(Apresentação!$E$6='Base de Dados e filtragem'!AL$2,Apresentação!$E$6='Base de Dados e filtragem'!H1244),1,0)</f>
        <v>1</v>
      </c>
      <c r="AM1244" s="25">
        <f>IF(OR(Apresentação!$I$2='Base de Dados e filtragem'!AM$2,Apresentação!$I$2='Base de Dados e filtragem'!I1244),1,0)</f>
        <v>1</v>
      </c>
      <c r="AN1244" s="25">
        <f>IF(OR(Apresentação!$I$3='Base de Dados e filtragem'!AN$2,Apresentação!$I$3='Base de Dados e filtragem'!J1244),1,0)</f>
        <v>1</v>
      </c>
      <c r="AO1244" s="25">
        <f>IF(OR(Apresentação!$I$4='Base de Dados e filtragem'!AO$2,Apresentação!$I$4='Base de Dados e filtragem'!K1244),1,0)</f>
        <v>1</v>
      </c>
      <c r="AP1244" s="25">
        <f>IF(OR(Apresentação!$I$5='Base de Dados e filtragem'!AP$2,Apresentação!$I$5='Base de Dados e filtragem'!L1244),1,0)</f>
        <v>1</v>
      </c>
      <c r="AQ1244" s="25">
        <f>IF(OR(Apresentação!$I$6='Base de Dados e filtragem'!AQ$2,Apresentação!$I$6='Base de Dados e filtragem'!M1244),1,0)</f>
        <v>1</v>
      </c>
      <c r="AR1244" s="25">
        <v>1</v>
      </c>
      <c r="AS1244" s="25">
        <v>1</v>
      </c>
      <c r="AT1244" s="25">
        <v>1</v>
      </c>
      <c r="AU1244" s="25">
        <v>1</v>
      </c>
      <c r="AV1244" s="25">
        <v>1</v>
      </c>
      <c r="AW1244" s="25">
        <v>1</v>
      </c>
      <c r="AX1244" s="25">
        <v>1</v>
      </c>
      <c r="AY1244" s="25">
        <v>1</v>
      </c>
      <c r="AZ1244" s="25">
        <v>1</v>
      </c>
      <c r="BA1244" s="25">
        <v>1</v>
      </c>
      <c r="BB1244" s="25">
        <v>1</v>
      </c>
      <c r="BC1244" s="25">
        <v>1</v>
      </c>
      <c r="BD1244" s="25">
        <v>1</v>
      </c>
    </row>
    <row r="1245" spans="27:56" x14ac:dyDescent="0.25">
      <c r="AA1245" s="68" t="str">
        <f t="shared" si="77"/>
        <v>Fotos\\.jpg</v>
      </c>
      <c r="AB1245" s="53">
        <f t="shared" si="78"/>
        <v>8.0321285140562252E-4</v>
      </c>
      <c r="AC1245" s="25">
        <f t="shared" si="79"/>
        <v>1245</v>
      </c>
      <c r="AD1245" s="51">
        <f t="shared" si="80"/>
        <v>1</v>
      </c>
      <c r="AE1245" s="25">
        <v>1</v>
      </c>
      <c r="AF1245" s="25">
        <v>1</v>
      </c>
      <c r="AG1245" s="25">
        <v>1</v>
      </c>
      <c r="AH1245" s="25">
        <v>1</v>
      </c>
      <c r="AI1245" s="25">
        <f>IF(OR(Apresentação!$E$3='Base de Dados e filtragem'!AI$2,Apresentação!$E$3='Base de Dados e filtragem'!E1245),1,0)</f>
        <v>1</v>
      </c>
      <c r="AJ1245" s="25">
        <f>IF(OR(Apresentação!$E$4='Base de Dados e filtragem'!AJ$2,Apresentação!$E$4='Base de Dados e filtragem'!F1245),1,0)</f>
        <v>1</v>
      </c>
      <c r="AK1245" s="25">
        <f>IF(OR(Apresentação!$E$5='Base de Dados e filtragem'!AK$2,Apresentação!$E$5='Base de Dados e filtragem'!G1245),1,0)</f>
        <v>1</v>
      </c>
      <c r="AL1245" s="25">
        <f>IF(OR(Apresentação!$E$6='Base de Dados e filtragem'!AL$2,Apresentação!$E$6='Base de Dados e filtragem'!H1245),1,0)</f>
        <v>1</v>
      </c>
      <c r="AM1245" s="25">
        <f>IF(OR(Apresentação!$I$2='Base de Dados e filtragem'!AM$2,Apresentação!$I$2='Base de Dados e filtragem'!I1245),1,0)</f>
        <v>1</v>
      </c>
      <c r="AN1245" s="25">
        <f>IF(OR(Apresentação!$I$3='Base de Dados e filtragem'!AN$2,Apresentação!$I$3='Base de Dados e filtragem'!J1245),1,0)</f>
        <v>1</v>
      </c>
      <c r="AO1245" s="25">
        <f>IF(OR(Apresentação!$I$4='Base de Dados e filtragem'!AO$2,Apresentação!$I$4='Base de Dados e filtragem'!K1245),1,0)</f>
        <v>1</v>
      </c>
      <c r="AP1245" s="25">
        <f>IF(OR(Apresentação!$I$5='Base de Dados e filtragem'!AP$2,Apresentação!$I$5='Base de Dados e filtragem'!L1245),1,0)</f>
        <v>1</v>
      </c>
      <c r="AQ1245" s="25">
        <f>IF(OR(Apresentação!$I$6='Base de Dados e filtragem'!AQ$2,Apresentação!$I$6='Base de Dados e filtragem'!M1245),1,0)</f>
        <v>1</v>
      </c>
      <c r="AR1245" s="25">
        <v>1</v>
      </c>
      <c r="AS1245" s="25">
        <v>1</v>
      </c>
      <c r="AT1245" s="25">
        <v>1</v>
      </c>
      <c r="AU1245" s="25">
        <v>1</v>
      </c>
      <c r="AV1245" s="25">
        <v>1</v>
      </c>
      <c r="AW1245" s="25">
        <v>1</v>
      </c>
      <c r="AX1245" s="25">
        <v>1</v>
      </c>
      <c r="AY1245" s="25">
        <v>1</v>
      </c>
      <c r="AZ1245" s="25">
        <v>1</v>
      </c>
      <c r="BA1245" s="25">
        <v>1</v>
      </c>
      <c r="BB1245" s="25">
        <v>1</v>
      </c>
      <c r="BC1245" s="25">
        <v>1</v>
      </c>
      <c r="BD1245" s="25">
        <v>1</v>
      </c>
    </row>
    <row r="1246" spans="27:56" x14ac:dyDescent="0.25">
      <c r="AA1246" s="68" t="str">
        <f t="shared" si="77"/>
        <v>Fotos\\.jpg</v>
      </c>
      <c r="AB1246" s="53">
        <f t="shared" si="78"/>
        <v>8.0256821829855537E-4</v>
      </c>
      <c r="AC1246" s="25">
        <f t="shared" si="79"/>
        <v>1246</v>
      </c>
      <c r="AD1246" s="51">
        <f t="shared" si="80"/>
        <v>1</v>
      </c>
      <c r="AE1246" s="25">
        <v>1</v>
      </c>
      <c r="AF1246" s="25">
        <v>1</v>
      </c>
      <c r="AG1246" s="25">
        <v>1</v>
      </c>
      <c r="AH1246" s="25">
        <v>1</v>
      </c>
      <c r="AI1246" s="25">
        <f>IF(OR(Apresentação!$E$3='Base de Dados e filtragem'!AI$2,Apresentação!$E$3='Base de Dados e filtragem'!E1246),1,0)</f>
        <v>1</v>
      </c>
      <c r="AJ1246" s="25">
        <f>IF(OR(Apresentação!$E$4='Base de Dados e filtragem'!AJ$2,Apresentação!$E$4='Base de Dados e filtragem'!F1246),1,0)</f>
        <v>1</v>
      </c>
      <c r="AK1246" s="25">
        <f>IF(OR(Apresentação!$E$5='Base de Dados e filtragem'!AK$2,Apresentação!$E$5='Base de Dados e filtragem'!G1246),1,0)</f>
        <v>1</v>
      </c>
      <c r="AL1246" s="25">
        <f>IF(OR(Apresentação!$E$6='Base de Dados e filtragem'!AL$2,Apresentação!$E$6='Base de Dados e filtragem'!H1246),1,0)</f>
        <v>1</v>
      </c>
      <c r="AM1246" s="25">
        <f>IF(OR(Apresentação!$I$2='Base de Dados e filtragem'!AM$2,Apresentação!$I$2='Base de Dados e filtragem'!I1246),1,0)</f>
        <v>1</v>
      </c>
      <c r="AN1246" s="25">
        <f>IF(OR(Apresentação!$I$3='Base de Dados e filtragem'!AN$2,Apresentação!$I$3='Base de Dados e filtragem'!J1246),1,0)</f>
        <v>1</v>
      </c>
      <c r="AO1246" s="25">
        <f>IF(OR(Apresentação!$I$4='Base de Dados e filtragem'!AO$2,Apresentação!$I$4='Base de Dados e filtragem'!K1246),1,0)</f>
        <v>1</v>
      </c>
      <c r="AP1246" s="25">
        <f>IF(OR(Apresentação!$I$5='Base de Dados e filtragem'!AP$2,Apresentação!$I$5='Base de Dados e filtragem'!L1246),1,0)</f>
        <v>1</v>
      </c>
      <c r="AQ1246" s="25">
        <f>IF(OR(Apresentação!$I$6='Base de Dados e filtragem'!AQ$2,Apresentação!$I$6='Base de Dados e filtragem'!M1246),1,0)</f>
        <v>1</v>
      </c>
      <c r="AR1246" s="25">
        <v>1</v>
      </c>
      <c r="AS1246" s="25">
        <v>1</v>
      </c>
      <c r="AT1246" s="25">
        <v>1</v>
      </c>
      <c r="AU1246" s="25">
        <v>1</v>
      </c>
      <c r="AV1246" s="25">
        <v>1</v>
      </c>
      <c r="AW1246" s="25">
        <v>1</v>
      </c>
      <c r="AX1246" s="25">
        <v>1</v>
      </c>
      <c r="AY1246" s="25">
        <v>1</v>
      </c>
      <c r="AZ1246" s="25">
        <v>1</v>
      </c>
      <c r="BA1246" s="25">
        <v>1</v>
      </c>
      <c r="BB1246" s="25">
        <v>1</v>
      </c>
      <c r="BC1246" s="25">
        <v>1</v>
      </c>
      <c r="BD1246" s="25">
        <v>1</v>
      </c>
    </row>
    <row r="1247" spans="27:56" x14ac:dyDescent="0.25">
      <c r="AA1247" s="68" t="str">
        <f t="shared" si="77"/>
        <v>Fotos\\.jpg</v>
      </c>
      <c r="AB1247" s="53">
        <f t="shared" si="78"/>
        <v>8.0192461908580592E-4</v>
      </c>
      <c r="AC1247" s="25">
        <f t="shared" si="79"/>
        <v>1247</v>
      </c>
      <c r="AD1247" s="51">
        <f t="shared" si="80"/>
        <v>1</v>
      </c>
      <c r="AE1247" s="25">
        <v>1</v>
      </c>
      <c r="AF1247" s="25">
        <v>1</v>
      </c>
      <c r="AG1247" s="25">
        <v>1</v>
      </c>
      <c r="AH1247" s="25">
        <v>1</v>
      </c>
      <c r="AI1247" s="25">
        <f>IF(OR(Apresentação!$E$3='Base de Dados e filtragem'!AI$2,Apresentação!$E$3='Base de Dados e filtragem'!E1247),1,0)</f>
        <v>1</v>
      </c>
      <c r="AJ1247" s="25">
        <f>IF(OR(Apresentação!$E$4='Base de Dados e filtragem'!AJ$2,Apresentação!$E$4='Base de Dados e filtragem'!F1247),1,0)</f>
        <v>1</v>
      </c>
      <c r="AK1247" s="25">
        <f>IF(OR(Apresentação!$E$5='Base de Dados e filtragem'!AK$2,Apresentação!$E$5='Base de Dados e filtragem'!G1247),1,0)</f>
        <v>1</v>
      </c>
      <c r="AL1247" s="25">
        <f>IF(OR(Apresentação!$E$6='Base de Dados e filtragem'!AL$2,Apresentação!$E$6='Base de Dados e filtragem'!H1247),1,0)</f>
        <v>1</v>
      </c>
      <c r="AM1247" s="25">
        <f>IF(OR(Apresentação!$I$2='Base de Dados e filtragem'!AM$2,Apresentação!$I$2='Base de Dados e filtragem'!I1247),1,0)</f>
        <v>1</v>
      </c>
      <c r="AN1247" s="25">
        <f>IF(OR(Apresentação!$I$3='Base de Dados e filtragem'!AN$2,Apresentação!$I$3='Base de Dados e filtragem'!J1247),1,0)</f>
        <v>1</v>
      </c>
      <c r="AO1247" s="25">
        <f>IF(OR(Apresentação!$I$4='Base de Dados e filtragem'!AO$2,Apresentação!$I$4='Base de Dados e filtragem'!K1247),1,0)</f>
        <v>1</v>
      </c>
      <c r="AP1247" s="25">
        <f>IF(OR(Apresentação!$I$5='Base de Dados e filtragem'!AP$2,Apresentação!$I$5='Base de Dados e filtragem'!L1247),1,0)</f>
        <v>1</v>
      </c>
      <c r="AQ1247" s="25">
        <f>IF(OR(Apresentação!$I$6='Base de Dados e filtragem'!AQ$2,Apresentação!$I$6='Base de Dados e filtragem'!M1247),1,0)</f>
        <v>1</v>
      </c>
      <c r="AR1247" s="25">
        <v>1</v>
      </c>
      <c r="AS1247" s="25">
        <v>1</v>
      </c>
      <c r="AT1247" s="25">
        <v>1</v>
      </c>
      <c r="AU1247" s="25">
        <v>1</v>
      </c>
      <c r="AV1247" s="25">
        <v>1</v>
      </c>
      <c r="AW1247" s="25">
        <v>1</v>
      </c>
      <c r="AX1247" s="25">
        <v>1</v>
      </c>
      <c r="AY1247" s="25">
        <v>1</v>
      </c>
      <c r="AZ1247" s="25">
        <v>1</v>
      </c>
      <c r="BA1247" s="25">
        <v>1</v>
      </c>
      <c r="BB1247" s="25">
        <v>1</v>
      </c>
      <c r="BC1247" s="25">
        <v>1</v>
      </c>
      <c r="BD1247" s="25">
        <v>1</v>
      </c>
    </row>
    <row r="1248" spans="27:56" x14ac:dyDescent="0.25">
      <c r="AA1248" s="68" t="str">
        <f t="shared" si="77"/>
        <v>Fotos\\.jpg</v>
      </c>
      <c r="AB1248" s="53">
        <f t="shared" si="78"/>
        <v>8.0128205128205125E-4</v>
      </c>
      <c r="AC1248" s="25">
        <f t="shared" si="79"/>
        <v>1248</v>
      </c>
      <c r="AD1248" s="51">
        <f t="shared" si="80"/>
        <v>1</v>
      </c>
      <c r="AE1248" s="25">
        <v>1</v>
      </c>
      <c r="AF1248" s="25">
        <v>1</v>
      </c>
      <c r="AG1248" s="25">
        <v>1</v>
      </c>
      <c r="AH1248" s="25">
        <v>1</v>
      </c>
      <c r="AI1248" s="25">
        <f>IF(OR(Apresentação!$E$3='Base de Dados e filtragem'!AI$2,Apresentação!$E$3='Base de Dados e filtragem'!E1248),1,0)</f>
        <v>1</v>
      </c>
      <c r="AJ1248" s="25">
        <f>IF(OR(Apresentação!$E$4='Base de Dados e filtragem'!AJ$2,Apresentação!$E$4='Base de Dados e filtragem'!F1248),1,0)</f>
        <v>1</v>
      </c>
      <c r="AK1248" s="25">
        <f>IF(OR(Apresentação!$E$5='Base de Dados e filtragem'!AK$2,Apresentação!$E$5='Base de Dados e filtragem'!G1248),1,0)</f>
        <v>1</v>
      </c>
      <c r="AL1248" s="25">
        <f>IF(OR(Apresentação!$E$6='Base de Dados e filtragem'!AL$2,Apresentação!$E$6='Base de Dados e filtragem'!H1248),1,0)</f>
        <v>1</v>
      </c>
      <c r="AM1248" s="25">
        <f>IF(OR(Apresentação!$I$2='Base de Dados e filtragem'!AM$2,Apresentação!$I$2='Base de Dados e filtragem'!I1248),1,0)</f>
        <v>1</v>
      </c>
      <c r="AN1248" s="25">
        <f>IF(OR(Apresentação!$I$3='Base de Dados e filtragem'!AN$2,Apresentação!$I$3='Base de Dados e filtragem'!J1248),1,0)</f>
        <v>1</v>
      </c>
      <c r="AO1248" s="25">
        <f>IF(OR(Apresentação!$I$4='Base de Dados e filtragem'!AO$2,Apresentação!$I$4='Base de Dados e filtragem'!K1248),1,0)</f>
        <v>1</v>
      </c>
      <c r="AP1248" s="25">
        <f>IF(OR(Apresentação!$I$5='Base de Dados e filtragem'!AP$2,Apresentação!$I$5='Base de Dados e filtragem'!L1248),1,0)</f>
        <v>1</v>
      </c>
      <c r="AQ1248" s="25">
        <f>IF(OR(Apresentação!$I$6='Base de Dados e filtragem'!AQ$2,Apresentação!$I$6='Base de Dados e filtragem'!M1248),1,0)</f>
        <v>1</v>
      </c>
      <c r="AR1248" s="25">
        <v>1</v>
      </c>
      <c r="AS1248" s="25">
        <v>1</v>
      </c>
      <c r="AT1248" s="25">
        <v>1</v>
      </c>
      <c r="AU1248" s="25">
        <v>1</v>
      </c>
      <c r="AV1248" s="25">
        <v>1</v>
      </c>
      <c r="AW1248" s="25">
        <v>1</v>
      </c>
      <c r="AX1248" s="25">
        <v>1</v>
      </c>
      <c r="AY1248" s="25">
        <v>1</v>
      </c>
      <c r="AZ1248" s="25">
        <v>1</v>
      </c>
      <c r="BA1248" s="25">
        <v>1</v>
      </c>
      <c r="BB1248" s="25">
        <v>1</v>
      </c>
      <c r="BC1248" s="25">
        <v>1</v>
      </c>
      <c r="BD1248" s="25">
        <v>1</v>
      </c>
    </row>
    <row r="1249" spans="27:56" x14ac:dyDescent="0.25">
      <c r="AA1249" s="68" t="str">
        <f t="shared" si="77"/>
        <v>Fotos\\.jpg</v>
      </c>
      <c r="AB1249" s="53">
        <f t="shared" si="78"/>
        <v>8.0064051240992789E-4</v>
      </c>
      <c r="AC1249" s="25">
        <f t="shared" si="79"/>
        <v>1249</v>
      </c>
      <c r="AD1249" s="51">
        <f t="shared" si="80"/>
        <v>1</v>
      </c>
      <c r="AE1249" s="25">
        <v>1</v>
      </c>
      <c r="AF1249" s="25">
        <v>1</v>
      </c>
      <c r="AG1249" s="25">
        <v>1</v>
      </c>
      <c r="AH1249" s="25">
        <v>1</v>
      </c>
      <c r="AI1249" s="25">
        <f>IF(OR(Apresentação!$E$3='Base de Dados e filtragem'!AI$2,Apresentação!$E$3='Base de Dados e filtragem'!E1249),1,0)</f>
        <v>1</v>
      </c>
      <c r="AJ1249" s="25">
        <f>IF(OR(Apresentação!$E$4='Base de Dados e filtragem'!AJ$2,Apresentação!$E$4='Base de Dados e filtragem'!F1249),1,0)</f>
        <v>1</v>
      </c>
      <c r="AK1249" s="25">
        <f>IF(OR(Apresentação!$E$5='Base de Dados e filtragem'!AK$2,Apresentação!$E$5='Base de Dados e filtragem'!G1249),1,0)</f>
        <v>1</v>
      </c>
      <c r="AL1249" s="25">
        <f>IF(OR(Apresentação!$E$6='Base de Dados e filtragem'!AL$2,Apresentação!$E$6='Base de Dados e filtragem'!H1249),1,0)</f>
        <v>1</v>
      </c>
      <c r="AM1249" s="25">
        <f>IF(OR(Apresentação!$I$2='Base de Dados e filtragem'!AM$2,Apresentação!$I$2='Base de Dados e filtragem'!I1249),1,0)</f>
        <v>1</v>
      </c>
      <c r="AN1249" s="25">
        <f>IF(OR(Apresentação!$I$3='Base de Dados e filtragem'!AN$2,Apresentação!$I$3='Base de Dados e filtragem'!J1249),1,0)</f>
        <v>1</v>
      </c>
      <c r="AO1249" s="25">
        <f>IF(OR(Apresentação!$I$4='Base de Dados e filtragem'!AO$2,Apresentação!$I$4='Base de Dados e filtragem'!K1249),1,0)</f>
        <v>1</v>
      </c>
      <c r="AP1249" s="25">
        <f>IF(OR(Apresentação!$I$5='Base de Dados e filtragem'!AP$2,Apresentação!$I$5='Base de Dados e filtragem'!L1249),1,0)</f>
        <v>1</v>
      </c>
      <c r="AQ1249" s="25">
        <f>IF(OR(Apresentação!$I$6='Base de Dados e filtragem'!AQ$2,Apresentação!$I$6='Base de Dados e filtragem'!M1249),1,0)</f>
        <v>1</v>
      </c>
      <c r="AR1249" s="25">
        <v>1</v>
      </c>
      <c r="AS1249" s="25">
        <v>1</v>
      </c>
      <c r="AT1249" s="25">
        <v>1</v>
      </c>
      <c r="AU1249" s="25">
        <v>1</v>
      </c>
      <c r="AV1249" s="25">
        <v>1</v>
      </c>
      <c r="AW1249" s="25">
        <v>1</v>
      </c>
      <c r="AX1249" s="25">
        <v>1</v>
      </c>
      <c r="AY1249" s="25">
        <v>1</v>
      </c>
      <c r="AZ1249" s="25">
        <v>1</v>
      </c>
      <c r="BA1249" s="25">
        <v>1</v>
      </c>
      <c r="BB1249" s="25">
        <v>1</v>
      </c>
      <c r="BC1249" s="25">
        <v>1</v>
      </c>
      <c r="BD1249" s="25">
        <v>1</v>
      </c>
    </row>
    <row r="1250" spans="27:56" x14ac:dyDescent="0.25">
      <c r="AA1250" s="68" t="str">
        <f t="shared" si="77"/>
        <v>Fotos\\.jpg</v>
      </c>
      <c r="AB1250" s="53">
        <f t="shared" si="78"/>
        <v>8.0000000000000004E-4</v>
      </c>
      <c r="AC1250" s="25">
        <f t="shared" si="79"/>
        <v>1250</v>
      </c>
      <c r="AD1250" s="51">
        <f t="shared" si="80"/>
        <v>1</v>
      </c>
      <c r="AE1250" s="25">
        <v>1</v>
      </c>
      <c r="AF1250" s="25">
        <v>1</v>
      </c>
      <c r="AG1250" s="25">
        <v>1</v>
      </c>
      <c r="AH1250" s="25">
        <v>1</v>
      </c>
      <c r="AI1250" s="25">
        <f>IF(OR(Apresentação!$E$3='Base de Dados e filtragem'!AI$2,Apresentação!$E$3='Base de Dados e filtragem'!E1250),1,0)</f>
        <v>1</v>
      </c>
      <c r="AJ1250" s="25">
        <f>IF(OR(Apresentação!$E$4='Base de Dados e filtragem'!AJ$2,Apresentação!$E$4='Base de Dados e filtragem'!F1250),1,0)</f>
        <v>1</v>
      </c>
      <c r="AK1250" s="25">
        <f>IF(OR(Apresentação!$E$5='Base de Dados e filtragem'!AK$2,Apresentação!$E$5='Base de Dados e filtragem'!G1250),1,0)</f>
        <v>1</v>
      </c>
      <c r="AL1250" s="25">
        <f>IF(OR(Apresentação!$E$6='Base de Dados e filtragem'!AL$2,Apresentação!$E$6='Base de Dados e filtragem'!H1250),1,0)</f>
        <v>1</v>
      </c>
      <c r="AM1250" s="25">
        <f>IF(OR(Apresentação!$I$2='Base de Dados e filtragem'!AM$2,Apresentação!$I$2='Base de Dados e filtragem'!I1250),1,0)</f>
        <v>1</v>
      </c>
      <c r="AN1250" s="25">
        <f>IF(OR(Apresentação!$I$3='Base de Dados e filtragem'!AN$2,Apresentação!$I$3='Base de Dados e filtragem'!J1250),1,0)</f>
        <v>1</v>
      </c>
      <c r="AO1250" s="25">
        <f>IF(OR(Apresentação!$I$4='Base de Dados e filtragem'!AO$2,Apresentação!$I$4='Base de Dados e filtragem'!K1250),1,0)</f>
        <v>1</v>
      </c>
      <c r="AP1250" s="25">
        <f>IF(OR(Apresentação!$I$5='Base de Dados e filtragem'!AP$2,Apresentação!$I$5='Base de Dados e filtragem'!L1250),1,0)</f>
        <v>1</v>
      </c>
      <c r="AQ1250" s="25">
        <f>IF(OR(Apresentação!$I$6='Base de Dados e filtragem'!AQ$2,Apresentação!$I$6='Base de Dados e filtragem'!M1250),1,0)</f>
        <v>1</v>
      </c>
      <c r="AR1250" s="25">
        <v>1</v>
      </c>
      <c r="AS1250" s="25">
        <v>1</v>
      </c>
      <c r="AT1250" s="25">
        <v>1</v>
      </c>
      <c r="AU1250" s="25">
        <v>1</v>
      </c>
      <c r="AV1250" s="25">
        <v>1</v>
      </c>
      <c r="AW1250" s="25">
        <v>1</v>
      </c>
      <c r="AX1250" s="25">
        <v>1</v>
      </c>
      <c r="AY1250" s="25">
        <v>1</v>
      </c>
      <c r="AZ1250" s="25">
        <v>1</v>
      </c>
      <c r="BA1250" s="25">
        <v>1</v>
      </c>
      <c r="BB1250" s="25">
        <v>1</v>
      </c>
      <c r="BC1250" s="25">
        <v>1</v>
      </c>
      <c r="BD1250" s="25">
        <v>1</v>
      </c>
    </row>
    <row r="1251" spans="27:56" x14ac:dyDescent="0.25">
      <c r="AA1251" s="68" t="str">
        <f t="shared" si="77"/>
        <v>Fotos\\.jpg</v>
      </c>
      <c r="AB1251" s="53">
        <f t="shared" si="78"/>
        <v>7.993605115907274E-4</v>
      </c>
      <c r="AC1251" s="25">
        <f t="shared" si="79"/>
        <v>1251</v>
      </c>
      <c r="AD1251" s="51">
        <f t="shared" si="80"/>
        <v>1</v>
      </c>
      <c r="AE1251" s="25">
        <v>1</v>
      </c>
      <c r="AF1251" s="25">
        <v>1</v>
      </c>
      <c r="AG1251" s="25">
        <v>1</v>
      </c>
      <c r="AH1251" s="25">
        <v>1</v>
      </c>
      <c r="AI1251" s="25">
        <f>IF(OR(Apresentação!$E$3='Base de Dados e filtragem'!AI$2,Apresentação!$E$3='Base de Dados e filtragem'!E1251),1,0)</f>
        <v>1</v>
      </c>
      <c r="AJ1251" s="25">
        <f>IF(OR(Apresentação!$E$4='Base de Dados e filtragem'!AJ$2,Apresentação!$E$4='Base de Dados e filtragem'!F1251),1,0)</f>
        <v>1</v>
      </c>
      <c r="AK1251" s="25">
        <f>IF(OR(Apresentação!$E$5='Base de Dados e filtragem'!AK$2,Apresentação!$E$5='Base de Dados e filtragem'!G1251),1,0)</f>
        <v>1</v>
      </c>
      <c r="AL1251" s="25">
        <f>IF(OR(Apresentação!$E$6='Base de Dados e filtragem'!AL$2,Apresentação!$E$6='Base de Dados e filtragem'!H1251),1,0)</f>
        <v>1</v>
      </c>
      <c r="AM1251" s="25">
        <f>IF(OR(Apresentação!$I$2='Base de Dados e filtragem'!AM$2,Apresentação!$I$2='Base de Dados e filtragem'!I1251),1,0)</f>
        <v>1</v>
      </c>
      <c r="AN1251" s="25">
        <f>IF(OR(Apresentação!$I$3='Base de Dados e filtragem'!AN$2,Apresentação!$I$3='Base de Dados e filtragem'!J1251),1,0)</f>
        <v>1</v>
      </c>
      <c r="AO1251" s="25">
        <f>IF(OR(Apresentação!$I$4='Base de Dados e filtragem'!AO$2,Apresentação!$I$4='Base de Dados e filtragem'!K1251),1,0)</f>
        <v>1</v>
      </c>
      <c r="AP1251" s="25">
        <f>IF(OR(Apresentação!$I$5='Base de Dados e filtragem'!AP$2,Apresentação!$I$5='Base de Dados e filtragem'!L1251),1,0)</f>
        <v>1</v>
      </c>
      <c r="AQ1251" s="25">
        <f>IF(OR(Apresentação!$I$6='Base de Dados e filtragem'!AQ$2,Apresentação!$I$6='Base de Dados e filtragem'!M1251),1,0)</f>
        <v>1</v>
      </c>
      <c r="AR1251" s="25">
        <v>1</v>
      </c>
      <c r="AS1251" s="25">
        <v>1</v>
      </c>
      <c r="AT1251" s="25">
        <v>1</v>
      </c>
      <c r="AU1251" s="25">
        <v>1</v>
      </c>
      <c r="AV1251" s="25">
        <v>1</v>
      </c>
      <c r="AW1251" s="25">
        <v>1</v>
      </c>
      <c r="AX1251" s="25">
        <v>1</v>
      </c>
      <c r="AY1251" s="25">
        <v>1</v>
      </c>
      <c r="AZ1251" s="25">
        <v>1</v>
      </c>
      <c r="BA1251" s="25">
        <v>1</v>
      </c>
      <c r="BB1251" s="25">
        <v>1</v>
      </c>
      <c r="BC1251" s="25">
        <v>1</v>
      </c>
      <c r="BD1251" s="25">
        <v>1</v>
      </c>
    </row>
    <row r="1252" spans="27:56" x14ac:dyDescent="0.25">
      <c r="AA1252" s="68" t="str">
        <f t="shared" si="77"/>
        <v>Fotos\\.jpg</v>
      </c>
      <c r="AB1252" s="53">
        <f t="shared" si="78"/>
        <v>7.9872204472843447E-4</v>
      </c>
      <c r="AC1252" s="25">
        <f t="shared" si="79"/>
        <v>1252</v>
      </c>
      <c r="AD1252" s="51">
        <f t="shared" si="80"/>
        <v>1</v>
      </c>
      <c r="AE1252" s="25">
        <v>1</v>
      </c>
      <c r="AF1252" s="25">
        <v>1</v>
      </c>
      <c r="AG1252" s="25">
        <v>1</v>
      </c>
      <c r="AH1252" s="25">
        <v>1</v>
      </c>
      <c r="AI1252" s="25">
        <f>IF(OR(Apresentação!$E$3='Base de Dados e filtragem'!AI$2,Apresentação!$E$3='Base de Dados e filtragem'!E1252),1,0)</f>
        <v>1</v>
      </c>
      <c r="AJ1252" s="25">
        <f>IF(OR(Apresentação!$E$4='Base de Dados e filtragem'!AJ$2,Apresentação!$E$4='Base de Dados e filtragem'!F1252),1,0)</f>
        <v>1</v>
      </c>
      <c r="AK1252" s="25">
        <f>IF(OR(Apresentação!$E$5='Base de Dados e filtragem'!AK$2,Apresentação!$E$5='Base de Dados e filtragem'!G1252),1,0)</f>
        <v>1</v>
      </c>
      <c r="AL1252" s="25">
        <f>IF(OR(Apresentação!$E$6='Base de Dados e filtragem'!AL$2,Apresentação!$E$6='Base de Dados e filtragem'!H1252),1,0)</f>
        <v>1</v>
      </c>
      <c r="AM1252" s="25">
        <f>IF(OR(Apresentação!$I$2='Base de Dados e filtragem'!AM$2,Apresentação!$I$2='Base de Dados e filtragem'!I1252),1,0)</f>
        <v>1</v>
      </c>
      <c r="AN1252" s="25">
        <f>IF(OR(Apresentação!$I$3='Base de Dados e filtragem'!AN$2,Apresentação!$I$3='Base de Dados e filtragem'!J1252),1,0)</f>
        <v>1</v>
      </c>
      <c r="AO1252" s="25">
        <f>IF(OR(Apresentação!$I$4='Base de Dados e filtragem'!AO$2,Apresentação!$I$4='Base de Dados e filtragem'!K1252),1,0)</f>
        <v>1</v>
      </c>
      <c r="AP1252" s="25">
        <f>IF(OR(Apresentação!$I$5='Base de Dados e filtragem'!AP$2,Apresentação!$I$5='Base de Dados e filtragem'!L1252),1,0)</f>
        <v>1</v>
      </c>
      <c r="AQ1252" s="25">
        <f>IF(OR(Apresentação!$I$6='Base de Dados e filtragem'!AQ$2,Apresentação!$I$6='Base de Dados e filtragem'!M1252),1,0)</f>
        <v>1</v>
      </c>
      <c r="AR1252" s="25">
        <v>1</v>
      </c>
      <c r="AS1252" s="25">
        <v>1</v>
      </c>
      <c r="AT1252" s="25">
        <v>1</v>
      </c>
      <c r="AU1252" s="25">
        <v>1</v>
      </c>
      <c r="AV1252" s="25">
        <v>1</v>
      </c>
      <c r="AW1252" s="25">
        <v>1</v>
      </c>
      <c r="AX1252" s="25">
        <v>1</v>
      </c>
      <c r="AY1252" s="25">
        <v>1</v>
      </c>
      <c r="AZ1252" s="25">
        <v>1</v>
      </c>
      <c r="BA1252" s="25">
        <v>1</v>
      </c>
      <c r="BB1252" s="25">
        <v>1</v>
      </c>
      <c r="BC1252" s="25">
        <v>1</v>
      </c>
      <c r="BD1252" s="25">
        <v>1</v>
      </c>
    </row>
    <row r="1253" spans="27:56" x14ac:dyDescent="0.25">
      <c r="AA1253" s="68" t="str">
        <f t="shared" si="77"/>
        <v>Fotos\\.jpg</v>
      </c>
      <c r="AB1253" s="53">
        <f t="shared" si="78"/>
        <v>7.9808459696727857E-4</v>
      </c>
      <c r="AC1253" s="25">
        <f t="shared" si="79"/>
        <v>1253</v>
      </c>
      <c r="AD1253" s="51">
        <f t="shared" si="80"/>
        <v>1</v>
      </c>
      <c r="AE1253" s="25">
        <v>1</v>
      </c>
      <c r="AF1253" s="25">
        <v>1</v>
      </c>
      <c r="AG1253" s="25">
        <v>1</v>
      </c>
      <c r="AH1253" s="25">
        <v>1</v>
      </c>
      <c r="AI1253" s="25">
        <f>IF(OR(Apresentação!$E$3='Base de Dados e filtragem'!AI$2,Apresentação!$E$3='Base de Dados e filtragem'!E1253),1,0)</f>
        <v>1</v>
      </c>
      <c r="AJ1253" s="25">
        <f>IF(OR(Apresentação!$E$4='Base de Dados e filtragem'!AJ$2,Apresentação!$E$4='Base de Dados e filtragem'!F1253),1,0)</f>
        <v>1</v>
      </c>
      <c r="AK1253" s="25">
        <f>IF(OR(Apresentação!$E$5='Base de Dados e filtragem'!AK$2,Apresentação!$E$5='Base de Dados e filtragem'!G1253),1,0)</f>
        <v>1</v>
      </c>
      <c r="AL1253" s="25">
        <f>IF(OR(Apresentação!$E$6='Base de Dados e filtragem'!AL$2,Apresentação!$E$6='Base de Dados e filtragem'!H1253),1,0)</f>
        <v>1</v>
      </c>
      <c r="AM1253" s="25">
        <f>IF(OR(Apresentação!$I$2='Base de Dados e filtragem'!AM$2,Apresentação!$I$2='Base de Dados e filtragem'!I1253),1,0)</f>
        <v>1</v>
      </c>
      <c r="AN1253" s="25">
        <f>IF(OR(Apresentação!$I$3='Base de Dados e filtragem'!AN$2,Apresentação!$I$3='Base de Dados e filtragem'!J1253),1,0)</f>
        <v>1</v>
      </c>
      <c r="AO1253" s="25">
        <f>IF(OR(Apresentação!$I$4='Base de Dados e filtragem'!AO$2,Apresentação!$I$4='Base de Dados e filtragem'!K1253),1,0)</f>
        <v>1</v>
      </c>
      <c r="AP1253" s="25">
        <f>IF(OR(Apresentação!$I$5='Base de Dados e filtragem'!AP$2,Apresentação!$I$5='Base de Dados e filtragem'!L1253),1,0)</f>
        <v>1</v>
      </c>
      <c r="AQ1253" s="25">
        <f>IF(OR(Apresentação!$I$6='Base de Dados e filtragem'!AQ$2,Apresentação!$I$6='Base de Dados e filtragem'!M1253),1,0)</f>
        <v>1</v>
      </c>
      <c r="AR1253" s="25">
        <v>1</v>
      </c>
      <c r="AS1253" s="25">
        <v>1</v>
      </c>
      <c r="AT1253" s="25">
        <v>1</v>
      </c>
      <c r="AU1253" s="25">
        <v>1</v>
      </c>
      <c r="AV1253" s="25">
        <v>1</v>
      </c>
      <c r="AW1253" s="25">
        <v>1</v>
      </c>
      <c r="AX1253" s="25">
        <v>1</v>
      </c>
      <c r="AY1253" s="25">
        <v>1</v>
      </c>
      <c r="AZ1253" s="25">
        <v>1</v>
      </c>
      <c r="BA1253" s="25">
        <v>1</v>
      </c>
      <c r="BB1253" s="25">
        <v>1</v>
      </c>
      <c r="BC1253" s="25">
        <v>1</v>
      </c>
      <c r="BD1253" s="25">
        <v>1</v>
      </c>
    </row>
    <row r="1254" spans="27:56" x14ac:dyDescent="0.25">
      <c r="AA1254" s="68" t="str">
        <f t="shared" si="77"/>
        <v>Fotos\\.jpg</v>
      </c>
      <c r="AB1254" s="53">
        <f t="shared" si="78"/>
        <v>7.9744816586921851E-4</v>
      </c>
      <c r="AC1254" s="25">
        <f t="shared" si="79"/>
        <v>1254</v>
      </c>
      <c r="AD1254" s="51">
        <f t="shared" si="80"/>
        <v>1</v>
      </c>
      <c r="AE1254" s="25">
        <v>1</v>
      </c>
      <c r="AF1254" s="25">
        <v>1</v>
      </c>
      <c r="AG1254" s="25">
        <v>1</v>
      </c>
      <c r="AH1254" s="25">
        <v>1</v>
      </c>
      <c r="AI1254" s="25">
        <f>IF(OR(Apresentação!$E$3='Base de Dados e filtragem'!AI$2,Apresentação!$E$3='Base de Dados e filtragem'!E1254),1,0)</f>
        <v>1</v>
      </c>
      <c r="AJ1254" s="25">
        <f>IF(OR(Apresentação!$E$4='Base de Dados e filtragem'!AJ$2,Apresentação!$E$4='Base de Dados e filtragem'!F1254),1,0)</f>
        <v>1</v>
      </c>
      <c r="AK1254" s="25">
        <f>IF(OR(Apresentação!$E$5='Base de Dados e filtragem'!AK$2,Apresentação!$E$5='Base de Dados e filtragem'!G1254),1,0)</f>
        <v>1</v>
      </c>
      <c r="AL1254" s="25">
        <f>IF(OR(Apresentação!$E$6='Base de Dados e filtragem'!AL$2,Apresentação!$E$6='Base de Dados e filtragem'!H1254),1,0)</f>
        <v>1</v>
      </c>
      <c r="AM1254" s="25">
        <f>IF(OR(Apresentação!$I$2='Base de Dados e filtragem'!AM$2,Apresentação!$I$2='Base de Dados e filtragem'!I1254),1,0)</f>
        <v>1</v>
      </c>
      <c r="AN1254" s="25">
        <f>IF(OR(Apresentação!$I$3='Base de Dados e filtragem'!AN$2,Apresentação!$I$3='Base de Dados e filtragem'!J1254),1,0)</f>
        <v>1</v>
      </c>
      <c r="AO1254" s="25">
        <f>IF(OR(Apresentação!$I$4='Base de Dados e filtragem'!AO$2,Apresentação!$I$4='Base de Dados e filtragem'!K1254),1,0)</f>
        <v>1</v>
      </c>
      <c r="AP1254" s="25">
        <f>IF(OR(Apresentação!$I$5='Base de Dados e filtragem'!AP$2,Apresentação!$I$5='Base de Dados e filtragem'!L1254),1,0)</f>
        <v>1</v>
      </c>
      <c r="AQ1254" s="25">
        <f>IF(OR(Apresentação!$I$6='Base de Dados e filtragem'!AQ$2,Apresentação!$I$6='Base de Dados e filtragem'!M1254),1,0)</f>
        <v>1</v>
      </c>
      <c r="AR1254" s="25">
        <v>1</v>
      </c>
      <c r="AS1254" s="25">
        <v>1</v>
      </c>
      <c r="AT1254" s="25">
        <v>1</v>
      </c>
      <c r="AU1254" s="25">
        <v>1</v>
      </c>
      <c r="AV1254" s="25">
        <v>1</v>
      </c>
      <c r="AW1254" s="25">
        <v>1</v>
      </c>
      <c r="AX1254" s="25">
        <v>1</v>
      </c>
      <c r="AY1254" s="25">
        <v>1</v>
      </c>
      <c r="AZ1254" s="25">
        <v>1</v>
      </c>
      <c r="BA1254" s="25">
        <v>1</v>
      </c>
      <c r="BB1254" s="25">
        <v>1</v>
      </c>
      <c r="BC1254" s="25">
        <v>1</v>
      </c>
      <c r="BD1254" s="25">
        <v>1</v>
      </c>
    </row>
    <row r="1255" spans="27:56" x14ac:dyDescent="0.25">
      <c r="AA1255" s="68" t="str">
        <f t="shared" si="77"/>
        <v>Fotos\\.jpg</v>
      </c>
      <c r="AB1255" s="53">
        <f t="shared" si="78"/>
        <v>7.9681274900398409E-4</v>
      </c>
      <c r="AC1255" s="25">
        <f t="shared" si="79"/>
        <v>1255</v>
      </c>
      <c r="AD1255" s="51">
        <f t="shared" si="80"/>
        <v>1</v>
      </c>
      <c r="AE1255" s="25">
        <v>1</v>
      </c>
      <c r="AF1255" s="25">
        <v>1</v>
      </c>
      <c r="AG1255" s="25">
        <v>1</v>
      </c>
      <c r="AH1255" s="25">
        <v>1</v>
      </c>
      <c r="AI1255" s="25">
        <f>IF(OR(Apresentação!$E$3='Base de Dados e filtragem'!AI$2,Apresentação!$E$3='Base de Dados e filtragem'!E1255),1,0)</f>
        <v>1</v>
      </c>
      <c r="AJ1255" s="25">
        <f>IF(OR(Apresentação!$E$4='Base de Dados e filtragem'!AJ$2,Apresentação!$E$4='Base de Dados e filtragem'!F1255),1,0)</f>
        <v>1</v>
      </c>
      <c r="AK1255" s="25">
        <f>IF(OR(Apresentação!$E$5='Base de Dados e filtragem'!AK$2,Apresentação!$E$5='Base de Dados e filtragem'!G1255),1,0)</f>
        <v>1</v>
      </c>
      <c r="AL1255" s="25">
        <f>IF(OR(Apresentação!$E$6='Base de Dados e filtragem'!AL$2,Apresentação!$E$6='Base de Dados e filtragem'!H1255),1,0)</f>
        <v>1</v>
      </c>
      <c r="AM1255" s="25">
        <f>IF(OR(Apresentação!$I$2='Base de Dados e filtragem'!AM$2,Apresentação!$I$2='Base de Dados e filtragem'!I1255),1,0)</f>
        <v>1</v>
      </c>
      <c r="AN1255" s="25">
        <f>IF(OR(Apresentação!$I$3='Base de Dados e filtragem'!AN$2,Apresentação!$I$3='Base de Dados e filtragem'!J1255),1,0)</f>
        <v>1</v>
      </c>
      <c r="AO1255" s="25">
        <f>IF(OR(Apresentação!$I$4='Base de Dados e filtragem'!AO$2,Apresentação!$I$4='Base de Dados e filtragem'!K1255),1,0)</f>
        <v>1</v>
      </c>
      <c r="AP1255" s="25">
        <f>IF(OR(Apresentação!$I$5='Base de Dados e filtragem'!AP$2,Apresentação!$I$5='Base de Dados e filtragem'!L1255),1,0)</f>
        <v>1</v>
      </c>
      <c r="AQ1255" s="25">
        <f>IF(OR(Apresentação!$I$6='Base de Dados e filtragem'!AQ$2,Apresentação!$I$6='Base de Dados e filtragem'!M1255),1,0)</f>
        <v>1</v>
      </c>
      <c r="AR1255" s="25">
        <v>1</v>
      </c>
      <c r="AS1255" s="25">
        <v>1</v>
      </c>
      <c r="AT1255" s="25">
        <v>1</v>
      </c>
      <c r="AU1255" s="25">
        <v>1</v>
      </c>
      <c r="AV1255" s="25">
        <v>1</v>
      </c>
      <c r="AW1255" s="25">
        <v>1</v>
      </c>
      <c r="AX1255" s="25">
        <v>1</v>
      </c>
      <c r="AY1255" s="25">
        <v>1</v>
      </c>
      <c r="AZ1255" s="25">
        <v>1</v>
      </c>
      <c r="BA1255" s="25">
        <v>1</v>
      </c>
      <c r="BB1255" s="25">
        <v>1</v>
      </c>
      <c r="BC1255" s="25">
        <v>1</v>
      </c>
      <c r="BD1255" s="25">
        <v>1</v>
      </c>
    </row>
    <row r="1256" spans="27:56" x14ac:dyDescent="0.25">
      <c r="AA1256" s="68" t="str">
        <f t="shared" si="77"/>
        <v>Fotos\\.jpg</v>
      </c>
      <c r="AB1256" s="53">
        <f t="shared" si="78"/>
        <v>7.9617834394904463E-4</v>
      </c>
      <c r="AC1256" s="25">
        <f t="shared" si="79"/>
        <v>1256</v>
      </c>
      <c r="AD1256" s="51">
        <f t="shared" si="80"/>
        <v>1</v>
      </c>
      <c r="AE1256" s="25">
        <v>1</v>
      </c>
      <c r="AF1256" s="25">
        <v>1</v>
      </c>
      <c r="AG1256" s="25">
        <v>1</v>
      </c>
      <c r="AH1256" s="25">
        <v>1</v>
      </c>
      <c r="AI1256" s="25">
        <f>IF(OR(Apresentação!$E$3='Base de Dados e filtragem'!AI$2,Apresentação!$E$3='Base de Dados e filtragem'!E1256),1,0)</f>
        <v>1</v>
      </c>
      <c r="AJ1256" s="25">
        <f>IF(OR(Apresentação!$E$4='Base de Dados e filtragem'!AJ$2,Apresentação!$E$4='Base de Dados e filtragem'!F1256),1,0)</f>
        <v>1</v>
      </c>
      <c r="AK1256" s="25">
        <f>IF(OR(Apresentação!$E$5='Base de Dados e filtragem'!AK$2,Apresentação!$E$5='Base de Dados e filtragem'!G1256),1,0)</f>
        <v>1</v>
      </c>
      <c r="AL1256" s="25">
        <f>IF(OR(Apresentação!$E$6='Base de Dados e filtragem'!AL$2,Apresentação!$E$6='Base de Dados e filtragem'!H1256),1,0)</f>
        <v>1</v>
      </c>
      <c r="AM1256" s="25">
        <f>IF(OR(Apresentação!$I$2='Base de Dados e filtragem'!AM$2,Apresentação!$I$2='Base de Dados e filtragem'!I1256),1,0)</f>
        <v>1</v>
      </c>
      <c r="AN1256" s="25">
        <f>IF(OR(Apresentação!$I$3='Base de Dados e filtragem'!AN$2,Apresentação!$I$3='Base de Dados e filtragem'!J1256),1,0)</f>
        <v>1</v>
      </c>
      <c r="AO1256" s="25">
        <f>IF(OR(Apresentação!$I$4='Base de Dados e filtragem'!AO$2,Apresentação!$I$4='Base de Dados e filtragem'!K1256),1,0)</f>
        <v>1</v>
      </c>
      <c r="AP1256" s="25">
        <f>IF(OR(Apresentação!$I$5='Base de Dados e filtragem'!AP$2,Apresentação!$I$5='Base de Dados e filtragem'!L1256),1,0)</f>
        <v>1</v>
      </c>
      <c r="AQ1256" s="25">
        <f>IF(OR(Apresentação!$I$6='Base de Dados e filtragem'!AQ$2,Apresentação!$I$6='Base de Dados e filtragem'!M1256),1,0)</f>
        <v>1</v>
      </c>
      <c r="AR1256" s="25">
        <v>1</v>
      </c>
      <c r="AS1256" s="25">
        <v>1</v>
      </c>
      <c r="AT1256" s="25">
        <v>1</v>
      </c>
      <c r="AU1256" s="25">
        <v>1</v>
      </c>
      <c r="AV1256" s="25">
        <v>1</v>
      </c>
      <c r="AW1256" s="25">
        <v>1</v>
      </c>
      <c r="AX1256" s="25">
        <v>1</v>
      </c>
      <c r="AY1256" s="25">
        <v>1</v>
      </c>
      <c r="AZ1256" s="25">
        <v>1</v>
      </c>
      <c r="BA1256" s="25">
        <v>1</v>
      </c>
      <c r="BB1256" s="25">
        <v>1</v>
      </c>
      <c r="BC1256" s="25">
        <v>1</v>
      </c>
      <c r="BD1256" s="25">
        <v>1</v>
      </c>
    </row>
    <row r="1257" spans="27:56" x14ac:dyDescent="0.25">
      <c r="AA1257" s="68" t="str">
        <f t="shared" si="77"/>
        <v>Fotos\\.jpg</v>
      </c>
      <c r="AB1257" s="53">
        <f t="shared" si="78"/>
        <v>7.955449482895784E-4</v>
      </c>
      <c r="AC1257" s="25">
        <f t="shared" si="79"/>
        <v>1257</v>
      </c>
      <c r="AD1257" s="51">
        <f t="shared" si="80"/>
        <v>1</v>
      </c>
      <c r="AE1257" s="25">
        <v>1</v>
      </c>
      <c r="AF1257" s="25">
        <v>1</v>
      </c>
      <c r="AG1257" s="25">
        <v>1</v>
      </c>
      <c r="AH1257" s="25">
        <v>1</v>
      </c>
      <c r="AI1257" s="25">
        <f>IF(OR(Apresentação!$E$3='Base de Dados e filtragem'!AI$2,Apresentação!$E$3='Base de Dados e filtragem'!E1257),1,0)</f>
        <v>1</v>
      </c>
      <c r="AJ1257" s="25">
        <f>IF(OR(Apresentação!$E$4='Base de Dados e filtragem'!AJ$2,Apresentação!$E$4='Base de Dados e filtragem'!F1257),1,0)</f>
        <v>1</v>
      </c>
      <c r="AK1257" s="25">
        <f>IF(OR(Apresentação!$E$5='Base de Dados e filtragem'!AK$2,Apresentação!$E$5='Base de Dados e filtragem'!G1257),1,0)</f>
        <v>1</v>
      </c>
      <c r="AL1257" s="25">
        <f>IF(OR(Apresentação!$E$6='Base de Dados e filtragem'!AL$2,Apresentação!$E$6='Base de Dados e filtragem'!H1257),1,0)</f>
        <v>1</v>
      </c>
      <c r="AM1257" s="25">
        <f>IF(OR(Apresentação!$I$2='Base de Dados e filtragem'!AM$2,Apresentação!$I$2='Base de Dados e filtragem'!I1257),1,0)</f>
        <v>1</v>
      </c>
      <c r="AN1257" s="25">
        <f>IF(OR(Apresentação!$I$3='Base de Dados e filtragem'!AN$2,Apresentação!$I$3='Base de Dados e filtragem'!J1257),1,0)</f>
        <v>1</v>
      </c>
      <c r="AO1257" s="25">
        <f>IF(OR(Apresentação!$I$4='Base de Dados e filtragem'!AO$2,Apresentação!$I$4='Base de Dados e filtragem'!K1257),1,0)</f>
        <v>1</v>
      </c>
      <c r="AP1257" s="25">
        <f>IF(OR(Apresentação!$I$5='Base de Dados e filtragem'!AP$2,Apresentação!$I$5='Base de Dados e filtragem'!L1257),1,0)</f>
        <v>1</v>
      </c>
      <c r="AQ1257" s="25">
        <f>IF(OR(Apresentação!$I$6='Base de Dados e filtragem'!AQ$2,Apresentação!$I$6='Base de Dados e filtragem'!M1257),1,0)</f>
        <v>1</v>
      </c>
      <c r="AR1257" s="25">
        <v>1</v>
      </c>
      <c r="AS1257" s="25">
        <v>1</v>
      </c>
      <c r="AT1257" s="25">
        <v>1</v>
      </c>
      <c r="AU1257" s="25">
        <v>1</v>
      </c>
      <c r="AV1257" s="25">
        <v>1</v>
      </c>
      <c r="AW1257" s="25">
        <v>1</v>
      </c>
      <c r="AX1257" s="25">
        <v>1</v>
      </c>
      <c r="AY1257" s="25">
        <v>1</v>
      </c>
      <c r="AZ1257" s="25">
        <v>1</v>
      </c>
      <c r="BA1257" s="25">
        <v>1</v>
      </c>
      <c r="BB1257" s="25">
        <v>1</v>
      </c>
      <c r="BC1257" s="25">
        <v>1</v>
      </c>
      <c r="BD1257" s="25">
        <v>1</v>
      </c>
    </row>
    <row r="1258" spans="27:56" x14ac:dyDescent="0.25">
      <c r="AA1258" s="68" t="str">
        <f t="shared" si="77"/>
        <v>Fotos\\.jpg</v>
      </c>
      <c r="AB1258" s="53">
        <f t="shared" si="78"/>
        <v>7.9491255961844202E-4</v>
      </c>
      <c r="AC1258" s="25">
        <f t="shared" si="79"/>
        <v>1258</v>
      </c>
      <c r="AD1258" s="51">
        <f t="shared" si="80"/>
        <v>1</v>
      </c>
      <c r="AE1258" s="25">
        <v>1</v>
      </c>
      <c r="AF1258" s="25">
        <v>1</v>
      </c>
      <c r="AG1258" s="25">
        <v>1</v>
      </c>
      <c r="AH1258" s="25">
        <v>1</v>
      </c>
      <c r="AI1258" s="25">
        <f>IF(OR(Apresentação!$E$3='Base de Dados e filtragem'!AI$2,Apresentação!$E$3='Base de Dados e filtragem'!E1258),1,0)</f>
        <v>1</v>
      </c>
      <c r="AJ1258" s="25">
        <f>IF(OR(Apresentação!$E$4='Base de Dados e filtragem'!AJ$2,Apresentação!$E$4='Base de Dados e filtragem'!F1258),1,0)</f>
        <v>1</v>
      </c>
      <c r="AK1258" s="25">
        <f>IF(OR(Apresentação!$E$5='Base de Dados e filtragem'!AK$2,Apresentação!$E$5='Base de Dados e filtragem'!G1258),1,0)</f>
        <v>1</v>
      </c>
      <c r="AL1258" s="25">
        <f>IF(OR(Apresentação!$E$6='Base de Dados e filtragem'!AL$2,Apresentação!$E$6='Base de Dados e filtragem'!H1258),1,0)</f>
        <v>1</v>
      </c>
      <c r="AM1258" s="25">
        <f>IF(OR(Apresentação!$I$2='Base de Dados e filtragem'!AM$2,Apresentação!$I$2='Base de Dados e filtragem'!I1258),1,0)</f>
        <v>1</v>
      </c>
      <c r="AN1258" s="25">
        <f>IF(OR(Apresentação!$I$3='Base de Dados e filtragem'!AN$2,Apresentação!$I$3='Base de Dados e filtragem'!J1258),1,0)</f>
        <v>1</v>
      </c>
      <c r="AO1258" s="25">
        <f>IF(OR(Apresentação!$I$4='Base de Dados e filtragem'!AO$2,Apresentação!$I$4='Base de Dados e filtragem'!K1258),1,0)</f>
        <v>1</v>
      </c>
      <c r="AP1258" s="25">
        <f>IF(OR(Apresentação!$I$5='Base de Dados e filtragem'!AP$2,Apresentação!$I$5='Base de Dados e filtragem'!L1258),1,0)</f>
        <v>1</v>
      </c>
      <c r="AQ1258" s="25">
        <f>IF(OR(Apresentação!$I$6='Base de Dados e filtragem'!AQ$2,Apresentação!$I$6='Base de Dados e filtragem'!M1258),1,0)</f>
        <v>1</v>
      </c>
      <c r="AR1258" s="25">
        <v>1</v>
      </c>
      <c r="AS1258" s="25">
        <v>1</v>
      </c>
      <c r="AT1258" s="25">
        <v>1</v>
      </c>
      <c r="AU1258" s="25">
        <v>1</v>
      </c>
      <c r="AV1258" s="25">
        <v>1</v>
      </c>
      <c r="AW1258" s="25">
        <v>1</v>
      </c>
      <c r="AX1258" s="25">
        <v>1</v>
      </c>
      <c r="AY1258" s="25">
        <v>1</v>
      </c>
      <c r="AZ1258" s="25">
        <v>1</v>
      </c>
      <c r="BA1258" s="25">
        <v>1</v>
      </c>
      <c r="BB1258" s="25">
        <v>1</v>
      </c>
      <c r="BC1258" s="25">
        <v>1</v>
      </c>
      <c r="BD1258" s="25">
        <v>1</v>
      </c>
    </row>
    <row r="1259" spans="27:56" x14ac:dyDescent="0.25">
      <c r="AA1259" s="68" t="str">
        <f t="shared" si="77"/>
        <v>Fotos\\.jpg</v>
      </c>
      <c r="AB1259" s="53">
        <f t="shared" si="78"/>
        <v>7.9428117553613975E-4</v>
      </c>
      <c r="AC1259" s="25">
        <f t="shared" si="79"/>
        <v>1259</v>
      </c>
      <c r="AD1259" s="51">
        <f t="shared" si="80"/>
        <v>1</v>
      </c>
      <c r="AE1259" s="25">
        <v>1</v>
      </c>
      <c r="AF1259" s="25">
        <v>1</v>
      </c>
      <c r="AG1259" s="25">
        <v>1</v>
      </c>
      <c r="AH1259" s="25">
        <v>1</v>
      </c>
      <c r="AI1259" s="25">
        <f>IF(OR(Apresentação!$E$3='Base de Dados e filtragem'!AI$2,Apresentação!$E$3='Base de Dados e filtragem'!E1259),1,0)</f>
        <v>1</v>
      </c>
      <c r="AJ1259" s="25">
        <f>IF(OR(Apresentação!$E$4='Base de Dados e filtragem'!AJ$2,Apresentação!$E$4='Base de Dados e filtragem'!F1259),1,0)</f>
        <v>1</v>
      </c>
      <c r="AK1259" s="25">
        <f>IF(OR(Apresentação!$E$5='Base de Dados e filtragem'!AK$2,Apresentação!$E$5='Base de Dados e filtragem'!G1259),1,0)</f>
        <v>1</v>
      </c>
      <c r="AL1259" s="25">
        <f>IF(OR(Apresentação!$E$6='Base de Dados e filtragem'!AL$2,Apresentação!$E$6='Base de Dados e filtragem'!H1259),1,0)</f>
        <v>1</v>
      </c>
      <c r="AM1259" s="25">
        <f>IF(OR(Apresentação!$I$2='Base de Dados e filtragem'!AM$2,Apresentação!$I$2='Base de Dados e filtragem'!I1259),1,0)</f>
        <v>1</v>
      </c>
      <c r="AN1259" s="25">
        <f>IF(OR(Apresentação!$I$3='Base de Dados e filtragem'!AN$2,Apresentação!$I$3='Base de Dados e filtragem'!J1259),1,0)</f>
        <v>1</v>
      </c>
      <c r="AO1259" s="25">
        <f>IF(OR(Apresentação!$I$4='Base de Dados e filtragem'!AO$2,Apresentação!$I$4='Base de Dados e filtragem'!K1259),1,0)</f>
        <v>1</v>
      </c>
      <c r="AP1259" s="25">
        <f>IF(OR(Apresentação!$I$5='Base de Dados e filtragem'!AP$2,Apresentação!$I$5='Base de Dados e filtragem'!L1259),1,0)</f>
        <v>1</v>
      </c>
      <c r="AQ1259" s="25">
        <f>IF(OR(Apresentação!$I$6='Base de Dados e filtragem'!AQ$2,Apresentação!$I$6='Base de Dados e filtragem'!M1259),1,0)</f>
        <v>1</v>
      </c>
      <c r="AR1259" s="25">
        <v>1</v>
      </c>
      <c r="AS1259" s="25">
        <v>1</v>
      </c>
      <c r="AT1259" s="25">
        <v>1</v>
      </c>
      <c r="AU1259" s="25">
        <v>1</v>
      </c>
      <c r="AV1259" s="25">
        <v>1</v>
      </c>
      <c r="AW1259" s="25">
        <v>1</v>
      </c>
      <c r="AX1259" s="25">
        <v>1</v>
      </c>
      <c r="AY1259" s="25">
        <v>1</v>
      </c>
      <c r="AZ1259" s="25">
        <v>1</v>
      </c>
      <c r="BA1259" s="25">
        <v>1</v>
      </c>
      <c r="BB1259" s="25">
        <v>1</v>
      </c>
      <c r="BC1259" s="25">
        <v>1</v>
      </c>
      <c r="BD1259" s="25">
        <v>1</v>
      </c>
    </row>
    <row r="1260" spans="27:56" x14ac:dyDescent="0.25">
      <c r="AA1260" s="68" t="str">
        <f t="shared" si="77"/>
        <v>Fotos\\.jpg</v>
      </c>
      <c r="AB1260" s="53">
        <f t="shared" si="78"/>
        <v>7.9365079365079365E-4</v>
      </c>
      <c r="AC1260" s="25">
        <f t="shared" si="79"/>
        <v>1260</v>
      </c>
      <c r="AD1260" s="51">
        <f t="shared" si="80"/>
        <v>1</v>
      </c>
      <c r="AE1260" s="25">
        <v>1</v>
      </c>
      <c r="AF1260" s="25">
        <v>1</v>
      </c>
      <c r="AG1260" s="25">
        <v>1</v>
      </c>
      <c r="AH1260" s="25">
        <v>1</v>
      </c>
      <c r="AI1260" s="25">
        <f>IF(OR(Apresentação!$E$3='Base de Dados e filtragem'!AI$2,Apresentação!$E$3='Base de Dados e filtragem'!E1260),1,0)</f>
        <v>1</v>
      </c>
      <c r="AJ1260" s="25">
        <f>IF(OR(Apresentação!$E$4='Base de Dados e filtragem'!AJ$2,Apresentação!$E$4='Base de Dados e filtragem'!F1260),1,0)</f>
        <v>1</v>
      </c>
      <c r="AK1260" s="25">
        <f>IF(OR(Apresentação!$E$5='Base de Dados e filtragem'!AK$2,Apresentação!$E$5='Base de Dados e filtragem'!G1260),1,0)</f>
        <v>1</v>
      </c>
      <c r="AL1260" s="25">
        <f>IF(OR(Apresentação!$E$6='Base de Dados e filtragem'!AL$2,Apresentação!$E$6='Base de Dados e filtragem'!H1260),1,0)</f>
        <v>1</v>
      </c>
      <c r="AM1260" s="25">
        <f>IF(OR(Apresentação!$I$2='Base de Dados e filtragem'!AM$2,Apresentação!$I$2='Base de Dados e filtragem'!I1260),1,0)</f>
        <v>1</v>
      </c>
      <c r="AN1260" s="25">
        <f>IF(OR(Apresentação!$I$3='Base de Dados e filtragem'!AN$2,Apresentação!$I$3='Base de Dados e filtragem'!J1260),1,0)</f>
        <v>1</v>
      </c>
      <c r="AO1260" s="25">
        <f>IF(OR(Apresentação!$I$4='Base de Dados e filtragem'!AO$2,Apresentação!$I$4='Base de Dados e filtragem'!K1260),1,0)</f>
        <v>1</v>
      </c>
      <c r="AP1260" s="25">
        <f>IF(OR(Apresentação!$I$5='Base de Dados e filtragem'!AP$2,Apresentação!$I$5='Base de Dados e filtragem'!L1260),1,0)</f>
        <v>1</v>
      </c>
      <c r="AQ1260" s="25">
        <f>IF(OR(Apresentação!$I$6='Base de Dados e filtragem'!AQ$2,Apresentação!$I$6='Base de Dados e filtragem'!M1260),1,0)</f>
        <v>1</v>
      </c>
      <c r="AR1260" s="25">
        <v>1</v>
      </c>
      <c r="AS1260" s="25">
        <v>1</v>
      </c>
      <c r="AT1260" s="25">
        <v>1</v>
      </c>
      <c r="AU1260" s="25">
        <v>1</v>
      </c>
      <c r="AV1260" s="25">
        <v>1</v>
      </c>
      <c r="AW1260" s="25">
        <v>1</v>
      </c>
      <c r="AX1260" s="25">
        <v>1</v>
      </c>
      <c r="AY1260" s="25">
        <v>1</v>
      </c>
      <c r="AZ1260" s="25">
        <v>1</v>
      </c>
      <c r="BA1260" s="25">
        <v>1</v>
      </c>
      <c r="BB1260" s="25">
        <v>1</v>
      </c>
      <c r="BC1260" s="25">
        <v>1</v>
      </c>
      <c r="BD1260" s="25">
        <v>1</v>
      </c>
    </row>
    <row r="1261" spans="27:56" x14ac:dyDescent="0.25">
      <c r="AA1261" s="68" t="str">
        <f t="shared" si="77"/>
        <v>Fotos\\.jpg</v>
      </c>
      <c r="AB1261" s="53">
        <f t="shared" si="78"/>
        <v>7.9302141157811261E-4</v>
      </c>
      <c r="AC1261" s="25">
        <f t="shared" si="79"/>
        <v>1261</v>
      </c>
      <c r="AD1261" s="51">
        <f t="shared" si="80"/>
        <v>1</v>
      </c>
      <c r="AE1261" s="25">
        <v>1</v>
      </c>
      <c r="AF1261" s="25">
        <v>1</v>
      </c>
      <c r="AG1261" s="25">
        <v>1</v>
      </c>
      <c r="AH1261" s="25">
        <v>1</v>
      </c>
      <c r="AI1261" s="25">
        <f>IF(OR(Apresentação!$E$3='Base de Dados e filtragem'!AI$2,Apresentação!$E$3='Base de Dados e filtragem'!E1261),1,0)</f>
        <v>1</v>
      </c>
      <c r="AJ1261" s="25">
        <f>IF(OR(Apresentação!$E$4='Base de Dados e filtragem'!AJ$2,Apresentação!$E$4='Base de Dados e filtragem'!F1261),1,0)</f>
        <v>1</v>
      </c>
      <c r="AK1261" s="25">
        <f>IF(OR(Apresentação!$E$5='Base de Dados e filtragem'!AK$2,Apresentação!$E$5='Base de Dados e filtragem'!G1261),1,0)</f>
        <v>1</v>
      </c>
      <c r="AL1261" s="25">
        <f>IF(OR(Apresentação!$E$6='Base de Dados e filtragem'!AL$2,Apresentação!$E$6='Base de Dados e filtragem'!H1261),1,0)</f>
        <v>1</v>
      </c>
      <c r="AM1261" s="25">
        <f>IF(OR(Apresentação!$I$2='Base de Dados e filtragem'!AM$2,Apresentação!$I$2='Base de Dados e filtragem'!I1261),1,0)</f>
        <v>1</v>
      </c>
      <c r="AN1261" s="25">
        <f>IF(OR(Apresentação!$I$3='Base de Dados e filtragem'!AN$2,Apresentação!$I$3='Base de Dados e filtragem'!J1261),1,0)</f>
        <v>1</v>
      </c>
      <c r="AO1261" s="25">
        <f>IF(OR(Apresentação!$I$4='Base de Dados e filtragem'!AO$2,Apresentação!$I$4='Base de Dados e filtragem'!K1261),1,0)</f>
        <v>1</v>
      </c>
      <c r="AP1261" s="25">
        <f>IF(OR(Apresentação!$I$5='Base de Dados e filtragem'!AP$2,Apresentação!$I$5='Base de Dados e filtragem'!L1261),1,0)</f>
        <v>1</v>
      </c>
      <c r="AQ1261" s="25">
        <f>IF(OR(Apresentação!$I$6='Base de Dados e filtragem'!AQ$2,Apresentação!$I$6='Base de Dados e filtragem'!M1261),1,0)</f>
        <v>1</v>
      </c>
      <c r="AR1261" s="25">
        <v>1</v>
      </c>
      <c r="AS1261" s="25">
        <v>1</v>
      </c>
      <c r="AT1261" s="25">
        <v>1</v>
      </c>
      <c r="AU1261" s="25">
        <v>1</v>
      </c>
      <c r="AV1261" s="25">
        <v>1</v>
      </c>
      <c r="AW1261" s="25">
        <v>1</v>
      </c>
      <c r="AX1261" s="25">
        <v>1</v>
      </c>
      <c r="AY1261" s="25">
        <v>1</v>
      </c>
      <c r="AZ1261" s="25">
        <v>1</v>
      </c>
      <c r="BA1261" s="25">
        <v>1</v>
      </c>
      <c r="BB1261" s="25">
        <v>1</v>
      </c>
      <c r="BC1261" s="25">
        <v>1</v>
      </c>
      <c r="BD1261" s="25">
        <v>1</v>
      </c>
    </row>
    <row r="1262" spans="27:56" x14ac:dyDescent="0.25">
      <c r="AA1262" s="68" t="str">
        <f t="shared" si="77"/>
        <v>Fotos\\.jpg</v>
      </c>
      <c r="AB1262" s="53">
        <f t="shared" si="78"/>
        <v>7.9239302694136295E-4</v>
      </c>
      <c r="AC1262" s="25">
        <f t="shared" si="79"/>
        <v>1262</v>
      </c>
      <c r="AD1262" s="51">
        <f t="shared" si="80"/>
        <v>1</v>
      </c>
      <c r="AE1262" s="25">
        <v>1</v>
      </c>
      <c r="AF1262" s="25">
        <v>1</v>
      </c>
      <c r="AG1262" s="25">
        <v>1</v>
      </c>
      <c r="AH1262" s="25">
        <v>1</v>
      </c>
      <c r="AI1262" s="25">
        <f>IF(OR(Apresentação!$E$3='Base de Dados e filtragem'!AI$2,Apresentação!$E$3='Base de Dados e filtragem'!E1262),1,0)</f>
        <v>1</v>
      </c>
      <c r="AJ1262" s="25">
        <f>IF(OR(Apresentação!$E$4='Base de Dados e filtragem'!AJ$2,Apresentação!$E$4='Base de Dados e filtragem'!F1262),1,0)</f>
        <v>1</v>
      </c>
      <c r="AK1262" s="25">
        <f>IF(OR(Apresentação!$E$5='Base de Dados e filtragem'!AK$2,Apresentação!$E$5='Base de Dados e filtragem'!G1262),1,0)</f>
        <v>1</v>
      </c>
      <c r="AL1262" s="25">
        <f>IF(OR(Apresentação!$E$6='Base de Dados e filtragem'!AL$2,Apresentação!$E$6='Base de Dados e filtragem'!H1262),1,0)</f>
        <v>1</v>
      </c>
      <c r="AM1262" s="25">
        <f>IF(OR(Apresentação!$I$2='Base de Dados e filtragem'!AM$2,Apresentação!$I$2='Base de Dados e filtragem'!I1262),1,0)</f>
        <v>1</v>
      </c>
      <c r="AN1262" s="25">
        <f>IF(OR(Apresentação!$I$3='Base de Dados e filtragem'!AN$2,Apresentação!$I$3='Base de Dados e filtragem'!J1262),1,0)</f>
        <v>1</v>
      </c>
      <c r="AO1262" s="25">
        <f>IF(OR(Apresentação!$I$4='Base de Dados e filtragem'!AO$2,Apresentação!$I$4='Base de Dados e filtragem'!K1262),1,0)</f>
        <v>1</v>
      </c>
      <c r="AP1262" s="25">
        <f>IF(OR(Apresentação!$I$5='Base de Dados e filtragem'!AP$2,Apresentação!$I$5='Base de Dados e filtragem'!L1262),1,0)</f>
        <v>1</v>
      </c>
      <c r="AQ1262" s="25">
        <f>IF(OR(Apresentação!$I$6='Base de Dados e filtragem'!AQ$2,Apresentação!$I$6='Base de Dados e filtragem'!M1262),1,0)</f>
        <v>1</v>
      </c>
      <c r="AR1262" s="25">
        <v>1</v>
      </c>
      <c r="AS1262" s="25">
        <v>1</v>
      </c>
      <c r="AT1262" s="25">
        <v>1</v>
      </c>
      <c r="AU1262" s="25">
        <v>1</v>
      </c>
      <c r="AV1262" s="25">
        <v>1</v>
      </c>
      <c r="AW1262" s="25">
        <v>1</v>
      </c>
      <c r="AX1262" s="25">
        <v>1</v>
      </c>
      <c r="AY1262" s="25">
        <v>1</v>
      </c>
      <c r="AZ1262" s="25">
        <v>1</v>
      </c>
      <c r="BA1262" s="25">
        <v>1</v>
      </c>
      <c r="BB1262" s="25">
        <v>1</v>
      </c>
      <c r="BC1262" s="25">
        <v>1</v>
      </c>
      <c r="BD1262" s="25">
        <v>1</v>
      </c>
    </row>
    <row r="1263" spans="27:56" x14ac:dyDescent="0.25">
      <c r="AA1263" s="68" t="str">
        <f t="shared" si="77"/>
        <v>Fotos\\.jpg</v>
      </c>
      <c r="AB1263" s="53">
        <f t="shared" si="78"/>
        <v>7.9176563737133805E-4</v>
      </c>
      <c r="AC1263" s="25">
        <f t="shared" si="79"/>
        <v>1263</v>
      </c>
      <c r="AD1263" s="51">
        <f t="shared" si="80"/>
        <v>1</v>
      </c>
      <c r="AE1263" s="25">
        <v>1</v>
      </c>
      <c r="AF1263" s="25">
        <v>1</v>
      </c>
      <c r="AG1263" s="25">
        <v>1</v>
      </c>
      <c r="AH1263" s="25">
        <v>1</v>
      </c>
      <c r="AI1263" s="25">
        <f>IF(OR(Apresentação!$E$3='Base de Dados e filtragem'!AI$2,Apresentação!$E$3='Base de Dados e filtragem'!E1263),1,0)</f>
        <v>1</v>
      </c>
      <c r="AJ1263" s="25">
        <f>IF(OR(Apresentação!$E$4='Base de Dados e filtragem'!AJ$2,Apresentação!$E$4='Base de Dados e filtragem'!F1263),1,0)</f>
        <v>1</v>
      </c>
      <c r="AK1263" s="25">
        <f>IF(OR(Apresentação!$E$5='Base de Dados e filtragem'!AK$2,Apresentação!$E$5='Base de Dados e filtragem'!G1263),1,0)</f>
        <v>1</v>
      </c>
      <c r="AL1263" s="25">
        <f>IF(OR(Apresentação!$E$6='Base de Dados e filtragem'!AL$2,Apresentação!$E$6='Base de Dados e filtragem'!H1263),1,0)</f>
        <v>1</v>
      </c>
      <c r="AM1263" s="25">
        <f>IF(OR(Apresentação!$I$2='Base de Dados e filtragem'!AM$2,Apresentação!$I$2='Base de Dados e filtragem'!I1263),1,0)</f>
        <v>1</v>
      </c>
      <c r="AN1263" s="25">
        <f>IF(OR(Apresentação!$I$3='Base de Dados e filtragem'!AN$2,Apresentação!$I$3='Base de Dados e filtragem'!J1263),1,0)</f>
        <v>1</v>
      </c>
      <c r="AO1263" s="25">
        <f>IF(OR(Apresentação!$I$4='Base de Dados e filtragem'!AO$2,Apresentação!$I$4='Base de Dados e filtragem'!K1263),1,0)</f>
        <v>1</v>
      </c>
      <c r="AP1263" s="25">
        <f>IF(OR(Apresentação!$I$5='Base de Dados e filtragem'!AP$2,Apresentação!$I$5='Base de Dados e filtragem'!L1263),1,0)</f>
        <v>1</v>
      </c>
      <c r="AQ1263" s="25">
        <f>IF(OR(Apresentação!$I$6='Base de Dados e filtragem'!AQ$2,Apresentação!$I$6='Base de Dados e filtragem'!M1263),1,0)</f>
        <v>1</v>
      </c>
      <c r="AR1263" s="25">
        <v>1</v>
      </c>
      <c r="AS1263" s="25">
        <v>1</v>
      </c>
      <c r="AT1263" s="25">
        <v>1</v>
      </c>
      <c r="AU1263" s="25">
        <v>1</v>
      </c>
      <c r="AV1263" s="25">
        <v>1</v>
      </c>
      <c r="AW1263" s="25">
        <v>1</v>
      </c>
      <c r="AX1263" s="25">
        <v>1</v>
      </c>
      <c r="AY1263" s="25">
        <v>1</v>
      </c>
      <c r="AZ1263" s="25">
        <v>1</v>
      </c>
      <c r="BA1263" s="25">
        <v>1</v>
      </c>
      <c r="BB1263" s="25">
        <v>1</v>
      </c>
      <c r="BC1263" s="25">
        <v>1</v>
      </c>
      <c r="BD1263" s="25">
        <v>1</v>
      </c>
    </row>
    <row r="1264" spans="27:56" x14ac:dyDescent="0.25">
      <c r="AA1264" s="68" t="str">
        <f t="shared" si="77"/>
        <v>Fotos\\.jpg</v>
      </c>
      <c r="AB1264" s="53">
        <f t="shared" si="78"/>
        <v>7.911392405063291E-4</v>
      </c>
      <c r="AC1264" s="25">
        <f t="shared" si="79"/>
        <v>1264</v>
      </c>
      <c r="AD1264" s="51">
        <f t="shared" si="80"/>
        <v>1</v>
      </c>
      <c r="AE1264" s="25">
        <v>1</v>
      </c>
      <c r="AF1264" s="25">
        <v>1</v>
      </c>
      <c r="AG1264" s="25">
        <v>1</v>
      </c>
      <c r="AH1264" s="25">
        <v>1</v>
      </c>
      <c r="AI1264" s="25">
        <f>IF(OR(Apresentação!$E$3='Base de Dados e filtragem'!AI$2,Apresentação!$E$3='Base de Dados e filtragem'!E1264),1,0)</f>
        <v>1</v>
      </c>
      <c r="AJ1264" s="25">
        <f>IF(OR(Apresentação!$E$4='Base de Dados e filtragem'!AJ$2,Apresentação!$E$4='Base de Dados e filtragem'!F1264),1,0)</f>
        <v>1</v>
      </c>
      <c r="AK1264" s="25">
        <f>IF(OR(Apresentação!$E$5='Base de Dados e filtragem'!AK$2,Apresentação!$E$5='Base de Dados e filtragem'!G1264),1,0)</f>
        <v>1</v>
      </c>
      <c r="AL1264" s="25">
        <f>IF(OR(Apresentação!$E$6='Base de Dados e filtragem'!AL$2,Apresentação!$E$6='Base de Dados e filtragem'!H1264),1,0)</f>
        <v>1</v>
      </c>
      <c r="AM1264" s="25">
        <f>IF(OR(Apresentação!$I$2='Base de Dados e filtragem'!AM$2,Apresentação!$I$2='Base de Dados e filtragem'!I1264),1,0)</f>
        <v>1</v>
      </c>
      <c r="AN1264" s="25">
        <f>IF(OR(Apresentação!$I$3='Base de Dados e filtragem'!AN$2,Apresentação!$I$3='Base de Dados e filtragem'!J1264),1,0)</f>
        <v>1</v>
      </c>
      <c r="AO1264" s="25">
        <f>IF(OR(Apresentação!$I$4='Base de Dados e filtragem'!AO$2,Apresentação!$I$4='Base de Dados e filtragem'!K1264),1,0)</f>
        <v>1</v>
      </c>
      <c r="AP1264" s="25">
        <f>IF(OR(Apresentação!$I$5='Base de Dados e filtragem'!AP$2,Apresentação!$I$5='Base de Dados e filtragem'!L1264),1,0)</f>
        <v>1</v>
      </c>
      <c r="AQ1264" s="25">
        <f>IF(OR(Apresentação!$I$6='Base de Dados e filtragem'!AQ$2,Apresentação!$I$6='Base de Dados e filtragem'!M1264),1,0)</f>
        <v>1</v>
      </c>
      <c r="AR1264" s="25">
        <v>1</v>
      </c>
      <c r="AS1264" s="25">
        <v>1</v>
      </c>
      <c r="AT1264" s="25">
        <v>1</v>
      </c>
      <c r="AU1264" s="25">
        <v>1</v>
      </c>
      <c r="AV1264" s="25">
        <v>1</v>
      </c>
      <c r="AW1264" s="25">
        <v>1</v>
      </c>
      <c r="AX1264" s="25">
        <v>1</v>
      </c>
      <c r="AY1264" s="25">
        <v>1</v>
      </c>
      <c r="AZ1264" s="25">
        <v>1</v>
      </c>
      <c r="BA1264" s="25">
        <v>1</v>
      </c>
      <c r="BB1264" s="25">
        <v>1</v>
      </c>
      <c r="BC1264" s="25">
        <v>1</v>
      </c>
      <c r="BD1264" s="25">
        <v>1</v>
      </c>
    </row>
    <row r="1265" spans="27:56" x14ac:dyDescent="0.25">
      <c r="AA1265" s="68" t="str">
        <f t="shared" si="77"/>
        <v>Fotos\\.jpg</v>
      </c>
      <c r="AB1265" s="53">
        <f t="shared" si="78"/>
        <v>7.9051383399209485E-4</v>
      </c>
      <c r="AC1265" s="25">
        <f t="shared" si="79"/>
        <v>1265</v>
      </c>
      <c r="AD1265" s="51">
        <f t="shared" si="80"/>
        <v>1</v>
      </c>
      <c r="AE1265" s="25">
        <v>1</v>
      </c>
      <c r="AF1265" s="25">
        <v>1</v>
      </c>
      <c r="AG1265" s="25">
        <v>1</v>
      </c>
      <c r="AH1265" s="25">
        <v>1</v>
      </c>
      <c r="AI1265" s="25">
        <f>IF(OR(Apresentação!$E$3='Base de Dados e filtragem'!AI$2,Apresentação!$E$3='Base de Dados e filtragem'!E1265),1,0)</f>
        <v>1</v>
      </c>
      <c r="AJ1265" s="25">
        <f>IF(OR(Apresentação!$E$4='Base de Dados e filtragem'!AJ$2,Apresentação!$E$4='Base de Dados e filtragem'!F1265),1,0)</f>
        <v>1</v>
      </c>
      <c r="AK1265" s="25">
        <f>IF(OR(Apresentação!$E$5='Base de Dados e filtragem'!AK$2,Apresentação!$E$5='Base de Dados e filtragem'!G1265),1,0)</f>
        <v>1</v>
      </c>
      <c r="AL1265" s="25">
        <f>IF(OR(Apresentação!$E$6='Base de Dados e filtragem'!AL$2,Apresentação!$E$6='Base de Dados e filtragem'!H1265),1,0)</f>
        <v>1</v>
      </c>
      <c r="AM1265" s="25">
        <f>IF(OR(Apresentação!$I$2='Base de Dados e filtragem'!AM$2,Apresentação!$I$2='Base de Dados e filtragem'!I1265),1,0)</f>
        <v>1</v>
      </c>
      <c r="AN1265" s="25">
        <f>IF(OR(Apresentação!$I$3='Base de Dados e filtragem'!AN$2,Apresentação!$I$3='Base de Dados e filtragem'!J1265),1,0)</f>
        <v>1</v>
      </c>
      <c r="AO1265" s="25">
        <f>IF(OR(Apresentação!$I$4='Base de Dados e filtragem'!AO$2,Apresentação!$I$4='Base de Dados e filtragem'!K1265),1,0)</f>
        <v>1</v>
      </c>
      <c r="AP1265" s="25">
        <f>IF(OR(Apresentação!$I$5='Base de Dados e filtragem'!AP$2,Apresentação!$I$5='Base de Dados e filtragem'!L1265),1,0)</f>
        <v>1</v>
      </c>
      <c r="AQ1265" s="25">
        <f>IF(OR(Apresentação!$I$6='Base de Dados e filtragem'!AQ$2,Apresentação!$I$6='Base de Dados e filtragem'!M1265),1,0)</f>
        <v>1</v>
      </c>
      <c r="AR1265" s="25">
        <v>1</v>
      </c>
      <c r="AS1265" s="25">
        <v>1</v>
      </c>
      <c r="AT1265" s="25">
        <v>1</v>
      </c>
      <c r="AU1265" s="25">
        <v>1</v>
      </c>
      <c r="AV1265" s="25">
        <v>1</v>
      </c>
      <c r="AW1265" s="25">
        <v>1</v>
      </c>
      <c r="AX1265" s="25">
        <v>1</v>
      </c>
      <c r="AY1265" s="25">
        <v>1</v>
      </c>
      <c r="AZ1265" s="25">
        <v>1</v>
      </c>
      <c r="BA1265" s="25">
        <v>1</v>
      </c>
      <c r="BB1265" s="25">
        <v>1</v>
      </c>
      <c r="BC1265" s="25">
        <v>1</v>
      </c>
      <c r="BD1265" s="25">
        <v>1</v>
      </c>
    </row>
    <row r="1266" spans="27:56" x14ac:dyDescent="0.25">
      <c r="AA1266" s="68" t="str">
        <f t="shared" si="77"/>
        <v>Fotos\\.jpg</v>
      </c>
      <c r="AB1266" s="53">
        <f t="shared" si="78"/>
        <v>7.8988941548183253E-4</v>
      </c>
      <c r="AC1266" s="25">
        <f t="shared" si="79"/>
        <v>1266</v>
      </c>
      <c r="AD1266" s="51">
        <f t="shared" si="80"/>
        <v>1</v>
      </c>
      <c r="AE1266" s="25">
        <v>1</v>
      </c>
      <c r="AF1266" s="25">
        <v>1</v>
      </c>
      <c r="AG1266" s="25">
        <v>1</v>
      </c>
      <c r="AH1266" s="25">
        <v>1</v>
      </c>
      <c r="AI1266" s="25">
        <f>IF(OR(Apresentação!$E$3='Base de Dados e filtragem'!AI$2,Apresentação!$E$3='Base de Dados e filtragem'!E1266),1,0)</f>
        <v>1</v>
      </c>
      <c r="AJ1266" s="25">
        <f>IF(OR(Apresentação!$E$4='Base de Dados e filtragem'!AJ$2,Apresentação!$E$4='Base de Dados e filtragem'!F1266),1,0)</f>
        <v>1</v>
      </c>
      <c r="AK1266" s="25">
        <f>IF(OR(Apresentação!$E$5='Base de Dados e filtragem'!AK$2,Apresentação!$E$5='Base de Dados e filtragem'!G1266),1,0)</f>
        <v>1</v>
      </c>
      <c r="AL1266" s="25">
        <f>IF(OR(Apresentação!$E$6='Base de Dados e filtragem'!AL$2,Apresentação!$E$6='Base de Dados e filtragem'!H1266),1,0)</f>
        <v>1</v>
      </c>
      <c r="AM1266" s="25">
        <f>IF(OR(Apresentação!$I$2='Base de Dados e filtragem'!AM$2,Apresentação!$I$2='Base de Dados e filtragem'!I1266),1,0)</f>
        <v>1</v>
      </c>
      <c r="AN1266" s="25">
        <f>IF(OR(Apresentação!$I$3='Base de Dados e filtragem'!AN$2,Apresentação!$I$3='Base de Dados e filtragem'!J1266),1,0)</f>
        <v>1</v>
      </c>
      <c r="AO1266" s="25">
        <f>IF(OR(Apresentação!$I$4='Base de Dados e filtragem'!AO$2,Apresentação!$I$4='Base de Dados e filtragem'!K1266),1,0)</f>
        <v>1</v>
      </c>
      <c r="AP1266" s="25">
        <f>IF(OR(Apresentação!$I$5='Base de Dados e filtragem'!AP$2,Apresentação!$I$5='Base de Dados e filtragem'!L1266),1,0)</f>
        <v>1</v>
      </c>
      <c r="AQ1266" s="25">
        <f>IF(OR(Apresentação!$I$6='Base de Dados e filtragem'!AQ$2,Apresentação!$I$6='Base de Dados e filtragem'!M1266),1,0)</f>
        <v>1</v>
      </c>
      <c r="AR1266" s="25">
        <v>1</v>
      </c>
      <c r="AS1266" s="25">
        <v>1</v>
      </c>
      <c r="AT1266" s="25">
        <v>1</v>
      </c>
      <c r="AU1266" s="25">
        <v>1</v>
      </c>
      <c r="AV1266" s="25">
        <v>1</v>
      </c>
      <c r="AW1266" s="25">
        <v>1</v>
      </c>
      <c r="AX1266" s="25">
        <v>1</v>
      </c>
      <c r="AY1266" s="25">
        <v>1</v>
      </c>
      <c r="AZ1266" s="25">
        <v>1</v>
      </c>
      <c r="BA1266" s="25">
        <v>1</v>
      </c>
      <c r="BB1266" s="25">
        <v>1</v>
      </c>
      <c r="BC1266" s="25">
        <v>1</v>
      </c>
      <c r="BD1266" s="25">
        <v>1</v>
      </c>
    </row>
    <row r="1267" spans="27:56" x14ac:dyDescent="0.25">
      <c r="AA1267" s="68" t="str">
        <f t="shared" si="77"/>
        <v>Fotos\\.jpg</v>
      </c>
      <c r="AB1267" s="53">
        <f t="shared" si="78"/>
        <v>7.8926598263614838E-4</v>
      </c>
      <c r="AC1267" s="25">
        <f t="shared" si="79"/>
        <v>1267</v>
      </c>
      <c r="AD1267" s="51">
        <f t="shared" si="80"/>
        <v>1</v>
      </c>
      <c r="AE1267" s="25">
        <v>1</v>
      </c>
      <c r="AF1267" s="25">
        <v>1</v>
      </c>
      <c r="AG1267" s="25">
        <v>1</v>
      </c>
      <c r="AH1267" s="25">
        <v>1</v>
      </c>
      <c r="AI1267" s="25">
        <f>IF(OR(Apresentação!$E$3='Base de Dados e filtragem'!AI$2,Apresentação!$E$3='Base de Dados e filtragem'!E1267),1,0)</f>
        <v>1</v>
      </c>
      <c r="AJ1267" s="25">
        <f>IF(OR(Apresentação!$E$4='Base de Dados e filtragem'!AJ$2,Apresentação!$E$4='Base de Dados e filtragem'!F1267),1,0)</f>
        <v>1</v>
      </c>
      <c r="AK1267" s="25">
        <f>IF(OR(Apresentação!$E$5='Base de Dados e filtragem'!AK$2,Apresentação!$E$5='Base de Dados e filtragem'!G1267),1,0)</f>
        <v>1</v>
      </c>
      <c r="AL1267" s="25">
        <f>IF(OR(Apresentação!$E$6='Base de Dados e filtragem'!AL$2,Apresentação!$E$6='Base de Dados e filtragem'!H1267),1,0)</f>
        <v>1</v>
      </c>
      <c r="AM1267" s="25">
        <f>IF(OR(Apresentação!$I$2='Base de Dados e filtragem'!AM$2,Apresentação!$I$2='Base de Dados e filtragem'!I1267),1,0)</f>
        <v>1</v>
      </c>
      <c r="AN1267" s="25">
        <f>IF(OR(Apresentação!$I$3='Base de Dados e filtragem'!AN$2,Apresentação!$I$3='Base de Dados e filtragem'!J1267),1,0)</f>
        <v>1</v>
      </c>
      <c r="AO1267" s="25">
        <f>IF(OR(Apresentação!$I$4='Base de Dados e filtragem'!AO$2,Apresentação!$I$4='Base de Dados e filtragem'!K1267),1,0)</f>
        <v>1</v>
      </c>
      <c r="AP1267" s="25">
        <f>IF(OR(Apresentação!$I$5='Base de Dados e filtragem'!AP$2,Apresentação!$I$5='Base de Dados e filtragem'!L1267),1,0)</f>
        <v>1</v>
      </c>
      <c r="AQ1267" s="25">
        <f>IF(OR(Apresentação!$I$6='Base de Dados e filtragem'!AQ$2,Apresentação!$I$6='Base de Dados e filtragem'!M1267),1,0)</f>
        <v>1</v>
      </c>
      <c r="AR1267" s="25">
        <v>1</v>
      </c>
      <c r="AS1267" s="25">
        <v>1</v>
      </c>
      <c r="AT1267" s="25">
        <v>1</v>
      </c>
      <c r="AU1267" s="25">
        <v>1</v>
      </c>
      <c r="AV1267" s="25">
        <v>1</v>
      </c>
      <c r="AW1267" s="25">
        <v>1</v>
      </c>
      <c r="AX1267" s="25">
        <v>1</v>
      </c>
      <c r="AY1267" s="25">
        <v>1</v>
      </c>
      <c r="AZ1267" s="25">
        <v>1</v>
      </c>
      <c r="BA1267" s="25">
        <v>1</v>
      </c>
      <c r="BB1267" s="25">
        <v>1</v>
      </c>
      <c r="BC1267" s="25">
        <v>1</v>
      </c>
      <c r="BD1267" s="25">
        <v>1</v>
      </c>
    </row>
    <row r="1268" spans="27:56" x14ac:dyDescent="0.25">
      <c r="AA1268" s="68" t="str">
        <f t="shared" si="77"/>
        <v>Fotos\\.jpg</v>
      </c>
      <c r="AB1268" s="53">
        <f t="shared" si="78"/>
        <v>7.8864353312302837E-4</v>
      </c>
      <c r="AC1268" s="25">
        <f t="shared" si="79"/>
        <v>1268</v>
      </c>
      <c r="AD1268" s="51">
        <f t="shared" si="80"/>
        <v>1</v>
      </c>
      <c r="AE1268" s="25">
        <v>1</v>
      </c>
      <c r="AF1268" s="25">
        <v>1</v>
      </c>
      <c r="AG1268" s="25">
        <v>1</v>
      </c>
      <c r="AH1268" s="25">
        <v>1</v>
      </c>
      <c r="AI1268" s="25">
        <f>IF(OR(Apresentação!$E$3='Base de Dados e filtragem'!AI$2,Apresentação!$E$3='Base de Dados e filtragem'!E1268),1,0)</f>
        <v>1</v>
      </c>
      <c r="AJ1268" s="25">
        <f>IF(OR(Apresentação!$E$4='Base de Dados e filtragem'!AJ$2,Apresentação!$E$4='Base de Dados e filtragem'!F1268),1,0)</f>
        <v>1</v>
      </c>
      <c r="AK1268" s="25">
        <f>IF(OR(Apresentação!$E$5='Base de Dados e filtragem'!AK$2,Apresentação!$E$5='Base de Dados e filtragem'!G1268),1,0)</f>
        <v>1</v>
      </c>
      <c r="AL1268" s="25">
        <f>IF(OR(Apresentação!$E$6='Base de Dados e filtragem'!AL$2,Apresentação!$E$6='Base de Dados e filtragem'!H1268),1,0)</f>
        <v>1</v>
      </c>
      <c r="AM1268" s="25">
        <f>IF(OR(Apresentação!$I$2='Base de Dados e filtragem'!AM$2,Apresentação!$I$2='Base de Dados e filtragem'!I1268),1,0)</f>
        <v>1</v>
      </c>
      <c r="AN1268" s="25">
        <f>IF(OR(Apresentação!$I$3='Base de Dados e filtragem'!AN$2,Apresentação!$I$3='Base de Dados e filtragem'!J1268),1,0)</f>
        <v>1</v>
      </c>
      <c r="AO1268" s="25">
        <f>IF(OR(Apresentação!$I$4='Base de Dados e filtragem'!AO$2,Apresentação!$I$4='Base de Dados e filtragem'!K1268),1,0)</f>
        <v>1</v>
      </c>
      <c r="AP1268" s="25">
        <f>IF(OR(Apresentação!$I$5='Base de Dados e filtragem'!AP$2,Apresentação!$I$5='Base de Dados e filtragem'!L1268),1,0)</f>
        <v>1</v>
      </c>
      <c r="AQ1268" s="25">
        <f>IF(OR(Apresentação!$I$6='Base de Dados e filtragem'!AQ$2,Apresentação!$I$6='Base de Dados e filtragem'!M1268),1,0)</f>
        <v>1</v>
      </c>
      <c r="AR1268" s="25">
        <v>1</v>
      </c>
      <c r="AS1268" s="25">
        <v>1</v>
      </c>
      <c r="AT1268" s="25">
        <v>1</v>
      </c>
      <c r="AU1268" s="25">
        <v>1</v>
      </c>
      <c r="AV1268" s="25">
        <v>1</v>
      </c>
      <c r="AW1268" s="25">
        <v>1</v>
      </c>
      <c r="AX1268" s="25">
        <v>1</v>
      </c>
      <c r="AY1268" s="25">
        <v>1</v>
      </c>
      <c r="AZ1268" s="25">
        <v>1</v>
      </c>
      <c r="BA1268" s="25">
        <v>1</v>
      </c>
      <c r="BB1268" s="25">
        <v>1</v>
      </c>
      <c r="BC1268" s="25">
        <v>1</v>
      </c>
      <c r="BD1268" s="25">
        <v>1</v>
      </c>
    </row>
    <row r="1269" spans="27:56" x14ac:dyDescent="0.25">
      <c r="AA1269" s="68" t="str">
        <f t="shared" si="77"/>
        <v>Fotos\\.jpg</v>
      </c>
      <c r="AB1269" s="53">
        <f t="shared" si="78"/>
        <v>7.8802206461780935E-4</v>
      </c>
      <c r="AC1269" s="25">
        <f t="shared" si="79"/>
        <v>1269</v>
      </c>
      <c r="AD1269" s="51">
        <f t="shared" si="80"/>
        <v>1</v>
      </c>
      <c r="AE1269" s="25">
        <v>1</v>
      </c>
      <c r="AF1269" s="25">
        <v>1</v>
      </c>
      <c r="AG1269" s="25">
        <v>1</v>
      </c>
      <c r="AH1269" s="25">
        <v>1</v>
      </c>
      <c r="AI1269" s="25">
        <f>IF(OR(Apresentação!$E$3='Base de Dados e filtragem'!AI$2,Apresentação!$E$3='Base de Dados e filtragem'!E1269),1,0)</f>
        <v>1</v>
      </c>
      <c r="AJ1269" s="25">
        <f>IF(OR(Apresentação!$E$4='Base de Dados e filtragem'!AJ$2,Apresentação!$E$4='Base de Dados e filtragem'!F1269),1,0)</f>
        <v>1</v>
      </c>
      <c r="AK1269" s="25">
        <f>IF(OR(Apresentação!$E$5='Base de Dados e filtragem'!AK$2,Apresentação!$E$5='Base de Dados e filtragem'!G1269),1,0)</f>
        <v>1</v>
      </c>
      <c r="AL1269" s="25">
        <f>IF(OR(Apresentação!$E$6='Base de Dados e filtragem'!AL$2,Apresentação!$E$6='Base de Dados e filtragem'!H1269),1,0)</f>
        <v>1</v>
      </c>
      <c r="AM1269" s="25">
        <f>IF(OR(Apresentação!$I$2='Base de Dados e filtragem'!AM$2,Apresentação!$I$2='Base de Dados e filtragem'!I1269),1,0)</f>
        <v>1</v>
      </c>
      <c r="AN1269" s="25">
        <f>IF(OR(Apresentação!$I$3='Base de Dados e filtragem'!AN$2,Apresentação!$I$3='Base de Dados e filtragem'!J1269),1,0)</f>
        <v>1</v>
      </c>
      <c r="AO1269" s="25">
        <f>IF(OR(Apresentação!$I$4='Base de Dados e filtragem'!AO$2,Apresentação!$I$4='Base de Dados e filtragem'!K1269),1,0)</f>
        <v>1</v>
      </c>
      <c r="AP1269" s="25">
        <f>IF(OR(Apresentação!$I$5='Base de Dados e filtragem'!AP$2,Apresentação!$I$5='Base de Dados e filtragem'!L1269),1,0)</f>
        <v>1</v>
      </c>
      <c r="AQ1269" s="25">
        <f>IF(OR(Apresentação!$I$6='Base de Dados e filtragem'!AQ$2,Apresentação!$I$6='Base de Dados e filtragem'!M1269),1,0)</f>
        <v>1</v>
      </c>
      <c r="AR1269" s="25">
        <v>1</v>
      </c>
      <c r="AS1269" s="25">
        <v>1</v>
      </c>
      <c r="AT1269" s="25">
        <v>1</v>
      </c>
      <c r="AU1269" s="25">
        <v>1</v>
      </c>
      <c r="AV1269" s="25">
        <v>1</v>
      </c>
      <c r="AW1269" s="25">
        <v>1</v>
      </c>
      <c r="AX1269" s="25">
        <v>1</v>
      </c>
      <c r="AY1269" s="25">
        <v>1</v>
      </c>
      <c r="AZ1269" s="25">
        <v>1</v>
      </c>
      <c r="BA1269" s="25">
        <v>1</v>
      </c>
      <c r="BB1269" s="25">
        <v>1</v>
      </c>
      <c r="BC1269" s="25">
        <v>1</v>
      </c>
      <c r="BD1269" s="25">
        <v>1</v>
      </c>
    </row>
    <row r="1270" spans="27:56" x14ac:dyDescent="0.25">
      <c r="AA1270" s="68" t="str">
        <f t="shared" si="77"/>
        <v>Fotos\\.jpg</v>
      </c>
      <c r="AB1270" s="53">
        <f t="shared" si="78"/>
        <v>7.874015748031496E-4</v>
      </c>
      <c r="AC1270" s="25">
        <f t="shared" si="79"/>
        <v>1270</v>
      </c>
      <c r="AD1270" s="51">
        <f t="shared" si="80"/>
        <v>1</v>
      </c>
      <c r="AE1270" s="25">
        <v>1</v>
      </c>
      <c r="AF1270" s="25">
        <v>1</v>
      </c>
      <c r="AG1270" s="25">
        <v>1</v>
      </c>
      <c r="AH1270" s="25">
        <v>1</v>
      </c>
      <c r="AI1270" s="25">
        <f>IF(OR(Apresentação!$E$3='Base de Dados e filtragem'!AI$2,Apresentação!$E$3='Base de Dados e filtragem'!E1270),1,0)</f>
        <v>1</v>
      </c>
      <c r="AJ1270" s="25">
        <f>IF(OR(Apresentação!$E$4='Base de Dados e filtragem'!AJ$2,Apresentação!$E$4='Base de Dados e filtragem'!F1270),1,0)</f>
        <v>1</v>
      </c>
      <c r="AK1270" s="25">
        <f>IF(OR(Apresentação!$E$5='Base de Dados e filtragem'!AK$2,Apresentação!$E$5='Base de Dados e filtragem'!G1270),1,0)</f>
        <v>1</v>
      </c>
      <c r="AL1270" s="25">
        <f>IF(OR(Apresentação!$E$6='Base de Dados e filtragem'!AL$2,Apresentação!$E$6='Base de Dados e filtragem'!H1270),1,0)</f>
        <v>1</v>
      </c>
      <c r="AM1270" s="25">
        <f>IF(OR(Apresentação!$I$2='Base de Dados e filtragem'!AM$2,Apresentação!$I$2='Base de Dados e filtragem'!I1270),1,0)</f>
        <v>1</v>
      </c>
      <c r="AN1270" s="25">
        <f>IF(OR(Apresentação!$I$3='Base de Dados e filtragem'!AN$2,Apresentação!$I$3='Base de Dados e filtragem'!J1270),1,0)</f>
        <v>1</v>
      </c>
      <c r="AO1270" s="25">
        <f>IF(OR(Apresentação!$I$4='Base de Dados e filtragem'!AO$2,Apresentação!$I$4='Base de Dados e filtragem'!K1270),1,0)</f>
        <v>1</v>
      </c>
      <c r="AP1270" s="25">
        <f>IF(OR(Apresentação!$I$5='Base de Dados e filtragem'!AP$2,Apresentação!$I$5='Base de Dados e filtragem'!L1270),1,0)</f>
        <v>1</v>
      </c>
      <c r="AQ1270" s="25">
        <f>IF(OR(Apresentação!$I$6='Base de Dados e filtragem'!AQ$2,Apresentação!$I$6='Base de Dados e filtragem'!M1270),1,0)</f>
        <v>1</v>
      </c>
      <c r="AR1270" s="25">
        <v>1</v>
      </c>
      <c r="AS1270" s="25">
        <v>1</v>
      </c>
      <c r="AT1270" s="25">
        <v>1</v>
      </c>
      <c r="AU1270" s="25">
        <v>1</v>
      </c>
      <c r="AV1270" s="25">
        <v>1</v>
      </c>
      <c r="AW1270" s="25">
        <v>1</v>
      </c>
      <c r="AX1270" s="25">
        <v>1</v>
      </c>
      <c r="AY1270" s="25">
        <v>1</v>
      </c>
      <c r="AZ1270" s="25">
        <v>1</v>
      </c>
      <c r="BA1270" s="25">
        <v>1</v>
      </c>
      <c r="BB1270" s="25">
        <v>1</v>
      </c>
      <c r="BC1270" s="25">
        <v>1</v>
      </c>
      <c r="BD1270" s="25">
        <v>1</v>
      </c>
    </row>
    <row r="1271" spans="27:56" x14ac:dyDescent="0.25">
      <c r="AA1271" s="68" t="str">
        <f t="shared" si="77"/>
        <v>Fotos\\.jpg</v>
      </c>
      <c r="AB1271" s="53">
        <f t="shared" si="78"/>
        <v>7.8678206136900079E-4</v>
      </c>
      <c r="AC1271" s="25">
        <f t="shared" si="79"/>
        <v>1271</v>
      </c>
      <c r="AD1271" s="51">
        <f t="shared" si="80"/>
        <v>1</v>
      </c>
      <c r="AE1271" s="25">
        <v>1</v>
      </c>
      <c r="AF1271" s="25">
        <v>1</v>
      </c>
      <c r="AG1271" s="25">
        <v>1</v>
      </c>
      <c r="AH1271" s="25">
        <v>1</v>
      </c>
      <c r="AI1271" s="25">
        <f>IF(OR(Apresentação!$E$3='Base de Dados e filtragem'!AI$2,Apresentação!$E$3='Base de Dados e filtragem'!E1271),1,0)</f>
        <v>1</v>
      </c>
      <c r="AJ1271" s="25">
        <f>IF(OR(Apresentação!$E$4='Base de Dados e filtragem'!AJ$2,Apresentação!$E$4='Base de Dados e filtragem'!F1271),1,0)</f>
        <v>1</v>
      </c>
      <c r="AK1271" s="25">
        <f>IF(OR(Apresentação!$E$5='Base de Dados e filtragem'!AK$2,Apresentação!$E$5='Base de Dados e filtragem'!G1271),1,0)</f>
        <v>1</v>
      </c>
      <c r="AL1271" s="25">
        <f>IF(OR(Apresentação!$E$6='Base de Dados e filtragem'!AL$2,Apresentação!$E$6='Base de Dados e filtragem'!H1271),1,0)</f>
        <v>1</v>
      </c>
      <c r="AM1271" s="25">
        <f>IF(OR(Apresentação!$I$2='Base de Dados e filtragem'!AM$2,Apresentação!$I$2='Base de Dados e filtragem'!I1271),1,0)</f>
        <v>1</v>
      </c>
      <c r="AN1271" s="25">
        <f>IF(OR(Apresentação!$I$3='Base de Dados e filtragem'!AN$2,Apresentação!$I$3='Base de Dados e filtragem'!J1271),1,0)</f>
        <v>1</v>
      </c>
      <c r="AO1271" s="25">
        <f>IF(OR(Apresentação!$I$4='Base de Dados e filtragem'!AO$2,Apresentação!$I$4='Base de Dados e filtragem'!K1271),1,0)</f>
        <v>1</v>
      </c>
      <c r="AP1271" s="25">
        <f>IF(OR(Apresentação!$I$5='Base de Dados e filtragem'!AP$2,Apresentação!$I$5='Base de Dados e filtragem'!L1271),1,0)</f>
        <v>1</v>
      </c>
      <c r="AQ1271" s="25">
        <f>IF(OR(Apresentação!$I$6='Base de Dados e filtragem'!AQ$2,Apresentação!$I$6='Base de Dados e filtragem'!M1271),1,0)</f>
        <v>1</v>
      </c>
      <c r="AR1271" s="25">
        <v>1</v>
      </c>
      <c r="AS1271" s="25">
        <v>1</v>
      </c>
      <c r="AT1271" s="25">
        <v>1</v>
      </c>
      <c r="AU1271" s="25">
        <v>1</v>
      </c>
      <c r="AV1271" s="25">
        <v>1</v>
      </c>
      <c r="AW1271" s="25">
        <v>1</v>
      </c>
      <c r="AX1271" s="25">
        <v>1</v>
      </c>
      <c r="AY1271" s="25">
        <v>1</v>
      </c>
      <c r="AZ1271" s="25">
        <v>1</v>
      </c>
      <c r="BA1271" s="25">
        <v>1</v>
      </c>
      <c r="BB1271" s="25">
        <v>1</v>
      </c>
      <c r="BC1271" s="25">
        <v>1</v>
      </c>
      <c r="BD1271" s="25">
        <v>1</v>
      </c>
    </row>
    <row r="1272" spans="27:56" x14ac:dyDescent="0.25">
      <c r="AA1272" s="68" t="str">
        <f t="shared" si="77"/>
        <v>Fotos\\.jpg</v>
      </c>
      <c r="AB1272" s="53">
        <f t="shared" si="78"/>
        <v>7.8616352201257866E-4</v>
      </c>
      <c r="AC1272" s="25">
        <f t="shared" si="79"/>
        <v>1272</v>
      </c>
      <c r="AD1272" s="51">
        <f t="shared" si="80"/>
        <v>1</v>
      </c>
      <c r="AE1272" s="25">
        <v>1</v>
      </c>
      <c r="AF1272" s="25">
        <v>1</v>
      </c>
      <c r="AG1272" s="25">
        <v>1</v>
      </c>
      <c r="AH1272" s="25">
        <v>1</v>
      </c>
      <c r="AI1272" s="25">
        <f>IF(OR(Apresentação!$E$3='Base de Dados e filtragem'!AI$2,Apresentação!$E$3='Base de Dados e filtragem'!E1272),1,0)</f>
        <v>1</v>
      </c>
      <c r="AJ1272" s="25">
        <f>IF(OR(Apresentação!$E$4='Base de Dados e filtragem'!AJ$2,Apresentação!$E$4='Base de Dados e filtragem'!F1272),1,0)</f>
        <v>1</v>
      </c>
      <c r="AK1272" s="25">
        <f>IF(OR(Apresentação!$E$5='Base de Dados e filtragem'!AK$2,Apresentação!$E$5='Base de Dados e filtragem'!G1272),1,0)</f>
        <v>1</v>
      </c>
      <c r="AL1272" s="25">
        <f>IF(OR(Apresentação!$E$6='Base de Dados e filtragem'!AL$2,Apresentação!$E$6='Base de Dados e filtragem'!H1272),1,0)</f>
        <v>1</v>
      </c>
      <c r="AM1272" s="25">
        <f>IF(OR(Apresentação!$I$2='Base de Dados e filtragem'!AM$2,Apresentação!$I$2='Base de Dados e filtragem'!I1272),1,0)</f>
        <v>1</v>
      </c>
      <c r="AN1272" s="25">
        <f>IF(OR(Apresentação!$I$3='Base de Dados e filtragem'!AN$2,Apresentação!$I$3='Base de Dados e filtragem'!J1272),1,0)</f>
        <v>1</v>
      </c>
      <c r="AO1272" s="25">
        <f>IF(OR(Apresentação!$I$4='Base de Dados e filtragem'!AO$2,Apresentação!$I$4='Base de Dados e filtragem'!K1272),1,0)</f>
        <v>1</v>
      </c>
      <c r="AP1272" s="25">
        <f>IF(OR(Apresentação!$I$5='Base de Dados e filtragem'!AP$2,Apresentação!$I$5='Base de Dados e filtragem'!L1272),1,0)</f>
        <v>1</v>
      </c>
      <c r="AQ1272" s="25">
        <f>IF(OR(Apresentação!$I$6='Base de Dados e filtragem'!AQ$2,Apresentação!$I$6='Base de Dados e filtragem'!M1272),1,0)</f>
        <v>1</v>
      </c>
      <c r="AR1272" s="25">
        <v>1</v>
      </c>
      <c r="AS1272" s="25">
        <v>1</v>
      </c>
      <c r="AT1272" s="25">
        <v>1</v>
      </c>
      <c r="AU1272" s="25">
        <v>1</v>
      </c>
      <c r="AV1272" s="25">
        <v>1</v>
      </c>
      <c r="AW1272" s="25">
        <v>1</v>
      </c>
      <c r="AX1272" s="25">
        <v>1</v>
      </c>
      <c r="AY1272" s="25">
        <v>1</v>
      </c>
      <c r="AZ1272" s="25">
        <v>1</v>
      </c>
      <c r="BA1272" s="25">
        <v>1</v>
      </c>
      <c r="BB1272" s="25">
        <v>1</v>
      </c>
      <c r="BC1272" s="25">
        <v>1</v>
      </c>
      <c r="BD1272" s="25">
        <v>1</v>
      </c>
    </row>
    <row r="1273" spans="27:56" x14ac:dyDescent="0.25">
      <c r="AA1273" s="68" t="str">
        <f t="shared" si="77"/>
        <v>Fotos\\.jpg</v>
      </c>
      <c r="AB1273" s="53">
        <f t="shared" si="78"/>
        <v>7.855459544383347E-4</v>
      </c>
      <c r="AC1273" s="25">
        <f t="shared" si="79"/>
        <v>1273</v>
      </c>
      <c r="AD1273" s="51">
        <f t="shared" si="80"/>
        <v>1</v>
      </c>
      <c r="AE1273" s="25">
        <v>1</v>
      </c>
      <c r="AF1273" s="25">
        <v>1</v>
      </c>
      <c r="AG1273" s="25">
        <v>1</v>
      </c>
      <c r="AH1273" s="25">
        <v>1</v>
      </c>
      <c r="AI1273" s="25">
        <f>IF(OR(Apresentação!$E$3='Base de Dados e filtragem'!AI$2,Apresentação!$E$3='Base de Dados e filtragem'!E1273),1,0)</f>
        <v>1</v>
      </c>
      <c r="AJ1273" s="25">
        <f>IF(OR(Apresentação!$E$4='Base de Dados e filtragem'!AJ$2,Apresentação!$E$4='Base de Dados e filtragem'!F1273),1,0)</f>
        <v>1</v>
      </c>
      <c r="AK1273" s="25">
        <f>IF(OR(Apresentação!$E$5='Base de Dados e filtragem'!AK$2,Apresentação!$E$5='Base de Dados e filtragem'!G1273),1,0)</f>
        <v>1</v>
      </c>
      <c r="AL1273" s="25">
        <f>IF(OR(Apresentação!$E$6='Base de Dados e filtragem'!AL$2,Apresentação!$E$6='Base de Dados e filtragem'!H1273),1,0)</f>
        <v>1</v>
      </c>
      <c r="AM1273" s="25">
        <f>IF(OR(Apresentação!$I$2='Base de Dados e filtragem'!AM$2,Apresentação!$I$2='Base de Dados e filtragem'!I1273),1,0)</f>
        <v>1</v>
      </c>
      <c r="AN1273" s="25">
        <f>IF(OR(Apresentação!$I$3='Base de Dados e filtragem'!AN$2,Apresentação!$I$3='Base de Dados e filtragem'!J1273),1,0)</f>
        <v>1</v>
      </c>
      <c r="AO1273" s="25">
        <f>IF(OR(Apresentação!$I$4='Base de Dados e filtragem'!AO$2,Apresentação!$I$4='Base de Dados e filtragem'!K1273),1,0)</f>
        <v>1</v>
      </c>
      <c r="AP1273" s="25">
        <f>IF(OR(Apresentação!$I$5='Base de Dados e filtragem'!AP$2,Apresentação!$I$5='Base de Dados e filtragem'!L1273),1,0)</f>
        <v>1</v>
      </c>
      <c r="AQ1273" s="25">
        <f>IF(OR(Apresentação!$I$6='Base de Dados e filtragem'!AQ$2,Apresentação!$I$6='Base de Dados e filtragem'!M1273),1,0)</f>
        <v>1</v>
      </c>
      <c r="AR1273" s="25">
        <v>1</v>
      </c>
      <c r="AS1273" s="25">
        <v>1</v>
      </c>
      <c r="AT1273" s="25">
        <v>1</v>
      </c>
      <c r="AU1273" s="25">
        <v>1</v>
      </c>
      <c r="AV1273" s="25">
        <v>1</v>
      </c>
      <c r="AW1273" s="25">
        <v>1</v>
      </c>
      <c r="AX1273" s="25">
        <v>1</v>
      </c>
      <c r="AY1273" s="25">
        <v>1</v>
      </c>
      <c r="AZ1273" s="25">
        <v>1</v>
      </c>
      <c r="BA1273" s="25">
        <v>1</v>
      </c>
      <c r="BB1273" s="25">
        <v>1</v>
      </c>
      <c r="BC1273" s="25">
        <v>1</v>
      </c>
      <c r="BD1273" s="25">
        <v>1</v>
      </c>
    </row>
    <row r="1274" spans="27:56" x14ac:dyDescent="0.25">
      <c r="AA1274" s="68" t="str">
        <f t="shared" si="77"/>
        <v>Fotos\\.jpg</v>
      </c>
      <c r="AB1274" s="53">
        <f t="shared" si="78"/>
        <v>7.8492935635792783E-4</v>
      </c>
      <c r="AC1274" s="25">
        <f t="shared" si="79"/>
        <v>1274</v>
      </c>
      <c r="AD1274" s="51">
        <f t="shared" si="80"/>
        <v>1</v>
      </c>
      <c r="AE1274" s="25">
        <v>1</v>
      </c>
      <c r="AF1274" s="25">
        <v>1</v>
      </c>
      <c r="AG1274" s="25">
        <v>1</v>
      </c>
      <c r="AH1274" s="25">
        <v>1</v>
      </c>
      <c r="AI1274" s="25">
        <f>IF(OR(Apresentação!$E$3='Base de Dados e filtragem'!AI$2,Apresentação!$E$3='Base de Dados e filtragem'!E1274),1,0)</f>
        <v>1</v>
      </c>
      <c r="AJ1274" s="25">
        <f>IF(OR(Apresentação!$E$4='Base de Dados e filtragem'!AJ$2,Apresentação!$E$4='Base de Dados e filtragem'!F1274),1,0)</f>
        <v>1</v>
      </c>
      <c r="AK1274" s="25">
        <f>IF(OR(Apresentação!$E$5='Base de Dados e filtragem'!AK$2,Apresentação!$E$5='Base de Dados e filtragem'!G1274),1,0)</f>
        <v>1</v>
      </c>
      <c r="AL1274" s="25">
        <f>IF(OR(Apresentação!$E$6='Base de Dados e filtragem'!AL$2,Apresentação!$E$6='Base de Dados e filtragem'!H1274),1,0)</f>
        <v>1</v>
      </c>
      <c r="AM1274" s="25">
        <f>IF(OR(Apresentação!$I$2='Base de Dados e filtragem'!AM$2,Apresentação!$I$2='Base de Dados e filtragem'!I1274),1,0)</f>
        <v>1</v>
      </c>
      <c r="AN1274" s="25">
        <f>IF(OR(Apresentação!$I$3='Base de Dados e filtragem'!AN$2,Apresentação!$I$3='Base de Dados e filtragem'!J1274),1,0)</f>
        <v>1</v>
      </c>
      <c r="AO1274" s="25">
        <f>IF(OR(Apresentação!$I$4='Base de Dados e filtragem'!AO$2,Apresentação!$I$4='Base de Dados e filtragem'!K1274),1,0)</f>
        <v>1</v>
      </c>
      <c r="AP1274" s="25">
        <f>IF(OR(Apresentação!$I$5='Base de Dados e filtragem'!AP$2,Apresentação!$I$5='Base de Dados e filtragem'!L1274),1,0)</f>
        <v>1</v>
      </c>
      <c r="AQ1274" s="25">
        <f>IF(OR(Apresentação!$I$6='Base de Dados e filtragem'!AQ$2,Apresentação!$I$6='Base de Dados e filtragem'!M1274),1,0)</f>
        <v>1</v>
      </c>
      <c r="AR1274" s="25">
        <v>1</v>
      </c>
      <c r="AS1274" s="25">
        <v>1</v>
      </c>
      <c r="AT1274" s="25">
        <v>1</v>
      </c>
      <c r="AU1274" s="25">
        <v>1</v>
      </c>
      <c r="AV1274" s="25">
        <v>1</v>
      </c>
      <c r="AW1274" s="25">
        <v>1</v>
      </c>
      <c r="AX1274" s="25">
        <v>1</v>
      </c>
      <c r="AY1274" s="25">
        <v>1</v>
      </c>
      <c r="AZ1274" s="25">
        <v>1</v>
      </c>
      <c r="BA1274" s="25">
        <v>1</v>
      </c>
      <c r="BB1274" s="25">
        <v>1</v>
      </c>
      <c r="BC1274" s="25">
        <v>1</v>
      </c>
      <c r="BD1274" s="25">
        <v>1</v>
      </c>
    </row>
    <row r="1275" spans="27:56" x14ac:dyDescent="0.25">
      <c r="AA1275" s="68" t="str">
        <f t="shared" si="77"/>
        <v>Fotos\\.jpg</v>
      </c>
      <c r="AB1275" s="53">
        <f t="shared" si="78"/>
        <v>7.8431372549019605E-4</v>
      </c>
      <c r="AC1275" s="25">
        <f t="shared" si="79"/>
        <v>1275</v>
      </c>
      <c r="AD1275" s="51">
        <f t="shared" si="80"/>
        <v>1</v>
      </c>
      <c r="AE1275" s="25">
        <v>1</v>
      </c>
      <c r="AF1275" s="25">
        <v>1</v>
      </c>
      <c r="AG1275" s="25">
        <v>1</v>
      </c>
      <c r="AH1275" s="25">
        <v>1</v>
      </c>
      <c r="AI1275" s="25">
        <f>IF(OR(Apresentação!$E$3='Base de Dados e filtragem'!AI$2,Apresentação!$E$3='Base de Dados e filtragem'!E1275),1,0)</f>
        <v>1</v>
      </c>
      <c r="AJ1275" s="25">
        <f>IF(OR(Apresentação!$E$4='Base de Dados e filtragem'!AJ$2,Apresentação!$E$4='Base de Dados e filtragem'!F1275),1,0)</f>
        <v>1</v>
      </c>
      <c r="AK1275" s="25">
        <f>IF(OR(Apresentação!$E$5='Base de Dados e filtragem'!AK$2,Apresentação!$E$5='Base de Dados e filtragem'!G1275),1,0)</f>
        <v>1</v>
      </c>
      <c r="AL1275" s="25">
        <f>IF(OR(Apresentação!$E$6='Base de Dados e filtragem'!AL$2,Apresentação!$E$6='Base de Dados e filtragem'!H1275),1,0)</f>
        <v>1</v>
      </c>
      <c r="AM1275" s="25">
        <f>IF(OR(Apresentação!$I$2='Base de Dados e filtragem'!AM$2,Apresentação!$I$2='Base de Dados e filtragem'!I1275),1,0)</f>
        <v>1</v>
      </c>
      <c r="AN1275" s="25">
        <f>IF(OR(Apresentação!$I$3='Base de Dados e filtragem'!AN$2,Apresentação!$I$3='Base de Dados e filtragem'!J1275),1,0)</f>
        <v>1</v>
      </c>
      <c r="AO1275" s="25">
        <f>IF(OR(Apresentação!$I$4='Base de Dados e filtragem'!AO$2,Apresentação!$I$4='Base de Dados e filtragem'!K1275),1,0)</f>
        <v>1</v>
      </c>
      <c r="AP1275" s="25">
        <f>IF(OR(Apresentação!$I$5='Base de Dados e filtragem'!AP$2,Apresentação!$I$5='Base de Dados e filtragem'!L1275),1,0)</f>
        <v>1</v>
      </c>
      <c r="AQ1275" s="25">
        <f>IF(OR(Apresentação!$I$6='Base de Dados e filtragem'!AQ$2,Apresentação!$I$6='Base de Dados e filtragem'!M1275),1,0)</f>
        <v>1</v>
      </c>
      <c r="AR1275" s="25">
        <v>1</v>
      </c>
      <c r="AS1275" s="25">
        <v>1</v>
      </c>
      <c r="AT1275" s="25">
        <v>1</v>
      </c>
      <c r="AU1275" s="25">
        <v>1</v>
      </c>
      <c r="AV1275" s="25">
        <v>1</v>
      </c>
      <c r="AW1275" s="25">
        <v>1</v>
      </c>
      <c r="AX1275" s="25">
        <v>1</v>
      </c>
      <c r="AY1275" s="25">
        <v>1</v>
      </c>
      <c r="AZ1275" s="25">
        <v>1</v>
      </c>
      <c r="BA1275" s="25">
        <v>1</v>
      </c>
      <c r="BB1275" s="25">
        <v>1</v>
      </c>
      <c r="BC1275" s="25">
        <v>1</v>
      </c>
      <c r="BD1275" s="25">
        <v>1</v>
      </c>
    </row>
    <row r="1276" spans="27:56" x14ac:dyDescent="0.25">
      <c r="AA1276" s="68" t="str">
        <f t="shared" si="77"/>
        <v>Fotos\\.jpg</v>
      </c>
      <c r="AB1276" s="53">
        <f t="shared" si="78"/>
        <v>7.836990595611285E-4</v>
      </c>
      <c r="AC1276" s="25">
        <f t="shared" si="79"/>
        <v>1276</v>
      </c>
      <c r="AD1276" s="51">
        <f t="shared" si="80"/>
        <v>1</v>
      </c>
      <c r="AE1276" s="25">
        <v>1</v>
      </c>
      <c r="AF1276" s="25">
        <v>1</v>
      </c>
      <c r="AG1276" s="25">
        <v>1</v>
      </c>
      <c r="AH1276" s="25">
        <v>1</v>
      </c>
      <c r="AI1276" s="25">
        <f>IF(OR(Apresentação!$E$3='Base de Dados e filtragem'!AI$2,Apresentação!$E$3='Base de Dados e filtragem'!E1276),1,0)</f>
        <v>1</v>
      </c>
      <c r="AJ1276" s="25">
        <f>IF(OR(Apresentação!$E$4='Base de Dados e filtragem'!AJ$2,Apresentação!$E$4='Base de Dados e filtragem'!F1276),1,0)</f>
        <v>1</v>
      </c>
      <c r="AK1276" s="25">
        <f>IF(OR(Apresentação!$E$5='Base de Dados e filtragem'!AK$2,Apresentação!$E$5='Base de Dados e filtragem'!G1276),1,0)</f>
        <v>1</v>
      </c>
      <c r="AL1276" s="25">
        <f>IF(OR(Apresentação!$E$6='Base de Dados e filtragem'!AL$2,Apresentação!$E$6='Base de Dados e filtragem'!H1276),1,0)</f>
        <v>1</v>
      </c>
      <c r="AM1276" s="25">
        <f>IF(OR(Apresentação!$I$2='Base de Dados e filtragem'!AM$2,Apresentação!$I$2='Base de Dados e filtragem'!I1276),1,0)</f>
        <v>1</v>
      </c>
      <c r="AN1276" s="25">
        <f>IF(OR(Apresentação!$I$3='Base de Dados e filtragem'!AN$2,Apresentação!$I$3='Base de Dados e filtragem'!J1276),1,0)</f>
        <v>1</v>
      </c>
      <c r="AO1276" s="25">
        <f>IF(OR(Apresentação!$I$4='Base de Dados e filtragem'!AO$2,Apresentação!$I$4='Base de Dados e filtragem'!K1276),1,0)</f>
        <v>1</v>
      </c>
      <c r="AP1276" s="25">
        <f>IF(OR(Apresentação!$I$5='Base de Dados e filtragem'!AP$2,Apresentação!$I$5='Base de Dados e filtragem'!L1276),1,0)</f>
        <v>1</v>
      </c>
      <c r="AQ1276" s="25">
        <f>IF(OR(Apresentação!$I$6='Base de Dados e filtragem'!AQ$2,Apresentação!$I$6='Base de Dados e filtragem'!M1276),1,0)</f>
        <v>1</v>
      </c>
      <c r="AR1276" s="25">
        <v>1</v>
      </c>
      <c r="AS1276" s="25">
        <v>1</v>
      </c>
      <c r="AT1276" s="25">
        <v>1</v>
      </c>
      <c r="AU1276" s="25">
        <v>1</v>
      </c>
      <c r="AV1276" s="25">
        <v>1</v>
      </c>
      <c r="AW1276" s="25">
        <v>1</v>
      </c>
      <c r="AX1276" s="25">
        <v>1</v>
      </c>
      <c r="AY1276" s="25">
        <v>1</v>
      </c>
      <c r="AZ1276" s="25">
        <v>1</v>
      </c>
      <c r="BA1276" s="25">
        <v>1</v>
      </c>
      <c r="BB1276" s="25">
        <v>1</v>
      </c>
      <c r="BC1276" s="25">
        <v>1</v>
      </c>
      <c r="BD1276" s="25">
        <v>1</v>
      </c>
    </row>
    <row r="1277" spans="27:56" x14ac:dyDescent="0.25">
      <c r="AA1277" s="68" t="str">
        <f t="shared" si="77"/>
        <v>Fotos\\.jpg</v>
      </c>
      <c r="AB1277" s="53">
        <f t="shared" si="78"/>
        <v>7.8308535630383712E-4</v>
      </c>
      <c r="AC1277" s="25">
        <f t="shared" si="79"/>
        <v>1277</v>
      </c>
      <c r="AD1277" s="51">
        <f t="shared" si="80"/>
        <v>1</v>
      </c>
      <c r="AE1277" s="25">
        <v>1</v>
      </c>
      <c r="AF1277" s="25">
        <v>1</v>
      </c>
      <c r="AG1277" s="25">
        <v>1</v>
      </c>
      <c r="AH1277" s="25">
        <v>1</v>
      </c>
      <c r="AI1277" s="25">
        <f>IF(OR(Apresentação!$E$3='Base de Dados e filtragem'!AI$2,Apresentação!$E$3='Base de Dados e filtragem'!E1277),1,0)</f>
        <v>1</v>
      </c>
      <c r="AJ1277" s="25">
        <f>IF(OR(Apresentação!$E$4='Base de Dados e filtragem'!AJ$2,Apresentação!$E$4='Base de Dados e filtragem'!F1277),1,0)</f>
        <v>1</v>
      </c>
      <c r="AK1277" s="25">
        <f>IF(OR(Apresentação!$E$5='Base de Dados e filtragem'!AK$2,Apresentação!$E$5='Base de Dados e filtragem'!G1277),1,0)</f>
        <v>1</v>
      </c>
      <c r="AL1277" s="25">
        <f>IF(OR(Apresentação!$E$6='Base de Dados e filtragem'!AL$2,Apresentação!$E$6='Base de Dados e filtragem'!H1277),1,0)</f>
        <v>1</v>
      </c>
      <c r="AM1277" s="25">
        <f>IF(OR(Apresentação!$I$2='Base de Dados e filtragem'!AM$2,Apresentação!$I$2='Base de Dados e filtragem'!I1277),1,0)</f>
        <v>1</v>
      </c>
      <c r="AN1277" s="25">
        <f>IF(OR(Apresentação!$I$3='Base de Dados e filtragem'!AN$2,Apresentação!$I$3='Base de Dados e filtragem'!J1277),1,0)</f>
        <v>1</v>
      </c>
      <c r="AO1277" s="25">
        <f>IF(OR(Apresentação!$I$4='Base de Dados e filtragem'!AO$2,Apresentação!$I$4='Base de Dados e filtragem'!K1277),1,0)</f>
        <v>1</v>
      </c>
      <c r="AP1277" s="25">
        <f>IF(OR(Apresentação!$I$5='Base de Dados e filtragem'!AP$2,Apresentação!$I$5='Base de Dados e filtragem'!L1277),1,0)</f>
        <v>1</v>
      </c>
      <c r="AQ1277" s="25">
        <f>IF(OR(Apresentação!$I$6='Base de Dados e filtragem'!AQ$2,Apresentação!$I$6='Base de Dados e filtragem'!M1277),1,0)</f>
        <v>1</v>
      </c>
      <c r="AR1277" s="25">
        <v>1</v>
      </c>
      <c r="AS1277" s="25">
        <v>1</v>
      </c>
      <c r="AT1277" s="25">
        <v>1</v>
      </c>
      <c r="AU1277" s="25">
        <v>1</v>
      </c>
      <c r="AV1277" s="25">
        <v>1</v>
      </c>
      <c r="AW1277" s="25">
        <v>1</v>
      </c>
      <c r="AX1277" s="25">
        <v>1</v>
      </c>
      <c r="AY1277" s="25">
        <v>1</v>
      </c>
      <c r="AZ1277" s="25">
        <v>1</v>
      </c>
      <c r="BA1277" s="25">
        <v>1</v>
      </c>
      <c r="BB1277" s="25">
        <v>1</v>
      </c>
      <c r="BC1277" s="25">
        <v>1</v>
      </c>
      <c r="BD1277" s="25">
        <v>1</v>
      </c>
    </row>
    <row r="1278" spans="27:56" x14ac:dyDescent="0.25">
      <c r="AA1278" s="68" t="str">
        <f t="shared" si="77"/>
        <v>Fotos\\.jpg</v>
      </c>
      <c r="AB1278" s="53">
        <f t="shared" si="78"/>
        <v>7.8247261345852897E-4</v>
      </c>
      <c r="AC1278" s="25">
        <f t="shared" si="79"/>
        <v>1278</v>
      </c>
      <c r="AD1278" s="51">
        <f t="shared" si="80"/>
        <v>1</v>
      </c>
      <c r="AE1278" s="25">
        <v>1</v>
      </c>
      <c r="AF1278" s="25">
        <v>1</v>
      </c>
      <c r="AG1278" s="25">
        <v>1</v>
      </c>
      <c r="AH1278" s="25">
        <v>1</v>
      </c>
      <c r="AI1278" s="25">
        <f>IF(OR(Apresentação!$E$3='Base de Dados e filtragem'!AI$2,Apresentação!$E$3='Base de Dados e filtragem'!E1278),1,0)</f>
        <v>1</v>
      </c>
      <c r="AJ1278" s="25">
        <f>IF(OR(Apresentação!$E$4='Base de Dados e filtragem'!AJ$2,Apresentação!$E$4='Base de Dados e filtragem'!F1278),1,0)</f>
        <v>1</v>
      </c>
      <c r="AK1278" s="25">
        <f>IF(OR(Apresentação!$E$5='Base de Dados e filtragem'!AK$2,Apresentação!$E$5='Base de Dados e filtragem'!G1278),1,0)</f>
        <v>1</v>
      </c>
      <c r="AL1278" s="25">
        <f>IF(OR(Apresentação!$E$6='Base de Dados e filtragem'!AL$2,Apresentação!$E$6='Base de Dados e filtragem'!H1278),1,0)</f>
        <v>1</v>
      </c>
      <c r="AM1278" s="25">
        <f>IF(OR(Apresentação!$I$2='Base de Dados e filtragem'!AM$2,Apresentação!$I$2='Base de Dados e filtragem'!I1278),1,0)</f>
        <v>1</v>
      </c>
      <c r="AN1278" s="25">
        <f>IF(OR(Apresentação!$I$3='Base de Dados e filtragem'!AN$2,Apresentação!$I$3='Base de Dados e filtragem'!J1278),1,0)</f>
        <v>1</v>
      </c>
      <c r="AO1278" s="25">
        <f>IF(OR(Apresentação!$I$4='Base de Dados e filtragem'!AO$2,Apresentação!$I$4='Base de Dados e filtragem'!K1278),1,0)</f>
        <v>1</v>
      </c>
      <c r="AP1278" s="25">
        <f>IF(OR(Apresentação!$I$5='Base de Dados e filtragem'!AP$2,Apresentação!$I$5='Base de Dados e filtragem'!L1278),1,0)</f>
        <v>1</v>
      </c>
      <c r="AQ1278" s="25">
        <f>IF(OR(Apresentação!$I$6='Base de Dados e filtragem'!AQ$2,Apresentação!$I$6='Base de Dados e filtragem'!M1278),1,0)</f>
        <v>1</v>
      </c>
      <c r="AR1278" s="25">
        <v>1</v>
      </c>
      <c r="AS1278" s="25">
        <v>1</v>
      </c>
      <c r="AT1278" s="25">
        <v>1</v>
      </c>
      <c r="AU1278" s="25">
        <v>1</v>
      </c>
      <c r="AV1278" s="25">
        <v>1</v>
      </c>
      <c r="AW1278" s="25">
        <v>1</v>
      </c>
      <c r="AX1278" s="25">
        <v>1</v>
      </c>
      <c r="AY1278" s="25">
        <v>1</v>
      </c>
      <c r="AZ1278" s="25">
        <v>1</v>
      </c>
      <c r="BA1278" s="25">
        <v>1</v>
      </c>
      <c r="BB1278" s="25">
        <v>1</v>
      </c>
      <c r="BC1278" s="25">
        <v>1</v>
      </c>
      <c r="BD1278" s="25">
        <v>1</v>
      </c>
    </row>
    <row r="1279" spans="27:56" x14ac:dyDescent="0.25">
      <c r="AA1279" s="68" t="str">
        <f t="shared" si="77"/>
        <v>Fotos\\.jpg</v>
      </c>
      <c r="AB1279" s="53">
        <f t="shared" si="78"/>
        <v>7.8186082877247849E-4</v>
      </c>
      <c r="AC1279" s="25">
        <f t="shared" si="79"/>
        <v>1279</v>
      </c>
      <c r="AD1279" s="51">
        <f t="shared" si="80"/>
        <v>1</v>
      </c>
      <c r="AE1279" s="25">
        <v>1</v>
      </c>
      <c r="AF1279" s="25">
        <v>1</v>
      </c>
      <c r="AG1279" s="25">
        <v>1</v>
      </c>
      <c r="AH1279" s="25">
        <v>1</v>
      </c>
      <c r="AI1279" s="25">
        <f>IF(OR(Apresentação!$E$3='Base de Dados e filtragem'!AI$2,Apresentação!$E$3='Base de Dados e filtragem'!E1279),1,0)</f>
        <v>1</v>
      </c>
      <c r="AJ1279" s="25">
        <f>IF(OR(Apresentação!$E$4='Base de Dados e filtragem'!AJ$2,Apresentação!$E$4='Base de Dados e filtragem'!F1279),1,0)</f>
        <v>1</v>
      </c>
      <c r="AK1279" s="25">
        <f>IF(OR(Apresentação!$E$5='Base de Dados e filtragem'!AK$2,Apresentação!$E$5='Base de Dados e filtragem'!G1279),1,0)</f>
        <v>1</v>
      </c>
      <c r="AL1279" s="25">
        <f>IF(OR(Apresentação!$E$6='Base de Dados e filtragem'!AL$2,Apresentação!$E$6='Base de Dados e filtragem'!H1279),1,0)</f>
        <v>1</v>
      </c>
      <c r="AM1279" s="25">
        <f>IF(OR(Apresentação!$I$2='Base de Dados e filtragem'!AM$2,Apresentação!$I$2='Base de Dados e filtragem'!I1279),1,0)</f>
        <v>1</v>
      </c>
      <c r="AN1279" s="25">
        <f>IF(OR(Apresentação!$I$3='Base de Dados e filtragem'!AN$2,Apresentação!$I$3='Base de Dados e filtragem'!J1279),1,0)</f>
        <v>1</v>
      </c>
      <c r="AO1279" s="25">
        <f>IF(OR(Apresentação!$I$4='Base de Dados e filtragem'!AO$2,Apresentação!$I$4='Base de Dados e filtragem'!K1279),1,0)</f>
        <v>1</v>
      </c>
      <c r="AP1279" s="25">
        <f>IF(OR(Apresentação!$I$5='Base de Dados e filtragem'!AP$2,Apresentação!$I$5='Base de Dados e filtragem'!L1279),1,0)</f>
        <v>1</v>
      </c>
      <c r="AQ1279" s="25">
        <f>IF(OR(Apresentação!$I$6='Base de Dados e filtragem'!AQ$2,Apresentação!$I$6='Base de Dados e filtragem'!M1279),1,0)</f>
        <v>1</v>
      </c>
      <c r="AR1279" s="25">
        <v>1</v>
      </c>
      <c r="AS1279" s="25">
        <v>1</v>
      </c>
      <c r="AT1279" s="25">
        <v>1</v>
      </c>
      <c r="AU1279" s="25">
        <v>1</v>
      </c>
      <c r="AV1279" s="25">
        <v>1</v>
      </c>
      <c r="AW1279" s="25">
        <v>1</v>
      </c>
      <c r="AX1279" s="25">
        <v>1</v>
      </c>
      <c r="AY1279" s="25">
        <v>1</v>
      </c>
      <c r="AZ1279" s="25">
        <v>1</v>
      </c>
      <c r="BA1279" s="25">
        <v>1</v>
      </c>
      <c r="BB1279" s="25">
        <v>1</v>
      </c>
      <c r="BC1279" s="25">
        <v>1</v>
      </c>
      <c r="BD1279" s="25">
        <v>1</v>
      </c>
    </row>
    <row r="1280" spans="27:56" x14ac:dyDescent="0.25">
      <c r="AA1280" s="68" t="str">
        <f t="shared" si="77"/>
        <v>Fotos\\.jpg</v>
      </c>
      <c r="AB1280" s="53">
        <f t="shared" si="78"/>
        <v>7.8125000000000004E-4</v>
      </c>
      <c r="AC1280" s="25">
        <f t="shared" si="79"/>
        <v>1280</v>
      </c>
      <c r="AD1280" s="51">
        <f t="shared" si="80"/>
        <v>1</v>
      </c>
      <c r="AE1280" s="25">
        <v>1</v>
      </c>
      <c r="AF1280" s="25">
        <v>1</v>
      </c>
      <c r="AG1280" s="25">
        <v>1</v>
      </c>
      <c r="AH1280" s="25">
        <v>1</v>
      </c>
      <c r="AI1280" s="25">
        <f>IF(OR(Apresentação!$E$3='Base de Dados e filtragem'!AI$2,Apresentação!$E$3='Base de Dados e filtragem'!E1280),1,0)</f>
        <v>1</v>
      </c>
      <c r="AJ1280" s="25">
        <f>IF(OR(Apresentação!$E$4='Base de Dados e filtragem'!AJ$2,Apresentação!$E$4='Base de Dados e filtragem'!F1280),1,0)</f>
        <v>1</v>
      </c>
      <c r="AK1280" s="25">
        <f>IF(OR(Apresentação!$E$5='Base de Dados e filtragem'!AK$2,Apresentação!$E$5='Base de Dados e filtragem'!G1280),1,0)</f>
        <v>1</v>
      </c>
      <c r="AL1280" s="25">
        <f>IF(OR(Apresentação!$E$6='Base de Dados e filtragem'!AL$2,Apresentação!$E$6='Base de Dados e filtragem'!H1280),1,0)</f>
        <v>1</v>
      </c>
      <c r="AM1280" s="25">
        <f>IF(OR(Apresentação!$I$2='Base de Dados e filtragem'!AM$2,Apresentação!$I$2='Base de Dados e filtragem'!I1280),1,0)</f>
        <v>1</v>
      </c>
      <c r="AN1280" s="25">
        <f>IF(OR(Apresentação!$I$3='Base de Dados e filtragem'!AN$2,Apresentação!$I$3='Base de Dados e filtragem'!J1280),1,0)</f>
        <v>1</v>
      </c>
      <c r="AO1280" s="25">
        <f>IF(OR(Apresentação!$I$4='Base de Dados e filtragem'!AO$2,Apresentação!$I$4='Base de Dados e filtragem'!K1280),1,0)</f>
        <v>1</v>
      </c>
      <c r="AP1280" s="25">
        <f>IF(OR(Apresentação!$I$5='Base de Dados e filtragem'!AP$2,Apresentação!$I$5='Base de Dados e filtragem'!L1280),1,0)</f>
        <v>1</v>
      </c>
      <c r="AQ1280" s="25">
        <f>IF(OR(Apresentação!$I$6='Base de Dados e filtragem'!AQ$2,Apresentação!$I$6='Base de Dados e filtragem'!M1280),1,0)</f>
        <v>1</v>
      </c>
      <c r="AR1280" s="25">
        <v>1</v>
      </c>
      <c r="AS1280" s="25">
        <v>1</v>
      </c>
      <c r="AT1280" s="25">
        <v>1</v>
      </c>
      <c r="AU1280" s="25">
        <v>1</v>
      </c>
      <c r="AV1280" s="25">
        <v>1</v>
      </c>
      <c r="AW1280" s="25">
        <v>1</v>
      </c>
      <c r="AX1280" s="25">
        <v>1</v>
      </c>
      <c r="AY1280" s="25">
        <v>1</v>
      </c>
      <c r="AZ1280" s="25">
        <v>1</v>
      </c>
      <c r="BA1280" s="25">
        <v>1</v>
      </c>
      <c r="BB1280" s="25">
        <v>1</v>
      </c>
      <c r="BC1280" s="25">
        <v>1</v>
      </c>
      <c r="BD1280" s="25">
        <v>1</v>
      </c>
    </row>
    <row r="1281" spans="27:56" x14ac:dyDescent="0.25">
      <c r="AA1281" s="68" t="str">
        <f t="shared" si="77"/>
        <v>Fotos\\.jpg</v>
      </c>
      <c r="AB1281" s="53">
        <f t="shared" si="78"/>
        <v>7.8064012490241998E-4</v>
      </c>
      <c r="AC1281" s="25">
        <f t="shared" si="79"/>
        <v>1281</v>
      </c>
      <c r="AD1281" s="51">
        <f t="shared" si="80"/>
        <v>1</v>
      </c>
      <c r="AE1281" s="25">
        <v>1</v>
      </c>
      <c r="AF1281" s="25">
        <v>1</v>
      </c>
      <c r="AG1281" s="25">
        <v>1</v>
      </c>
      <c r="AH1281" s="25">
        <v>1</v>
      </c>
      <c r="AI1281" s="25">
        <f>IF(OR(Apresentação!$E$3='Base de Dados e filtragem'!AI$2,Apresentação!$E$3='Base de Dados e filtragem'!E1281),1,0)</f>
        <v>1</v>
      </c>
      <c r="AJ1281" s="25">
        <f>IF(OR(Apresentação!$E$4='Base de Dados e filtragem'!AJ$2,Apresentação!$E$4='Base de Dados e filtragem'!F1281),1,0)</f>
        <v>1</v>
      </c>
      <c r="AK1281" s="25">
        <f>IF(OR(Apresentação!$E$5='Base de Dados e filtragem'!AK$2,Apresentação!$E$5='Base de Dados e filtragem'!G1281),1,0)</f>
        <v>1</v>
      </c>
      <c r="AL1281" s="25">
        <f>IF(OR(Apresentação!$E$6='Base de Dados e filtragem'!AL$2,Apresentação!$E$6='Base de Dados e filtragem'!H1281),1,0)</f>
        <v>1</v>
      </c>
      <c r="AM1281" s="25">
        <f>IF(OR(Apresentação!$I$2='Base de Dados e filtragem'!AM$2,Apresentação!$I$2='Base de Dados e filtragem'!I1281),1,0)</f>
        <v>1</v>
      </c>
      <c r="AN1281" s="25">
        <f>IF(OR(Apresentação!$I$3='Base de Dados e filtragem'!AN$2,Apresentação!$I$3='Base de Dados e filtragem'!J1281),1,0)</f>
        <v>1</v>
      </c>
      <c r="AO1281" s="25">
        <f>IF(OR(Apresentação!$I$4='Base de Dados e filtragem'!AO$2,Apresentação!$I$4='Base de Dados e filtragem'!K1281),1,0)</f>
        <v>1</v>
      </c>
      <c r="AP1281" s="25">
        <f>IF(OR(Apresentação!$I$5='Base de Dados e filtragem'!AP$2,Apresentação!$I$5='Base de Dados e filtragem'!L1281),1,0)</f>
        <v>1</v>
      </c>
      <c r="AQ1281" s="25">
        <f>IF(OR(Apresentação!$I$6='Base de Dados e filtragem'!AQ$2,Apresentação!$I$6='Base de Dados e filtragem'!M1281),1,0)</f>
        <v>1</v>
      </c>
      <c r="AR1281" s="25">
        <v>1</v>
      </c>
      <c r="AS1281" s="25">
        <v>1</v>
      </c>
      <c r="AT1281" s="25">
        <v>1</v>
      </c>
      <c r="AU1281" s="25">
        <v>1</v>
      </c>
      <c r="AV1281" s="25">
        <v>1</v>
      </c>
      <c r="AW1281" s="25">
        <v>1</v>
      </c>
      <c r="AX1281" s="25">
        <v>1</v>
      </c>
      <c r="AY1281" s="25">
        <v>1</v>
      </c>
      <c r="AZ1281" s="25">
        <v>1</v>
      </c>
      <c r="BA1281" s="25">
        <v>1</v>
      </c>
      <c r="BB1281" s="25">
        <v>1</v>
      </c>
      <c r="BC1281" s="25">
        <v>1</v>
      </c>
      <c r="BD1281" s="25">
        <v>1</v>
      </c>
    </row>
    <row r="1282" spans="27:56" x14ac:dyDescent="0.25">
      <c r="AA1282" s="68" t="str">
        <f t="shared" si="77"/>
        <v>Fotos\\.jpg</v>
      </c>
      <c r="AB1282" s="53">
        <f t="shared" si="78"/>
        <v>7.8003120124804995E-4</v>
      </c>
      <c r="AC1282" s="25">
        <f t="shared" si="79"/>
        <v>1282</v>
      </c>
      <c r="AD1282" s="51">
        <f t="shared" si="80"/>
        <v>1</v>
      </c>
      <c r="AE1282" s="25">
        <v>1</v>
      </c>
      <c r="AF1282" s="25">
        <v>1</v>
      </c>
      <c r="AG1282" s="25">
        <v>1</v>
      </c>
      <c r="AH1282" s="25">
        <v>1</v>
      </c>
      <c r="AI1282" s="25">
        <f>IF(OR(Apresentação!$E$3='Base de Dados e filtragem'!AI$2,Apresentação!$E$3='Base de Dados e filtragem'!E1282),1,0)</f>
        <v>1</v>
      </c>
      <c r="AJ1282" s="25">
        <f>IF(OR(Apresentação!$E$4='Base de Dados e filtragem'!AJ$2,Apresentação!$E$4='Base de Dados e filtragem'!F1282),1,0)</f>
        <v>1</v>
      </c>
      <c r="AK1282" s="25">
        <f>IF(OR(Apresentação!$E$5='Base de Dados e filtragem'!AK$2,Apresentação!$E$5='Base de Dados e filtragem'!G1282),1,0)</f>
        <v>1</v>
      </c>
      <c r="AL1282" s="25">
        <f>IF(OR(Apresentação!$E$6='Base de Dados e filtragem'!AL$2,Apresentação!$E$6='Base de Dados e filtragem'!H1282),1,0)</f>
        <v>1</v>
      </c>
      <c r="AM1282" s="25">
        <f>IF(OR(Apresentação!$I$2='Base de Dados e filtragem'!AM$2,Apresentação!$I$2='Base de Dados e filtragem'!I1282),1,0)</f>
        <v>1</v>
      </c>
      <c r="AN1282" s="25">
        <f>IF(OR(Apresentação!$I$3='Base de Dados e filtragem'!AN$2,Apresentação!$I$3='Base de Dados e filtragem'!J1282),1,0)</f>
        <v>1</v>
      </c>
      <c r="AO1282" s="25">
        <f>IF(OR(Apresentação!$I$4='Base de Dados e filtragem'!AO$2,Apresentação!$I$4='Base de Dados e filtragem'!K1282),1,0)</f>
        <v>1</v>
      </c>
      <c r="AP1282" s="25">
        <f>IF(OR(Apresentação!$I$5='Base de Dados e filtragem'!AP$2,Apresentação!$I$5='Base de Dados e filtragem'!L1282),1,0)</f>
        <v>1</v>
      </c>
      <c r="AQ1282" s="25">
        <f>IF(OR(Apresentação!$I$6='Base de Dados e filtragem'!AQ$2,Apresentação!$I$6='Base de Dados e filtragem'!M1282),1,0)</f>
        <v>1</v>
      </c>
      <c r="AR1282" s="25">
        <v>1</v>
      </c>
      <c r="AS1282" s="25">
        <v>1</v>
      </c>
      <c r="AT1282" s="25">
        <v>1</v>
      </c>
      <c r="AU1282" s="25">
        <v>1</v>
      </c>
      <c r="AV1282" s="25">
        <v>1</v>
      </c>
      <c r="AW1282" s="25">
        <v>1</v>
      </c>
      <c r="AX1282" s="25">
        <v>1</v>
      </c>
      <c r="AY1282" s="25">
        <v>1</v>
      </c>
      <c r="AZ1282" s="25">
        <v>1</v>
      </c>
      <c r="BA1282" s="25">
        <v>1</v>
      </c>
      <c r="BB1282" s="25">
        <v>1</v>
      </c>
      <c r="BC1282" s="25">
        <v>1</v>
      </c>
      <c r="BD1282" s="25">
        <v>1</v>
      </c>
    </row>
    <row r="1283" spans="27:56" x14ac:dyDescent="0.25">
      <c r="AA1283" s="68" t="str">
        <f t="shared" si="77"/>
        <v>Fotos\\.jpg</v>
      </c>
      <c r="AB1283" s="53">
        <f t="shared" si="78"/>
        <v>7.7942322681215901E-4</v>
      </c>
      <c r="AC1283" s="25">
        <f t="shared" si="79"/>
        <v>1283</v>
      </c>
      <c r="AD1283" s="51">
        <f t="shared" si="80"/>
        <v>1</v>
      </c>
      <c r="AE1283" s="25">
        <v>1</v>
      </c>
      <c r="AF1283" s="25">
        <v>1</v>
      </c>
      <c r="AG1283" s="25">
        <v>1</v>
      </c>
      <c r="AH1283" s="25">
        <v>1</v>
      </c>
      <c r="AI1283" s="25">
        <f>IF(OR(Apresentação!$E$3='Base de Dados e filtragem'!AI$2,Apresentação!$E$3='Base de Dados e filtragem'!E1283),1,0)</f>
        <v>1</v>
      </c>
      <c r="AJ1283" s="25">
        <f>IF(OR(Apresentação!$E$4='Base de Dados e filtragem'!AJ$2,Apresentação!$E$4='Base de Dados e filtragem'!F1283),1,0)</f>
        <v>1</v>
      </c>
      <c r="AK1283" s="25">
        <f>IF(OR(Apresentação!$E$5='Base de Dados e filtragem'!AK$2,Apresentação!$E$5='Base de Dados e filtragem'!G1283),1,0)</f>
        <v>1</v>
      </c>
      <c r="AL1283" s="25">
        <f>IF(OR(Apresentação!$E$6='Base de Dados e filtragem'!AL$2,Apresentação!$E$6='Base de Dados e filtragem'!H1283),1,0)</f>
        <v>1</v>
      </c>
      <c r="AM1283" s="25">
        <f>IF(OR(Apresentação!$I$2='Base de Dados e filtragem'!AM$2,Apresentação!$I$2='Base de Dados e filtragem'!I1283),1,0)</f>
        <v>1</v>
      </c>
      <c r="AN1283" s="25">
        <f>IF(OR(Apresentação!$I$3='Base de Dados e filtragem'!AN$2,Apresentação!$I$3='Base de Dados e filtragem'!J1283),1,0)</f>
        <v>1</v>
      </c>
      <c r="AO1283" s="25">
        <f>IF(OR(Apresentação!$I$4='Base de Dados e filtragem'!AO$2,Apresentação!$I$4='Base de Dados e filtragem'!K1283),1,0)</f>
        <v>1</v>
      </c>
      <c r="AP1283" s="25">
        <f>IF(OR(Apresentação!$I$5='Base de Dados e filtragem'!AP$2,Apresentação!$I$5='Base de Dados e filtragem'!L1283),1,0)</f>
        <v>1</v>
      </c>
      <c r="AQ1283" s="25">
        <f>IF(OR(Apresentação!$I$6='Base de Dados e filtragem'!AQ$2,Apresentação!$I$6='Base de Dados e filtragem'!M1283),1,0)</f>
        <v>1</v>
      </c>
      <c r="AR1283" s="25">
        <v>1</v>
      </c>
      <c r="AS1283" s="25">
        <v>1</v>
      </c>
      <c r="AT1283" s="25">
        <v>1</v>
      </c>
      <c r="AU1283" s="25">
        <v>1</v>
      </c>
      <c r="AV1283" s="25">
        <v>1</v>
      </c>
      <c r="AW1283" s="25">
        <v>1</v>
      </c>
      <c r="AX1283" s="25">
        <v>1</v>
      </c>
      <c r="AY1283" s="25">
        <v>1</v>
      </c>
      <c r="AZ1283" s="25">
        <v>1</v>
      </c>
      <c r="BA1283" s="25">
        <v>1</v>
      </c>
      <c r="BB1283" s="25">
        <v>1</v>
      </c>
      <c r="BC1283" s="25">
        <v>1</v>
      </c>
      <c r="BD1283" s="25">
        <v>1</v>
      </c>
    </row>
    <row r="1284" spans="27:56" x14ac:dyDescent="0.25">
      <c r="AA1284" s="68" t="str">
        <f t="shared" ref="AA1284:AA1347" si="81">"Fotos\"&amp;I1284&amp;"\"&amp;A1284&amp;".jpg"</f>
        <v>Fotos\\.jpg</v>
      </c>
      <c r="AB1284" s="53">
        <f t="shared" ref="AB1284:AB1347" si="82">AD1284/AC1284</f>
        <v>7.7881619937694702E-4</v>
      </c>
      <c r="AC1284" s="25">
        <f t="shared" ref="AC1284:AC1347" si="83">AC1283+1</f>
        <v>1284</v>
      </c>
      <c r="AD1284" s="51">
        <f t="shared" ref="AD1284:AD1347" si="84">PRODUCT(AE1284:BD1284)</f>
        <v>1</v>
      </c>
      <c r="AE1284" s="25">
        <v>1</v>
      </c>
      <c r="AF1284" s="25">
        <v>1</v>
      </c>
      <c r="AG1284" s="25">
        <v>1</v>
      </c>
      <c r="AH1284" s="25">
        <v>1</v>
      </c>
      <c r="AI1284" s="25">
        <f>IF(OR(Apresentação!$E$3='Base de Dados e filtragem'!AI$2,Apresentação!$E$3='Base de Dados e filtragem'!E1284),1,0)</f>
        <v>1</v>
      </c>
      <c r="AJ1284" s="25">
        <f>IF(OR(Apresentação!$E$4='Base de Dados e filtragem'!AJ$2,Apresentação!$E$4='Base de Dados e filtragem'!F1284),1,0)</f>
        <v>1</v>
      </c>
      <c r="AK1284" s="25">
        <f>IF(OR(Apresentação!$E$5='Base de Dados e filtragem'!AK$2,Apresentação!$E$5='Base de Dados e filtragem'!G1284),1,0)</f>
        <v>1</v>
      </c>
      <c r="AL1284" s="25">
        <f>IF(OR(Apresentação!$E$6='Base de Dados e filtragem'!AL$2,Apresentação!$E$6='Base de Dados e filtragem'!H1284),1,0)</f>
        <v>1</v>
      </c>
      <c r="AM1284" s="25">
        <f>IF(OR(Apresentação!$I$2='Base de Dados e filtragem'!AM$2,Apresentação!$I$2='Base de Dados e filtragem'!I1284),1,0)</f>
        <v>1</v>
      </c>
      <c r="AN1284" s="25">
        <f>IF(OR(Apresentação!$I$3='Base de Dados e filtragem'!AN$2,Apresentação!$I$3='Base de Dados e filtragem'!J1284),1,0)</f>
        <v>1</v>
      </c>
      <c r="AO1284" s="25">
        <f>IF(OR(Apresentação!$I$4='Base de Dados e filtragem'!AO$2,Apresentação!$I$4='Base de Dados e filtragem'!K1284),1,0)</f>
        <v>1</v>
      </c>
      <c r="AP1284" s="25">
        <f>IF(OR(Apresentação!$I$5='Base de Dados e filtragem'!AP$2,Apresentação!$I$5='Base de Dados e filtragem'!L1284),1,0)</f>
        <v>1</v>
      </c>
      <c r="AQ1284" s="25">
        <f>IF(OR(Apresentação!$I$6='Base de Dados e filtragem'!AQ$2,Apresentação!$I$6='Base de Dados e filtragem'!M1284),1,0)</f>
        <v>1</v>
      </c>
      <c r="AR1284" s="25">
        <v>1</v>
      </c>
      <c r="AS1284" s="25">
        <v>1</v>
      </c>
      <c r="AT1284" s="25">
        <v>1</v>
      </c>
      <c r="AU1284" s="25">
        <v>1</v>
      </c>
      <c r="AV1284" s="25">
        <v>1</v>
      </c>
      <c r="AW1284" s="25">
        <v>1</v>
      </c>
      <c r="AX1284" s="25">
        <v>1</v>
      </c>
      <c r="AY1284" s="25">
        <v>1</v>
      </c>
      <c r="AZ1284" s="25">
        <v>1</v>
      </c>
      <c r="BA1284" s="25">
        <v>1</v>
      </c>
      <c r="BB1284" s="25">
        <v>1</v>
      </c>
      <c r="BC1284" s="25">
        <v>1</v>
      </c>
      <c r="BD1284" s="25">
        <v>1</v>
      </c>
    </row>
    <row r="1285" spans="27:56" x14ac:dyDescent="0.25">
      <c r="AA1285" s="68" t="str">
        <f t="shared" si="81"/>
        <v>Fotos\\.jpg</v>
      </c>
      <c r="AB1285" s="53">
        <f t="shared" si="82"/>
        <v>7.7821011673151756E-4</v>
      </c>
      <c r="AC1285" s="25">
        <f t="shared" si="83"/>
        <v>1285</v>
      </c>
      <c r="AD1285" s="51">
        <f t="shared" si="84"/>
        <v>1</v>
      </c>
      <c r="AE1285" s="25">
        <v>1</v>
      </c>
      <c r="AF1285" s="25">
        <v>1</v>
      </c>
      <c r="AG1285" s="25">
        <v>1</v>
      </c>
      <c r="AH1285" s="25">
        <v>1</v>
      </c>
      <c r="AI1285" s="25">
        <f>IF(OR(Apresentação!$E$3='Base de Dados e filtragem'!AI$2,Apresentação!$E$3='Base de Dados e filtragem'!E1285),1,0)</f>
        <v>1</v>
      </c>
      <c r="AJ1285" s="25">
        <f>IF(OR(Apresentação!$E$4='Base de Dados e filtragem'!AJ$2,Apresentação!$E$4='Base de Dados e filtragem'!F1285),1,0)</f>
        <v>1</v>
      </c>
      <c r="AK1285" s="25">
        <f>IF(OR(Apresentação!$E$5='Base de Dados e filtragem'!AK$2,Apresentação!$E$5='Base de Dados e filtragem'!G1285),1,0)</f>
        <v>1</v>
      </c>
      <c r="AL1285" s="25">
        <f>IF(OR(Apresentação!$E$6='Base de Dados e filtragem'!AL$2,Apresentação!$E$6='Base de Dados e filtragem'!H1285),1,0)</f>
        <v>1</v>
      </c>
      <c r="AM1285" s="25">
        <f>IF(OR(Apresentação!$I$2='Base de Dados e filtragem'!AM$2,Apresentação!$I$2='Base de Dados e filtragem'!I1285),1,0)</f>
        <v>1</v>
      </c>
      <c r="AN1285" s="25">
        <f>IF(OR(Apresentação!$I$3='Base de Dados e filtragem'!AN$2,Apresentação!$I$3='Base de Dados e filtragem'!J1285),1,0)</f>
        <v>1</v>
      </c>
      <c r="AO1285" s="25">
        <f>IF(OR(Apresentação!$I$4='Base de Dados e filtragem'!AO$2,Apresentação!$I$4='Base de Dados e filtragem'!K1285),1,0)</f>
        <v>1</v>
      </c>
      <c r="AP1285" s="25">
        <f>IF(OR(Apresentação!$I$5='Base de Dados e filtragem'!AP$2,Apresentação!$I$5='Base de Dados e filtragem'!L1285),1,0)</f>
        <v>1</v>
      </c>
      <c r="AQ1285" s="25">
        <f>IF(OR(Apresentação!$I$6='Base de Dados e filtragem'!AQ$2,Apresentação!$I$6='Base de Dados e filtragem'!M1285),1,0)</f>
        <v>1</v>
      </c>
      <c r="AR1285" s="25">
        <v>1</v>
      </c>
      <c r="AS1285" s="25">
        <v>1</v>
      </c>
      <c r="AT1285" s="25">
        <v>1</v>
      </c>
      <c r="AU1285" s="25">
        <v>1</v>
      </c>
      <c r="AV1285" s="25">
        <v>1</v>
      </c>
      <c r="AW1285" s="25">
        <v>1</v>
      </c>
      <c r="AX1285" s="25">
        <v>1</v>
      </c>
      <c r="AY1285" s="25">
        <v>1</v>
      </c>
      <c r="AZ1285" s="25">
        <v>1</v>
      </c>
      <c r="BA1285" s="25">
        <v>1</v>
      </c>
      <c r="BB1285" s="25">
        <v>1</v>
      </c>
      <c r="BC1285" s="25">
        <v>1</v>
      </c>
      <c r="BD1285" s="25">
        <v>1</v>
      </c>
    </row>
    <row r="1286" spans="27:56" x14ac:dyDescent="0.25">
      <c r="AA1286" s="68" t="str">
        <f t="shared" si="81"/>
        <v>Fotos\\.jpg</v>
      </c>
      <c r="AB1286" s="53">
        <f t="shared" si="82"/>
        <v>7.776049766718507E-4</v>
      </c>
      <c r="AC1286" s="25">
        <f t="shared" si="83"/>
        <v>1286</v>
      </c>
      <c r="AD1286" s="51">
        <f t="shared" si="84"/>
        <v>1</v>
      </c>
      <c r="AE1286" s="25">
        <v>1</v>
      </c>
      <c r="AF1286" s="25">
        <v>1</v>
      </c>
      <c r="AG1286" s="25">
        <v>1</v>
      </c>
      <c r="AH1286" s="25">
        <v>1</v>
      </c>
      <c r="AI1286" s="25">
        <f>IF(OR(Apresentação!$E$3='Base de Dados e filtragem'!AI$2,Apresentação!$E$3='Base de Dados e filtragem'!E1286),1,0)</f>
        <v>1</v>
      </c>
      <c r="AJ1286" s="25">
        <f>IF(OR(Apresentação!$E$4='Base de Dados e filtragem'!AJ$2,Apresentação!$E$4='Base de Dados e filtragem'!F1286),1,0)</f>
        <v>1</v>
      </c>
      <c r="AK1286" s="25">
        <f>IF(OR(Apresentação!$E$5='Base de Dados e filtragem'!AK$2,Apresentação!$E$5='Base de Dados e filtragem'!G1286),1,0)</f>
        <v>1</v>
      </c>
      <c r="AL1286" s="25">
        <f>IF(OR(Apresentação!$E$6='Base de Dados e filtragem'!AL$2,Apresentação!$E$6='Base de Dados e filtragem'!H1286),1,0)</f>
        <v>1</v>
      </c>
      <c r="AM1286" s="25">
        <f>IF(OR(Apresentação!$I$2='Base de Dados e filtragem'!AM$2,Apresentação!$I$2='Base de Dados e filtragem'!I1286),1,0)</f>
        <v>1</v>
      </c>
      <c r="AN1286" s="25">
        <f>IF(OR(Apresentação!$I$3='Base de Dados e filtragem'!AN$2,Apresentação!$I$3='Base de Dados e filtragem'!J1286),1,0)</f>
        <v>1</v>
      </c>
      <c r="AO1286" s="25">
        <f>IF(OR(Apresentação!$I$4='Base de Dados e filtragem'!AO$2,Apresentação!$I$4='Base de Dados e filtragem'!K1286),1,0)</f>
        <v>1</v>
      </c>
      <c r="AP1286" s="25">
        <f>IF(OR(Apresentação!$I$5='Base de Dados e filtragem'!AP$2,Apresentação!$I$5='Base de Dados e filtragem'!L1286),1,0)</f>
        <v>1</v>
      </c>
      <c r="AQ1286" s="25">
        <f>IF(OR(Apresentação!$I$6='Base de Dados e filtragem'!AQ$2,Apresentação!$I$6='Base de Dados e filtragem'!M1286),1,0)</f>
        <v>1</v>
      </c>
      <c r="AR1286" s="25">
        <v>1</v>
      </c>
      <c r="AS1286" s="25">
        <v>1</v>
      </c>
      <c r="AT1286" s="25">
        <v>1</v>
      </c>
      <c r="AU1286" s="25">
        <v>1</v>
      </c>
      <c r="AV1286" s="25">
        <v>1</v>
      </c>
      <c r="AW1286" s="25">
        <v>1</v>
      </c>
      <c r="AX1286" s="25">
        <v>1</v>
      </c>
      <c r="AY1286" s="25">
        <v>1</v>
      </c>
      <c r="AZ1286" s="25">
        <v>1</v>
      </c>
      <c r="BA1286" s="25">
        <v>1</v>
      </c>
      <c r="BB1286" s="25">
        <v>1</v>
      </c>
      <c r="BC1286" s="25">
        <v>1</v>
      </c>
      <c r="BD1286" s="25">
        <v>1</v>
      </c>
    </row>
    <row r="1287" spans="27:56" x14ac:dyDescent="0.25">
      <c r="AA1287" s="68" t="str">
        <f t="shared" si="81"/>
        <v>Fotos\\.jpg</v>
      </c>
      <c r="AB1287" s="53">
        <f t="shared" si="82"/>
        <v>7.77000777000777E-4</v>
      </c>
      <c r="AC1287" s="25">
        <f t="shared" si="83"/>
        <v>1287</v>
      </c>
      <c r="AD1287" s="51">
        <f t="shared" si="84"/>
        <v>1</v>
      </c>
      <c r="AE1287" s="25">
        <v>1</v>
      </c>
      <c r="AF1287" s="25">
        <v>1</v>
      </c>
      <c r="AG1287" s="25">
        <v>1</v>
      </c>
      <c r="AH1287" s="25">
        <v>1</v>
      </c>
      <c r="AI1287" s="25">
        <f>IF(OR(Apresentação!$E$3='Base de Dados e filtragem'!AI$2,Apresentação!$E$3='Base de Dados e filtragem'!E1287),1,0)</f>
        <v>1</v>
      </c>
      <c r="AJ1287" s="25">
        <f>IF(OR(Apresentação!$E$4='Base de Dados e filtragem'!AJ$2,Apresentação!$E$4='Base de Dados e filtragem'!F1287),1,0)</f>
        <v>1</v>
      </c>
      <c r="AK1287" s="25">
        <f>IF(OR(Apresentação!$E$5='Base de Dados e filtragem'!AK$2,Apresentação!$E$5='Base de Dados e filtragem'!G1287),1,0)</f>
        <v>1</v>
      </c>
      <c r="AL1287" s="25">
        <f>IF(OR(Apresentação!$E$6='Base de Dados e filtragem'!AL$2,Apresentação!$E$6='Base de Dados e filtragem'!H1287),1,0)</f>
        <v>1</v>
      </c>
      <c r="AM1287" s="25">
        <f>IF(OR(Apresentação!$I$2='Base de Dados e filtragem'!AM$2,Apresentação!$I$2='Base de Dados e filtragem'!I1287),1,0)</f>
        <v>1</v>
      </c>
      <c r="AN1287" s="25">
        <f>IF(OR(Apresentação!$I$3='Base de Dados e filtragem'!AN$2,Apresentação!$I$3='Base de Dados e filtragem'!J1287),1,0)</f>
        <v>1</v>
      </c>
      <c r="AO1287" s="25">
        <f>IF(OR(Apresentação!$I$4='Base de Dados e filtragem'!AO$2,Apresentação!$I$4='Base de Dados e filtragem'!K1287),1,0)</f>
        <v>1</v>
      </c>
      <c r="AP1287" s="25">
        <f>IF(OR(Apresentação!$I$5='Base de Dados e filtragem'!AP$2,Apresentação!$I$5='Base de Dados e filtragem'!L1287),1,0)</f>
        <v>1</v>
      </c>
      <c r="AQ1287" s="25">
        <f>IF(OR(Apresentação!$I$6='Base de Dados e filtragem'!AQ$2,Apresentação!$I$6='Base de Dados e filtragem'!M1287),1,0)</f>
        <v>1</v>
      </c>
      <c r="AR1287" s="25">
        <v>1</v>
      </c>
      <c r="AS1287" s="25">
        <v>1</v>
      </c>
      <c r="AT1287" s="25">
        <v>1</v>
      </c>
      <c r="AU1287" s="25">
        <v>1</v>
      </c>
      <c r="AV1287" s="25">
        <v>1</v>
      </c>
      <c r="AW1287" s="25">
        <v>1</v>
      </c>
      <c r="AX1287" s="25">
        <v>1</v>
      </c>
      <c r="AY1287" s="25">
        <v>1</v>
      </c>
      <c r="AZ1287" s="25">
        <v>1</v>
      </c>
      <c r="BA1287" s="25">
        <v>1</v>
      </c>
      <c r="BB1287" s="25">
        <v>1</v>
      </c>
      <c r="BC1287" s="25">
        <v>1</v>
      </c>
      <c r="BD1287" s="25">
        <v>1</v>
      </c>
    </row>
    <row r="1288" spans="27:56" x14ac:dyDescent="0.25">
      <c r="AA1288" s="68" t="str">
        <f t="shared" si="81"/>
        <v>Fotos\\.jpg</v>
      </c>
      <c r="AB1288" s="53">
        <f t="shared" si="82"/>
        <v>7.7639751552795026E-4</v>
      </c>
      <c r="AC1288" s="25">
        <f t="shared" si="83"/>
        <v>1288</v>
      </c>
      <c r="AD1288" s="51">
        <f t="shared" si="84"/>
        <v>1</v>
      </c>
      <c r="AE1288" s="25">
        <v>1</v>
      </c>
      <c r="AF1288" s="25">
        <v>1</v>
      </c>
      <c r="AG1288" s="25">
        <v>1</v>
      </c>
      <c r="AH1288" s="25">
        <v>1</v>
      </c>
      <c r="AI1288" s="25">
        <f>IF(OR(Apresentação!$E$3='Base de Dados e filtragem'!AI$2,Apresentação!$E$3='Base de Dados e filtragem'!E1288),1,0)</f>
        <v>1</v>
      </c>
      <c r="AJ1288" s="25">
        <f>IF(OR(Apresentação!$E$4='Base de Dados e filtragem'!AJ$2,Apresentação!$E$4='Base de Dados e filtragem'!F1288),1,0)</f>
        <v>1</v>
      </c>
      <c r="AK1288" s="25">
        <f>IF(OR(Apresentação!$E$5='Base de Dados e filtragem'!AK$2,Apresentação!$E$5='Base de Dados e filtragem'!G1288),1,0)</f>
        <v>1</v>
      </c>
      <c r="AL1288" s="25">
        <f>IF(OR(Apresentação!$E$6='Base de Dados e filtragem'!AL$2,Apresentação!$E$6='Base de Dados e filtragem'!H1288),1,0)</f>
        <v>1</v>
      </c>
      <c r="AM1288" s="25">
        <f>IF(OR(Apresentação!$I$2='Base de Dados e filtragem'!AM$2,Apresentação!$I$2='Base de Dados e filtragem'!I1288),1,0)</f>
        <v>1</v>
      </c>
      <c r="AN1288" s="25">
        <f>IF(OR(Apresentação!$I$3='Base de Dados e filtragem'!AN$2,Apresentação!$I$3='Base de Dados e filtragem'!J1288),1,0)</f>
        <v>1</v>
      </c>
      <c r="AO1288" s="25">
        <f>IF(OR(Apresentação!$I$4='Base de Dados e filtragem'!AO$2,Apresentação!$I$4='Base de Dados e filtragem'!K1288),1,0)</f>
        <v>1</v>
      </c>
      <c r="AP1288" s="25">
        <f>IF(OR(Apresentação!$I$5='Base de Dados e filtragem'!AP$2,Apresentação!$I$5='Base de Dados e filtragem'!L1288),1,0)</f>
        <v>1</v>
      </c>
      <c r="AQ1288" s="25">
        <f>IF(OR(Apresentação!$I$6='Base de Dados e filtragem'!AQ$2,Apresentação!$I$6='Base de Dados e filtragem'!M1288),1,0)</f>
        <v>1</v>
      </c>
      <c r="AR1288" s="25">
        <v>1</v>
      </c>
      <c r="AS1288" s="25">
        <v>1</v>
      </c>
      <c r="AT1288" s="25">
        <v>1</v>
      </c>
      <c r="AU1288" s="25">
        <v>1</v>
      </c>
      <c r="AV1288" s="25">
        <v>1</v>
      </c>
      <c r="AW1288" s="25">
        <v>1</v>
      </c>
      <c r="AX1288" s="25">
        <v>1</v>
      </c>
      <c r="AY1288" s="25">
        <v>1</v>
      </c>
      <c r="AZ1288" s="25">
        <v>1</v>
      </c>
      <c r="BA1288" s="25">
        <v>1</v>
      </c>
      <c r="BB1288" s="25">
        <v>1</v>
      </c>
      <c r="BC1288" s="25">
        <v>1</v>
      </c>
      <c r="BD1288" s="25">
        <v>1</v>
      </c>
    </row>
    <row r="1289" spans="27:56" x14ac:dyDescent="0.25">
      <c r="AA1289" s="68" t="str">
        <f t="shared" si="81"/>
        <v>Fotos\\.jpg</v>
      </c>
      <c r="AB1289" s="53">
        <f t="shared" si="82"/>
        <v>7.7579519006982156E-4</v>
      </c>
      <c r="AC1289" s="25">
        <f t="shared" si="83"/>
        <v>1289</v>
      </c>
      <c r="AD1289" s="51">
        <f t="shared" si="84"/>
        <v>1</v>
      </c>
      <c r="AE1289" s="25">
        <v>1</v>
      </c>
      <c r="AF1289" s="25">
        <v>1</v>
      </c>
      <c r="AG1289" s="25">
        <v>1</v>
      </c>
      <c r="AH1289" s="25">
        <v>1</v>
      </c>
      <c r="AI1289" s="25">
        <f>IF(OR(Apresentação!$E$3='Base de Dados e filtragem'!AI$2,Apresentação!$E$3='Base de Dados e filtragem'!E1289),1,0)</f>
        <v>1</v>
      </c>
      <c r="AJ1289" s="25">
        <f>IF(OR(Apresentação!$E$4='Base de Dados e filtragem'!AJ$2,Apresentação!$E$4='Base de Dados e filtragem'!F1289),1,0)</f>
        <v>1</v>
      </c>
      <c r="AK1289" s="25">
        <f>IF(OR(Apresentação!$E$5='Base de Dados e filtragem'!AK$2,Apresentação!$E$5='Base de Dados e filtragem'!G1289),1,0)</f>
        <v>1</v>
      </c>
      <c r="AL1289" s="25">
        <f>IF(OR(Apresentação!$E$6='Base de Dados e filtragem'!AL$2,Apresentação!$E$6='Base de Dados e filtragem'!H1289),1,0)</f>
        <v>1</v>
      </c>
      <c r="AM1289" s="25">
        <f>IF(OR(Apresentação!$I$2='Base de Dados e filtragem'!AM$2,Apresentação!$I$2='Base de Dados e filtragem'!I1289),1,0)</f>
        <v>1</v>
      </c>
      <c r="AN1289" s="25">
        <f>IF(OR(Apresentação!$I$3='Base de Dados e filtragem'!AN$2,Apresentação!$I$3='Base de Dados e filtragem'!J1289),1,0)</f>
        <v>1</v>
      </c>
      <c r="AO1289" s="25">
        <f>IF(OR(Apresentação!$I$4='Base de Dados e filtragem'!AO$2,Apresentação!$I$4='Base de Dados e filtragem'!K1289),1,0)</f>
        <v>1</v>
      </c>
      <c r="AP1289" s="25">
        <f>IF(OR(Apresentação!$I$5='Base de Dados e filtragem'!AP$2,Apresentação!$I$5='Base de Dados e filtragem'!L1289),1,0)</f>
        <v>1</v>
      </c>
      <c r="AQ1289" s="25">
        <f>IF(OR(Apresentação!$I$6='Base de Dados e filtragem'!AQ$2,Apresentação!$I$6='Base de Dados e filtragem'!M1289),1,0)</f>
        <v>1</v>
      </c>
      <c r="AR1289" s="25">
        <v>1</v>
      </c>
      <c r="AS1289" s="25">
        <v>1</v>
      </c>
      <c r="AT1289" s="25">
        <v>1</v>
      </c>
      <c r="AU1289" s="25">
        <v>1</v>
      </c>
      <c r="AV1289" s="25">
        <v>1</v>
      </c>
      <c r="AW1289" s="25">
        <v>1</v>
      </c>
      <c r="AX1289" s="25">
        <v>1</v>
      </c>
      <c r="AY1289" s="25">
        <v>1</v>
      </c>
      <c r="AZ1289" s="25">
        <v>1</v>
      </c>
      <c r="BA1289" s="25">
        <v>1</v>
      </c>
      <c r="BB1289" s="25">
        <v>1</v>
      </c>
      <c r="BC1289" s="25">
        <v>1</v>
      </c>
      <c r="BD1289" s="25">
        <v>1</v>
      </c>
    </row>
    <row r="1290" spans="27:56" x14ac:dyDescent="0.25">
      <c r="AA1290" s="68" t="str">
        <f t="shared" si="81"/>
        <v>Fotos\\.jpg</v>
      </c>
      <c r="AB1290" s="53">
        <f t="shared" si="82"/>
        <v>7.7519379844961239E-4</v>
      </c>
      <c r="AC1290" s="25">
        <f t="shared" si="83"/>
        <v>1290</v>
      </c>
      <c r="AD1290" s="51">
        <f t="shared" si="84"/>
        <v>1</v>
      </c>
      <c r="AE1290" s="25">
        <v>1</v>
      </c>
      <c r="AF1290" s="25">
        <v>1</v>
      </c>
      <c r="AG1290" s="25">
        <v>1</v>
      </c>
      <c r="AH1290" s="25">
        <v>1</v>
      </c>
      <c r="AI1290" s="25">
        <f>IF(OR(Apresentação!$E$3='Base de Dados e filtragem'!AI$2,Apresentação!$E$3='Base de Dados e filtragem'!E1290),1,0)</f>
        <v>1</v>
      </c>
      <c r="AJ1290" s="25">
        <f>IF(OR(Apresentação!$E$4='Base de Dados e filtragem'!AJ$2,Apresentação!$E$4='Base de Dados e filtragem'!F1290),1,0)</f>
        <v>1</v>
      </c>
      <c r="AK1290" s="25">
        <f>IF(OR(Apresentação!$E$5='Base de Dados e filtragem'!AK$2,Apresentação!$E$5='Base de Dados e filtragem'!G1290),1,0)</f>
        <v>1</v>
      </c>
      <c r="AL1290" s="25">
        <f>IF(OR(Apresentação!$E$6='Base de Dados e filtragem'!AL$2,Apresentação!$E$6='Base de Dados e filtragem'!H1290),1,0)</f>
        <v>1</v>
      </c>
      <c r="AM1290" s="25">
        <f>IF(OR(Apresentação!$I$2='Base de Dados e filtragem'!AM$2,Apresentação!$I$2='Base de Dados e filtragem'!I1290),1,0)</f>
        <v>1</v>
      </c>
      <c r="AN1290" s="25">
        <f>IF(OR(Apresentação!$I$3='Base de Dados e filtragem'!AN$2,Apresentação!$I$3='Base de Dados e filtragem'!J1290),1,0)</f>
        <v>1</v>
      </c>
      <c r="AO1290" s="25">
        <f>IF(OR(Apresentação!$I$4='Base de Dados e filtragem'!AO$2,Apresentação!$I$4='Base de Dados e filtragem'!K1290),1,0)</f>
        <v>1</v>
      </c>
      <c r="AP1290" s="25">
        <f>IF(OR(Apresentação!$I$5='Base de Dados e filtragem'!AP$2,Apresentação!$I$5='Base de Dados e filtragem'!L1290),1,0)</f>
        <v>1</v>
      </c>
      <c r="AQ1290" s="25">
        <f>IF(OR(Apresentação!$I$6='Base de Dados e filtragem'!AQ$2,Apresentação!$I$6='Base de Dados e filtragem'!M1290),1,0)</f>
        <v>1</v>
      </c>
      <c r="AR1290" s="25">
        <v>1</v>
      </c>
      <c r="AS1290" s="25">
        <v>1</v>
      </c>
      <c r="AT1290" s="25">
        <v>1</v>
      </c>
      <c r="AU1290" s="25">
        <v>1</v>
      </c>
      <c r="AV1290" s="25">
        <v>1</v>
      </c>
      <c r="AW1290" s="25">
        <v>1</v>
      </c>
      <c r="AX1290" s="25">
        <v>1</v>
      </c>
      <c r="AY1290" s="25">
        <v>1</v>
      </c>
      <c r="AZ1290" s="25">
        <v>1</v>
      </c>
      <c r="BA1290" s="25">
        <v>1</v>
      </c>
      <c r="BB1290" s="25">
        <v>1</v>
      </c>
      <c r="BC1290" s="25">
        <v>1</v>
      </c>
      <c r="BD1290" s="25">
        <v>1</v>
      </c>
    </row>
    <row r="1291" spans="27:56" x14ac:dyDescent="0.25">
      <c r="AA1291" s="68" t="str">
        <f t="shared" si="81"/>
        <v>Fotos\\.jpg</v>
      </c>
      <c r="AB1291" s="53">
        <f t="shared" si="82"/>
        <v>7.7459333849728897E-4</v>
      </c>
      <c r="AC1291" s="25">
        <f t="shared" si="83"/>
        <v>1291</v>
      </c>
      <c r="AD1291" s="51">
        <f t="shared" si="84"/>
        <v>1</v>
      </c>
      <c r="AE1291" s="25">
        <v>1</v>
      </c>
      <c r="AF1291" s="25">
        <v>1</v>
      </c>
      <c r="AG1291" s="25">
        <v>1</v>
      </c>
      <c r="AH1291" s="25">
        <v>1</v>
      </c>
      <c r="AI1291" s="25">
        <f>IF(OR(Apresentação!$E$3='Base de Dados e filtragem'!AI$2,Apresentação!$E$3='Base de Dados e filtragem'!E1291),1,0)</f>
        <v>1</v>
      </c>
      <c r="AJ1291" s="25">
        <f>IF(OR(Apresentação!$E$4='Base de Dados e filtragem'!AJ$2,Apresentação!$E$4='Base de Dados e filtragem'!F1291),1,0)</f>
        <v>1</v>
      </c>
      <c r="AK1291" s="25">
        <f>IF(OR(Apresentação!$E$5='Base de Dados e filtragem'!AK$2,Apresentação!$E$5='Base de Dados e filtragem'!G1291),1,0)</f>
        <v>1</v>
      </c>
      <c r="AL1291" s="25">
        <f>IF(OR(Apresentação!$E$6='Base de Dados e filtragem'!AL$2,Apresentação!$E$6='Base de Dados e filtragem'!H1291),1,0)</f>
        <v>1</v>
      </c>
      <c r="AM1291" s="25">
        <f>IF(OR(Apresentação!$I$2='Base de Dados e filtragem'!AM$2,Apresentação!$I$2='Base de Dados e filtragem'!I1291),1,0)</f>
        <v>1</v>
      </c>
      <c r="AN1291" s="25">
        <f>IF(OR(Apresentação!$I$3='Base de Dados e filtragem'!AN$2,Apresentação!$I$3='Base de Dados e filtragem'!J1291),1,0)</f>
        <v>1</v>
      </c>
      <c r="AO1291" s="25">
        <f>IF(OR(Apresentação!$I$4='Base de Dados e filtragem'!AO$2,Apresentação!$I$4='Base de Dados e filtragem'!K1291),1,0)</f>
        <v>1</v>
      </c>
      <c r="AP1291" s="25">
        <f>IF(OR(Apresentação!$I$5='Base de Dados e filtragem'!AP$2,Apresentação!$I$5='Base de Dados e filtragem'!L1291),1,0)</f>
        <v>1</v>
      </c>
      <c r="AQ1291" s="25">
        <f>IF(OR(Apresentação!$I$6='Base de Dados e filtragem'!AQ$2,Apresentação!$I$6='Base de Dados e filtragem'!M1291),1,0)</f>
        <v>1</v>
      </c>
      <c r="AR1291" s="25">
        <v>1</v>
      </c>
      <c r="AS1291" s="25">
        <v>1</v>
      </c>
      <c r="AT1291" s="25">
        <v>1</v>
      </c>
      <c r="AU1291" s="25">
        <v>1</v>
      </c>
      <c r="AV1291" s="25">
        <v>1</v>
      </c>
      <c r="AW1291" s="25">
        <v>1</v>
      </c>
      <c r="AX1291" s="25">
        <v>1</v>
      </c>
      <c r="AY1291" s="25">
        <v>1</v>
      </c>
      <c r="AZ1291" s="25">
        <v>1</v>
      </c>
      <c r="BA1291" s="25">
        <v>1</v>
      </c>
      <c r="BB1291" s="25">
        <v>1</v>
      </c>
      <c r="BC1291" s="25">
        <v>1</v>
      </c>
      <c r="BD1291" s="25">
        <v>1</v>
      </c>
    </row>
    <row r="1292" spans="27:56" x14ac:dyDescent="0.25">
      <c r="AA1292" s="68" t="str">
        <f t="shared" si="81"/>
        <v>Fotos\\.jpg</v>
      </c>
      <c r="AB1292" s="53">
        <f t="shared" si="82"/>
        <v>7.7399380804953565E-4</v>
      </c>
      <c r="AC1292" s="25">
        <f t="shared" si="83"/>
        <v>1292</v>
      </c>
      <c r="AD1292" s="51">
        <f t="shared" si="84"/>
        <v>1</v>
      </c>
      <c r="AE1292" s="25">
        <v>1</v>
      </c>
      <c r="AF1292" s="25">
        <v>1</v>
      </c>
      <c r="AG1292" s="25">
        <v>1</v>
      </c>
      <c r="AH1292" s="25">
        <v>1</v>
      </c>
      <c r="AI1292" s="25">
        <f>IF(OR(Apresentação!$E$3='Base de Dados e filtragem'!AI$2,Apresentação!$E$3='Base de Dados e filtragem'!E1292),1,0)</f>
        <v>1</v>
      </c>
      <c r="AJ1292" s="25">
        <f>IF(OR(Apresentação!$E$4='Base de Dados e filtragem'!AJ$2,Apresentação!$E$4='Base de Dados e filtragem'!F1292),1,0)</f>
        <v>1</v>
      </c>
      <c r="AK1292" s="25">
        <f>IF(OR(Apresentação!$E$5='Base de Dados e filtragem'!AK$2,Apresentação!$E$5='Base de Dados e filtragem'!G1292),1,0)</f>
        <v>1</v>
      </c>
      <c r="AL1292" s="25">
        <f>IF(OR(Apresentação!$E$6='Base de Dados e filtragem'!AL$2,Apresentação!$E$6='Base de Dados e filtragem'!H1292),1,0)</f>
        <v>1</v>
      </c>
      <c r="AM1292" s="25">
        <f>IF(OR(Apresentação!$I$2='Base de Dados e filtragem'!AM$2,Apresentação!$I$2='Base de Dados e filtragem'!I1292),1,0)</f>
        <v>1</v>
      </c>
      <c r="AN1292" s="25">
        <f>IF(OR(Apresentação!$I$3='Base de Dados e filtragem'!AN$2,Apresentação!$I$3='Base de Dados e filtragem'!J1292),1,0)</f>
        <v>1</v>
      </c>
      <c r="AO1292" s="25">
        <f>IF(OR(Apresentação!$I$4='Base de Dados e filtragem'!AO$2,Apresentação!$I$4='Base de Dados e filtragem'!K1292),1,0)</f>
        <v>1</v>
      </c>
      <c r="AP1292" s="25">
        <f>IF(OR(Apresentação!$I$5='Base de Dados e filtragem'!AP$2,Apresentação!$I$5='Base de Dados e filtragem'!L1292),1,0)</f>
        <v>1</v>
      </c>
      <c r="AQ1292" s="25">
        <f>IF(OR(Apresentação!$I$6='Base de Dados e filtragem'!AQ$2,Apresentação!$I$6='Base de Dados e filtragem'!M1292),1,0)</f>
        <v>1</v>
      </c>
      <c r="AR1292" s="25">
        <v>1</v>
      </c>
      <c r="AS1292" s="25">
        <v>1</v>
      </c>
      <c r="AT1292" s="25">
        <v>1</v>
      </c>
      <c r="AU1292" s="25">
        <v>1</v>
      </c>
      <c r="AV1292" s="25">
        <v>1</v>
      </c>
      <c r="AW1292" s="25">
        <v>1</v>
      </c>
      <c r="AX1292" s="25">
        <v>1</v>
      </c>
      <c r="AY1292" s="25">
        <v>1</v>
      </c>
      <c r="AZ1292" s="25">
        <v>1</v>
      </c>
      <c r="BA1292" s="25">
        <v>1</v>
      </c>
      <c r="BB1292" s="25">
        <v>1</v>
      </c>
      <c r="BC1292" s="25">
        <v>1</v>
      </c>
      <c r="BD1292" s="25">
        <v>1</v>
      </c>
    </row>
    <row r="1293" spans="27:56" x14ac:dyDescent="0.25">
      <c r="AA1293" s="68" t="str">
        <f t="shared" si="81"/>
        <v>Fotos\\.jpg</v>
      </c>
      <c r="AB1293" s="53">
        <f t="shared" si="82"/>
        <v>7.7339520494972935E-4</v>
      </c>
      <c r="AC1293" s="25">
        <f t="shared" si="83"/>
        <v>1293</v>
      </c>
      <c r="AD1293" s="51">
        <f t="shared" si="84"/>
        <v>1</v>
      </c>
      <c r="AE1293" s="25">
        <v>1</v>
      </c>
      <c r="AF1293" s="25">
        <v>1</v>
      </c>
      <c r="AG1293" s="25">
        <v>1</v>
      </c>
      <c r="AH1293" s="25">
        <v>1</v>
      </c>
      <c r="AI1293" s="25">
        <f>IF(OR(Apresentação!$E$3='Base de Dados e filtragem'!AI$2,Apresentação!$E$3='Base de Dados e filtragem'!E1293),1,0)</f>
        <v>1</v>
      </c>
      <c r="AJ1293" s="25">
        <f>IF(OR(Apresentação!$E$4='Base de Dados e filtragem'!AJ$2,Apresentação!$E$4='Base de Dados e filtragem'!F1293),1,0)</f>
        <v>1</v>
      </c>
      <c r="AK1293" s="25">
        <f>IF(OR(Apresentação!$E$5='Base de Dados e filtragem'!AK$2,Apresentação!$E$5='Base de Dados e filtragem'!G1293),1,0)</f>
        <v>1</v>
      </c>
      <c r="AL1293" s="25">
        <f>IF(OR(Apresentação!$E$6='Base de Dados e filtragem'!AL$2,Apresentação!$E$6='Base de Dados e filtragem'!H1293),1,0)</f>
        <v>1</v>
      </c>
      <c r="AM1293" s="25">
        <f>IF(OR(Apresentação!$I$2='Base de Dados e filtragem'!AM$2,Apresentação!$I$2='Base de Dados e filtragem'!I1293),1,0)</f>
        <v>1</v>
      </c>
      <c r="AN1293" s="25">
        <f>IF(OR(Apresentação!$I$3='Base de Dados e filtragem'!AN$2,Apresentação!$I$3='Base de Dados e filtragem'!J1293),1,0)</f>
        <v>1</v>
      </c>
      <c r="AO1293" s="25">
        <f>IF(OR(Apresentação!$I$4='Base de Dados e filtragem'!AO$2,Apresentação!$I$4='Base de Dados e filtragem'!K1293),1,0)</f>
        <v>1</v>
      </c>
      <c r="AP1293" s="25">
        <f>IF(OR(Apresentação!$I$5='Base de Dados e filtragem'!AP$2,Apresentação!$I$5='Base de Dados e filtragem'!L1293),1,0)</f>
        <v>1</v>
      </c>
      <c r="AQ1293" s="25">
        <f>IF(OR(Apresentação!$I$6='Base de Dados e filtragem'!AQ$2,Apresentação!$I$6='Base de Dados e filtragem'!M1293),1,0)</f>
        <v>1</v>
      </c>
      <c r="AR1293" s="25">
        <v>1</v>
      </c>
      <c r="AS1293" s="25">
        <v>1</v>
      </c>
      <c r="AT1293" s="25">
        <v>1</v>
      </c>
      <c r="AU1293" s="25">
        <v>1</v>
      </c>
      <c r="AV1293" s="25">
        <v>1</v>
      </c>
      <c r="AW1293" s="25">
        <v>1</v>
      </c>
      <c r="AX1293" s="25">
        <v>1</v>
      </c>
      <c r="AY1293" s="25">
        <v>1</v>
      </c>
      <c r="AZ1293" s="25">
        <v>1</v>
      </c>
      <c r="BA1293" s="25">
        <v>1</v>
      </c>
      <c r="BB1293" s="25">
        <v>1</v>
      </c>
      <c r="BC1293" s="25">
        <v>1</v>
      </c>
      <c r="BD1293" s="25">
        <v>1</v>
      </c>
    </row>
    <row r="1294" spans="27:56" x14ac:dyDescent="0.25">
      <c r="AA1294" s="68" t="str">
        <f t="shared" si="81"/>
        <v>Fotos\\.jpg</v>
      </c>
      <c r="AB1294" s="53">
        <f t="shared" si="82"/>
        <v>7.7279752704791343E-4</v>
      </c>
      <c r="AC1294" s="25">
        <f t="shared" si="83"/>
        <v>1294</v>
      </c>
      <c r="AD1294" s="51">
        <f t="shared" si="84"/>
        <v>1</v>
      </c>
      <c r="AE1294" s="25">
        <v>1</v>
      </c>
      <c r="AF1294" s="25">
        <v>1</v>
      </c>
      <c r="AG1294" s="25">
        <v>1</v>
      </c>
      <c r="AH1294" s="25">
        <v>1</v>
      </c>
      <c r="AI1294" s="25">
        <f>IF(OR(Apresentação!$E$3='Base de Dados e filtragem'!AI$2,Apresentação!$E$3='Base de Dados e filtragem'!E1294),1,0)</f>
        <v>1</v>
      </c>
      <c r="AJ1294" s="25">
        <f>IF(OR(Apresentação!$E$4='Base de Dados e filtragem'!AJ$2,Apresentação!$E$4='Base de Dados e filtragem'!F1294),1,0)</f>
        <v>1</v>
      </c>
      <c r="AK1294" s="25">
        <f>IF(OR(Apresentação!$E$5='Base de Dados e filtragem'!AK$2,Apresentação!$E$5='Base de Dados e filtragem'!G1294),1,0)</f>
        <v>1</v>
      </c>
      <c r="AL1294" s="25">
        <f>IF(OR(Apresentação!$E$6='Base de Dados e filtragem'!AL$2,Apresentação!$E$6='Base de Dados e filtragem'!H1294),1,0)</f>
        <v>1</v>
      </c>
      <c r="AM1294" s="25">
        <f>IF(OR(Apresentação!$I$2='Base de Dados e filtragem'!AM$2,Apresentação!$I$2='Base de Dados e filtragem'!I1294),1,0)</f>
        <v>1</v>
      </c>
      <c r="AN1294" s="25">
        <f>IF(OR(Apresentação!$I$3='Base de Dados e filtragem'!AN$2,Apresentação!$I$3='Base de Dados e filtragem'!J1294),1,0)</f>
        <v>1</v>
      </c>
      <c r="AO1294" s="25">
        <f>IF(OR(Apresentação!$I$4='Base de Dados e filtragem'!AO$2,Apresentação!$I$4='Base de Dados e filtragem'!K1294),1,0)</f>
        <v>1</v>
      </c>
      <c r="AP1294" s="25">
        <f>IF(OR(Apresentação!$I$5='Base de Dados e filtragem'!AP$2,Apresentação!$I$5='Base de Dados e filtragem'!L1294),1,0)</f>
        <v>1</v>
      </c>
      <c r="AQ1294" s="25">
        <f>IF(OR(Apresentação!$I$6='Base de Dados e filtragem'!AQ$2,Apresentação!$I$6='Base de Dados e filtragem'!M1294),1,0)</f>
        <v>1</v>
      </c>
      <c r="AR1294" s="25">
        <v>1</v>
      </c>
      <c r="AS1294" s="25">
        <v>1</v>
      </c>
      <c r="AT1294" s="25">
        <v>1</v>
      </c>
      <c r="AU1294" s="25">
        <v>1</v>
      </c>
      <c r="AV1294" s="25">
        <v>1</v>
      </c>
      <c r="AW1294" s="25">
        <v>1</v>
      </c>
      <c r="AX1294" s="25">
        <v>1</v>
      </c>
      <c r="AY1294" s="25">
        <v>1</v>
      </c>
      <c r="AZ1294" s="25">
        <v>1</v>
      </c>
      <c r="BA1294" s="25">
        <v>1</v>
      </c>
      <c r="BB1294" s="25">
        <v>1</v>
      </c>
      <c r="BC1294" s="25">
        <v>1</v>
      </c>
      <c r="BD1294" s="25">
        <v>1</v>
      </c>
    </row>
    <row r="1295" spans="27:56" x14ac:dyDescent="0.25">
      <c r="AA1295" s="68" t="str">
        <f t="shared" si="81"/>
        <v>Fotos\\.jpg</v>
      </c>
      <c r="AB1295" s="53">
        <f t="shared" si="82"/>
        <v>7.722007722007722E-4</v>
      </c>
      <c r="AC1295" s="25">
        <f t="shared" si="83"/>
        <v>1295</v>
      </c>
      <c r="AD1295" s="51">
        <f t="shared" si="84"/>
        <v>1</v>
      </c>
      <c r="AE1295" s="25">
        <v>1</v>
      </c>
      <c r="AF1295" s="25">
        <v>1</v>
      </c>
      <c r="AG1295" s="25">
        <v>1</v>
      </c>
      <c r="AH1295" s="25">
        <v>1</v>
      </c>
      <c r="AI1295" s="25">
        <f>IF(OR(Apresentação!$E$3='Base de Dados e filtragem'!AI$2,Apresentação!$E$3='Base de Dados e filtragem'!E1295),1,0)</f>
        <v>1</v>
      </c>
      <c r="AJ1295" s="25">
        <f>IF(OR(Apresentação!$E$4='Base de Dados e filtragem'!AJ$2,Apresentação!$E$4='Base de Dados e filtragem'!F1295),1,0)</f>
        <v>1</v>
      </c>
      <c r="AK1295" s="25">
        <f>IF(OR(Apresentação!$E$5='Base de Dados e filtragem'!AK$2,Apresentação!$E$5='Base de Dados e filtragem'!G1295),1,0)</f>
        <v>1</v>
      </c>
      <c r="AL1295" s="25">
        <f>IF(OR(Apresentação!$E$6='Base de Dados e filtragem'!AL$2,Apresentação!$E$6='Base de Dados e filtragem'!H1295),1,0)</f>
        <v>1</v>
      </c>
      <c r="AM1295" s="25">
        <f>IF(OR(Apresentação!$I$2='Base de Dados e filtragem'!AM$2,Apresentação!$I$2='Base de Dados e filtragem'!I1295),1,0)</f>
        <v>1</v>
      </c>
      <c r="AN1295" s="25">
        <f>IF(OR(Apresentação!$I$3='Base de Dados e filtragem'!AN$2,Apresentação!$I$3='Base de Dados e filtragem'!J1295),1,0)</f>
        <v>1</v>
      </c>
      <c r="AO1295" s="25">
        <f>IF(OR(Apresentação!$I$4='Base de Dados e filtragem'!AO$2,Apresentação!$I$4='Base de Dados e filtragem'!K1295),1,0)</f>
        <v>1</v>
      </c>
      <c r="AP1295" s="25">
        <f>IF(OR(Apresentação!$I$5='Base de Dados e filtragem'!AP$2,Apresentação!$I$5='Base de Dados e filtragem'!L1295),1,0)</f>
        <v>1</v>
      </c>
      <c r="AQ1295" s="25">
        <f>IF(OR(Apresentação!$I$6='Base de Dados e filtragem'!AQ$2,Apresentação!$I$6='Base de Dados e filtragem'!M1295),1,0)</f>
        <v>1</v>
      </c>
      <c r="AR1295" s="25">
        <v>1</v>
      </c>
      <c r="AS1295" s="25">
        <v>1</v>
      </c>
      <c r="AT1295" s="25">
        <v>1</v>
      </c>
      <c r="AU1295" s="25">
        <v>1</v>
      </c>
      <c r="AV1295" s="25">
        <v>1</v>
      </c>
      <c r="AW1295" s="25">
        <v>1</v>
      </c>
      <c r="AX1295" s="25">
        <v>1</v>
      </c>
      <c r="AY1295" s="25">
        <v>1</v>
      </c>
      <c r="AZ1295" s="25">
        <v>1</v>
      </c>
      <c r="BA1295" s="25">
        <v>1</v>
      </c>
      <c r="BB1295" s="25">
        <v>1</v>
      </c>
      <c r="BC1295" s="25">
        <v>1</v>
      </c>
      <c r="BD1295" s="25">
        <v>1</v>
      </c>
    </row>
    <row r="1296" spans="27:56" x14ac:dyDescent="0.25">
      <c r="AA1296" s="68" t="str">
        <f t="shared" si="81"/>
        <v>Fotos\\.jpg</v>
      </c>
      <c r="AB1296" s="53">
        <f t="shared" si="82"/>
        <v>7.716049382716049E-4</v>
      </c>
      <c r="AC1296" s="25">
        <f t="shared" si="83"/>
        <v>1296</v>
      </c>
      <c r="AD1296" s="51">
        <f t="shared" si="84"/>
        <v>1</v>
      </c>
      <c r="AE1296" s="25">
        <v>1</v>
      </c>
      <c r="AF1296" s="25">
        <v>1</v>
      </c>
      <c r="AG1296" s="25">
        <v>1</v>
      </c>
      <c r="AH1296" s="25">
        <v>1</v>
      </c>
      <c r="AI1296" s="25">
        <f>IF(OR(Apresentação!$E$3='Base de Dados e filtragem'!AI$2,Apresentação!$E$3='Base de Dados e filtragem'!E1296),1,0)</f>
        <v>1</v>
      </c>
      <c r="AJ1296" s="25">
        <f>IF(OR(Apresentação!$E$4='Base de Dados e filtragem'!AJ$2,Apresentação!$E$4='Base de Dados e filtragem'!F1296),1,0)</f>
        <v>1</v>
      </c>
      <c r="AK1296" s="25">
        <f>IF(OR(Apresentação!$E$5='Base de Dados e filtragem'!AK$2,Apresentação!$E$5='Base de Dados e filtragem'!G1296),1,0)</f>
        <v>1</v>
      </c>
      <c r="AL1296" s="25">
        <f>IF(OR(Apresentação!$E$6='Base de Dados e filtragem'!AL$2,Apresentação!$E$6='Base de Dados e filtragem'!H1296),1,0)</f>
        <v>1</v>
      </c>
      <c r="AM1296" s="25">
        <f>IF(OR(Apresentação!$I$2='Base de Dados e filtragem'!AM$2,Apresentação!$I$2='Base de Dados e filtragem'!I1296),1,0)</f>
        <v>1</v>
      </c>
      <c r="AN1296" s="25">
        <f>IF(OR(Apresentação!$I$3='Base de Dados e filtragem'!AN$2,Apresentação!$I$3='Base de Dados e filtragem'!J1296),1,0)</f>
        <v>1</v>
      </c>
      <c r="AO1296" s="25">
        <f>IF(OR(Apresentação!$I$4='Base de Dados e filtragem'!AO$2,Apresentação!$I$4='Base de Dados e filtragem'!K1296),1,0)</f>
        <v>1</v>
      </c>
      <c r="AP1296" s="25">
        <f>IF(OR(Apresentação!$I$5='Base de Dados e filtragem'!AP$2,Apresentação!$I$5='Base de Dados e filtragem'!L1296),1,0)</f>
        <v>1</v>
      </c>
      <c r="AQ1296" s="25">
        <f>IF(OR(Apresentação!$I$6='Base de Dados e filtragem'!AQ$2,Apresentação!$I$6='Base de Dados e filtragem'!M1296),1,0)</f>
        <v>1</v>
      </c>
      <c r="AR1296" s="25">
        <v>1</v>
      </c>
      <c r="AS1296" s="25">
        <v>1</v>
      </c>
      <c r="AT1296" s="25">
        <v>1</v>
      </c>
      <c r="AU1296" s="25">
        <v>1</v>
      </c>
      <c r="AV1296" s="25">
        <v>1</v>
      </c>
      <c r="AW1296" s="25">
        <v>1</v>
      </c>
      <c r="AX1296" s="25">
        <v>1</v>
      </c>
      <c r="AY1296" s="25">
        <v>1</v>
      </c>
      <c r="AZ1296" s="25">
        <v>1</v>
      </c>
      <c r="BA1296" s="25">
        <v>1</v>
      </c>
      <c r="BB1296" s="25">
        <v>1</v>
      </c>
      <c r="BC1296" s="25">
        <v>1</v>
      </c>
      <c r="BD1296" s="25">
        <v>1</v>
      </c>
    </row>
    <row r="1297" spans="27:56" x14ac:dyDescent="0.25">
      <c r="AA1297" s="68" t="str">
        <f t="shared" si="81"/>
        <v>Fotos\\.jpg</v>
      </c>
      <c r="AB1297" s="53">
        <f t="shared" si="82"/>
        <v>7.7101002313030066E-4</v>
      </c>
      <c r="AC1297" s="25">
        <f t="shared" si="83"/>
        <v>1297</v>
      </c>
      <c r="AD1297" s="51">
        <f t="shared" si="84"/>
        <v>1</v>
      </c>
      <c r="AE1297" s="25">
        <v>1</v>
      </c>
      <c r="AF1297" s="25">
        <v>1</v>
      </c>
      <c r="AG1297" s="25">
        <v>1</v>
      </c>
      <c r="AH1297" s="25">
        <v>1</v>
      </c>
      <c r="AI1297" s="25">
        <f>IF(OR(Apresentação!$E$3='Base de Dados e filtragem'!AI$2,Apresentação!$E$3='Base de Dados e filtragem'!E1297),1,0)</f>
        <v>1</v>
      </c>
      <c r="AJ1297" s="25">
        <f>IF(OR(Apresentação!$E$4='Base de Dados e filtragem'!AJ$2,Apresentação!$E$4='Base de Dados e filtragem'!F1297),1,0)</f>
        <v>1</v>
      </c>
      <c r="AK1297" s="25">
        <f>IF(OR(Apresentação!$E$5='Base de Dados e filtragem'!AK$2,Apresentação!$E$5='Base de Dados e filtragem'!G1297),1,0)</f>
        <v>1</v>
      </c>
      <c r="AL1297" s="25">
        <f>IF(OR(Apresentação!$E$6='Base de Dados e filtragem'!AL$2,Apresentação!$E$6='Base de Dados e filtragem'!H1297),1,0)</f>
        <v>1</v>
      </c>
      <c r="AM1297" s="25">
        <f>IF(OR(Apresentação!$I$2='Base de Dados e filtragem'!AM$2,Apresentação!$I$2='Base de Dados e filtragem'!I1297),1,0)</f>
        <v>1</v>
      </c>
      <c r="AN1297" s="25">
        <f>IF(OR(Apresentação!$I$3='Base de Dados e filtragem'!AN$2,Apresentação!$I$3='Base de Dados e filtragem'!J1297),1,0)</f>
        <v>1</v>
      </c>
      <c r="AO1297" s="25">
        <f>IF(OR(Apresentação!$I$4='Base de Dados e filtragem'!AO$2,Apresentação!$I$4='Base de Dados e filtragem'!K1297),1,0)</f>
        <v>1</v>
      </c>
      <c r="AP1297" s="25">
        <f>IF(OR(Apresentação!$I$5='Base de Dados e filtragem'!AP$2,Apresentação!$I$5='Base de Dados e filtragem'!L1297),1,0)</f>
        <v>1</v>
      </c>
      <c r="AQ1297" s="25">
        <f>IF(OR(Apresentação!$I$6='Base de Dados e filtragem'!AQ$2,Apresentação!$I$6='Base de Dados e filtragem'!M1297),1,0)</f>
        <v>1</v>
      </c>
      <c r="AR1297" s="25">
        <v>1</v>
      </c>
      <c r="AS1297" s="25">
        <v>1</v>
      </c>
      <c r="AT1297" s="25">
        <v>1</v>
      </c>
      <c r="AU1297" s="25">
        <v>1</v>
      </c>
      <c r="AV1297" s="25">
        <v>1</v>
      </c>
      <c r="AW1297" s="25">
        <v>1</v>
      </c>
      <c r="AX1297" s="25">
        <v>1</v>
      </c>
      <c r="AY1297" s="25">
        <v>1</v>
      </c>
      <c r="AZ1297" s="25">
        <v>1</v>
      </c>
      <c r="BA1297" s="25">
        <v>1</v>
      </c>
      <c r="BB1297" s="25">
        <v>1</v>
      </c>
      <c r="BC1297" s="25">
        <v>1</v>
      </c>
      <c r="BD1297" s="25">
        <v>1</v>
      </c>
    </row>
    <row r="1298" spans="27:56" x14ac:dyDescent="0.25">
      <c r="AA1298" s="68" t="str">
        <f t="shared" si="81"/>
        <v>Fotos\\.jpg</v>
      </c>
      <c r="AB1298" s="53">
        <f t="shared" si="82"/>
        <v>7.7041602465331282E-4</v>
      </c>
      <c r="AC1298" s="25">
        <f t="shared" si="83"/>
        <v>1298</v>
      </c>
      <c r="AD1298" s="51">
        <f t="shared" si="84"/>
        <v>1</v>
      </c>
      <c r="AE1298" s="25">
        <v>1</v>
      </c>
      <c r="AF1298" s="25">
        <v>1</v>
      </c>
      <c r="AG1298" s="25">
        <v>1</v>
      </c>
      <c r="AH1298" s="25">
        <v>1</v>
      </c>
      <c r="AI1298" s="25">
        <f>IF(OR(Apresentação!$E$3='Base de Dados e filtragem'!AI$2,Apresentação!$E$3='Base de Dados e filtragem'!E1298),1,0)</f>
        <v>1</v>
      </c>
      <c r="AJ1298" s="25">
        <f>IF(OR(Apresentação!$E$4='Base de Dados e filtragem'!AJ$2,Apresentação!$E$4='Base de Dados e filtragem'!F1298),1,0)</f>
        <v>1</v>
      </c>
      <c r="AK1298" s="25">
        <f>IF(OR(Apresentação!$E$5='Base de Dados e filtragem'!AK$2,Apresentação!$E$5='Base de Dados e filtragem'!G1298),1,0)</f>
        <v>1</v>
      </c>
      <c r="AL1298" s="25">
        <f>IF(OR(Apresentação!$E$6='Base de Dados e filtragem'!AL$2,Apresentação!$E$6='Base de Dados e filtragem'!H1298),1,0)</f>
        <v>1</v>
      </c>
      <c r="AM1298" s="25">
        <f>IF(OR(Apresentação!$I$2='Base de Dados e filtragem'!AM$2,Apresentação!$I$2='Base de Dados e filtragem'!I1298),1,0)</f>
        <v>1</v>
      </c>
      <c r="AN1298" s="25">
        <f>IF(OR(Apresentação!$I$3='Base de Dados e filtragem'!AN$2,Apresentação!$I$3='Base de Dados e filtragem'!J1298),1,0)</f>
        <v>1</v>
      </c>
      <c r="AO1298" s="25">
        <f>IF(OR(Apresentação!$I$4='Base de Dados e filtragem'!AO$2,Apresentação!$I$4='Base de Dados e filtragem'!K1298),1,0)</f>
        <v>1</v>
      </c>
      <c r="AP1298" s="25">
        <f>IF(OR(Apresentação!$I$5='Base de Dados e filtragem'!AP$2,Apresentação!$I$5='Base de Dados e filtragem'!L1298),1,0)</f>
        <v>1</v>
      </c>
      <c r="AQ1298" s="25">
        <f>IF(OR(Apresentação!$I$6='Base de Dados e filtragem'!AQ$2,Apresentação!$I$6='Base de Dados e filtragem'!M1298),1,0)</f>
        <v>1</v>
      </c>
      <c r="AR1298" s="25">
        <v>1</v>
      </c>
      <c r="AS1298" s="25">
        <v>1</v>
      </c>
      <c r="AT1298" s="25">
        <v>1</v>
      </c>
      <c r="AU1298" s="25">
        <v>1</v>
      </c>
      <c r="AV1298" s="25">
        <v>1</v>
      </c>
      <c r="AW1298" s="25">
        <v>1</v>
      </c>
      <c r="AX1298" s="25">
        <v>1</v>
      </c>
      <c r="AY1298" s="25">
        <v>1</v>
      </c>
      <c r="AZ1298" s="25">
        <v>1</v>
      </c>
      <c r="BA1298" s="25">
        <v>1</v>
      </c>
      <c r="BB1298" s="25">
        <v>1</v>
      </c>
      <c r="BC1298" s="25">
        <v>1</v>
      </c>
      <c r="BD1298" s="25">
        <v>1</v>
      </c>
    </row>
    <row r="1299" spans="27:56" x14ac:dyDescent="0.25">
      <c r="AA1299" s="68" t="str">
        <f t="shared" si="81"/>
        <v>Fotos\\.jpg</v>
      </c>
      <c r="AB1299" s="53">
        <f t="shared" si="82"/>
        <v>7.6982294072363352E-4</v>
      </c>
      <c r="AC1299" s="25">
        <f t="shared" si="83"/>
        <v>1299</v>
      </c>
      <c r="AD1299" s="51">
        <f t="shared" si="84"/>
        <v>1</v>
      </c>
      <c r="AE1299" s="25">
        <v>1</v>
      </c>
      <c r="AF1299" s="25">
        <v>1</v>
      </c>
      <c r="AG1299" s="25">
        <v>1</v>
      </c>
      <c r="AH1299" s="25">
        <v>1</v>
      </c>
      <c r="AI1299" s="25">
        <f>IF(OR(Apresentação!$E$3='Base de Dados e filtragem'!AI$2,Apresentação!$E$3='Base de Dados e filtragem'!E1299),1,0)</f>
        <v>1</v>
      </c>
      <c r="AJ1299" s="25">
        <f>IF(OR(Apresentação!$E$4='Base de Dados e filtragem'!AJ$2,Apresentação!$E$4='Base de Dados e filtragem'!F1299),1,0)</f>
        <v>1</v>
      </c>
      <c r="AK1299" s="25">
        <f>IF(OR(Apresentação!$E$5='Base de Dados e filtragem'!AK$2,Apresentação!$E$5='Base de Dados e filtragem'!G1299),1,0)</f>
        <v>1</v>
      </c>
      <c r="AL1299" s="25">
        <f>IF(OR(Apresentação!$E$6='Base de Dados e filtragem'!AL$2,Apresentação!$E$6='Base de Dados e filtragem'!H1299),1,0)</f>
        <v>1</v>
      </c>
      <c r="AM1299" s="25">
        <f>IF(OR(Apresentação!$I$2='Base de Dados e filtragem'!AM$2,Apresentação!$I$2='Base de Dados e filtragem'!I1299),1,0)</f>
        <v>1</v>
      </c>
      <c r="AN1299" s="25">
        <f>IF(OR(Apresentação!$I$3='Base de Dados e filtragem'!AN$2,Apresentação!$I$3='Base de Dados e filtragem'!J1299),1,0)</f>
        <v>1</v>
      </c>
      <c r="AO1299" s="25">
        <f>IF(OR(Apresentação!$I$4='Base de Dados e filtragem'!AO$2,Apresentação!$I$4='Base de Dados e filtragem'!K1299),1,0)</f>
        <v>1</v>
      </c>
      <c r="AP1299" s="25">
        <f>IF(OR(Apresentação!$I$5='Base de Dados e filtragem'!AP$2,Apresentação!$I$5='Base de Dados e filtragem'!L1299),1,0)</f>
        <v>1</v>
      </c>
      <c r="AQ1299" s="25">
        <f>IF(OR(Apresentação!$I$6='Base de Dados e filtragem'!AQ$2,Apresentação!$I$6='Base de Dados e filtragem'!M1299),1,0)</f>
        <v>1</v>
      </c>
      <c r="AR1299" s="25">
        <v>1</v>
      </c>
      <c r="AS1299" s="25">
        <v>1</v>
      </c>
      <c r="AT1299" s="25">
        <v>1</v>
      </c>
      <c r="AU1299" s="25">
        <v>1</v>
      </c>
      <c r="AV1299" s="25">
        <v>1</v>
      </c>
      <c r="AW1299" s="25">
        <v>1</v>
      </c>
      <c r="AX1299" s="25">
        <v>1</v>
      </c>
      <c r="AY1299" s="25">
        <v>1</v>
      </c>
      <c r="AZ1299" s="25">
        <v>1</v>
      </c>
      <c r="BA1299" s="25">
        <v>1</v>
      </c>
      <c r="BB1299" s="25">
        <v>1</v>
      </c>
      <c r="BC1299" s="25">
        <v>1</v>
      </c>
      <c r="BD1299" s="25">
        <v>1</v>
      </c>
    </row>
    <row r="1300" spans="27:56" x14ac:dyDescent="0.25">
      <c r="AA1300" s="68" t="str">
        <f t="shared" si="81"/>
        <v>Fotos\\.jpg</v>
      </c>
      <c r="AB1300" s="53">
        <f t="shared" si="82"/>
        <v>7.6923076923076923E-4</v>
      </c>
      <c r="AC1300" s="25">
        <f t="shared" si="83"/>
        <v>1300</v>
      </c>
      <c r="AD1300" s="51">
        <f t="shared" si="84"/>
        <v>1</v>
      </c>
      <c r="AE1300" s="25">
        <v>1</v>
      </c>
      <c r="AF1300" s="25">
        <v>1</v>
      </c>
      <c r="AG1300" s="25">
        <v>1</v>
      </c>
      <c r="AH1300" s="25">
        <v>1</v>
      </c>
      <c r="AI1300" s="25">
        <f>IF(OR(Apresentação!$E$3='Base de Dados e filtragem'!AI$2,Apresentação!$E$3='Base de Dados e filtragem'!E1300),1,0)</f>
        <v>1</v>
      </c>
      <c r="AJ1300" s="25">
        <f>IF(OR(Apresentação!$E$4='Base de Dados e filtragem'!AJ$2,Apresentação!$E$4='Base de Dados e filtragem'!F1300),1,0)</f>
        <v>1</v>
      </c>
      <c r="AK1300" s="25">
        <f>IF(OR(Apresentação!$E$5='Base de Dados e filtragem'!AK$2,Apresentação!$E$5='Base de Dados e filtragem'!G1300),1,0)</f>
        <v>1</v>
      </c>
      <c r="AL1300" s="25">
        <f>IF(OR(Apresentação!$E$6='Base de Dados e filtragem'!AL$2,Apresentação!$E$6='Base de Dados e filtragem'!H1300),1,0)</f>
        <v>1</v>
      </c>
      <c r="AM1300" s="25">
        <f>IF(OR(Apresentação!$I$2='Base de Dados e filtragem'!AM$2,Apresentação!$I$2='Base de Dados e filtragem'!I1300),1,0)</f>
        <v>1</v>
      </c>
      <c r="AN1300" s="25">
        <f>IF(OR(Apresentação!$I$3='Base de Dados e filtragem'!AN$2,Apresentação!$I$3='Base de Dados e filtragem'!J1300),1,0)</f>
        <v>1</v>
      </c>
      <c r="AO1300" s="25">
        <f>IF(OR(Apresentação!$I$4='Base de Dados e filtragem'!AO$2,Apresentação!$I$4='Base de Dados e filtragem'!K1300),1,0)</f>
        <v>1</v>
      </c>
      <c r="AP1300" s="25">
        <f>IF(OR(Apresentação!$I$5='Base de Dados e filtragem'!AP$2,Apresentação!$I$5='Base de Dados e filtragem'!L1300),1,0)</f>
        <v>1</v>
      </c>
      <c r="AQ1300" s="25">
        <f>IF(OR(Apresentação!$I$6='Base de Dados e filtragem'!AQ$2,Apresentação!$I$6='Base de Dados e filtragem'!M1300),1,0)</f>
        <v>1</v>
      </c>
      <c r="AR1300" s="25">
        <v>1</v>
      </c>
      <c r="AS1300" s="25">
        <v>1</v>
      </c>
      <c r="AT1300" s="25">
        <v>1</v>
      </c>
      <c r="AU1300" s="25">
        <v>1</v>
      </c>
      <c r="AV1300" s="25">
        <v>1</v>
      </c>
      <c r="AW1300" s="25">
        <v>1</v>
      </c>
      <c r="AX1300" s="25">
        <v>1</v>
      </c>
      <c r="AY1300" s="25">
        <v>1</v>
      </c>
      <c r="AZ1300" s="25">
        <v>1</v>
      </c>
      <c r="BA1300" s="25">
        <v>1</v>
      </c>
      <c r="BB1300" s="25">
        <v>1</v>
      </c>
      <c r="BC1300" s="25">
        <v>1</v>
      </c>
      <c r="BD1300" s="25">
        <v>1</v>
      </c>
    </row>
    <row r="1301" spans="27:56" x14ac:dyDescent="0.25">
      <c r="AA1301" s="68" t="str">
        <f t="shared" si="81"/>
        <v>Fotos\\.jpg</v>
      </c>
      <c r="AB1301" s="53">
        <f t="shared" si="82"/>
        <v>7.6863950807071484E-4</v>
      </c>
      <c r="AC1301" s="25">
        <f t="shared" si="83"/>
        <v>1301</v>
      </c>
      <c r="AD1301" s="51">
        <f t="shared" si="84"/>
        <v>1</v>
      </c>
      <c r="AE1301" s="25">
        <v>1</v>
      </c>
      <c r="AF1301" s="25">
        <v>1</v>
      </c>
      <c r="AG1301" s="25">
        <v>1</v>
      </c>
      <c r="AH1301" s="25">
        <v>1</v>
      </c>
      <c r="AI1301" s="25">
        <f>IF(OR(Apresentação!$E$3='Base de Dados e filtragem'!AI$2,Apresentação!$E$3='Base de Dados e filtragem'!E1301),1,0)</f>
        <v>1</v>
      </c>
      <c r="AJ1301" s="25">
        <f>IF(OR(Apresentação!$E$4='Base de Dados e filtragem'!AJ$2,Apresentação!$E$4='Base de Dados e filtragem'!F1301),1,0)</f>
        <v>1</v>
      </c>
      <c r="AK1301" s="25">
        <f>IF(OR(Apresentação!$E$5='Base de Dados e filtragem'!AK$2,Apresentação!$E$5='Base de Dados e filtragem'!G1301),1,0)</f>
        <v>1</v>
      </c>
      <c r="AL1301" s="25">
        <f>IF(OR(Apresentação!$E$6='Base de Dados e filtragem'!AL$2,Apresentação!$E$6='Base de Dados e filtragem'!H1301),1,0)</f>
        <v>1</v>
      </c>
      <c r="AM1301" s="25">
        <f>IF(OR(Apresentação!$I$2='Base de Dados e filtragem'!AM$2,Apresentação!$I$2='Base de Dados e filtragem'!I1301),1,0)</f>
        <v>1</v>
      </c>
      <c r="AN1301" s="25">
        <f>IF(OR(Apresentação!$I$3='Base de Dados e filtragem'!AN$2,Apresentação!$I$3='Base de Dados e filtragem'!J1301),1,0)</f>
        <v>1</v>
      </c>
      <c r="AO1301" s="25">
        <f>IF(OR(Apresentação!$I$4='Base de Dados e filtragem'!AO$2,Apresentação!$I$4='Base de Dados e filtragem'!K1301),1,0)</f>
        <v>1</v>
      </c>
      <c r="AP1301" s="25">
        <f>IF(OR(Apresentação!$I$5='Base de Dados e filtragem'!AP$2,Apresentação!$I$5='Base de Dados e filtragem'!L1301),1,0)</f>
        <v>1</v>
      </c>
      <c r="AQ1301" s="25">
        <f>IF(OR(Apresentação!$I$6='Base de Dados e filtragem'!AQ$2,Apresentação!$I$6='Base de Dados e filtragem'!M1301),1,0)</f>
        <v>1</v>
      </c>
      <c r="AR1301" s="25">
        <v>1</v>
      </c>
      <c r="AS1301" s="25">
        <v>1</v>
      </c>
      <c r="AT1301" s="25">
        <v>1</v>
      </c>
      <c r="AU1301" s="25">
        <v>1</v>
      </c>
      <c r="AV1301" s="25">
        <v>1</v>
      </c>
      <c r="AW1301" s="25">
        <v>1</v>
      </c>
      <c r="AX1301" s="25">
        <v>1</v>
      </c>
      <c r="AY1301" s="25">
        <v>1</v>
      </c>
      <c r="AZ1301" s="25">
        <v>1</v>
      </c>
      <c r="BA1301" s="25">
        <v>1</v>
      </c>
      <c r="BB1301" s="25">
        <v>1</v>
      </c>
      <c r="BC1301" s="25">
        <v>1</v>
      </c>
      <c r="BD1301" s="25">
        <v>1</v>
      </c>
    </row>
    <row r="1302" spans="27:56" x14ac:dyDescent="0.25">
      <c r="AA1302" s="68" t="str">
        <f t="shared" si="81"/>
        <v>Fotos\\.jpg</v>
      </c>
      <c r="AB1302" s="53">
        <f t="shared" si="82"/>
        <v>7.6804915514592934E-4</v>
      </c>
      <c r="AC1302" s="25">
        <f t="shared" si="83"/>
        <v>1302</v>
      </c>
      <c r="AD1302" s="51">
        <f t="shared" si="84"/>
        <v>1</v>
      </c>
      <c r="AE1302" s="25">
        <v>1</v>
      </c>
      <c r="AF1302" s="25">
        <v>1</v>
      </c>
      <c r="AG1302" s="25">
        <v>1</v>
      </c>
      <c r="AH1302" s="25">
        <v>1</v>
      </c>
      <c r="AI1302" s="25">
        <f>IF(OR(Apresentação!$E$3='Base de Dados e filtragem'!AI$2,Apresentação!$E$3='Base de Dados e filtragem'!E1302),1,0)</f>
        <v>1</v>
      </c>
      <c r="AJ1302" s="25">
        <f>IF(OR(Apresentação!$E$4='Base de Dados e filtragem'!AJ$2,Apresentação!$E$4='Base de Dados e filtragem'!F1302),1,0)</f>
        <v>1</v>
      </c>
      <c r="AK1302" s="25">
        <f>IF(OR(Apresentação!$E$5='Base de Dados e filtragem'!AK$2,Apresentação!$E$5='Base de Dados e filtragem'!G1302),1,0)</f>
        <v>1</v>
      </c>
      <c r="AL1302" s="25">
        <f>IF(OR(Apresentação!$E$6='Base de Dados e filtragem'!AL$2,Apresentação!$E$6='Base de Dados e filtragem'!H1302),1,0)</f>
        <v>1</v>
      </c>
      <c r="AM1302" s="25">
        <f>IF(OR(Apresentação!$I$2='Base de Dados e filtragem'!AM$2,Apresentação!$I$2='Base de Dados e filtragem'!I1302),1,0)</f>
        <v>1</v>
      </c>
      <c r="AN1302" s="25">
        <f>IF(OR(Apresentação!$I$3='Base de Dados e filtragem'!AN$2,Apresentação!$I$3='Base de Dados e filtragem'!J1302),1,0)</f>
        <v>1</v>
      </c>
      <c r="AO1302" s="25">
        <f>IF(OR(Apresentação!$I$4='Base de Dados e filtragem'!AO$2,Apresentação!$I$4='Base de Dados e filtragem'!K1302),1,0)</f>
        <v>1</v>
      </c>
      <c r="AP1302" s="25">
        <f>IF(OR(Apresentação!$I$5='Base de Dados e filtragem'!AP$2,Apresentação!$I$5='Base de Dados e filtragem'!L1302),1,0)</f>
        <v>1</v>
      </c>
      <c r="AQ1302" s="25">
        <f>IF(OR(Apresentação!$I$6='Base de Dados e filtragem'!AQ$2,Apresentação!$I$6='Base de Dados e filtragem'!M1302),1,0)</f>
        <v>1</v>
      </c>
      <c r="AR1302" s="25">
        <v>1</v>
      </c>
      <c r="AS1302" s="25">
        <v>1</v>
      </c>
      <c r="AT1302" s="25">
        <v>1</v>
      </c>
      <c r="AU1302" s="25">
        <v>1</v>
      </c>
      <c r="AV1302" s="25">
        <v>1</v>
      </c>
      <c r="AW1302" s="25">
        <v>1</v>
      </c>
      <c r="AX1302" s="25">
        <v>1</v>
      </c>
      <c r="AY1302" s="25">
        <v>1</v>
      </c>
      <c r="AZ1302" s="25">
        <v>1</v>
      </c>
      <c r="BA1302" s="25">
        <v>1</v>
      </c>
      <c r="BB1302" s="25">
        <v>1</v>
      </c>
      <c r="BC1302" s="25">
        <v>1</v>
      </c>
      <c r="BD1302" s="25">
        <v>1</v>
      </c>
    </row>
    <row r="1303" spans="27:56" x14ac:dyDescent="0.25">
      <c r="AA1303" s="68" t="str">
        <f t="shared" si="81"/>
        <v>Fotos\\.jpg</v>
      </c>
      <c r="AB1303" s="53">
        <f t="shared" si="82"/>
        <v>7.6745970836531081E-4</v>
      </c>
      <c r="AC1303" s="25">
        <f t="shared" si="83"/>
        <v>1303</v>
      </c>
      <c r="AD1303" s="51">
        <f t="shared" si="84"/>
        <v>1</v>
      </c>
      <c r="AE1303" s="25">
        <v>1</v>
      </c>
      <c r="AF1303" s="25">
        <v>1</v>
      </c>
      <c r="AG1303" s="25">
        <v>1</v>
      </c>
      <c r="AH1303" s="25">
        <v>1</v>
      </c>
      <c r="AI1303" s="25">
        <f>IF(OR(Apresentação!$E$3='Base de Dados e filtragem'!AI$2,Apresentação!$E$3='Base de Dados e filtragem'!E1303),1,0)</f>
        <v>1</v>
      </c>
      <c r="AJ1303" s="25">
        <f>IF(OR(Apresentação!$E$4='Base de Dados e filtragem'!AJ$2,Apresentação!$E$4='Base de Dados e filtragem'!F1303),1,0)</f>
        <v>1</v>
      </c>
      <c r="AK1303" s="25">
        <f>IF(OR(Apresentação!$E$5='Base de Dados e filtragem'!AK$2,Apresentação!$E$5='Base de Dados e filtragem'!G1303),1,0)</f>
        <v>1</v>
      </c>
      <c r="AL1303" s="25">
        <f>IF(OR(Apresentação!$E$6='Base de Dados e filtragem'!AL$2,Apresentação!$E$6='Base de Dados e filtragem'!H1303),1,0)</f>
        <v>1</v>
      </c>
      <c r="AM1303" s="25">
        <f>IF(OR(Apresentação!$I$2='Base de Dados e filtragem'!AM$2,Apresentação!$I$2='Base de Dados e filtragem'!I1303),1,0)</f>
        <v>1</v>
      </c>
      <c r="AN1303" s="25">
        <f>IF(OR(Apresentação!$I$3='Base de Dados e filtragem'!AN$2,Apresentação!$I$3='Base de Dados e filtragem'!J1303),1,0)</f>
        <v>1</v>
      </c>
      <c r="AO1303" s="25">
        <f>IF(OR(Apresentação!$I$4='Base de Dados e filtragem'!AO$2,Apresentação!$I$4='Base de Dados e filtragem'!K1303),1,0)</f>
        <v>1</v>
      </c>
      <c r="AP1303" s="25">
        <f>IF(OR(Apresentação!$I$5='Base de Dados e filtragem'!AP$2,Apresentação!$I$5='Base de Dados e filtragem'!L1303),1,0)</f>
        <v>1</v>
      </c>
      <c r="AQ1303" s="25">
        <f>IF(OR(Apresentação!$I$6='Base de Dados e filtragem'!AQ$2,Apresentação!$I$6='Base de Dados e filtragem'!M1303),1,0)</f>
        <v>1</v>
      </c>
      <c r="AR1303" s="25">
        <v>1</v>
      </c>
      <c r="AS1303" s="25">
        <v>1</v>
      </c>
      <c r="AT1303" s="25">
        <v>1</v>
      </c>
      <c r="AU1303" s="25">
        <v>1</v>
      </c>
      <c r="AV1303" s="25">
        <v>1</v>
      </c>
      <c r="AW1303" s="25">
        <v>1</v>
      </c>
      <c r="AX1303" s="25">
        <v>1</v>
      </c>
      <c r="AY1303" s="25">
        <v>1</v>
      </c>
      <c r="AZ1303" s="25">
        <v>1</v>
      </c>
      <c r="BA1303" s="25">
        <v>1</v>
      </c>
      <c r="BB1303" s="25">
        <v>1</v>
      </c>
      <c r="BC1303" s="25">
        <v>1</v>
      </c>
      <c r="BD1303" s="25">
        <v>1</v>
      </c>
    </row>
    <row r="1304" spans="27:56" x14ac:dyDescent="0.25">
      <c r="AA1304" s="68" t="str">
        <f t="shared" si="81"/>
        <v>Fotos\\.jpg</v>
      </c>
      <c r="AB1304" s="53">
        <f t="shared" si="82"/>
        <v>7.668711656441718E-4</v>
      </c>
      <c r="AC1304" s="25">
        <f t="shared" si="83"/>
        <v>1304</v>
      </c>
      <c r="AD1304" s="51">
        <f t="shared" si="84"/>
        <v>1</v>
      </c>
      <c r="AE1304" s="25">
        <v>1</v>
      </c>
      <c r="AF1304" s="25">
        <v>1</v>
      </c>
      <c r="AG1304" s="25">
        <v>1</v>
      </c>
      <c r="AH1304" s="25">
        <v>1</v>
      </c>
      <c r="AI1304" s="25">
        <f>IF(OR(Apresentação!$E$3='Base de Dados e filtragem'!AI$2,Apresentação!$E$3='Base de Dados e filtragem'!E1304),1,0)</f>
        <v>1</v>
      </c>
      <c r="AJ1304" s="25">
        <f>IF(OR(Apresentação!$E$4='Base de Dados e filtragem'!AJ$2,Apresentação!$E$4='Base de Dados e filtragem'!F1304),1,0)</f>
        <v>1</v>
      </c>
      <c r="AK1304" s="25">
        <f>IF(OR(Apresentação!$E$5='Base de Dados e filtragem'!AK$2,Apresentação!$E$5='Base de Dados e filtragem'!G1304),1,0)</f>
        <v>1</v>
      </c>
      <c r="AL1304" s="25">
        <f>IF(OR(Apresentação!$E$6='Base de Dados e filtragem'!AL$2,Apresentação!$E$6='Base de Dados e filtragem'!H1304),1,0)</f>
        <v>1</v>
      </c>
      <c r="AM1304" s="25">
        <f>IF(OR(Apresentação!$I$2='Base de Dados e filtragem'!AM$2,Apresentação!$I$2='Base de Dados e filtragem'!I1304),1,0)</f>
        <v>1</v>
      </c>
      <c r="AN1304" s="25">
        <f>IF(OR(Apresentação!$I$3='Base de Dados e filtragem'!AN$2,Apresentação!$I$3='Base de Dados e filtragem'!J1304),1,0)</f>
        <v>1</v>
      </c>
      <c r="AO1304" s="25">
        <f>IF(OR(Apresentação!$I$4='Base de Dados e filtragem'!AO$2,Apresentação!$I$4='Base de Dados e filtragem'!K1304),1,0)</f>
        <v>1</v>
      </c>
      <c r="AP1304" s="25">
        <f>IF(OR(Apresentação!$I$5='Base de Dados e filtragem'!AP$2,Apresentação!$I$5='Base de Dados e filtragem'!L1304),1,0)</f>
        <v>1</v>
      </c>
      <c r="AQ1304" s="25">
        <f>IF(OR(Apresentação!$I$6='Base de Dados e filtragem'!AQ$2,Apresentação!$I$6='Base de Dados e filtragem'!M1304),1,0)</f>
        <v>1</v>
      </c>
      <c r="AR1304" s="25">
        <v>1</v>
      </c>
      <c r="AS1304" s="25">
        <v>1</v>
      </c>
      <c r="AT1304" s="25">
        <v>1</v>
      </c>
      <c r="AU1304" s="25">
        <v>1</v>
      </c>
      <c r="AV1304" s="25">
        <v>1</v>
      </c>
      <c r="AW1304" s="25">
        <v>1</v>
      </c>
      <c r="AX1304" s="25">
        <v>1</v>
      </c>
      <c r="AY1304" s="25">
        <v>1</v>
      </c>
      <c r="AZ1304" s="25">
        <v>1</v>
      </c>
      <c r="BA1304" s="25">
        <v>1</v>
      </c>
      <c r="BB1304" s="25">
        <v>1</v>
      </c>
      <c r="BC1304" s="25">
        <v>1</v>
      </c>
      <c r="BD1304" s="25">
        <v>1</v>
      </c>
    </row>
    <row r="1305" spans="27:56" x14ac:dyDescent="0.25">
      <c r="AA1305" s="68" t="str">
        <f t="shared" si="81"/>
        <v>Fotos\\.jpg</v>
      </c>
      <c r="AB1305" s="53">
        <f t="shared" si="82"/>
        <v>7.6628352490421458E-4</v>
      </c>
      <c r="AC1305" s="25">
        <f t="shared" si="83"/>
        <v>1305</v>
      </c>
      <c r="AD1305" s="51">
        <f t="shared" si="84"/>
        <v>1</v>
      </c>
      <c r="AE1305" s="25">
        <v>1</v>
      </c>
      <c r="AF1305" s="25">
        <v>1</v>
      </c>
      <c r="AG1305" s="25">
        <v>1</v>
      </c>
      <c r="AH1305" s="25">
        <v>1</v>
      </c>
      <c r="AI1305" s="25">
        <f>IF(OR(Apresentação!$E$3='Base de Dados e filtragem'!AI$2,Apresentação!$E$3='Base de Dados e filtragem'!E1305),1,0)</f>
        <v>1</v>
      </c>
      <c r="AJ1305" s="25">
        <f>IF(OR(Apresentação!$E$4='Base de Dados e filtragem'!AJ$2,Apresentação!$E$4='Base de Dados e filtragem'!F1305),1,0)</f>
        <v>1</v>
      </c>
      <c r="AK1305" s="25">
        <f>IF(OR(Apresentação!$E$5='Base de Dados e filtragem'!AK$2,Apresentação!$E$5='Base de Dados e filtragem'!G1305),1,0)</f>
        <v>1</v>
      </c>
      <c r="AL1305" s="25">
        <f>IF(OR(Apresentação!$E$6='Base de Dados e filtragem'!AL$2,Apresentação!$E$6='Base de Dados e filtragem'!H1305),1,0)</f>
        <v>1</v>
      </c>
      <c r="AM1305" s="25">
        <f>IF(OR(Apresentação!$I$2='Base de Dados e filtragem'!AM$2,Apresentação!$I$2='Base de Dados e filtragem'!I1305),1,0)</f>
        <v>1</v>
      </c>
      <c r="AN1305" s="25">
        <f>IF(OR(Apresentação!$I$3='Base de Dados e filtragem'!AN$2,Apresentação!$I$3='Base de Dados e filtragem'!J1305),1,0)</f>
        <v>1</v>
      </c>
      <c r="AO1305" s="25">
        <f>IF(OR(Apresentação!$I$4='Base de Dados e filtragem'!AO$2,Apresentação!$I$4='Base de Dados e filtragem'!K1305),1,0)</f>
        <v>1</v>
      </c>
      <c r="AP1305" s="25">
        <f>IF(OR(Apresentação!$I$5='Base de Dados e filtragem'!AP$2,Apresentação!$I$5='Base de Dados e filtragem'!L1305),1,0)</f>
        <v>1</v>
      </c>
      <c r="AQ1305" s="25">
        <f>IF(OR(Apresentação!$I$6='Base de Dados e filtragem'!AQ$2,Apresentação!$I$6='Base de Dados e filtragem'!M1305),1,0)</f>
        <v>1</v>
      </c>
      <c r="AR1305" s="25">
        <v>1</v>
      </c>
      <c r="AS1305" s="25">
        <v>1</v>
      </c>
      <c r="AT1305" s="25">
        <v>1</v>
      </c>
      <c r="AU1305" s="25">
        <v>1</v>
      </c>
      <c r="AV1305" s="25">
        <v>1</v>
      </c>
      <c r="AW1305" s="25">
        <v>1</v>
      </c>
      <c r="AX1305" s="25">
        <v>1</v>
      </c>
      <c r="AY1305" s="25">
        <v>1</v>
      </c>
      <c r="AZ1305" s="25">
        <v>1</v>
      </c>
      <c r="BA1305" s="25">
        <v>1</v>
      </c>
      <c r="BB1305" s="25">
        <v>1</v>
      </c>
      <c r="BC1305" s="25">
        <v>1</v>
      </c>
      <c r="BD1305" s="25">
        <v>1</v>
      </c>
    </row>
    <row r="1306" spans="27:56" x14ac:dyDescent="0.25">
      <c r="AA1306" s="68" t="str">
        <f t="shared" si="81"/>
        <v>Fotos\\.jpg</v>
      </c>
      <c r="AB1306" s="53">
        <f t="shared" si="82"/>
        <v>7.6569678407350692E-4</v>
      </c>
      <c r="AC1306" s="25">
        <f t="shared" si="83"/>
        <v>1306</v>
      </c>
      <c r="AD1306" s="51">
        <f t="shared" si="84"/>
        <v>1</v>
      </c>
      <c r="AE1306" s="25">
        <v>1</v>
      </c>
      <c r="AF1306" s="25">
        <v>1</v>
      </c>
      <c r="AG1306" s="25">
        <v>1</v>
      </c>
      <c r="AH1306" s="25">
        <v>1</v>
      </c>
      <c r="AI1306" s="25">
        <f>IF(OR(Apresentação!$E$3='Base de Dados e filtragem'!AI$2,Apresentação!$E$3='Base de Dados e filtragem'!E1306),1,0)</f>
        <v>1</v>
      </c>
      <c r="AJ1306" s="25">
        <f>IF(OR(Apresentação!$E$4='Base de Dados e filtragem'!AJ$2,Apresentação!$E$4='Base de Dados e filtragem'!F1306),1,0)</f>
        <v>1</v>
      </c>
      <c r="AK1306" s="25">
        <f>IF(OR(Apresentação!$E$5='Base de Dados e filtragem'!AK$2,Apresentação!$E$5='Base de Dados e filtragem'!G1306),1,0)</f>
        <v>1</v>
      </c>
      <c r="AL1306" s="25">
        <f>IF(OR(Apresentação!$E$6='Base de Dados e filtragem'!AL$2,Apresentação!$E$6='Base de Dados e filtragem'!H1306),1,0)</f>
        <v>1</v>
      </c>
      <c r="AM1306" s="25">
        <f>IF(OR(Apresentação!$I$2='Base de Dados e filtragem'!AM$2,Apresentação!$I$2='Base de Dados e filtragem'!I1306),1,0)</f>
        <v>1</v>
      </c>
      <c r="AN1306" s="25">
        <f>IF(OR(Apresentação!$I$3='Base de Dados e filtragem'!AN$2,Apresentação!$I$3='Base de Dados e filtragem'!J1306),1,0)</f>
        <v>1</v>
      </c>
      <c r="AO1306" s="25">
        <f>IF(OR(Apresentação!$I$4='Base de Dados e filtragem'!AO$2,Apresentação!$I$4='Base de Dados e filtragem'!K1306),1,0)</f>
        <v>1</v>
      </c>
      <c r="AP1306" s="25">
        <f>IF(OR(Apresentação!$I$5='Base de Dados e filtragem'!AP$2,Apresentação!$I$5='Base de Dados e filtragem'!L1306),1,0)</f>
        <v>1</v>
      </c>
      <c r="AQ1306" s="25">
        <f>IF(OR(Apresentação!$I$6='Base de Dados e filtragem'!AQ$2,Apresentação!$I$6='Base de Dados e filtragem'!M1306),1,0)</f>
        <v>1</v>
      </c>
      <c r="AR1306" s="25">
        <v>1</v>
      </c>
      <c r="AS1306" s="25">
        <v>1</v>
      </c>
      <c r="AT1306" s="25">
        <v>1</v>
      </c>
      <c r="AU1306" s="25">
        <v>1</v>
      </c>
      <c r="AV1306" s="25">
        <v>1</v>
      </c>
      <c r="AW1306" s="25">
        <v>1</v>
      </c>
      <c r="AX1306" s="25">
        <v>1</v>
      </c>
      <c r="AY1306" s="25">
        <v>1</v>
      </c>
      <c r="AZ1306" s="25">
        <v>1</v>
      </c>
      <c r="BA1306" s="25">
        <v>1</v>
      </c>
      <c r="BB1306" s="25">
        <v>1</v>
      </c>
      <c r="BC1306" s="25">
        <v>1</v>
      </c>
      <c r="BD1306" s="25">
        <v>1</v>
      </c>
    </row>
    <row r="1307" spans="27:56" x14ac:dyDescent="0.25">
      <c r="AA1307" s="68" t="str">
        <f t="shared" si="81"/>
        <v>Fotos\\.jpg</v>
      </c>
      <c r="AB1307" s="53">
        <f t="shared" si="82"/>
        <v>7.6511094108645751E-4</v>
      </c>
      <c r="AC1307" s="25">
        <f t="shared" si="83"/>
        <v>1307</v>
      </c>
      <c r="AD1307" s="51">
        <f t="shared" si="84"/>
        <v>1</v>
      </c>
      <c r="AE1307" s="25">
        <v>1</v>
      </c>
      <c r="AF1307" s="25">
        <v>1</v>
      </c>
      <c r="AG1307" s="25">
        <v>1</v>
      </c>
      <c r="AH1307" s="25">
        <v>1</v>
      </c>
      <c r="AI1307" s="25">
        <f>IF(OR(Apresentação!$E$3='Base de Dados e filtragem'!AI$2,Apresentação!$E$3='Base de Dados e filtragem'!E1307),1,0)</f>
        <v>1</v>
      </c>
      <c r="AJ1307" s="25">
        <f>IF(OR(Apresentação!$E$4='Base de Dados e filtragem'!AJ$2,Apresentação!$E$4='Base de Dados e filtragem'!F1307),1,0)</f>
        <v>1</v>
      </c>
      <c r="AK1307" s="25">
        <f>IF(OR(Apresentação!$E$5='Base de Dados e filtragem'!AK$2,Apresentação!$E$5='Base de Dados e filtragem'!G1307),1,0)</f>
        <v>1</v>
      </c>
      <c r="AL1307" s="25">
        <f>IF(OR(Apresentação!$E$6='Base de Dados e filtragem'!AL$2,Apresentação!$E$6='Base de Dados e filtragem'!H1307),1,0)</f>
        <v>1</v>
      </c>
      <c r="AM1307" s="25">
        <f>IF(OR(Apresentação!$I$2='Base de Dados e filtragem'!AM$2,Apresentação!$I$2='Base de Dados e filtragem'!I1307),1,0)</f>
        <v>1</v>
      </c>
      <c r="AN1307" s="25">
        <f>IF(OR(Apresentação!$I$3='Base de Dados e filtragem'!AN$2,Apresentação!$I$3='Base de Dados e filtragem'!J1307),1,0)</f>
        <v>1</v>
      </c>
      <c r="AO1307" s="25">
        <f>IF(OR(Apresentação!$I$4='Base de Dados e filtragem'!AO$2,Apresentação!$I$4='Base de Dados e filtragem'!K1307),1,0)</f>
        <v>1</v>
      </c>
      <c r="AP1307" s="25">
        <f>IF(OR(Apresentação!$I$5='Base de Dados e filtragem'!AP$2,Apresentação!$I$5='Base de Dados e filtragem'!L1307),1,0)</f>
        <v>1</v>
      </c>
      <c r="AQ1307" s="25">
        <f>IF(OR(Apresentação!$I$6='Base de Dados e filtragem'!AQ$2,Apresentação!$I$6='Base de Dados e filtragem'!M1307),1,0)</f>
        <v>1</v>
      </c>
      <c r="AR1307" s="25">
        <v>1</v>
      </c>
      <c r="AS1307" s="25">
        <v>1</v>
      </c>
      <c r="AT1307" s="25">
        <v>1</v>
      </c>
      <c r="AU1307" s="25">
        <v>1</v>
      </c>
      <c r="AV1307" s="25">
        <v>1</v>
      </c>
      <c r="AW1307" s="25">
        <v>1</v>
      </c>
      <c r="AX1307" s="25">
        <v>1</v>
      </c>
      <c r="AY1307" s="25">
        <v>1</v>
      </c>
      <c r="AZ1307" s="25">
        <v>1</v>
      </c>
      <c r="BA1307" s="25">
        <v>1</v>
      </c>
      <c r="BB1307" s="25">
        <v>1</v>
      </c>
      <c r="BC1307" s="25">
        <v>1</v>
      </c>
      <c r="BD1307" s="25">
        <v>1</v>
      </c>
    </row>
    <row r="1308" spans="27:56" x14ac:dyDescent="0.25">
      <c r="AA1308" s="68" t="str">
        <f t="shared" si="81"/>
        <v>Fotos\\.jpg</v>
      </c>
      <c r="AB1308" s="53">
        <f t="shared" si="82"/>
        <v>7.6452599388379206E-4</v>
      </c>
      <c r="AC1308" s="25">
        <f t="shared" si="83"/>
        <v>1308</v>
      </c>
      <c r="AD1308" s="51">
        <f t="shared" si="84"/>
        <v>1</v>
      </c>
      <c r="AE1308" s="25">
        <v>1</v>
      </c>
      <c r="AF1308" s="25">
        <v>1</v>
      </c>
      <c r="AG1308" s="25">
        <v>1</v>
      </c>
      <c r="AH1308" s="25">
        <v>1</v>
      </c>
      <c r="AI1308" s="25">
        <f>IF(OR(Apresentação!$E$3='Base de Dados e filtragem'!AI$2,Apresentação!$E$3='Base de Dados e filtragem'!E1308),1,0)</f>
        <v>1</v>
      </c>
      <c r="AJ1308" s="25">
        <f>IF(OR(Apresentação!$E$4='Base de Dados e filtragem'!AJ$2,Apresentação!$E$4='Base de Dados e filtragem'!F1308),1,0)</f>
        <v>1</v>
      </c>
      <c r="AK1308" s="25">
        <f>IF(OR(Apresentação!$E$5='Base de Dados e filtragem'!AK$2,Apresentação!$E$5='Base de Dados e filtragem'!G1308),1,0)</f>
        <v>1</v>
      </c>
      <c r="AL1308" s="25">
        <f>IF(OR(Apresentação!$E$6='Base de Dados e filtragem'!AL$2,Apresentação!$E$6='Base de Dados e filtragem'!H1308),1,0)</f>
        <v>1</v>
      </c>
      <c r="AM1308" s="25">
        <f>IF(OR(Apresentação!$I$2='Base de Dados e filtragem'!AM$2,Apresentação!$I$2='Base de Dados e filtragem'!I1308),1,0)</f>
        <v>1</v>
      </c>
      <c r="AN1308" s="25">
        <f>IF(OR(Apresentação!$I$3='Base de Dados e filtragem'!AN$2,Apresentação!$I$3='Base de Dados e filtragem'!J1308),1,0)</f>
        <v>1</v>
      </c>
      <c r="AO1308" s="25">
        <f>IF(OR(Apresentação!$I$4='Base de Dados e filtragem'!AO$2,Apresentação!$I$4='Base de Dados e filtragem'!K1308),1,0)</f>
        <v>1</v>
      </c>
      <c r="AP1308" s="25">
        <f>IF(OR(Apresentação!$I$5='Base de Dados e filtragem'!AP$2,Apresentação!$I$5='Base de Dados e filtragem'!L1308),1,0)</f>
        <v>1</v>
      </c>
      <c r="AQ1308" s="25">
        <f>IF(OR(Apresentação!$I$6='Base de Dados e filtragem'!AQ$2,Apresentação!$I$6='Base de Dados e filtragem'!M1308),1,0)</f>
        <v>1</v>
      </c>
      <c r="AR1308" s="25">
        <v>1</v>
      </c>
      <c r="AS1308" s="25">
        <v>1</v>
      </c>
      <c r="AT1308" s="25">
        <v>1</v>
      </c>
      <c r="AU1308" s="25">
        <v>1</v>
      </c>
      <c r="AV1308" s="25">
        <v>1</v>
      </c>
      <c r="AW1308" s="25">
        <v>1</v>
      </c>
      <c r="AX1308" s="25">
        <v>1</v>
      </c>
      <c r="AY1308" s="25">
        <v>1</v>
      </c>
      <c r="AZ1308" s="25">
        <v>1</v>
      </c>
      <c r="BA1308" s="25">
        <v>1</v>
      </c>
      <c r="BB1308" s="25">
        <v>1</v>
      </c>
      <c r="BC1308" s="25">
        <v>1</v>
      </c>
      <c r="BD1308" s="25">
        <v>1</v>
      </c>
    </row>
    <row r="1309" spans="27:56" x14ac:dyDescent="0.25">
      <c r="AA1309" s="68" t="str">
        <f t="shared" si="81"/>
        <v>Fotos\\.jpg</v>
      </c>
      <c r="AB1309" s="53">
        <f t="shared" si="82"/>
        <v>7.6394194041252863E-4</v>
      </c>
      <c r="AC1309" s="25">
        <f t="shared" si="83"/>
        <v>1309</v>
      </c>
      <c r="AD1309" s="51">
        <f t="shared" si="84"/>
        <v>1</v>
      </c>
      <c r="AE1309" s="25">
        <v>1</v>
      </c>
      <c r="AF1309" s="25">
        <v>1</v>
      </c>
      <c r="AG1309" s="25">
        <v>1</v>
      </c>
      <c r="AH1309" s="25">
        <v>1</v>
      </c>
      <c r="AI1309" s="25">
        <f>IF(OR(Apresentação!$E$3='Base de Dados e filtragem'!AI$2,Apresentação!$E$3='Base de Dados e filtragem'!E1309),1,0)</f>
        <v>1</v>
      </c>
      <c r="AJ1309" s="25">
        <f>IF(OR(Apresentação!$E$4='Base de Dados e filtragem'!AJ$2,Apresentação!$E$4='Base de Dados e filtragem'!F1309),1,0)</f>
        <v>1</v>
      </c>
      <c r="AK1309" s="25">
        <f>IF(OR(Apresentação!$E$5='Base de Dados e filtragem'!AK$2,Apresentação!$E$5='Base de Dados e filtragem'!G1309),1,0)</f>
        <v>1</v>
      </c>
      <c r="AL1309" s="25">
        <f>IF(OR(Apresentação!$E$6='Base de Dados e filtragem'!AL$2,Apresentação!$E$6='Base de Dados e filtragem'!H1309),1,0)</f>
        <v>1</v>
      </c>
      <c r="AM1309" s="25">
        <f>IF(OR(Apresentação!$I$2='Base de Dados e filtragem'!AM$2,Apresentação!$I$2='Base de Dados e filtragem'!I1309),1,0)</f>
        <v>1</v>
      </c>
      <c r="AN1309" s="25">
        <f>IF(OR(Apresentação!$I$3='Base de Dados e filtragem'!AN$2,Apresentação!$I$3='Base de Dados e filtragem'!J1309),1,0)</f>
        <v>1</v>
      </c>
      <c r="AO1309" s="25">
        <f>IF(OR(Apresentação!$I$4='Base de Dados e filtragem'!AO$2,Apresentação!$I$4='Base de Dados e filtragem'!K1309),1,0)</f>
        <v>1</v>
      </c>
      <c r="AP1309" s="25">
        <f>IF(OR(Apresentação!$I$5='Base de Dados e filtragem'!AP$2,Apresentação!$I$5='Base de Dados e filtragem'!L1309),1,0)</f>
        <v>1</v>
      </c>
      <c r="AQ1309" s="25">
        <f>IF(OR(Apresentação!$I$6='Base de Dados e filtragem'!AQ$2,Apresentação!$I$6='Base de Dados e filtragem'!M1309),1,0)</f>
        <v>1</v>
      </c>
      <c r="AR1309" s="25">
        <v>1</v>
      </c>
      <c r="AS1309" s="25">
        <v>1</v>
      </c>
      <c r="AT1309" s="25">
        <v>1</v>
      </c>
      <c r="AU1309" s="25">
        <v>1</v>
      </c>
      <c r="AV1309" s="25">
        <v>1</v>
      </c>
      <c r="AW1309" s="25">
        <v>1</v>
      </c>
      <c r="AX1309" s="25">
        <v>1</v>
      </c>
      <c r="AY1309" s="25">
        <v>1</v>
      </c>
      <c r="AZ1309" s="25">
        <v>1</v>
      </c>
      <c r="BA1309" s="25">
        <v>1</v>
      </c>
      <c r="BB1309" s="25">
        <v>1</v>
      </c>
      <c r="BC1309" s="25">
        <v>1</v>
      </c>
      <c r="BD1309" s="25">
        <v>1</v>
      </c>
    </row>
    <row r="1310" spans="27:56" x14ac:dyDescent="0.25">
      <c r="AA1310" s="68" t="str">
        <f t="shared" si="81"/>
        <v>Fotos\\.jpg</v>
      </c>
      <c r="AB1310" s="53">
        <f t="shared" si="82"/>
        <v>7.6335877862595419E-4</v>
      </c>
      <c r="AC1310" s="25">
        <f t="shared" si="83"/>
        <v>1310</v>
      </c>
      <c r="AD1310" s="51">
        <f t="shared" si="84"/>
        <v>1</v>
      </c>
      <c r="AE1310" s="25">
        <v>1</v>
      </c>
      <c r="AF1310" s="25">
        <v>1</v>
      </c>
      <c r="AG1310" s="25">
        <v>1</v>
      </c>
      <c r="AH1310" s="25">
        <v>1</v>
      </c>
      <c r="AI1310" s="25">
        <f>IF(OR(Apresentação!$E$3='Base de Dados e filtragem'!AI$2,Apresentação!$E$3='Base de Dados e filtragem'!E1310),1,0)</f>
        <v>1</v>
      </c>
      <c r="AJ1310" s="25">
        <f>IF(OR(Apresentação!$E$4='Base de Dados e filtragem'!AJ$2,Apresentação!$E$4='Base de Dados e filtragem'!F1310),1,0)</f>
        <v>1</v>
      </c>
      <c r="AK1310" s="25">
        <f>IF(OR(Apresentação!$E$5='Base de Dados e filtragem'!AK$2,Apresentação!$E$5='Base de Dados e filtragem'!G1310),1,0)</f>
        <v>1</v>
      </c>
      <c r="AL1310" s="25">
        <f>IF(OR(Apresentação!$E$6='Base de Dados e filtragem'!AL$2,Apresentação!$E$6='Base de Dados e filtragem'!H1310),1,0)</f>
        <v>1</v>
      </c>
      <c r="AM1310" s="25">
        <f>IF(OR(Apresentação!$I$2='Base de Dados e filtragem'!AM$2,Apresentação!$I$2='Base de Dados e filtragem'!I1310),1,0)</f>
        <v>1</v>
      </c>
      <c r="AN1310" s="25">
        <f>IF(OR(Apresentação!$I$3='Base de Dados e filtragem'!AN$2,Apresentação!$I$3='Base de Dados e filtragem'!J1310),1,0)</f>
        <v>1</v>
      </c>
      <c r="AO1310" s="25">
        <f>IF(OR(Apresentação!$I$4='Base de Dados e filtragem'!AO$2,Apresentação!$I$4='Base de Dados e filtragem'!K1310),1,0)</f>
        <v>1</v>
      </c>
      <c r="AP1310" s="25">
        <f>IF(OR(Apresentação!$I$5='Base de Dados e filtragem'!AP$2,Apresentação!$I$5='Base de Dados e filtragem'!L1310),1,0)</f>
        <v>1</v>
      </c>
      <c r="AQ1310" s="25">
        <f>IF(OR(Apresentação!$I$6='Base de Dados e filtragem'!AQ$2,Apresentação!$I$6='Base de Dados e filtragem'!M1310),1,0)</f>
        <v>1</v>
      </c>
      <c r="AR1310" s="25">
        <v>1</v>
      </c>
      <c r="AS1310" s="25">
        <v>1</v>
      </c>
      <c r="AT1310" s="25">
        <v>1</v>
      </c>
      <c r="AU1310" s="25">
        <v>1</v>
      </c>
      <c r="AV1310" s="25">
        <v>1</v>
      </c>
      <c r="AW1310" s="25">
        <v>1</v>
      </c>
      <c r="AX1310" s="25">
        <v>1</v>
      </c>
      <c r="AY1310" s="25">
        <v>1</v>
      </c>
      <c r="AZ1310" s="25">
        <v>1</v>
      </c>
      <c r="BA1310" s="25">
        <v>1</v>
      </c>
      <c r="BB1310" s="25">
        <v>1</v>
      </c>
      <c r="BC1310" s="25">
        <v>1</v>
      </c>
      <c r="BD1310" s="25">
        <v>1</v>
      </c>
    </row>
    <row r="1311" spans="27:56" x14ac:dyDescent="0.25">
      <c r="AA1311" s="68" t="str">
        <f t="shared" si="81"/>
        <v>Fotos\\.jpg</v>
      </c>
      <c r="AB1311" s="53">
        <f t="shared" si="82"/>
        <v>7.6277650648360034E-4</v>
      </c>
      <c r="AC1311" s="25">
        <f t="shared" si="83"/>
        <v>1311</v>
      </c>
      <c r="AD1311" s="51">
        <f t="shared" si="84"/>
        <v>1</v>
      </c>
      <c r="AE1311" s="25">
        <v>1</v>
      </c>
      <c r="AF1311" s="25">
        <v>1</v>
      </c>
      <c r="AG1311" s="25">
        <v>1</v>
      </c>
      <c r="AH1311" s="25">
        <v>1</v>
      </c>
      <c r="AI1311" s="25">
        <f>IF(OR(Apresentação!$E$3='Base de Dados e filtragem'!AI$2,Apresentação!$E$3='Base de Dados e filtragem'!E1311),1,0)</f>
        <v>1</v>
      </c>
      <c r="AJ1311" s="25">
        <f>IF(OR(Apresentação!$E$4='Base de Dados e filtragem'!AJ$2,Apresentação!$E$4='Base de Dados e filtragem'!F1311),1,0)</f>
        <v>1</v>
      </c>
      <c r="AK1311" s="25">
        <f>IF(OR(Apresentação!$E$5='Base de Dados e filtragem'!AK$2,Apresentação!$E$5='Base de Dados e filtragem'!G1311),1,0)</f>
        <v>1</v>
      </c>
      <c r="AL1311" s="25">
        <f>IF(OR(Apresentação!$E$6='Base de Dados e filtragem'!AL$2,Apresentação!$E$6='Base de Dados e filtragem'!H1311),1,0)</f>
        <v>1</v>
      </c>
      <c r="AM1311" s="25">
        <f>IF(OR(Apresentação!$I$2='Base de Dados e filtragem'!AM$2,Apresentação!$I$2='Base de Dados e filtragem'!I1311),1,0)</f>
        <v>1</v>
      </c>
      <c r="AN1311" s="25">
        <f>IF(OR(Apresentação!$I$3='Base de Dados e filtragem'!AN$2,Apresentação!$I$3='Base de Dados e filtragem'!J1311),1,0)</f>
        <v>1</v>
      </c>
      <c r="AO1311" s="25">
        <f>IF(OR(Apresentação!$I$4='Base de Dados e filtragem'!AO$2,Apresentação!$I$4='Base de Dados e filtragem'!K1311),1,0)</f>
        <v>1</v>
      </c>
      <c r="AP1311" s="25">
        <f>IF(OR(Apresentação!$I$5='Base de Dados e filtragem'!AP$2,Apresentação!$I$5='Base de Dados e filtragem'!L1311),1,0)</f>
        <v>1</v>
      </c>
      <c r="AQ1311" s="25">
        <f>IF(OR(Apresentação!$I$6='Base de Dados e filtragem'!AQ$2,Apresentação!$I$6='Base de Dados e filtragem'!M1311),1,0)</f>
        <v>1</v>
      </c>
      <c r="AR1311" s="25">
        <v>1</v>
      </c>
      <c r="AS1311" s="25">
        <v>1</v>
      </c>
      <c r="AT1311" s="25">
        <v>1</v>
      </c>
      <c r="AU1311" s="25">
        <v>1</v>
      </c>
      <c r="AV1311" s="25">
        <v>1</v>
      </c>
      <c r="AW1311" s="25">
        <v>1</v>
      </c>
      <c r="AX1311" s="25">
        <v>1</v>
      </c>
      <c r="AY1311" s="25">
        <v>1</v>
      </c>
      <c r="AZ1311" s="25">
        <v>1</v>
      </c>
      <c r="BA1311" s="25">
        <v>1</v>
      </c>
      <c r="BB1311" s="25">
        <v>1</v>
      </c>
      <c r="BC1311" s="25">
        <v>1</v>
      </c>
      <c r="BD1311" s="25">
        <v>1</v>
      </c>
    </row>
    <row r="1312" spans="27:56" x14ac:dyDescent="0.25">
      <c r="AA1312" s="68" t="str">
        <f t="shared" si="81"/>
        <v>Fotos\\.jpg</v>
      </c>
      <c r="AB1312" s="53">
        <f t="shared" si="82"/>
        <v>7.6219512195121954E-4</v>
      </c>
      <c r="AC1312" s="25">
        <f t="shared" si="83"/>
        <v>1312</v>
      </c>
      <c r="AD1312" s="51">
        <f t="shared" si="84"/>
        <v>1</v>
      </c>
      <c r="AE1312" s="25">
        <v>1</v>
      </c>
      <c r="AF1312" s="25">
        <v>1</v>
      </c>
      <c r="AG1312" s="25">
        <v>1</v>
      </c>
      <c r="AH1312" s="25">
        <v>1</v>
      </c>
      <c r="AI1312" s="25">
        <f>IF(OR(Apresentação!$E$3='Base de Dados e filtragem'!AI$2,Apresentação!$E$3='Base de Dados e filtragem'!E1312),1,0)</f>
        <v>1</v>
      </c>
      <c r="AJ1312" s="25">
        <f>IF(OR(Apresentação!$E$4='Base de Dados e filtragem'!AJ$2,Apresentação!$E$4='Base de Dados e filtragem'!F1312),1,0)</f>
        <v>1</v>
      </c>
      <c r="AK1312" s="25">
        <f>IF(OR(Apresentação!$E$5='Base de Dados e filtragem'!AK$2,Apresentação!$E$5='Base de Dados e filtragem'!G1312),1,0)</f>
        <v>1</v>
      </c>
      <c r="AL1312" s="25">
        <f>IF(OR(Apresentação!$E$6='Base de Dados e filtragem'!AL$2,Apresentação!$E$6='Base de Dados e filtragem'!H1312),1,0)</f>
        <v>1</v>
      </c>
      <c r="AM1312" s="25">
        <f>IF(OR(Apresentação!$I$2='Base de Dados e filtragem'!AM$2,Apresentação!$I$2='Base de Dados e filtragem'!I1312),1,0)</f>
        <v>1</v>
      </c>
      <c r="AN1312" s="25">
        <f>IF(OR(Apresentação!$I$3='Base de Dados e filtragem'!AN$2,Apresentação!$I$3='Base de Dados e filtragem'!J1312),1,0)</f>
        <v>1</v>
      </c>
      <c r="AO1312" s="25">
        <f>IF(OR(Apresentação!$I$4='Base de Dados e filtragem'!AO$2,Apresentação!$I$4='Base de Dados e filtragem'!K1312),1,0)</f>
        <v>1</v>
      </c>
      <c r="AP1312" s="25">
        <f>IF(OR(Apresentação!$I$5='Base de Dados e filtragem'!AP$2,Apresentação!$I$5='Base de Dados e filtragem'!L1312),1,0)</f>
        <v>1</v>
      </c>
      <c r="AQ1312" s="25">
        <f>IF(OR(Apresentação!$I$6='Base de Dados e filtragem'!AQ$2,Apresentação!$I$6='Base de Dados e filtragem'!M1312),1,0)</f>
        <v>1</v>
      </c>
      <c r="AR1312" s="25">
        <v>1</v>
      </c>
      <c r="AS1312" s="25">
        <v>1</v>
      </c>
      <c r="AT1312" s="25">
        <v>1</v>
      </c>
      <c r="AU1312" s="25">
        <v>1</v>
      </c>
      <c r="AV1312" s="25">
        <v>1</v>
      </c>
      <c r="AW1312" s="25">
        <v>1</v>
      </c>
      <c r="AX1312" s="25">
        <v>1</v>
      </c>
      <c r="AY1312" s="25">
        <v>1</v>
      </c>
      <c r="AZ1312" s="25">
        <v>1</v>
      </c>
      <c r="BA1312" s="25">
        <v>1</v>
      </c>
      <c r="BB1312" s="25">
        <v>1</v>
      </c>
      <c r="BC1312" s="25">
        <v>1</v>
      </c>
      <c r="BD1312" s="25">
        <v>1</v>
      </c>
    </row>
    <row r="1313" spans="27:56" x14ac:dyDescent="0.25">
      <c r="AA1313" s="68" t="str">
        <f t="shared" si="81"/>
        <v>Fotos\\.jpg</v>
      </c>
      <c r="AB1313" s="53">
        <f t="shared" si="82"/>
        <v>7.6161462300076163E-4</v>
      </c>
      <c r="AC1313" s="25">
        <f t="shared" si="83"/>
        <v>1313</v>
      </c>
      <c r="AD1313" s="51">
        <f t="shared" si="84"/>
        <v>1</v>
      </c>
      <c r="AE1313" s="25">
        <v>1</v>
      </c>
      <c r="AF1313" s="25">
        <v>1</v>
      </c>
      <c r="AG1313" s="25">
        <v>1</v>
      </c>
      <c r="AH1313" s="25">
        <v>1</v>
      </c>
      <c r="AI1313" s="25">
        <f>IF(OR(Apresentação!$E$3='Base de Dados e filtragem'!AI$2,Apresentação!$E$3='Base de Dados e filtragem'!E1313),1,0)</f>
        <v>1</v>
      </c>
      <c r="AJ1313" s="25">
        <f>IF(OR(Apresentação!$E$4='Base de Dados e filtragem'!AJ$2,Apresentação!$E$4='Base de Dados e filtragem'!F1313),1,0)</f>
        <v>1</v>
      </c>
      <c r="AK1313" s="25">
        <f>IF(OR(Apresentação!$E$5='Base de Dados e filtragem'!AK$2,Apresentação!$E$5='Base de Dados e filtragem'!G1313),1,0)</f>
        <v>1</v>
      </c>
      <c r="AL1313" s="25">
        <f>IF(OR(Apresentação!$E$6='Base de Dados e filtragem'!AL$2,Apresentação!$E$6='Base de Dados e filtragem'!H1313),1,0)</f>
        <v>1</v>
      </c>
      <c r="AM1313" s="25">
        <f>IF(OR(Apresentação!$I$2='Base de Dados e filtragem'!AM$2,Apresentação!$I$2='Base de Dados e filtragem'!I1313),1,0)</f>
        <v>1</v>
      </c>
      <c r="AN1313" s="25">
        <f>IF(OR(Apresentação!$I$3='Base de Dados e filtragem'!AN$2,Apresentação!$I$3='Base de Dados e filtragem'!J1313),1,0)</f>
        <v>1</v>
      </c>
      <c r="AO1313" s="25">
        <f>IF(OR(Apresentação!$I$4='Base de Dados e filtragem'!AO$2,Apresentação!$I$4='Base de Dados e filtragem'!K1313),1,0)</f>
        <v>1</v>
      </c>
      <c r="AP1313" s="25">
        <f>IF(OR(Apresentação!$I$5='Base de Dados e filtragem'!AP$2,Apresentação!$I$5='Base de Dados e filtragem'!L1313),1,0)</f>
        <v>1</v>
      </c>
      <c r="AQ1313" s="25">
        <f>IF(OR(Apresentação!$I$6='Base de Dados e filtragem'!AQ$2,Apresentação!$I$6='Base de Dados e filtragem'!M1313),1,0)</f>
        <v>1</v>
      </c>
      <c r="AR1313" s="25">
        <v>1</v>
      </c>
      <c r="AS1313" s="25">
        <v>1</v>
      </c>
      <c r="AT1313" s="25">
        <v>1</v>
      </c>
      <c r="AU1313" s="25">
        <v>1</v>
      </c>
      <c r="AV1313" s="25">
        <v>1</v>
      </c>
      <c r="AW1313" s="25">
        <v>1</v>
      </c>
      <c r="AX1313" s="25">
        <v>1</v>
      </c>
      <c r="AY1313" s="25">
        <v>1</v>
      </c>
      <c r="AZ1313" s="25">
        <v>1</v>
      </c>
      <c r="BA1313" s="25">
        <v>1</v>
      </c>
      <c r="BB1313" s="25">
        <v>1</v>
      </c>
      <c r="BC1313" s="25">
        <v>1</v>
      </c>
      <c r="BD1313" s="25">
        <v>1</v>
      </c>
    </row>
    <row r="1314" spans="27:56" x14ac:dyDescent="0.25">
      <c r="AA1314" s="68" t="str">
        <f t="shared" si="81"/>
        <v>Fotos\\.jpg</v>
      </c>
      <c r="AB1314" s="53">
        <f t="shared" si="82"/>
        <v>7.6103500761035003E-4</v>
      </c>
      <c r="AC1314" s="25">
        <f t="shared" si="83"/>
        <v>1314</v>
      </c>
      <c r="AD1314" s="51">
        <f t="shared" si="84"/>
        <v>1</v>
      </c>
      <c r="AE1314" s="25">
        <v>1</v>
      </c>
      <c r="AF1314" s="25">
        <v>1</v>
      </c>
      <c r="AG1314" s="25">
        <v>1</v>
      </c>
      <c r="AH1314" s="25">
        <v>1</v>
      </c>
      <c r="AI1314" s="25">
        <f>IF(OR(Apresentação!$E$3='Base de Dados e filtragem'!AI$2,Apresentação!$E$3='Base de Dados e filtragem'!E1314),1,0)</f>
        <v>1</v>
      </c>
      <c r="AJ1314" s="25">
        <f>IF(OR(Apresentação!$E$4='Base de Dados e filtragem'!AJ$2,Apresentação!$E$4='Base de Dados e filtragem'!F1314),1,0)</f>
        <v>1</v>
      </c>
      <c r="AK1314" s="25">
        <f>IF(OR(Apresentação!$E$5='Base de Dados e filtragem'!AK$2,Apresentação!$E$5='Base de Dados e filtragem'!G1314),1,0)</f>
        <v>1</v>
      </c>
      <c r="AL1314" s="25">
        <f>IF(OR(Apresentação!$E$6='Base de Dados e filtragem'!AL$2,Apresentação!$E$6='Base de Dados e filtragem'!H1314),1,0)</f>
        <v>1</v>
      </c>
      <c r="AM1314" s="25">
        <f>IF(OR(Apresentação!$I$2='Base de Dados e filtragem'!AM$2,Apresentação!$I$2='Base de Dados e filtragem'!I1314),1,0)</f>
        <v>1</v>
      </c>
      <c r="AN1314" s="25">
        <f>IF(OR(Apresentação!$I$3='Base de Dados e filtragem'!AN$2,Apresentação!$I$3='Base de Dados e filtragem'!J1314),1,0)</f>
        <v>1</v>
      </c>
      <c r="AO1314" s="25">
        <f>IF(OR(Apresentação!$I$4='Base de Dados e filtragem'!AO$2,Apresentação!$I$4='Base de Dados e filtragem'!K1314),1,0)</f>
        <v>1</v>
      </c>
      <c r="AP1314" s="25">
        <f>IF(OR(Apresentação!$I$5='Base de Dados e filtragem'!AP$2,Apresentação!$I$5='Base de Dados e filtragem'!L1314),1,0)</f>
        <v>1</v>
      </c>
      <c r="AQ1314" s="25">
        <f>IF(OR(Apresentação!$I$6='Base de Dados e filtragem'!AQ$2,Apresentação!$I$6='Base de Dados e filtragem'!M1314),1,0)</f>
        <v>1</v>
      </c>
      <c r="AR1314" s="25">
        <v>1</v>
      </c>
      <c r="AS1314" s="25">
        <v>1</v>
      </c>
      <c r="AT1314" s="25">
        <v>1</v>
      </c>
      <c r="AU1314" s="25">
        <v>1</v>
      </c>
      <c r="AV1314" s="25">
        <v>1</v>
      </c>
      <c r="AW1314" s="25">
        <v>1</v>
      </c>
      <c r="AX1314" s="25">
        <v>1</v>
      </c>
      <c r="AY1314" s="25">
        <v>1</v>
      </c>
      <c r="AZ1314" s="25">
        <v>1</v>
      </c>
      <c r="BA1314" s="25">
        <v>1</v>
      </c>
      <c r="BB1314" s="25">
        <v>1</v>
      </c>
      <c r="BC1314" s="25">
        <v>1</v>
      </c>
      <c r="BD1314" s="25">
        <v>1</v>
      </c>
    </row>
    <row r="1315" spans="27:56" x14ac:dyDescent="0.25">
      <c r="AA1315" s="68" t="str">
        <f t="shared" si="81"/>
        <v>Fotos\\.jpg</v>
      </c>
      <c r="AB1315" s="53">
        <f t="shared" si="82"/>
        <v>7.6045627376425851E-4</v>
      </c>
      <c r="AC1315" s="25">
        <f t="shared" si="83"/>
        <v>1315</v>
      </c>
      <c r="AD1315" s="51">
        <f t="shared" si="84"/>
        <v>1</v>
      </c>
      <c r="AE1315" s="25">
        <v>1</v>
      </c>
      <c r="AF1315" s="25">
        <v>1</v>
      </c>
      <c r="AG1315" s="25">
        <v>1</v>
      </c>
      <c r="AH1315" s="25">
        <v>1</v>
      </c>
      <c r="AI1315" s="25">
        <f>IF(OR(Apresentação!$E$3='Base de Dados e filtragem'!AI$2,Apresentação!$E$3='Base de Dados e filtragem'!E1315),1,0)</f>
        <v>1</v>
      </c>
      <c r="AJ1315" s="25">
        <f>IF(OR(Apresentação!$E$4='Base de Dados e filtragem'!AJ$2,Apresentação!$E$4='Base de Dados e filtragem'!F1315),1,0)</f>
        <v>1</v>
      </c>
      <c r="AK1315" s="25">
        <f>IF(OR(Apresentação!$E$5='Base de Dados e filtragem'!AK$2,Apresentação!$E$5='Base de Dados e filtragem'!G1315),1,0)</f>
        <v>1</v>
      </c>
      <c r="AL1315" s="25">
        <f>IF(OR(Apresentação!$E$6='Base de Dados e filtragem'!AL$2,Apresentação!$E$6='Base de Dados e filtragem'!H1315),1,0)</f>
        <v>1</v>
      </c>
      <c r="AM1315" s="25">
        <f>IF(OR(Apresentação!$I$2='Base de Dados e filtragem'!AM$2,Apresentação!$I$2='Base de Dados e filtragem'!I1315),1,0)</f>
        <v>1</v>
      </c>
      <c r="AN1315" s="25">
        <f>IF(OR(Apresentação!$I$3='Base de Dados e filtragem'!AN$2,Apresentação!$I$3='Base de Dados e filtragem'!J1315),1,0)</f>
        <v>1</v>
      </c>
      <c r="AO1315" s="25">
        <f>IF(OR(Apresentação!$I$4='Base de Dados e filtragem'!AO$2,Apresentação!$I$4='Base de Dados e filtragem'!K1315),1,0)</f>
        <v>1</v>
      </c>
      <c r="AP1315" s="25">
        <f>IF(OR(Apresentação!$I$5='Base de Dados e filtragem'!AP$2,Apresentação!$I$5='Base de Dados e filtragem'!L1315),1,0)</f>
        <v>1</v>
      </c>
      <c r="AQ1315" s="25">
        <f>IF(OR(Apresentação!$I$6='Base de Dados e filtragem'!AQ$2,Apresentação!$I$6='Base de Dados e filtragem'!M1315),1,0)</f>
        <v>1</v>
      </c>
      <c r="AR1315" s="25">
        <v>1</v>
      </c>
      <c r="AS1315" s="25">
        <v>1</v>
      </c>
      <c r="AT1315" s="25">
        <v>1</v>
      </c>
      <c r="AU1315" s="25">
        <v>1</v>
      </c>
      <c r="AV1315" s="25">
        <v>1</v>
      </c>
      <c r="AW1315" s="25">
        <v>1</v>
      </c>
      <c r="AX1315" s="25">
        <v>1</v>
      </c>
      <c r="AY1315" s="25">
        <v>1</v>
      </c>
      <c r="AZ1315" s="25">
        <v>1</v>
      </c>
      <c r="BA1315" s="25">
        <v>1</v>
      </c>
      <c r="BB1315" s="25">
        <v>1</v>
      </c>
      <c r="BC1315" s="25">
        <v>1</v>
      </c>
      <c r="BD1315" s="25">
        <v>1</v>
      </c>
    </row>
    <row r="1316" spans="27:56" x14ac:dyDescent="0.25">
      <c r="AA1316" s="68" t="str">
        <f t="shared" si="81"/>
        <v>Fotos\\.jpg</v>
      </c>
      <c r="AB1316" s="53">
        <f t="shared" si="82"/>
        <v>7.5987841945288754E-4</v>
      </c>
      <c r="AC1316" s="25">
        <f t="shared" si="83"/>
        <v>1316</v>
      </c>
      <c r="AD1316" s="51">
        <f t="shared" si="84"/>
        <v>1</v>
      </c>
      <c r="AE1316" s="25">
        <v>1</v>
      </c>
      <c r="AF1316" s="25">
        <v>1</v>
      </c>
      <c r="AG1316" s="25">
        <v>1</v>
      </c>
      <c r="AH1316" s="25">
        <v>1</v>
      </c>
      <c r="AI1316" s="25">
        <f>IF(OR(Apresentação!$E$3='Base de Dados e filtragem'!AI$2,Apresentação!$E$3='Base de Dados e filtragem'!E1316),1,0)</f>
        <v>1</v>
      </c>
      <c r="AJ1316" s="25">
        <f>IF(OR(Apresentação!$E$4='Base de Dados e filtragem'!AJ$2,Apresentação!$E$4='Base de Dados e filtragem'!F1316),1,0)</f>
        <v>1</v>
      </c>
      <c r="AK1316" s="25">
        <f>IF(OR(Apresentação!$E$5='Base de Dados e filtragem'!AK$2,Apresentação!$E$5='Base de Dados e filtragem'!G1316),1,0)</f>
        <v>1</v>
      </c>
      <c r="AL1316" s="25">
        <f>IF(OR(Apresentação!$E$6='Base de Dados e filtragem'!AL$2,Apresentação!$E$6='Base de Dados e filtragem'!H1316),1,0)</f>
        <v>1</v>
      </c>
      <c r="AM1316" s="25">
        <f>IF(OR(Apresentação!$I$2='Base de Dados e filtragem'!AM$2,Apresentação!$I$2='Base de Dados e filtragem'!I1316),1,0)</f>
        <v>1</v>
      </c>
      <c r="AN1316" s="25">
        <f>IF(OR(Apresentação!$I$3='Base de Dados e filtragem'!AN$2,Apresentação!$I$3='Base de Dados e filtragem'!J1316),1,0)</f>
        <v>1</v>
      </c>
      <c r="AO1316" s="25">
        <f>IF(OR(Apresentação!$I$4='Base de Dados e filtragem'!AO$2,Apresentação!$I$4='Base de Dados e filtragem'!K1316),1,0)</f>
        <v>1</v>
      </c>
      <c r="AP1316" s="25">
        <f>IF(OR(Apresentação!$I$5='Base de Dados e filtragem'!AP$2,Apresentação!$I$5='Base de Dados e filtragem'!L1316),1,0)</f>
        <v>1</v>
      </c>
      <c r="AQ1316" s="25">
        <f>IF(OR(Apresentação!$I$6='Base de Dados e filtragem'!AQ$2,Apresentação!$I$6='Base de Dados e filtragem'!M1316),1,0)</f>
        <v>1</v>
      </c>
      <c r="AR1316" s="25">
        <v>1</v>
      </c>
      <c r="AS1316" s="25">
        <v>1</v>
      </c>
      <c r="AT1316" s="25">
        <v>1</v>
      </c>
      <c r="AU1316" s="25">
        <v>1</v>
      </c>
      <c r="AV1316" s="25">
        <v>1</v>
      </c>
      <c r="AW1316" s="25">
        <v>1</v>
      </c>
      <c r="AX1316" s="25">
        <v>1</v>
      </c>
      <c r="AY1316" s="25">
        <v>1</v>
      </c>
      <c r="AZ1316" s="25">
        <v>1</v>
      </c>
      <c r="BA1316" s="25">
        <v>1</v>
      </c>
      <c r="BB1316" s="25">
        <v>1</v>
      </c>
      <c r="BC1316" s="25">
        <v>1</v>
      </c>
      <c r="BD1316" s="25">
        <v>1</v>
      </c>
    </row>
    <row r="1317" spans="27:56" x14ac:dyDescent="0.25">
      <c r="AA1317" s="68" t="str">
        <f t="shared" si="81"/>
        <v>Fotos\\.jpg</v>
      </c>
      <c r="AB1317" s="53">
        <f t="shared" si="82"/>
        <v>7.5930144267274111E-4</v>
      </c>
      <c r="AC1317" s="25">
        <f t="shared" si="83"/>
        <v>1317</v>
      </c>
      <c r="AD1317" s="51">
        <f t="shared" si="84"/>
        <v>1</v>
      </c>
      <c r="AE1317" s="25">
        <v>1</v>
      </c>
      <c r="AF1317" s="25">
        <v>1</v>
      </c>
      <c r="AG1317" s="25">
        <v>1</v>
      </c>
      <c r="AH1317" s="25">
        <v>1</v>
      </c>
      <c r="AI1317" s="25">
        <f>IF(OR(Apresentação!$E$3='Base de Dados e filtragem'!AI$2,Apresentação!$E$3='Base de Dados e filtragem'!E1317),1,0)</f>
        <v>1</v>
      </c>
      <c r="AJ1317" s="25">
        <f>IF(OR(Apresentação!$E$4='Base de Dados e filtragem'!AJ$2,Apresentação!$E$4='Base de Dados e filtragem'!F1317),1,0)</f>
        <v>1</v>
      </c>
      <c r="AK1317" s="25">
        <f>IF(OR(Apresentação!$E$5='Base de Dados e filtragem'!AK$2,Apresentação!$E$5='Base de Dados e filtragem'!G1317),1,0)</f>
        <v>1</v>
      </c>
      <c r="AL1317" s="25">
        <f>IF(OR(Apresentação!$E$6='Base de Dados e filtragem'!AL$2,Apresentação!$E$6='Base de Dados e filtragem'!H1317),1,0)</f>
        <v>1</v>
      </c>
      <c r="AM1317" s="25">
        <f>IF(OR(Apresentação!$I$2='Base de Dados e filtragem'!AM$2,Apresentação!$I$2='Base de Dados e filtragem'!I1317),1,0)</f>
        <v>1</v>
      </c>
      <c r="AN1317" s="25">
        <f>IF(OR(Apresentação!$I$3='Base de Dados e filtragem'!AN$2,Apresentação!$I$3='Base de Dados e filtragem'!J1317),1,0)</f>
        <v>1</v>
      </c>
      <c r="AO1317" s="25">
        <f>IF(OR(Apresentação!$I$4='Base de Dados e filtragem'!AO$2,Apresentação!$I$4='Base de Dados e filtragem'!K1317),1,0)</f>
        <v>1</v>
      </c>
      <c r="AP1317" s="25">
        <f>IF(OR(Apresentação!$I$5='Base de Dados e filtragem'!AP$2,Apresentação!$I$5='Base de Dados e filtragem'!L1317),1,0)</f>
        <v>1</v>
      </c>
      <c r="AQ1317" s="25">
        <f>IF(OR(Apresentação!$I$6='Base de Dados e filtragem'!AQ$2,Apresentação!$I$6='Base de Dados e filtragem'!M1317),1,0)</f>
        <v>1</v>
      </c>
      <c r="AR1317" s="25">
        <v>1</v>
      </c>
      <c r="AS1317" s="25">
        <v>1</v>
      </c>
      <c r="AT1317" s="25">
        <v>1</v>
      </c>
      <c r="AU1317" s="25">
        <v>1</v>
      </c>
      <c r="AV1317" s="25">
        <v>1</v>
      </c>
      <c r="AW1317" s="25">
        <v>1</v>
      </c>
      <c r="AX1317" s="25">
        <v>1</v>
      </c>
      <c r="AY1317" s="25">
        <v>1</v>
      </c>
      <c r="AZ1317" s="25">
        <v>1</v>
      </c>
      <c r="BA1317" s="25">
        <v>1</v>
      </c>
      <c r="BB1317" s="25">
        <v>1</v>
      </c>
      <c r="BC1317" s="25">
        <v>1</v>
      </c>
      <c r="BD1317" s="25">
        <v>1</v>
      </c>
    </row>
    <row r="1318" spans="27:56" x14ac:dyDescent="0.25">
      <c r="AA1318" s="68" t="str">
        <f t="shared" si="81"/>
        <v>Fotos\\.jpg</v>
      </c>
      <c r="AB1318" s="53">
        <f t="shared" si="82"/>
        <v>7.5872534142640367E-4</v>
      </c>
      <c r="AC1318" s="25">
        <f t="shared" si="83"/>
        <v>1318</v>
      </c>
      <c r="AD1318" s="51">
        <f t="shared" si="84"/>
        <v>1</v>
      </c>
      <c r="AE1318" s="25">
        <v>1</v>
      </c>
      <c r="AF1318" s="25">
        <v>1</v>
      </c>
      <c r="AG1318" s="25">
        <v>1</v>
      </c>
      <c r="AH1318" s="25">
        <v>1</v>
      </c>
      <c r="AI1318" s="25">
        <f>IF(OR(Apresentação!$E$3='Base de Dados e filtragem'!AI$2,Apresentação!$E$3='Base de Dados e filtragem'!E1318),1,0)</f>
        <v>1</v>
      </c>
      <c r="AJ1318" s="25">
        <f>IF(OR(Apresentação!$E$4='Base de Dados e filtragem'!AJ$2,Apresentação!$E$4='Base de Dados e filtragem'!F1318),1,0)</f>
        <v>1</v>
      </c>
      <c r="AK1318" s="25">
        <f>IF(OR(Apresentação!$E$5='Base de Dados e filtragem'!AK$2,Apresentação!$E$5='Base de Dados e filtragem'!G1318),1,0)</f>
        <v>1</v>
      </c>
      <c r="AL1318" s="25">
        <f>IF(OR(Apresentação!$E$6='Base de Dados e filtragem'!AL$2,Apresentação!$E$6='Base de Dados e filtragem'!H1318),1,0)</f>
        <v>1</v>
      </c>
      <c r="AM1318" s="25">
        <f>IF(OR(Apresentação!$I$2='Base de Dados e filtragem'!AM$2,Apresentação!$I$2='Base de Dados e filtragem'!I1318),1,0)</f>
        <v>1</v>
      </c>
      <c r="AN1318" s="25">
        <f>IF(OR(Apresentação!$I$3='Base de Dados e filtragem'!AN$2,Apresentação!$I$3='Base de Dados e filtragem'!J1318),1,0)</f>
        <v>1</v>
      </c>
      <c r="AO1318" s="25">
        <f>IF(OR(Apresentação!$I$4='Base de Dados e filtragem'!AO$2,Apresentação!$I$4='Base de Dados e filtragem'!K1318),1,0)</f>
        <v>1</v>
      </c>
      <c r="AP1318" s="25">
        <f>IF(OR(Apresentação!$I$5='Base de Dados e filtragem'!AP$2,Apresentação!$I$5='Base de Dados e filtragem'!L1318),1,0)</f>
        <v>1</v>
      </c>
      <c r="AQ1318" s="25">
        <f>IF(OR(Apresentação!$I$6='Base de Dados e filtragem'!AQ$2,Apresentação!$I$6='Base de Dados e filtragem'!M1318),1,0)</f>
        <v>1</v>
      </c>
      <c r="AR1318" s="25">
        <v>1</v>
      </c>
      <c r="AS1318" s="25">
        <v>1</v>
      </c>
      <c r="AT1318" s="25">
        <v>1</v>
      </c>
      <c r="AU1318" s="25">
        <v>1</v>
      </c>
      <c r="AV1318" s="25">
        <v>1</v>
      </c>
      <c r="AW1318" s="25">
        <v>1</v>
      </c>
      <c r="AX1318" s="25">
        <v>1</v>
      </c>
      <c r="AY1318" s="25">
        <v>1</v>
      </c>
      <c r="AZ1318" s="25">
        <v>1</v>
      </c>
      <c r="BA1318" s="25">
        <v>1</v>
      </c>
      <c r="BB1318" s="25">
        <v>1</v>
      </c>
      <c r="BC1318" s="25">
        <v>1</v>
      </c>
      <c r="BD1318" s="25">
        <v>1</v>
      </c>
    </row>
    <row r="1319" spans="27:56" x14ac:dyDescent="0.25">
      <c r="AA1319" s="68" t="str">
        <f t="shared" si="81"/>
        <v>Fotos\\.jpg</v>
      </c>
      <c r="AB1319" s="53">
        <f t="shared" si="82"/>
        <v>7.5815011372251705E-4</v>
      </c>
      <c r="AC1319" s="25">
        <f t="shared" si="83"/>
        <v>1319</v>
      </c>
      <c r="AD1319" s="51">
        <f t="shared" si="84"/>
        <v>1</v>
      </c>
      <c r="AE1319" s="25">
        <v>1</v>
      </c>
      <c r="AF1319" s="25">
        <v>1</v>
      </c>
      <c r="AG1319" s="25">
        <v>1</v>
      </c>
      <c r="AH1319" s="25">
        <v>1</v>
      </c>
      <c r="AI1319" s="25">
        <f>IF(OR(Apresentação!$E$3='Base de Dados e filtragem'!AI$2,Apresentação!$E$3='Base de Dados e filtragem'!E1319),1,0)</f>
        <v>1</v>
      </c>
      <c r="AJ1319" s="25">
        <f>IF(OR(Apresentação!$E$4='Base de Dados e filtragem'!AJ$2,Apresentação!$E$4='Base de Dados e filtragem'!F1319),1,0)</f>
        <v>1</v>
      </c>
      <c r="AK1319" s="25">
        <f>IF(OR(Apresentação!$E$5='Base de Dados e filtragem'!AK$2,Apresentação!$E$5='Base de Dados e filtragem'!G1319),1,0)</f>
        <v>1</v>
      </c>
      <c r="AL1319" s="25">
        <f>IF(OR(Apresentação!$E$6='Base de Dados e filtragem'!AL$2,Apresentação!$E$6='Base de Dados e filtragem'!H1319),1,0)</f>
        <v>1</v>
      </c>
      <c r="AM1319" s="25">
        <f>IF(OR(Apresentação!$I$2='Base de Dados e filtragem'!AM$2,Apresentação!$I$2='Base de Dados e filtragem'!I1319),1,0)</f>
        <v>1</v>
      </c>
      <c r="AN1319" s="25">
        <f>IF(OR(Apresentação!$I$3='Base de Dados e filtragem'!AN$2,Apresentação!$I$3='Base de Dados e filtragem'!J1319),1,0)</f>
        <v>1</v>
      </c>
      <c r="AO1319" s="25">
        <f>IF(OR(Apresentação!$I$4='Base de Dados e filtragem'!AO$2,Apresentação!$I$4='Base de Dados e filtragem'!K1319),1,0)</f>
        <v>1</v>
      </c>
      <c r="AP1319" s="25">
        <f>IF(OR(Apresentação!$I$5='Base de Dados e filtragem'!AP$2,Apresentação!$I$5='Base de Dados e filtragem'!L1319),1,0)</f>
        <v>1</v>
      </c>
      <c r="AQ1319" s="25">
        <f>IF(OR(Apresentação!$I$6='Base de Dados e filtragem'!AQ$2,Apresentação!$I$6='Base de Dados e filtragem'!M1319),1,0)</f>
        <v>1</v>
      </c>
      <c r="AR1319" s="25">
        <v>1</v>
      </c>
      <c r="AS1319" s="25">
        <v>1</v>
      </c>
      <c r="AT1319" s="25">
        <v>1</v>
      </c>
      <c r="AU1319" s="25">
        <v>1</v>
      </c>
      <c r="AV1319" s="25">
        <v>1</v>
      </c>
      <c r="AW1319" s="25">
        <v>1</v>
      </c>
      <c r="AX1319" s="25">
        <v>1</v>
      </c>
      <c r="AY1319" s="25">
        <v>1</v>
      </c>
      <c r="AZ1319" s="25">
        <v>1</v>
      </c>
      <c r="BA1319" s="25">
        <v>1</v>
      </c>
      <c r="BB1319" s="25">
        <v>1</v>
      </c>
      <c r="BC1319" s="25">
        <v>1</v>
      </c>
      <c r="BD1319" s="25">
        <v>1</v>
      </c>
    </row>
    <row r="1320" spans="27:56" x14ac:dyDescent="0.25">
      <c r="AA1320" s="68" t="str">
        <f t="shared" si="81"/>
        <v>Fotos\\.jpg</v>
      </c>
      <c r="AB1320" s="53">
        <f t="shared" si="82"/>
        <v>7.5757575757575758E-4</v>
      </c>
      <c r="AC1320" s="25">
        <f t="shared" si="83"/>
        <v>1320</v>
      </c>
      <c r="AD1320" s="51">
        <f t="shared" si="84"/>
        <v>1</v>
      </c>
      <c r="AE1320" s="25">
        <v>1</v>
      </c>
      <c r="AF1320" s="25">
        <v>1</v>
      </c>
      <c r="AG1320" s="25">
        <v>1</v>
      </c>
      <c r="AH1320" s="25">
        <v>1</v>
      </c>
      <c r="AI1320" s="25">
        <f>IF(OR(Apresentação!$E$3='Base de Dados e filtragem'!AI$2,Apresentação!$E$3='Base de Dados e filtragem'!E1320),1,0)</f>
        <v>1</v>
      </c>
      <c r="AJ1320" s="25">
        <f>IF(OR(Apresentação!$E$4='Base de Dados e filtragem'!AJ$2,Apresentação!$E$4='Base de Dados e filtragem'!F1320),1,0)</f>
        <v>1</v>
      </c>
      <c r="AK1320" s="25">
        <f>IF(OR(Apresentação!$E$5='Base de Dados e filtragem'!AK$2,Apresentação!$E$5='Base de Dados e filtragem'!G1320),1,0)</f>
        <v>1</v>
      </c>
      <c r="AL1320" s="25">
        <f>IF(OR(Apresentação!$E$6='Base de Dados e filtragem'!AL$2,Apresentação!$E$6='Base de Dados e filtragem'!H1320),1,0)</f>
        <v>1</v>
      </c>
      <c r="AM1320" s="25">
        <f>IF(OR(Apresentação!$I$2='Base de Dados e filtragem'!AM$2,Apresentação!$I$2='Base de Dados e filtragem'!I1320),1,0)</f>
        <v>1</v>
      </c>
      <c r="AN1320" s="25">
        <f>IF(OR(Apresentação!$I$3='Base de Dados e filtragem'!AN$2,Apresentação!$I$3='Base de Dados e filtragem'!J1320),1,0)</f>
        <v>1</v>
      </c>
      <c r="AO1320" s="25">
        <f>IF(OR(Apresentação!$I$4='Base de Dados e filtragem'!AO$2,Apresentação!$I$4='Base de Dados e filtragem'!K1320),1,0)</f>
        <v>1</v>
      </c>
      <c r="AP1320" s="25">
        <f>IF(OR(Apresentação!$I$5='Base de Dados e filtragem'!AP$2,Apresentação!$I$5='Base de Dados e filtragem'!L1320),1,0)</f>
        <v>1</v>
      </c>
      <c r="AQ1320" s="25">
        <f>IF(OR(Apresentação!$I$6='Base de Dados e filtragem'!AQ$2,Apresentação!$I$6='Base de Dados e filtragem'!M1320),1,0)</f>
        <v>1</v>
      </c>
      <c r="AR1320" s="25">
        <v>1</v>
      </c>
      <c r="AS1320" s="25">
        <v>1</v>
      </c>
      <c r="AT1320" s="25">
        <v>1</v>
      </c>
      <c r="AU1320" s="25">
        <v>1</v>
      </c>
      <c r="AV1320" s="25">
        <v>1</v>
      </c>
      <c r="AW1320" s="25">
        <v>1</v>
      </c>
      <c r="AX1320" s="25">
        <v>1</v>
      </c>
      <c r="AY1320" s="25">
        <v>1</v>
      </c>
      <c r="AZ1320" s="25">
        <v>1</v>
      </c>
      <c r="BA1320" s="25">
        <v>1</v>
      </c>
      <c r="BB1320" s="25">
        <v>1</v>
      </c>
      <c r="BC1320" s="25">
        <v>1</v>
      </c>
      <c r="BD1320" s="25">
        <v>1</v>
      </c>
    </row>
    <row r="1321" spans="27:56" x14ac:dyDescent="0.25">
      <c r="AA1321" s="68" t="str">
        <f t="shared" si="81"/>
        <v>Fotos\\.jpg</v>
      </c>
      <c r="AB1321" s="53">
        <f t="shared" si="82"/>
        <v>7.5700227100681302E-4</v>
      </c>
      <c r="AC1321" s="25">
        <f t="shared" si="83"/>
        <v>1321</v>
      </c>
      <c r="AD1321" s="51">
        <f t="shared" si="84"/>
        <v>1</v>
      </c>
      <c r="AE1321" s="25">
        <v>1</v>
      </c>
      <c r="AF1321" s="25">
        <v>1</v>
      </c>
      <c r="AG1321" s="25">
        <v>1</v>
      </c>
      <c r="AH1321" s="25">
        <v>1</v>
      </c>
      <c r="AI1321" s="25">
        <f>IF(OR(Apresentação!$E$3='Base de Dados e filtragem'!AI$2,Apresentação!$E$3='Base de Dados e filtragem'!E1321),1,0)</f>
        <v>1</v>
      </c>
      <c r="AJ1321" s="25">
        <f>IF(OR(Apresentação!$E$4='Base de Dados e filtragem'!AJ$2,Apresentação!$E$4='Base de Dados e filtragem'!F1321),1,0)</f>
        <v>1</v>
      </c>
      <c r="AK1321" s="25">
        <f>IF(OR(Apresentação!$E$5='Base de Dados e filtragem'!AK$2,Apresentação!$E$5='Base de Dados e filtragem'!G1321),1,0)</f>
        <v>1</v>
      </c>
      <c r="AL1321" s="25">
        <f>IF(OR(Apresentação!$E$6='Base de Dados e filtragem'!AL$2,Apresentação!$E$6='Base de Dados e filtragem'!H1321),1,0)</f>
        <v>1</v>
      </c>
      <c r="AM1321" s="25">
        <f>IF(OR(Apresentação!$I$2='Base de Dados e filtragem'!AM$2,Apresentação!$I$2='Base de Dados e filtragem'!I1321),1,0)</f>
        <v>1</v>
      </c>
      <c r="AN1321" s="25">
        <f>IF(OR(Apresentação!$I$3='Base de Dados e filtragem'!AN$2,Apresentação!$I$3='Base de Dados e filtragem'!J1321),1,0)</f>
        <v>1</v>
      </c>
      <c r="AO1321" s="25">
        <f>IF(OR(Apresentação!$I$4='Base de Dados e filtragem'!AO$2,Apresentação!$I$4='Base de Dados e filtragem'!K1321),1,0)</f>
        <v>1</v>
      </c>
      <c r="AP1321" s="25">
        <f>IF(OR(Apresentação!$I$5='Base de Dados e filtragem'!AP$2,Apresentação!$I$5='Base de Dados e filtragem'!L1321),1,0)</f>
        <v>1</v>
      </c>
      <c r="AQ1321" s="25">
        <f>IF(OR(Apresentação!$I$6='Base de Dados e filtragem'!AQ$2,Apresentação!$I$6='Base de Dados e filtragem'!M1321),1,0)</f>
        <v>1</v>
      </c>
      <c r="AR1321" s="25">
        <v>1</v>
      </c>
      <c r="AS1321" s="25">
        <v>1</v>
      </c>
      <c r="AT1321" s="25">
        <v>1</v>
      </c>
      <c r="AU1321" s="25">
        <v>1</v>
      </c>
      <c r="AV1321" s="25">
        <v>1</v>
      </c>
      <c r="AW1321" s="25">
        <v>1</v>
      </c>
      <c r="AX1321" s="25">
        <v>1</v>
      </c>
      <c r="AY1321" s="25">
        <v>1</v>
      </c>
      <c r="AZ1321" s="25">
        <v>1</v>
      </c>
      <c r="BA1321" s="25">
        <v>1</v>
      </c>
      <c r="BB1321" s="25">
        <v>1</v>
      </c>
      <c r="BC1321" s="25">
        <v>1</v>
      </c>
      <c r="BD1321" s="25">
        <v>1</v>
      </c>
    </row>
    <row r="1322" spans="27:56" x14ac:dyDescent="0.25">
      <c r="AA1322" s="68" t="str">
        <f t="shared" si="81"/>
        <v>Fotos\\.jpg</v>
      </c>
      <c r="AB1322" s="53">
        <f t="shared" si="82"/>
        <v>7.5642965204236008E-4</v>
      </c>
      <c r="AC1322" s="25">
        <f t="shared" si="83"/>
        <v>1322</v>
      </c>
      <c r="AD1322" s="51">
        <f t="shared" si="84"/>
        <v>1</v>
      </c>
      <c r="AE1322" s="25">
        <v>1</v>
      </c>
      <c r="AF1322" s="25">
        <v>1</v>
      </c>
      <c r="AG1322" s="25">
        <v>1</v>
      </c>
      <c r="AH1322" s="25">
        <v>1</v>
      </c>
      <c r="AI1322" s="25">
        <f>IF(OR(Apresentação!$E$3='Base de Dados e filtragem'!AI$2,Apresentação!$E$3='Base de Dados e filtragem'!E1322),1,0)</f>
        <v>1</v>
      </c>
      <c r="AJ1322" s="25">
        <f>IF(OR(Apresentação!$E$4='Base de Dados e filtragem'!AJ$2,Apresentação!$E$4='Base de Dados e filtragem'!F1322),1,0)</f>
        <v>1</v>
      </c>
      <c r="AK1322" s="25">
        <f>IF(OR(Apresentação!$E$5='Base de Dados e filtragem'!AK$2,Apresentação!$E$5='Base de Dados e filtragem'!G1322),1,0)</f>
        <v>1</v>
      </c>
      <c r="AL1322" s="25">
        <f>IF(OR(Apresentação!$E$6='Base de Dados e filtragem'!AL$2,Apresentação!$E$6='Base de Dados e filtragem'!H1322),1,0)</f>
        <v>1</v>
      </c>
      <c r="AM1322" s="25">
        <f>IF(OR(Apresentação!$I$2='Base de Dados e filtragem'!AM$2,Apresentação!$I$2='Base de Dados e filtragem'!I1322),1,0)</f>
        <v>1</v>
      </c>
      <c r="AN1322" s="25">
        <f>IF(OR(Apresentação!$I$3='Base de Dados e filtragem'!AN$2,Apresentação!$I$3='Base de Dados e filtragem'!J1322),1,0)</f>
        <v>1</v>
      </c>
      <c r="AO1322" s="25">
        <f>IF(OR(Apresentação!$I$4='Base de Dados e filtragem'!AO$2,Apresentação!$I$4='Base de Dados e filtragem'!K1322),1,0)</f>
        <v>1</v>
      </c>
      <c r="AP1322" s="25">
        <f>IF(OR(Apresentação!$I$5='Base de Dados e filtragem'!AP$2,Apresentação!$I$5='Base de Dados e filtragem'!L1322),1,0)</f>
        <v>1</v>
      </c>
      <c r="AQ1322" s="25">
        <f>IF(OR(Apresentação!$I$6='Base de Dados e filtragem'!AQ$2,Apresentação!$I$6='Base de Dados e filtragem'!M1322),1,0)</f>
        <v>1</v>
      </c>
      <c r="AR1322" s="25">
        <v>1</v>
      </c>
      <c r="AS1322" s="25">
        <v>1</v>
      </c>
      <c r="AT1322" s="25">
        <v>1</v>
      </c>
      <c r="AU1322" s="25">
        <v>1</v>
      </c>
      <c r="AV1322" s="25">
        <v>1</v>
      </c>
      <c r="AW1322" s="25">
        <v>1</v>
      </c>
      <c r="AX1322" s="25">
        <v>1</v>
      </c>
      <c r="AY1322" s="25">
        <v>1</v>
      </c>
      <c r="AZ1322" s="25">
        <v>1</v>
      </c>
      <c r="BA1322" s="25">
        <v>1</v>
      </c>
      <c r="BB1322" s="25">
        <v>1</v>
      </c>
      <c r="BC1322" s="25">
        <v>1</v>
      </c>
      <c r="BD1322" s="25">
        <v>1</v>
      </c>
    </row>
    <row r="1323" spans="27:56" x14ac:dyDescent="0.25">
      <c r="AA1323" s="68" t="str">
        <f t="shared" si="81"/>
        <v>Fotos\\.jpg</v>
      </c>
      <c r="AB1323" s="53">
        <f t="shared" si="82"/>
        <v>7.5585789871504159E-4</v>
      </c>
      <c r="AC1323" s="25">
        <f t="shared" si="83"/>
        <v>1323</v>
      </c>
      <c r="AD1323" s="51">
        <f t="shared" si="84"/>
        <v>1</v>
      </c>
      <c r="AE1323" s="25">
        <v>1</v>
      </c>
      <c r="AF1323" s="25">
        <v>1</v>
      </c>
      <c r="AG1323" s="25">
        <v>1</v>
      </c>
      <c r="AH1323" s="25">
        <v>1</v>
      </c>
      <c r="AI1323" s="25">
        <f>IF(OR(Apresentação!$E$3='Base de Dados e filtragem'!AI$2,Apresentação!$E$3='Base de Dados e filtragem'!E1323),1,0)</f>
        <v>1</v>
      </c>
      <c r="AJ1323" s="25">
        <f>IF(OR(Apresentação!$E$4='Base de Dados e filtragem'!AJ$2,Apresentação!$E$4='Base de Dados e filtragem'!F1323),1,0)</f>
        <v>1</v>
      </c>
      <c r="AK1323" s="25">
        <f>IF(OR(Apresentação!$E$5='Base de Dados e filtragem'!AK$2,Apresentação!$E$5='Base de Dados e filtragem'!G1323),1,0)</f>
        <v>1</v>
      </c>
      <c r="AL1323" s="25">
        <f>IF(OR(Apresentação!$E$6='Base de Dados e filtragem'!AL$2,Apresentação!$E$6='Base de Dados e filtragem'!H1323),1,0)</f>
        <v>1</v>
      </c>
      <c r="AM1323" s="25">
        <f>IF(OR(Apresentação!$I$2='Base de Dados e filtragem'!AM$2,Apresentação!$I$2='Base de Dados e filtragem'!I1323),1,0)</f>
        <v>1</v>
      </c>
      <c r="AN1323" s="25">
        <f>IF(OR(Apresentação!$I$3='Base de Dados e filtragem'!AN$2,Apresentação!$I$3='Base de Dados e filtragem'!J1323),1,0)</f>
        <v>1</v>
      </c>
      <c r="AO1323" s="25">
        <f>IF(OR(Apresentação!$I$4='Base de Dados e filtragem'!AO$2,Apresentação!$I$4='Base de Dados e filtragem'!K1323),1,0)</f>
        <v>1</v>
      </c>
      <c r="AP1323" s="25">
        <f>IF(OR(Apresentação!$I$5='Base de Dados e filtragem'!AP$2,Apresentação!$I$5='Base de Dados e filtragem'!L1323),1,0)</f>
        <v>1</v>
      </c>
      <c r="AQ1323" s="25">
        <f>IF(OR(Apresentação!$I$6='Base de Dados e filtragem'!AQ$2,Apresentação!$I$6='Base de Dados e filtragem'!M1323),1,0)</f>
        <v>1</v>
      </c>
      <c r="AR1323" s="25">
        <v>1</v>
      </c>
      <c r="AS1323" s="25">
        <v>1</v>
      </c>
      <c r="AT1323" s="25">
        <v>1</v>
      </c>
      <c r="AU1323" s="25">
        <v>1</v>
      </c>
      <c r="AV1323" s="25">
        <v>1</v>
      </c>
      <c r="AW1323" s="25">
        <v>1</v>
      </c>
      <c r="AX1323" s="25">
        <v>1</v>
      </c>
      <c r="AY1323" s="25">
        <v>1</v>
      </c>
      <c r="AZ1323" s="25">
        <v>1</v>
      </c>
      <c r="BA1323" s="25">
        <v>1</v>
      </c>
      <c r="BB1323" s="25">
        <v>1</v>
      </c>
      <c r="BC1323" s="25">
        <v>1</v>
      </c>
      <c r="BD1323" s="25">
        <v>1</v>
      </c>
    </row>
    <row r="1324" spans="27:56" x14ac:dyDescent="0.25">
      <c r="AA1324" s="68" t="str">
        <f t="shared" si="81"/>
        <v>Fotos\\.jpg</v>
      </c>
      <c r="AB1324" s="53">
        <f t="shared" si="82"/>
        <v>7.5528700906344411E-4</v>
      </c>
      <c r="AC1324" s="25">
        <f t="shared" si="83"/>
        <v>1324</v>
      </c>
      <c r="AD1324" s="51">
        <f t="shared" si="84"/>
        <v>1</v>
      </c>
      <c r="AE1324" s="25">
        <v>1</v>
      </c>
      <c r="AF1324" s="25">
        <v>1</v>
      </c>
      <c r="AG1324" s="25">
        <v>1</v>
      </c>
      <c r="AH1324" s="25">
        <v>1</v>
      </c>
      <c r="AI1324" s="25">
        <f>IF(OR(Apresentação!$E$3='Base de Dados e filtragem'!AI$2,Apresentação!$E$3='Base de Dados e filtragem'!E1324),1,0)</f>
        <v>1</v>
      </c>
      <c r="AJ1324" s="25">
        <f>IF(OR(Apresentação!$E$4='Base de Dados e filtragem'!AJ$2,Apresentação!$E$4='Base de Dados e filtragem'!F1324),1,0)</f>
        <v>1</v>
      </c>
      <c r="AK1324" s="25">
        <f>IF(OR(Apresentação!$E$5='Base de Dados e filtragem'!AK$2,Apresentação!$E$5='Base de Dados e filtragem'!G1324),1,0)</f>
        <v>1</v>
      </c>
      <c r="AL1324" s="25">
        <f>IF(OR(Apresentação!$E$6='Base de Dados e filtragem'!AL$2,Apresentação!$E$6='Base de Dados e filtragem'!H1324),1,0)</f>
        <v>1</v>
      </c>
      <c r="AM1324" s="25">
        <f>IF(OR(Apresentação!$I$2='Base de Dados e filtragem'!AM$2,Apresentação!$I$2='Base de Dados e filtragem'!I1324),1,0)</f>
        <v>1</v>
      </c>
      <c r="AN1324" s="25">
        <f>IF(OR(Apresentação!$I$3='Base de Dados e filtragem'!AN$2,Apresentação!$I$3='Base de Dados e filtragem'!J1324),1,0)</f>
        <v>1</v>
      </c>
      <c r="AO1324" s="25">
        <f>IF(OR(Apresentação!$I$4='Base de Dados e filtragem'!AO$2,Apresentação!$I$4='Base de Dados e filtragem'!K1324),1,0)</f>
        <v>1</v>
      </c>
      <c r="AP1324" s="25">
        <f>IF(OR(Apresentação!$I$5='Base de Dados e filtragem'!AP$2,Apresentação!$I$5='Base de Dados e filtragem'!L1324),1,0)</f>
        <v>1</v>
      </c>
      <c r="AQ1324" s="25">
        <f>IF(OR(Apresentação!$I$6='Base de Dados e filtragem'!AQ$2,Apresentação!$I$6='Base de Dados e filtragem'!M1324),1,0)</f>
        <v>1</v>
      </c>
      <c r="AR1324" s="25">
        <v>1</v>
      </c>
      <c r="AS1324" s="25">
        <v>1</v>
      </c>
      <c r="AT1324" s="25">
        <v>1</v>
      </c>
      <c r="AU1324" s="25">
        <v>1</v>
      </c>
      <c r="AV1324" s="25">
        <v>1</v>
      </c>
      <c r="AW1324" s="25">
        <v>1</v>
      </c>
      <c r="AX1324" s="25">
        <v>1</v>
      </c>
      <c r="AY1324" s="25">
        <v>1</v>
      </c>
      <c r="AZ1324" s="25">
        <v>1</v>
      </c>
      <c r="BA1324" s="25">
        <v>1</v>
      </c>
      <c r="BB1324" s="25">
        <v>1</v>
      </c>
      <c r="BC1324" s="25">
        <v>1</v>
      </c>
      <c r="BD1324" s="25">
        <v>1</v>
      </c>
    </row>
    <row r="1325" spans="27:56" x14ac:dyDescent="0.25">
      <c r="AA1325" s="68" t="str">
        <f t="shared" si="81"/>
        <v>Fotos\\.jpg</v>
      </c>
      <c r="AB1325" s="53">
        <f t="shared" si="82"/>
        <v>7.5471698113207543E-4</v>
      </c>
      <c r="AC1325" s="25">
        <f t="shared" si="83"/>
        <v>1325</v>
      </c>
      <c r="AD1325" s="51">
        <f t="shared" si="84"/>
        <v>1</v>
      </c>
      <c r="AE1325" s="25">
        <v>1</v>
      </c>
      <c r="AF1325" s="25">
        <v>1</v>
      </c>
      <c r="AG1325" s="25">
        <v>1</v>
      </c>
      <c r="AH1325" s="25">
        <v>1</v>
      </c>
      <c r="AI1325" s="25">
        <f>IF(OR(Apresentação!$E$3='Base de Dados e filtragem'!AI$2,Apresentação!$E$3='Base de Dados e filtragem'!E1325),1,0)</f>
        <v>1</v>
      </c>
      <c r="AJ1325" s="25">
        <f>IF(OR(Apresentação!$E$4='Base de Dados e filtragem'!AJ$2,Apresentação!$E$4='Base de Dados e filtragem'!F1325),1,0)</f>
        <v>1</v>
      </c>
      <c r="AK1325" s="25">
        <f>IF(OR(Apresentação!$E$5='Base de Dados e filtragem'!AK$2,Apresentação!$E$5='Base de Dados e filtragem'!G1325),1,0)</f>
        <v>1</v>
      </c>
      <c r="AL1325" s="25">
        <f>IF(OR(Apresentação!$E$6='Base de Dados e filtragem'!AL$2,Apresentação!$E$6='Base de Dados e filtragem'!H1325),1,0)</f>
        <v>1</v>
      </c>
      <c r="AM1325" s="25">
        <f>IF(OR(Apresentação!$I$2='Base de Dados e filtragem'!AM$2,Apresentação!$I$2='Base de Dados e filtragem'!I1325),1,0)</f>
        <v>1</v>
      </c>
      <c r="AN1325" s="25">
        <f>IF(OR(Apresentação!$I$3='Base de Dados e filtragem'!AN$2,Apresentação!$I$3='Base de Dados e filtragem'!J1325),1,0)</f>
        <v>1</v>
      </c>
      <c r="AO1325" s="25">
        <f>IF(OR(Apresentação!$I$4='Base de Dados e filtragem'!AO$2,Apresentação!$I$4='Base de Dados e filtragem'!K1325),1,0)</f>
        <v>1</v>
      </c>
      <c r="AP1325" s="25">
        <f>IF(OR(Apresentação!$I$5='Base de Dados e filtragem'!AP$2,Apresentação!$I$5='Base de Dados e filtragem'!L1325),1,0)</f>
        <v>1</v>
      </c>
      <c r="AQ1325" s="25">
        <f>IF(OR(Apresentação!$I$6='Base de Dados e filtragem'!AQ$2,Apresentação!$I$6='Base de Dados e filtragem'!M1325),1,0)</f>
        <v>1</v>
      </c>
      <c r="AR1325" s="25">
        <v>1</v>
      </c>
      <c r="AS1325" s="25">
        <v>1</v>
      </c>
      <c r="AT1325" s="25">
        <v>1</v>
      </c>
      <c r="AU1325" s="25">
        <v>1</v>
      </c>
      <c r="AV1325" s="25">
        <v>1</v>
      </c>
      <c r="AW1325" s="25">
        <v>1</v>
      </c>
      <c r="AX1325" s="25">
        <v>1</v>
      </c>
      <c r="AY1325" s="25">
        <v>1</v>
      </c>
      <c r="AZ1325" s="25">
        <v>1</v>
      </c>
      <c r="BA1325" s="25">
        <v>1</v>
      </c>
      <c r="BB1325" s="25">
        <v>1</v>
      </c>
      <c r="BC1325" s="25">
        <v>1</v>
      </c>
      <c r="BD1325" s="25">
        <v>1</v>
      </c>
    </row>
    <row r="1326" spans="27:56" x14ac:dyDescent="0.25">
      <c r="AA1326" s="68" t="str">
        <f t="shared" si="81"/>
        <v>Fotos\\.jpg</v>
      </c>
      <c r="AB1326" s="53">
        <f t="shared" si="82"/>
        <v>7.5414781297134241E-4</v>
      </c>
      <c r="AC1326" s="25">
        <f t="shared" si="83"/>
        <v>1326</v>
      </c>
      <c r="AD1326" s="51">
        <f t="shared" si="84"/>
        <v>1</v>
      </c>
      <c r="AE1326" s="25">
        <v>1</v>
      </c>
      <c r="AF1326" s="25">
        <v>1</v>
      </c>
      <c r="AG1326" s="25">
        <v>1</v>
      </c>
      <c r="AH1326" s="25">
        <v>1</v>
      </c>
      <c r="AI1326" s="25">
        <f>IF(OR(Apresentação!$E$3='Base de Dados e filtragem'!AI$2,Apresentação!$E$3='Base de Dados e filtragem'!E1326),1,0)</f>
        <v>1</v>
      </c>
      <c r="AJ1326" s="25">
        <f>IF(OR(Apresentação!$E$4='Base de Dados e filtragem'!AJ$2,Apresentação!$E$4='Base de Dados e filtragem'!F1326),1,0)</f>
        <v>1</v>
      </c>
      <c r="AK1326" s="25">
        <f>IF(OR(Apresentação!$E$5='Base de Dados e filtragem'!AK$2,Apresentação!$E$5='Base de Dados e filtragem'!G1326),1,0)</f>
        <v>1</v>
      </c>
      <c r="AL1326" s="25">
        <f>IF(OR(Apresentação!$E$6='Base de Dados e filtragem'!AL$2,Apresentação!$E$6='Base de Dados e filtragem'!H1326),1,0)</f>
        <v>1</v>
      </c>
      <c r="AM1326" s="25">
        <f>IF(OR(Apresentação!$I$2='Base de Dados e filtragem'!AM$2,Apresentação!$I$2='Base de Dados e filtragem'!I1326),1,0)</f>
        <v>1</v>
      </c>
      <c r="AN1326" s="25">
        <f>IF(OR(Apresentação!$I$3='Base de Dados e filtragem'!AN$2,Apresentação!$I$3='Base de Dados e filtragem'!J1326),1,0)</f>
        <v>1</v>
      </c>
      <c r="AO1326" s="25">
        <f>IF(OR(Apresentação!$I$4='Base de Dados e filtragem'!AO$2,Apresentação!$I$4='Base de Dados e filtragem'!K1326),1,0)</f>
        <v>1</v>
      </c>
      <c r="AP1326" s="25">
        <f>IF(OR(Apresentação!$I$5='Base de Dados e filtragem'!AP$2,Apresentação!$I$5='Base de Dados e filtragem'!L1326),1,0)</f>
        <v>1</v>
      </c>
      <c r="AQ1326" s="25">
        <f>IF(OR(Apresentação!$I$6='Base de Dados e filtragem'!AQ$2,Apresentação!$I$6='Base de Dados e filtragem'!M1326),1,0)</f>
        <v>1</v>
      </c>
      <c r="AR1326" s="25">
        <v>1</v>
      </c>
      <c r="AS1326" s="25">
        <v>1</v>
      </c>
      <c r="AT1326" s="25">
        <v>1</v>
      </c>
      <c r="AU1326" s="25">
        <v>1</v>
      </c>
      <c r="AV1326" s="25">
        <v>1</v>
      </c>
      <c r="AW1326" s="25">
        <v>1</v>
      </c>
      <c r="AX1326" s="25">
        <v>1</v>
      </c>
      <c r="AY1326" s="25">
        <v>1</v>
      </c>
      <c r="AZ1326" s="25">
        <v>1</v>
      </c>
      <c r="BA1326" s="25">
        <v>1</v>
      </c>
      <c r="BB1326" s="25">
        <v>1</v>
      </c>
      <c r="BC1326" s="25">
        <v>1</v>
      </c>
      <c r="BD1326" s="25">
        <v>1</v>
      </c>
    </row>
    <row r="1327" spans="27:56" x14ac:dyDescent="0.25">
      <c r="AA1327" s="68" t="str">
        <f t="shared" si="81"/>
        <v>Fotos\\.jpg</v>
      </c>
      <c r="AB1327" s="53">
        <f t="shared" si="82"/>
        <v>7.5357950263752827E-4</v>
      </c>
      <c r="AC1327" s="25">
        <f t="shared" si="83"/>
        <v>1327</v>
      </c>
      <c r="AD1327" s="51">
        <f t="shared" si="84"/>
        <v>1</v>
      </c>
      <c r="AE1327" s="25">
        <v>1</v>
      </c>
      <c r="AF1327" s="25">
        <v>1</v>
      </c>
      <c r="AG1327" s="25">
        <v>1</v>
      </c>
      <c r="AH1327" s="25">
        <v>1</v>
      </c>
      <c r="AI1327" s="25">
        <f>IF(OR(Apresentação!$E$3='Base de Dados e filtragem'!AI$2,Apresentação!$E$3='Base de Dados e filtragem'!E1327),1,0)</f>
        <v>1</v>
      </c>
      <c r="AJ1327" s="25">
        <f>IF(OR(Apresentação!$E$4='Base de Dados e filtragem'!AJ$2,Apresentação!$E$4='Base de Dados e filtragem'!F1327),1,0)</f>
        <v>1</v>
      </c>
      <c r="AK1327" s="25">
        <f>IF(OR(Apresentação!$E$5='Base de Dados e filtragem'!AK$2,Apresentação!$E$5='Base de Dados e filtragem'!G1327),1,0)</f>
        <v>1</v>
      </c>
      <c r="AL1327" s="25">
        <f>IF(OR(Apresentação!$E$6='Base de Dados e filtragem'!AL$2,Apresentação!$E$6='Base de Dados e filtragem'!H1327),1,0)</f>
        <v>1</v>
      </c>
      <c r="AM1327" s="25">
        <f>IF(OR(Apresentação!$I$2='Base de Dados e filtragem'!AM$2,Apresentação!$I$2='Base de Dados e filtragem'!I1327),1,0)</f>
        <v>1</v>
      </c>
      <c r="AN1327" s="25">
        <f>IF(OR(Apresentação!$I$3='Base de Dados e filtragem'!AN$2,Apresentação!$I$3='Base de Dados e filtragem'!J1327),1,0)</f>
        <v>1</v>
      </c>
      <c r="AO1327" s="25">
        <f>IF(OR(Apresentação!$I$4='Base de Dados e filtragem'!AO$2,Apresentação!$I$4='Base de Dados e filtragem'!K1327),1,0)</f>
        <v>1</v>
      </c>
      <c r="AP1327" s="25">
        <f>IF(OR(Apresentação!$I$5='Base de Dados e filtragem'!AP$2,Apresentação!$I$5='Base de Dados e filtragem'!L1327),1,0)</f>
        <v>1</v>
      </c>
      <c r="AQ1327" s="25">
        <f>IF(OR(Apresentação!$I$6='Base de Dados e filtragem'!AQ$2,Apresentação!$I$6='Base de Dados e filtragem'!M1327),1,0)</f>
        <v>1</v>
      </c>
      <c r="AR1327" s="25">
        <v>1</v>
      </c>
      <c r="AS1327" s="25">
        <v>1</v>
      </c>
      <c r="AT1327" s="25">
        <v>1</v>
      </c>
      <c r="AU1327" s="25">
        <v>1</v>
      </c>
      <c r="AV1327" s="25">
        <v>1</v>
      </c>
      <c r="AW1327" s="25">
        <v>1</v>
      </c>
      <c r="AX1327" s="25">
        <v>1</v>
      </c>
      <c r="AY1327" s="25">
        <v>1</v>
      </c>
      <c r="AZ1327" s="25">
        <v>1</v>
      </c>
      <c r="BA1327" s="25">
        <v>1</v>
      </c>
      <c r="BB1327" s="25">
        <v>1</v>
      </c>
      <c r="BC1327" s="25">
        <v>1</v>
      </c>
      <c r="BD1327" s="25">
        <v>1</v>
      </c>
    </row>
    <row r="1328" spans="27:56" x14ac:dyDescent="0.25">
      <c r="AA1328" s="68" t="str">
        <f t="shared" si="81"/>
        <v>Fotos\\.jpg</v>
      </c>
      <c r="AB1328" s="53">
        <f t="shared" si="82"/>
        <v>7.5301204819277112E-4</v>
      </c>
      <c r="AC1328" s="25">
        <f t="shared" si="83"/>
        <v>1328</v>
      </c>
      <c r="AD1328" s="51">
        <f t="shared" si="84"/>
        <v>1</v>
      </c>
      <c r="AE1328" s="25">
        <v>1</v>
      </c>
      <c r="AF1328" s="25">
        <v>1</v>
      </c>
      <c r="AG1328" s="25">
        <v>1</v>
      </c>
      <c r="AH1328" s="25">
        <v>1</v>
      </c>
      <c r="AI1328" s="25">
        <f>IF(OR(Apresentação!$E$3='Base de Dados e filtragem'!AI$2,Apresentação!$E$3='Base de Dados e filtragem'!E1328),1,0)</f>
        <v>1</v>
      </c>
      <c r="AJ1328" s="25">
        <f>IF(OR(Apresentação!$E$4='Base de Dados e filtragem'!AJ$2,Apresentação!$E$4='Base de Dados e filtragem'!F1328),1,0)</f>
        <v>1</v>
      </c>
      <c r="AK1328" s="25">
        <f>IF(OR(Apresentação!$E$5='Base de Dados e filtragem'!AK$2,Apresentação!$E$5='Base de Dados e filtragem'!G1328),1,0)</f>
        <v>1</v>
      </c>
      <c r="AL1328" s="25">
        <f>IF(OR(Apresentação!$E$6='Base de Dados e filtragem'!AL$2,Apresentação!$E$6='Base de Dados e filtragem'!H1328),1,0)</f>
        <v>1</v>
      </c>
      <c r="AM1328" s="25">
        <f>IF(OR(Apresentação!$I$2='Base de Dados e filtragem'!AM$2,Apresentação!$I$2='Base de Dados e filtragem'!I1328),1,0)</f>
        <v>1</v>
      </c>
      <c r="AN1328" s="25">
        <f>IF(OR(Apresentação!$I$3='Base de Dados e filtragem'!AN$2,Apresentação!$I$3='Base de Dados e filtragem'!J1328),1,0)</f>
        <v>1</v>
      </c>
      <c r="AO1328" s="25">
        <f>IF(OR(Apresentação!$I$4='Base de Dados e filtragem'!AO$2,Apresentação!$I$4='Base de Dados e filtragem'!K1328),1,0)</f>
        <v>1</v>
      </c>
      <c r="AP1328" s="25">
        <f>IF(OR(Apresentação!$I$5='Base de Dados e filtragem'!AP$2,Apresentação!$I$5='Base de Dados e filtragem'!L1328),1,0)</f>
        <v>1</v>
      </c>
      <c r="AQ1328" s="25">
        <f>IF(OR(Apresentação!$I$6='Base de Dados e filtragem'!AQ$2,Apresentação!$I$6='Base de Dados e filtragem'!M1328),1,0)</f>
        <v>1</v>
      </c>
      <c r="AR1328" s="25">
        <v>1</v>
      </c>
      <c r="AS1328" s="25">
        <v>1</v>
      </c>
      <c r="AT1328" s="25">
        <v>1</v>
      </c>
      <c r="AU1328" s="25">
        <v>1</v>
      </c>
      <c r="AV1328" s="25">
        <v>1</v>
      </c>
      <c r="AW1328" s="25">
        <v>1</v>
      </c>
      <c r="AX1328" s="25">
        <v>1</v>
      </c>
      <c r="AY1328" s="25">
        <v>1</v>
      </c>
      <c r="AZ1328" s="25">
        <v>1</v>
      </c>
      <c r="BA1328" s="25">
        <v>1</v>
      </c>
      <c r="BB1328" s="25">
        <v>1</v>
      </c>
      <c r="BC1328" s="25">
        <v>1</v>
      </c>
      <c r="BD1328" s="25">
        <v>1</v>
      </c>
    </row>
    <row r="1329" spans="27:56" x14ac:dyDescent="0.25">
      <c r="AA1329" s="68" t="str">
        <f t="shared" si="81"/>
        <v>Fotos\\.jpg</v>
      </c>
      <c r="AB1329" s="53">
        <f t="shared" si="82"/>
        <v>7.5244544770504136E-4</v>
      </c>
      <c r="AC1329" s="25">
        <f t="shared" si="83"/>
        <v>1329</v>
      </c>
      <c r="AD1329" s="51">
        <f t="shared" si="84"/>
        <v>1</v>
      </c>
      <c r="AE1329" s="25">
        <v>1</v>
      </c>
      <c r="AF1329" s="25">
        <v>1</v>
      </c>
      <c r="AG1329" s="25">
        <v>1</v>
      </c>
      <c r="AH1329" s="25">
        <v>1</v>
      </c>
      <c r="AI1329" s="25">
        <f>IF(OR(Apresentação!$E$3='Base de Dados e filtragem'!AI$2,Apresentação!$E$3='Base de Dados e filtragem'!E1329),1,0)</f>
        <v>1</v>
      </c>
      <c r="AJ1329" s="25">
        <f>IF(OR(Apresentação!$E$4='Base de Dados e filtragem'!AJ$2,Apresentação!$E$4='Base de Dados e filtragem'!F1329),1,0)</f>
        <v>1</v>
      </c>
      <c r="AK1329" s="25">
        <f>IF(OR(Apresentação!$E$5='Base de Dados e filtragem'!AK$2,Apresentação!$E$5='Base de Dados e filtragem'!G1329),1,0)</f>
        <v>1</v>
      </c>
      <c r="AL1329" s="25">
        <f>IF(OR(Apresentação!$E$6='Base de Dados e filtragem'!AL$2,Apresentação!$E$6='Base de Dados e filtragem'!H1329),1,0)</f>
        <v>1</v>
      </c>
      <c r="AM1329" s="25">
        <f>IF(OR(Apresentação!$I$2='Base de Dados e filtragem'!AM$2,Apresentação!$I$2='Base de Dados e filtragem'!I1329),1,0)</f>
        <v>1</v>
      </c>
      <c r="AN1329" s="25">
        <f>IF(OR(Apresentação!$I$3='Base de Dados e filtragem'!AN$2,Apresentação!$I$3='Base de Dados e filtragem'!J1329),1,0)</f>
        <v>1</v>
      </c>
      <c r="AO1329" s="25">
        <f>IF(OR(Apresentação!$I$4='Base de Dados e filtragem'!AO$2,Apresentação!$I$4='Base de Dados e filtragem'!K1329),1,0)</f>
        <v>1</v>
      </c>
      <c r="AP1329" s="25">
        <f>IF(OR(Apresentação!$I$5='Base de Dados e filtragem'!AP$2,Apresentação!$I$5='Base de Dados e filtragem'!L1329),1,0)</f>
        <v>1</v>
      </c>
      <c r="AQ1329" s="25">
        <f>IF(OR(Apresentação!$I$6='Base de Dados e filtragem'!AQ$2,Apresentação!$I$6='Base de Dados e filtragem'!M1329),1,0)</f>
        <v>1</v>
      </c>
      <c r="AR1329" s="25">
        <v>1</v>
      </c>
      <c r="AS1329" s="25">
        <v>1</v>
      </c>
      <c r="AT1329" s="25">
        <v>1</v>
      </c>
      <c r="AU1329" s="25">
        <v>1</v>
      </c>
      <c r="AV1329" s="25">
        <v>1</v>
      </c>
      <c r="AW1329" s="25">
        <v>1</v>
      </c>
      <c r="AX1329" s="25">
        <v>1</v>
      </c>
      <c r="AY1329" s="25">
        <v>1</v>
      </c>
      <c r="AZ1329" s="25">
        <v>1</v>
      </c>
      <c r="BA1329" s="25">
        <v>1</v>
      </c>
      <c r="BB1329" s="25">
        <v>1</v>
      </c>
      <c r="BC1329" s="25">
        <v>1</v>
      </c>
      <c r="BD1329" s="25">
        <v>1</v>
      </c>
    </row>
    <row r="1330" spans="27:56" x14ac:dyDescent="0.25">
      <c r="AA1330" s="68" t="str">
        <f t="shared" si="81"/>
        <v>Fotos\\.jpg</v>
      </c>
      <c r="AB1330" s="53">
        <f t="shared" si="82"/>
        <v>7.5187969924812035E-4</v>
      </c>
      <c r="AC1330" s="25">
        <f t="shared" si="83"/>
        <v>1330</v>
      </c>
      <c r="AD1330" s="51">
        <f t="shared" si="84"/>
        <v>1</v>
      </c>
      <c r="AE1330" s="25">
        <v>1</v>
      </c>
      <c r="AF1330" s="25">
        <v>1</v>
      </c>
      <c r="AG1330" s="25">
        <v>1</v>
      </c>
      <c r="AH1330" s="25">
        <v>1</v>
      </c>
      <c r="AI1330" s="25">
        <f>IF(OR(Apresentação!$E$3='Base de Dados e filtragem'!AI$2,Apresentação!$E$3='Base de Dados e filtragem'!E1330),1,0)</f>
        <v>1</v>
      </c>
      <c r="AJ1330" s="25">
        <f>IF(OR(Apresentação!$E$4='Base de Dados e filtragem'!AJ$2,Apresentação!$E$4='Base de Dados e filtragem'!F1330),1,0)</f>
        <v>1</v>
      </c>
      <c r="AK1330" s="25">
        <f>IF(OR(Apresentação!$E$5='Base de Dados e filtragem'!AK$2,Apresentação!$E$5='Base de Dados e filtragem'!G1330),1,0)</f>
        <v>1</v>
      </c>
      <c r="AL1330" s="25">
        <f>IF(OR(Apresentação!$E$6='Base de Dados e filtragem'!AL$2,Apresentação!$E$6='Base de Dados e filtragem'!H1330),1,0)</f>
        <v>1</v>
      </c>
      <c r="AM1330" s="25">
        <f>IF(OR(Apresentação!$I$2='Base de Dados e filtragem'!AM$2,Apresentação!$I$2='Base de Dados e filtragem'!I1330),1,0)</f>
        <v>1</v>
      </c>
      <c r="AN1330" s="25">
        <f>IF(OR(Apresentação!$I$3='Base de Dados e filtragem'!AN$2,Apresentação!$I$3='Base de Dados e filtragem'!J1330),1,0)</f>
        <v>1</v>
      </c>
      <c r="AO1330" s="25">
        <f>IF(OR(Apresentação!$I$4='Base de Dados e filtragem'!AO$2,Apresentação!$I$4='Base de Dados e filtragem'!K1330),1,0)</f>
        <v>1</v>
      </c>
      <c r="AP1330" s="25">
        <f>IF(OR(Apresentação!$I$5='Base de Dados e filtragem'!AP$2,Apresentação!$I$5='Base de Dados e filtragem'!L1330),1,0)</f>
        <v>1</v>
      </c>
      <c r="AQ1330" s="25">
        <f>IF(OR(Apresentação!$I$6='Base de Dados e filtragem'!AQ$2,Apresentação!$I$6='Base de Dados e filtragem'!M1330),1,0)</f>
        <v>1</v>
      </c>
      <c r="AR1330" s="25">
        <v>1</v>
      </c>
      <c r="AS1330" s="25">
        <v>1</v>
      </c>
      <c r="AT1330" s="25">
        <v>1</v>
      </c>
      <c r="AU1330" s="25">
        <v>1</v>
      </c>
      <c r="AV1330" s="25">
        <v>1</v>
      </c>
      <c r="AW1330" s="25">
        <v>1</v>
      </c>
      <c r="AX1330" s="25">
        <v>1</v>
      </c>
      <c r="AY1330" s="25">
        <v>1</v>
      </c>
      <c r="AZ1330" s="25">
        <v>1</v>
      </c>
      <c r="BA1330" s="25">
        <v>1</v>
      </c>
      <c r="BB1330" s="25">
        <v>1</v>
      </c>
      <c r="BC1330" s="25">
        <v>1</v>
      </c>
      <c r="BD1330" s="25">
        <v>1</v>
      </c>
    </row>
    <row r="1331" spans="27:56" x14ac:dyDescent="0.25">
      <c r="AA1331" s="68" t="str">
        <f t="shared" si="81"/>
        <v>Fotos\\.jpg</v>
      </c>
      <c r="AB1331" s="53">
        <f t="shared" si="82"/>
        <v>7.513148009015778E-4</v>
      </c>
      <c r="AC1331" s="25">
        <f t="shared" si="83"/>
        <v>1331</v>
      </c>
      <c r="AD1331" s="51">
        <f t="shared" si="84"/>
        <v>1</v>
      </c>
      <c r="AE1331" s="25">
        <v>1</v>
      </c>
      <c r="AF1331" s="25">
        <v>1</v>
      </c>
      <c r="AG1331" s="25">
        <v>1</v>
      </c>
      <c r="AH1331" s="25">
        <v>1</v>
      </c>
      <c r="AI1331" s="25">
        <f>IF(OR(Apresentação!$E$3='Base de Dados e filtragem'!AI$2,Apresentação!$E$3='Base de Dados e filtragem'!E1331),1,0)</f>
        <v>1</v>
      </c>
      <c r="AJ1331" s="25">
        <f>IF(OR(Apresentação!$E$4='Base de Dados e filtragem'!AJ$2,Apresentação!$E$4='Base de Dados e filtragem'!F1331),1,0)</f>
        <v>1</v>
      </c>
      <c r="AK1331" s="25">
        <f>IF(OR(Apresentação!$E$5='Base de Dados e filtragem'!AK$2,Apresentação!$E$5='Base de Dados e filtragem'!G1331),1,0)</f>
        <v>1</v>
      </c>
      <c r="AL1331" s="25">
        <f>IF(OR(Apresentação!$E$6='Base de Dados e filtragem'!AL$2,Apresentação!$E$6='Base de Dados e filtragem'!H1331),1,0)</f>
        <v>1</v>
      </c>
      <c r="AM1331" s="25">
        <f>IF(OR(Apresentação!$I$2='Base de Dados e filtragem'!AM$2,Apresentação!$I$2='Base de Dados e filtragem'!I1331),1,0)</f>
        <v>1</v>
      </c>
      <c r="AN1331" s="25">
        <f>IF(OR(Apresentação!$I$3='Base de Dados e filtragem'!AN$2,Apresentação!$I$3='Base de Dados e filtragem'!J1331),1,0)</f>
        <v>1</v>
      </c>
      <c r="AO1331" s="25">
        <f>IF(OR(Apresentação!$I$4='Base de Dados e filtragem'!AO$2,Apresentação!$I$4='Base de Dados e filtragem'!K1331),1,0)</f>
        <v>1</v>
      </c>
      <c r="AP1331" s="25">
        <f>IF(OR(Apresentação!$I$5='Base de Dados e filtragem'!AP$2,Apresentação!$I$5='Base de Dados e filtragem'!L1331),1,0)</f>
        <v>1</v>
      </c>
      <c r="AQ1331" s="25">
        <f>IF(OR(Apresentação!$I$6='Base de Dados e filtragem'!AQ$2,Apresentação!$I$6='Base de Dados e filtragem'!M1331),1,0)</f>
        <v>1</v>
      </c>
      <c r="AR1331" s="25">
        <v>1</v>
      </c>
      <c r="AS1331" s="25">
        <v>1</v>
      </c>
      <c r="AT1331" s="25">
        <v>1</v>
      </c>
      <c r="AU1331" s="25">
        <v>1</v>
      </c>
      <c r="AV1331" s="25">
        <v>1</v>
      </c>
      <c r="AW1331" s="25">
        <v>1</v>
      </c>
      <c r="AX1331" s="25">
        <v>1</v>
      </c>
      <c r="AY1331" s="25">
        <v>1</v>
      </c>
      <c r="AZ1331" s="25">
        <v>1</v>
      </c>
      <c r="BA1331" s="25">
        <v>1</v>
      </c>
      <c r="BB1331" s="25">
        <v>1</v>
      </c>
      <c r="BC1331" s="25">
        <v>1</v>
      </c>
      <c r="BD1331" s="25">
        <v>1</v>
      </c>
    </row>
    <row r="1332" spans="27:56" x14ac:dyDescent="0.25">
      <c r="AA1332" s="68" t="str">
        <f t="shared" si="81"/>
        <v>Fotos\\.jpg</v>
      </c>
      <c r="AB1332" s="53">
        <f t="shared" si="82"/>
        <v>7.5075075075075074E-4</v>
      </c>
      <c r="AC1332" s="25">
        <f t="shared" si="83"/>
        <v>1332</v>
      </c>
      <c r="AD1332" s="51">
        <f t="shared" si="84"/>
        <v>1</v>
      </c>
      <c r="AE1332" s="25">
        <v>1</v>
      </c>
      <c r="AF1332" s="25">
        <v>1</v>
      </c>
      <c r="AG1332" s="25">
        <v>1</v>
      </c>
      <c r="AH1332" s="25">
        <v>1</v>
      </c>
      <c r="AI1332" s="25">
        <f>IF(OR(Apresentação!$E$3='Base de Dados e filtragem'!AI$2,Apresentação!$E$3='Base de Dados e filtragem'!E1332),1,0)</f>
        <v>1</v>
      </c>
      <c r="AJ1332" s="25">
        <f>IF(OR(Apresentação!$E$4='Base de Dados e filtragem'!AJ$2,Apresentação!$E$4='Base de Dados e filtragem'!F1332),1,0)</f>
        <v>1</v>
      </c>
      <c r="AK1332" s="25">
        <f>IF(OR(Apresentação!$E$5='Base de Dados e filtragem'!AK$2,Apresentação!$E$5='Base de Dados e filtragem'!G1332),1,0)</f>
        <v>1</v>
      </c>
      <c r="AL1332" s="25">
        <f>IF(OR(Apresentação!$E$6='Base de Dados e filtragem'!AL$2,Apresentação!$E$6='Base de Dados e filtragem'!H1332),1,0)</f>
        <v>1</v>
      </c>
      <c r="AM1332" s="25">
        <f>IF(OR(Apresentação!$I$2='Base de Dados e filtragem'!AM$2,Apresentação!$I$2='Base de Dados e filtragem'!I1332),1,0)</f>
        <v>1</v>
      </c>
      <c r="AN1332" s="25">
        <f>IF(OR(Apresentação!$I$3='Base de Dados e filtragem'!AN$2,Apresentação!$I$3='Base de Dados e filtragem'!J1332),1,0)</f>
        <v>1</v>
      </c>
      <c r="AO1332" s="25">
        <f>IF(OR(Apresentação!$I$4='Base de Dados e filtragem'!AO$2,Apresentação!$I$4='Base de Dados e filtragem'!K1332),1,0)</f>
        <v>1</v>
      </c>
      <c r="AP1332" s="25">
        <f>IF(OR(Apresentação!$I$5='Base de Dados e filtragem'!AP$2,Apresentação!$I$5='Base de Dados e filtragem'!L1332),1,0)</f>
        <v>1</v>
      </c>
      <c r="AQ1332" s="25">
        <f>IF(OR(Apresentação!$I$6='Base de Dados e filtragem'!AQ$2,Apresentação!$I$6='Base de Dados e filtragem'!M1332),1,0)</f>
        <v>1</v>
      </c>
      <c r="AR1332" s="25">
        <v>1</v>
      </c>
      <c r="AS1332" s="25">
        <v>1</v>
      </c>
      <c r="AT1332" s="25">
        <v>1</v>
      </c>
      <c r="AU1332" s="25">
        <v>1</v>
      </c>
      <c r="AV1332" s="25">
        <v>1</v>
      </c>
      <c r="AW1332" s="25">
        <v>1</v>
      </c>
      <c r="AX1332" s="25">
        <v>1</v>
      </c>
      <c r="AY1332" s="25">
        <v>1</v>
      </c>
      <c r="AZ1332" s="25">
        <v>1</v>
      </c>
      <c r="BA1332" s="25">
        <v>1</v>
      </c>
      <c r="BB1332" s="25">
        <v>1</v>
      </c>
      <c r="BC1332" s="25">
        <v>1</v>
      </c>
      <c r="BD1332" s="25">
        <v>1</v>
      </c>
    </row>
    <row r="1333" spans="27:56" x14ac:dyDescent="0.25">
      <c r="AA1333" s="68" t="str">
        <f t="shared" si="81"/>
        <v>Fotos\\.jpg</v>
      </c>
      <c r="AB1333" s="53">
        <f t="shared" si="82"/>
        <v>7.501875468867217E-4</v>
      </c>
      <c r="AC1333" s="25">
        <f t="shared" si="83"/>
        <v>1333</v>
      </c>
      <c r="AD1333" s="51">
        <f t="shared" si="84"/>
        <v>1</v>
      </c>
      <c r="AE1333" s="25">
        <v>1</v>
      </c>
      <c r="AF1333" s="25">
        <v>1</v>
      </c>
      <c r="AG1333" s="25">
        <v>1</v>
      </c>
      <c r="AH1333" s="25">
        <v>1</v>
      </c>
      <c r="AI1333" s="25">
        <f>IF(OR(Apresentação!$E$3='Base de Dados e filtragem'!AI$2,Apresentação!$E$3='Base de Dados e filtragem'!E1333),1,0)</f>
        <v>1</v>
      </c>
      <c r="AJ1333" s="25">
        <f>IF(OR(Apresentação!$E$4='Base de Dados e filtragem'!AJ$2,Apresentação!$E$4='Base de Dados e filtragem'!F1333),1,0)</f>
        <v>1</v>
      </c>
      <c r="AK1333" s="25">
        <f>IF(OR(Apresentação!$E$5='Base de Dados e filtragem'!AK$2,Apresentação!$E$5='Base de Dados e filtragem'!G1333),1,0)</f>
        <v>1</v>
      </c>
      <c r="AL1333" s="25">
        <f>IF(OR(Apresentação!$E$6='Base de Dados e filtragem'!AL$2,Apresentação!$E$6='Base de Dados e filtragem'!H1333),1,0)</f>
        <v>1</v>
      </c>
      <c r="AM1333" s="25">
        <f>IF(OR(Apresentação!$I$2='Base de Dados e filtragem'!AM$2,Apresentação!$I$2='Base de Dados e filtragem'!I1333),1,0)</f>
        <v>1</v>
      </c>
      <c r="AN1333" s="25">
        <f>IF(OR(Apresentação!$I$3='Base de Dados e filtragem'!AN$2,Apresentação!$I$3='Base de Dados e filtragem'!J1333),1,0)</f>
        <v>1</v>
      </c>
      <c r="AO1333" s="25">
        <f>IF(OR(Apresentação!$I$4='Base de Dados e filtragem'!AO$2,Apresentação!$I$4='Base de Dados e filtragem'!K1333),1,0)</f>
        <v>1</v>
      </c>
      <c r="AP1333" s="25">
        <f>IF(OR(Apresentação!$I$5='Base de Dados e filtragem'!AP$2,Apresentação!$I$5='Base de Dados e filtragem'!L1333),1,0)</f>
        <v>1</v>
      </c>
      <c r="AQ1333" s="25">
        <f>IF(OR(Apresentação!$I$6='Base de Dados e filtragem'!AQ$2,Apresentação!$I$6='Base de Dados e filtragem'!M1333),1,0)</f>
        <v>1</v>
      </c>
      <c r="AR1333" s="25">
        <v>1</v>
      </c>
      <c r="AS1333" s="25">
        <v>1</v>
      </c>
      <c r="AT1333" s="25">
        <v>1</v>
      </c>
      <c r="AU1333" s="25">
        <v>1</v>
      </c>
      <c r="AV1333" s="25">
        <v>1</v>
      </c>
      <c r="AW1333" s="25">
        <v>1</v>
      </c>
      <c r="AX1333" s="25">
        <v>1</v>
      </c>
      <c r="AY1333" s="25">
        <v>1</v>
      </c>
      <c r="AZ1333" s="25">
        <v>1</v>
      </c>
      <c r="BA1333" s="25">
        <v>1</v>
      </c>
      <c r="BB1333" s="25">
        <v>1</v>
      </c>
      <c r="BC1333" s="25">
        <v>1</v>
      </c>
      <c r="BD1333" s="25">
        <v>1</v>
      </c>
    </row>
    <row r="1334" spans="27:56" x14ac:dyDescent="0.25">
      <c r="AA1334" s="68" t="str">
        <f t="shared" si="81"/>
        <v>Fotos\\.jpg</v>
      </c>
      <c r="AB1334" s="53">
        <f t="shared" si="82"/>
        <v>7.4962518740629683E-4</v>
      </c>
      <c r="AC1334" s="25">
        <f t="shared" si="83"/>
        <v>1334</v>
      </c>
      <c r="AD1334" s="51">
        <f t="shared" si="84"/>
        <v>1</v>
      </c>
      <c r="AE1334" s="25">
        <v>1</v>
      </c>
      <c r="AF1334" s="25">
        <v>1</v>
      </c>
      <c r="AG1334" s="25">
        <v>1</v>
      </c>
      <c r="AH1334" s="25">
        <v>1</v>
      </c>
      <c r="AI1334" s="25">
        <f>IF(OR(Apresentação!$E$3='Base de Dados e filtragem'!AI$2,Apresentação!$E$3='Base de Dados e filtragem'!E1334),1,0)</f>
        <v>1</v>
      </c>
      <c r="AJ1334" s="25">
        <f>IF(OR(Apresentação!$E$4='Base de Dados e filtragem'!AJ$2,Apresentação!$E$4='Base de Dados e filtragem'!F1334),1,0)</f>
        <v>1</v>
      </c>
      <c r="AK1334" s="25">
        <f>IF(OR(Apresentação!$E$5='Base de Dados e filtragem'!AK$2,Apresentação!$E$5='Base de Dados e filtragem'!G1334),1,0)</f>
        <v>1</v>
      </c>
      <c r="AL1334" s="25">
        <f>IF(OR(Apresentação!$E$6='Base de Dados e filtragem'!AL$2,Apresentação!$E$6='Base de Dados e filtragem'!H1334),1,0)</f>
        <v>1</v>
      </c>
      <c r="AM1334" s="25">
        <f>IF(OR(Apresentação!$I$2='Base de Dados e filtragem'!AM$2,Apresentação!$I$2='Base de Dados e filtragem'!I1334),1,0)</f>
        <v>1</v>
      </c>
      <c r="AN1334" s="25">
        <f>IF(OR(Apresentação!$I$3='Base de Dados e filtragem'!AN$2,Apresentação!$I$3='Base de Dados e filtragem'!J1334),1,0)</f>
        <v>1</v>
      </c>
      <c r="AO1334" s="25">
        <f>IF(OR(Apresentação!$I$4='Base de Dados e filtragem'!AO$2,Apresentação!$I$4='Base de Dados e filtragem'!K1334),1,0)</f>
        <v>1</v>
      </c>
      <c r="AP1334" s="25">
        <f>IF(OR(Apresentação!$I$5='Base de Dados e filtragem'!AP$2,Apresentação!$I$5='Base de Dados e filtragem'!L1334),1,0)</f>
        <v>1</v>
      </c>
      <c r="AQ1334" s="25">
        <f>IF(OR(Apresentação!$I$6='Base de Dados e filtragem'!AQ$2,Apresentação!$I$6='Base de Dados e filtragem'!M1334),1,0)</f>
        <v>1</v>
      </c>
      <c r="AR1334" s="25">
        <v>1</v>
      </c>
      <c r="AS1334" s="25">
        <v>1</v>
      </c>
      <c r="AT1334" s="25">
        <v>1</v>
      </c>
      <c r="AU1334" s="25">
        <v>1</v>
      </c>
      <c r="AV1334" s="25">
        <v>1</v>
      </c>
      <c r="AW1334" s="25">
        <v>1</v>
      </c>
      <c r="AX1334" s="25">
        <v>1</v>
      </c>
      <c r="AY1334" s="25">
        <v>1</v>
      </c>
      <c r="AZ1334" s="25">
        <v>1</v>
      </c>
      <c r="BA1334" s="25">
        <v>1</v>
      </c>
      <c r="BB1334" s="25">
        <v>1</v>
      </c>
      <c r="BC1334" s="25">
        <v>1</v>
      </c>
      <c r="BD1334" s="25">
        <v>1</v>
      </c>
    </row>
    <row r="1335" spans="27:56" x14ac:dyDescent="0.25">
      <c r="AA1335" s="68" t="str">
        <f t="shared" si="81"/>
        <v>Fotos\\.jpg</v>
      </c>
      <c r="AB1335" s="53">
        <f t="shared" si="82"/>
        <v>7.4906367041198505E-4</v>
      </c>
      <c r="AC1335" s="25">
        <f t="shared" si="83"/>
        <v>1335</v>
      </c>
      <c r="AD1335" s="51">
        <f t="shared" si="84"/>
        <v>1</v>
      </c>
      <c r="AE1335" s="25">
        <v>1</v>
      </c>
      <c r="AF1335" s="25">
        <v>1</v>
      </c>
      <c r="AG1335" s="25">
        <v>1</v>
      </c>
      <c r="AH1335" s="25">
        <v>1</v>
      </c>
      <c r="AI1335" s="25">
        <f>IF(OR(Apresentação!$E$3='Base de Dados e filtragem'!AI$2,Apresentação!$E$3='Base de Dados e filtragem'!E1335),1,0)</f>
        <v>1</v>
      </c>
      <c r="AJ1335" s="25">
        <f>IF(OR(Apresentação!$E$4='Base de Dados e filtragem'!AJ$2,Apresentação!$E$4='Base de Dados e filtragem'!F1335),1,0)</f>
        <v>1</v>
      </c>
      <c r="AK1335" s="25">
        <f>IF(OR(Apresentação!$E$5='Base de Dados e filtragem'!AK$2,Apresentação!$E$5='Base de Dados e filtragem'!G1335),1,0)</f>
        <v>1</v>
      </c>
      <c r="AL1335" s="25">
        <f>IF(OR(Apresentação!$E$6='Base de Dados e filtragem'!AL$2,Apresentação!$E$6='Base de Dados e filtragem'!H1335),1,0)</f>
        <v>1</v>
      </c>
      <c r="AM1335" s="25">
        <f>IF(OR(Apresentação!$I$2='Base de Dados e filtragem'!AM$2,Apresentação!$I$2='Base de Dados e filtragem'!I1335),1,0)</f>
        <v>1</v>
      </c>
      <c r="AN1335" s="25">
        <f>IF(OR(Apresentação!$I$3='Base de Dados e filtragem'!AN$2,Apresentação!$I$3='Base de Dados e filtragem'!J1335),1,0)</f>
        <v>1</v>
      </c>
      <c r="AO1335" s="25">
        <f>IF(OR(Apresentação!$I$4='Base de Dados e filtragem'!AO$2,Apresentação!$I$4='Base de Dados e filtragem'!K1335),1,0)</f>
        <v>1</v>
      </c>
      <c r="AP1335" s="25">
        <f>IF(OR(Apresentação!$I$5='Base de Dados e filtragem'!AP$2,Apresentação!$I$5='Base de Dados e filtragem'!L1335),1,0)</f>
        <v>1</v>
      </c>
      <c r="AQ1335" s="25">
        <f>IF(OR(Apresentação!$I$6='Base de Dados e filtragem'!AQ$2,Apresentação!$I$6='Base de Dados e filtragem'!M1335),1,0)</f>
        <v>1</v>
      </c>
      <c r="AR1335" s="25">
        <v>1</v>
      </c>
      <c r="AS1335" s="25">
        <v>1</v>
      </c>
      <c r="AT1335" s="25">
        <v>1</v>
      </c>
      <c r="AU1335" s="25">
        <v>1</v>
      </c>
      <c r="AV1335" s="25">
        <v>1</v>
      </c>
      <c r="AW1335" s="25">
        <v>1</v>
      </c>
      <c r="AX1335" s="25">
        <v>1</v>
      </c>
      <c r="AY1335" s="25">
        <v>1</v>
      </c>
      <c r="AZ1335" s="25">
        <v>1</v>
      </c>
      <c r="BA1335" s="25">
        <v>1</v>
      </c>
      <c r="BB1335" s="25">
        <v>1</v>
      </c>
      <c r="BC1335" s="25">
        <v>1</v>
      </c>
      <c r="BD1335" s="25">
        <v>1</v>
      </c>
    </row>
    <row r="1336" spans="27:56" x14ac:dyDescent="0.25">
      <c r="AA1336" s="68" t="str">
        <f t="shared" si="81"/>
        <v>Fotos\\.jpg</v>
      </c>
      <c r="AB1336" s="53">
        <f t="shared" si="82"/>
        <v>7.4850299401197609E-4</v>
      </c>
      <c r="AC1336" s="25">
        <f t="shared" si="83"/>
        <v>1336</v>
      </c>
      <c r="AD1336" s="51">
        <f t="shared" si="84"/>
        <v>1</v>
      </c>
      <c r="AE1336" s="25">
        <v>1</v>
      </c>
      <c r="AF1336" s="25">
        <v>1</v>
      </c>
      <c r="AG1336" s="25">
        <v>1</v>
      </c>
      <c r="AH1336" s="25">
        <v>1</v>
      </c>
      <c r="AI1336" s="25">
        <f>IF(OR(Apresentação!$E$3='Base de Dados e filtragem'!AI$2,Apresentação!$E$3='Base de Dados e filtragem'!E1336),1,0)</f>
        <v>1</v>
      </c>
      <c r="AJ1336" s="25">
        <f>IF(OR(Apresentação!$E$4='Base de Dados e filtragem'!AJ$2,Apresentação!$E$4='Base de Dados e filtragem'!F1336),1,0)</f>
        <v>1</v>
      </c>
      <c r="AK1336" s="25">
        <f>IF(OR(Apresentação!$E$5='Base de Dados e filtragem'!AK$2,Apresentação!$E$5='Base de Dados e filtragem'!G1336),1,0)</f>
        <v>1</v>
      </c>
      <c r="AL1336" s="25">
        <f>IF(OR(Apresentação!$E$6='Base de Dados e filtragem'!AL$2,Apresentação!$E$6='Base de Dados e filtragem'!H1336),1,0)</f>
        <v>1</v>
      </c>
      <c r="AM1336" s="25">
        <f>IF(OR(Apresentação!$I$2='Base de Dados e filtragem'!AM$2,Apresentação!$I$2='Base de Dados e filtragem'!I1336),1,0)</f>
        <v>1</v>
      </c>
      <c r="AN1336" s="25">
        <f>IF(OR(Apresentação!$I$3='Base de Dados e filtragem'!AN$2,Apresentação!$I$3='Base de Dados e filtragem'!J1336),1,0)</f>
        <v>1</v>
      </c>
      <c r="AO1336" s="25">
        <f>IF(OR(Apresentação!$I$4='Base de Dados e filtragem'!AO$2,Apresentação!$I$4='Base de Dados e filtragem'!K1336),1,0)</f>
        <v>1</v>
      </c>
      <c r="AP1336" s="25">
        <f>IF(OR(Apresentação!$I$5='Base de Dados e filtragem'!AP$2,Apresentação!$I$5='Base de Dados e filtragem'!L1336),1,0)</f>
        <v>1</v>
      </c>
      <c r="AQ1336" s="25">
        <f>IF(OR(Apresentação!$I$6='Base de Dados e filtragem'!AQ$2,Apresentação!$I$6='Base de Dados e filtragem'!M1336),1,0)</f>
        <v>1</v>
      </c>
      <c r="AR1336" s="25">
        <v>1</v>
      </c>
      <c r="AS1336" s="25">
        <v>1</v>
      </c>
      <c r="AT1336" s="25">
        <v>1</v>
      </c>
      <c r="AU1336" s="25">
        <v>1</v>
      </c>
      <c r="AV1336" s="25">
        <v>1</v>
      </c>
      <c r="AW1336" s="25">
        <v>1</v>
      </c>
      <c r="AX1336" s="25">
        <v>1</v>
      </c>
      <c r="AY1336" s="25">
        <v>1</v>
      </c>
      <c r="AZ1336" s="25">
        <v>1</v>
      </c>
      <c r="BA1336" s="25">
        <v>1</v>
      </c>
      <c r="BB1336" s="25">
        <v>1</v>
      </c>
      <c r="BC1336" s="25">
        <v>1</v>
      </c>
      <c r="BD1336" s="25">
        <v>1</v>
      </c>
    </row>
    <row r="1337" spans="27:56" x14ac:dyDescent="0.25">
      <c r="AA1337" s="68" t="str">
        <f t="shared" si="81"/>
        <v>Fotos\\.jpg</v>
      </c>
      <c r="AB1337" s="53">
        <f t="shared" si="82"/>
        <v>7.4794315632011965E-4</v>
      </c>
      <c r="AC1337" s="25">
        <f t="shared" si="83"/>
        <v>1337</v>
      </c>
      <c r="AD1337" s="51">
        <f t="shared" si="84"/>
        <v>1</v>
      </c>
      <c r="AE1337" s="25">
        <v>1</v>
      </c>
      <c r="AF1337" s="25">
        <v>1</v>
      </c>
      <c r="AG1337" s="25">
        <v>1</v>
      </c>
      <c r="AH1337" s="25">
        <v>1</v>
      </c>
      <c r="AI1337" s="25">
        <f>IF(OR(Apresentação!$E$3='Base de Dados e filtragem'!AI$2,Apresentação!$E$3='Base de Dados e filtragem'!E1337),1,0)</f>
        <v>1</v>
      </c>
      <c r="AJ1337" s="25">
        <f>IF(OR(Apresentação!$E$4='Base de Dados e filtragem'!AJ$2,Apresentação!$E$4='Base de Dados e filtragem'!F1337),1,0)</f>
        <v>1</v>
      </c>
      <c r="AK1337" s="25">
        <f>IF(OR(Apresentação!$E$5='Base de Dados e filtragem'!AK$2,Apresentação!$E$5='Base de Dados e filtragem'!G1337),1,0)</f>
        <v>1</v>
      </c>
      <c r="AL1337" s="25">
        <f>IF(OR(Apresentação!$E$6='Base de Dados e filtragem'!AL$2,Apresentação!$E$6='Base de Dados e filtragem'!H1337),1,0)</f>
        <v>1</v>
      </c>
      <c r="AM1337" s="25">
        <f>IF(OR(Apresentação!$I$2='Base de Dados e filtragem'!AM$2,Apresentação!$I$2='Base de Dados e filtragem'!I1337),1,0)</f>
        <v>1</v>
      </c>
      <c r="AN1337" s="25">
        <f>IF(OR(Apresentação!$I$3='Base de Dados e filtragem'!AN$2,Apresentação!$I$3='Base de Dados e filtragem'!J1337),1,0)</f>
        <v>1</v>
      </c>
      <c r="AO1337" s="25">
        <f>IF(OR(Apresentação!$I$4='Base de Dados e filtragem'!AO$2,Apresentação!$I$4='Base de Dados e filtragem'!K1337),1,0)</f>
        <v>1</v>
      </c>
      <c r="AP1337" s="25">
        <f>IF(OR(Apresentação!$I$5='Base de Dados e filtragem'!AP$2,Apresentação!$I$5='Base de Dados e filtragem'!L1337),1,0)</f>
        <v>1</v>
      </c>
      <c r="AQ1337" s="25">
        <f>IF(OR(Apresentação!$I$6='Base de Dados e filtragem'!AQ$2,Apresentação!$I$6='Base de Dados e filtragem'!M1337),1,0)</f>
        <v>1</v>
      </c>
      <c r="AR1337" s="25">
        <v>1</v>
      </c>
      <c r="AS1337" s="25">
        <v>1</v>
      </c>
      <c r="AT1337" s="25">
        <v>1</v>
      </c>
      <c r="AU1337" s="25">
        <v>1</v>
      </c>
      <c r="AV1337" s="25">
        <v>1</v>
      </c>
      <c r="AW1337" s="25">
        <v>1</v>
      </c>
      <c r="AX1337" s="25">
        <v>1</v>
      </c>
      <c r="AY1337" s="25">
        <v>1</v>
      </c>
      <c r="AZ1337" s="25">
        <v>1</v>
      </c>
      <c r="BA1337" s="25">
        <v>1</v>
      </c>
      <c r="BB1337" s="25">
        <v>1</v>
      </c>
      <c r="BC1337" s="25">
        <v>1</v>
      </c>
      <c r="BD1337" s="25">
        <v>1</v>
      </c>
    </row>
    <row r="1338" spans="27:56" x14ac:dyDescent="0.25">
      <c r="AA1338" s="68" t="str">
        <f t="shared" si="81"/>
        <v>Fotos\\.jpg</v>
      </c>
      <c r="AB1338" s="53">
        <f t="shared" si="82"/>
        <v>7.4738415545590436E-4</v>
      </c>
      <c r="AC1338" s="25">
        <f t="shared" si="83"/>
        <v>1338</v>
      </c>
      <c r="AD1338" s="51">
        <f t="shared" si="84"/>
        <v>1</v>
      </c>
      <c r="AE1338" s="25">
        <v>1</v>
      </c>
      <c r="AF1338" s="25">
        <v>1</v>
      </c>
      <c r="AG1338" s="25">
        <v>1</v>
      </c>
      <c r="AH1338" s="25">
        <v>1</v>
      </c>
      <c r="AI1338" s="25">
        <f>IF(OR(Apresentação!$E$3='Base de Dados e filtragem'!AI$2,Apresentação!$E$3='Base de Dados e filtragem'!E1338),1,0)</f>
        <v>1</v>
      </c>
      <c r="AJ1338" s="25">
        <f>IF(OR(Apresentação!$E$4='Base de Dados e filtragem'!AJ$2,Apresentação!$E$4='Base de Dados e filtragem'!F1338),1,0)</f>
        <v>1</v>
      </c>
      <c r="AK1338" s="25">
        <f>IF(OR(Apresentação!$E$5='Base de Dados e filtragem'!AK$2,Apresentação!$E$5='Base de Dados e filtragem'!G1338),1,0)</f>
        <v>1</v>
      </c>
      <c r="AL1338" s="25">
        <f>IF(OR(Apresentação!$E$6='Base de Dados e filtragem'!AL$2,Apresentação!$E$6='Base de Dados e filtragem'!H1338),1,0)</f>
        <v>1</v>
      </c>
      <c r="AM1338" s="25">
        <f>IF(OR(Apresentação!$I$2='Base de Dados e filtragem'!AM$2,Apresentação!$I$2='Base de Dados e filtragem'!I1338),1,0)</f>
        <v>1</v>
      </c>
      <c r="AN1338" s="25">
        <f>IF(OR(Apresentação!$I$3='Base de Dados e filtragem'!AN$2,Apresentação!$I$3='Base de Dados e filtragem'!J1338),1,0)</f>
        <v>1</v>
      </c>
      <c r="AO1338" s="25">
        <f>IF(OR(Apresentação!$I$4='Base de Dados e filtragem'!AO$2,Apresentação!$I$4='Base de Dados e filtragem'!K1338),1,0)</f>
        <v>1</v>
      </c>
      <c r="AP1338" s="25">
        <f>IF(OR(Apresentação!$I$5='Base de Dados e filtragem'!AP$2,Apresentação!$I$5='Base de Dados e filtragem'!L1338),1,0)</f>
        <v>1</v>
      </c>
      <c r="AQ1338" s="25">
        <f>IF(OR(Apresentação!$I$6='Base de Dados e filtragem'!AQ$2,Apresentação!$I$6='Base de Dados e filtragem'!M1338),1,0)</f>
        <v>1</v>
      </c>
      <c r="AR1338" s="25">
        <v>1</v>
      </c>
      <c r="AS1338" s="25">
        <v>1</v>
      </c>
      <c r="AT1338" s="25">
        <v>1</v>
      </c>
      <c r="AU1338" s="25">
        <v>1</v>
      </c>
      <c r="AV1338" s="25">
        <v>1</v>
      </c>
      <c r="AW1338" s="25">
        <v>1</v>
      </c>
      <c r="AX1338" s="25">
        <v>1</v>
      </c>
      <c r="AY1338" s="25">
        <v>1</v>
      </c>
      <c r="AZ1338" s="25">
        <v>1</v>
      </c>
      <c r="BA1338" s="25">
        <v>1</v>
      </c>
      <c r="BB1338" s="25">
        <v>1</v>
      </c>
      <c r="BC1338" s="25">
        <v>1</v>
      </c>
      <c r="BD1338" s="25">
        <v>1</v>
      </c>
    </row>
    <row r="1339" spans="27:56" x14ac:dyDescent="0.25">
      <c r="AA1339" s="68" t="str">
        <f t="shared" si="81"/>
        <v>Fotos\\.jpg</v>
      </c>
      <c r="AB1339" s="53">
        <f t="shared" si="82"/>
        <v>7.468259895444362E-4</v>
      </c>
      <c r="AC1339" s="25">
        <f t="shared" si="83"/>
        <v>1339</v>
      </c>
      <c r="AD1339" s="51">
        <f t="shared" si="84"/>
        <v>1</v>
      </c>
      <c r="AE1339" s="25">
        <v>1</v>
      </c>
      <c r="AF1339" s="25">
        <v>1</v>
      </c>
      <c r="AG1339" s="25">
        <v>1</v>
      </c>
      <c r="AH1339" s="25">
        <v>1</v>
      </c>
      <c r="AI1339" s="25">
        <f>IF(OR(Apresentação!$E$3='Base de Dados e filtragem'!AI$2,Apresentação!$E$3='Base de Dados e filtragem'!E1339),1,0)</f>
        <v>1</v>
      </c>
      <c r="AJ1339" s="25">
        <f>IF(OR(Apresentação!$E$4='Base de Dados e filtragem'!AJ$2,Apresentação!$E$4='Base de Dados e filtragem'!F1339),1,0)</f>
        <v>1</v>
      </c>
      <c r="AK1339" s="25">
        <f>IF(OR(Apresentação!$E$5='Base de Dados e filtragem'!AK$2,Apresentação!$E$5='Base de Dados e filtragem'!G1339),1,0)</f>
        <v>1</v>
      </c>
      <c r="AL1339" s="25">
        <f>IF(OR(Apresentação!$E$6='Base de Dados e filtragem'!AL$2,Apresentação!$E$6='Base de Dados e filtragem'!H1339),1,0)</f>
        <v>1</v>
      </c>
      <c r="AM1339" s="25">
        <f>IF(OR(Apresentação!$I$2='Base de Dados e filtragem'!AM$2,Apresentação!$I$2='Base de Dados e filtragem'!I1339),1,0)</f>
        <v>1</v>
      </c>
      <c r="AN1339" s="25">
        <f>IF(OR(Apresentação!$I$3='Base de Dados e filtragem'!AN$2,Apresentação!$I$3='Base de Dados e filtragem'!J1339),1,0)</f>
        <v>1</v>
      </c>
      <c r="AO1339" s="25">
        <f>IF(OR(Apresentação!$I$4='Base de Dados e filtragem'!AO$2,Apresentação!$I$4='Base de Dados e filtragem'!K1339),1,0)</f>
        <v>1</v>
      </c>
      <c r="AP1339" s="25">
        <f>IF(OR(Apresentação!$I$5='Base de Dados e filtragem'!AP$2,Apresentação!$I$5='Base de Dados e filtragem'!L1339),1,0)</f>
        <v>1</v>
      </c>
      <c r="AQ1339" s="25">
        <f>IF(OR(Apresentação!$I$6='Base de Dados e filtragem'!AQ$2,Apresentação!$I$6='Base de Dados e filtragem'!M1339),1,0)</f>
        <v>1</v>
      </c>
      <c r="AR1339" s="25">
        <v>1</v>
      </c>
      <c r="AS1339" s="25">
        <v>1</v>
      </c>
      <c r="AT1339" s="25">
        <v>1</v>
      </c>
      <c r="AU1339" s="25">
        <v>1</v>
      </c>
      <c r="AV1339" s="25">
        <v>1</v>
      </c>
      <c r="AW1339" s="25">
        <v>1</v>
      </c>
      <c r="AX1339" s="25">
        <v>1</v>
      </c>
      <c r="AY1339" s="25">
        <v>1</v>
      </c>
      <c r="AZ1339" s="25">
        <v>1</v>
      </c>
      <c r="BA1339" s="25">
        <v>1</v>
      </c>
      <c r="BB1339" s="25">
        <v>1</v>
      </c>
      <c r="BC1339" s="25">
        <v>1</v>
      </c>
      <c r="BD1339" s="25">
        <v>1</v>
      </c>
    </row>
    <row r="1340" spans="27:56" x14ac:dyDescent="0.25">
      <c r="AA1340" s="68" t="str">
        <f t="shared" si="81"/>
        <v>Fotos\\.jpg</v>
      </c>
      <c r="AB1340" s="53">
        <f t="shared" si="82"/>
        <v>7.4626865671641792E-4</v>
      </c>
      <c r="AC1340" s="25">
        <f t="shared" si="83"/>
        <v>1340</v>
      </c>
      <c r="AD1340" s="51">
        <f t="shared" si="84"/>
        <v>1</v>
      </c>
      <c r="AE1340" s="25">
        <v>1</v>
      </c>
      <c r="AF1340" s="25">
        <v>1</v>
      </c>
      <c r="AG1340" s="25">
        <v>1</v>
      </c>
      <c r="AH1340" s="25">
        <v>1</v>
      </c>
      <c r="AI1340" s="25">
        <f>IF(OR(Apresentação!$E$3='Base de Dados e filtragem'!AI$2,Apresentação!$E$3='Base de Dados e filtragem'!E1340),1,0)</f>
        <v>1</v>
      </c>
      <c r="AJ1340" s="25">
        <f>IF(OR(Apresentação!$E$4='Base de Dados e filtragem'!AJ$2,Apresentação!$E$4='Base de Dados e filtragem'!F1340),1,0)</f>
        <v>1</v>
      </c>
      <c r="AK1340" s="25">
        <f>IF(OR(Apresentação!$E$5='Base de Dados e filtragem'!AK$2,Apresentação!$E$5='Base de Dados e filtragem'!G1340),1,0)</f>
        <v>1</v>
      </c>
      <c r="AL1340" s="25">
        <f>IF(OR(Apresentação!$E$6='Base de Dados e filtragem'!AL$2,Apresentação!$E$6='Base de Dados e filtragem'!H1340),1,0)</f>
        <v>1</v>
      </c>
      <c r="AM1340" s="25">
        <f>IF(OR(Apresentação!$I$2='Base de Dados e filtragem'!AM$2,Apresentação!$I$2='Base de Dados e filtragem'!I1340),1,0)</f>
        <v>1</v>
      </c>
      <c r="AN1340" s="25">
        <f>IF(OR(Apresentação!$I$3='Base de Dados e filtragem'!AN$2,Apresentação!$I$3='Base de Dados e filtragem'!J1340),1,0)</f>
        <v>1</v>
      </c>
      <c r="AO1340" s="25">
        <f>IF(OR(Apresentação!$I$4='Base de Dados e filtragem'!AO$2,Apresentação!$I$4='Base de Dados e filtragem'!K1340),1,0)</f>
        <v>1</v>
      </c>
      <c r="AP1340" s="25">
        <f>IF(OR(Apresentação!$I$5='Base de Dados e filtragem'!AP$2,Apresentação!$I$5='Base de Dados e filtragem'!L1340),1,0)</f>
        <v>1</v>
      </c>
      <c r="AQ1340" s="25">
        <f>IF(OR(Apresentação!$I$6='Base de Dados e filtragem'!AQ$2,Apresentação!$I$6='Base de Dados e filtragem'!M1340),1,0)</f>
        <v>1</v>
      </c>
      <c r="AR1340" s="25">
        <v>1</v>
      </c>
      <c r="AS1340" s="25">
        <v>1</v>
      </c>
      <c r="AT1340" s="25">
        <v>1</v>
      </c>
      <c r="AU1340" s="25">
        <v>1</v>
      </c>
      <c r="AV1340" s="25">
        <v>1</v>
      </c>
      <c r="AW1340" s="25">
        <v>1</v>
      </c>
      <c r="AX1340" s="25">
        <v>1</v>
      </c>
      <c r="AY1340" s="25">
        <v>1</v>
      </c>
      <c r="AZ1340" s="25">
        <v>1</v>
      </c>
      <c r="BA1340" s="25">
        <v>1</v>
      </c>
      <c r="BB1340" s="25">
        <v>1</v>
      </c>
      <c r="BC1340" s="25">
        <v>1</v>
      </c>
      <c r="BD1340" s="25">
        <v>1</v>
      </c>
    </row>
    <row r="1341" spans="27:56" x14ac:dyDescent="0.25">
      <c r="AA1341" s="68" t="str">
        <f t="shared" si="81"/>
        <v>Fotos\\.jpg</v>
      </c>
      <c r="AB1341" s="53">
        <f t="shared" si="82"/>
        <v>7.4571215510812821E-4</v>
      </c>
      <c r="AC1341" s="25">
        <f t="shared" si="83"/>
        <v>1341</v>
      </c>
      <c r="AD1341" s="51">
        <f t="shared" si="84"/>
        <v>1</v>
      </c>
      <c r="AE1341" s="25">
        <v>1</v>
      </c>
      <c r="AF1341" s="25">
        <v>1</v>
      </c>
      <c r="AG1341" s="25">
        <v>1</v>
      </c>
      <c r="AH1341" s="25">
        <v>1</v>
      </c>
      <c r="AI1341" s="25">
        <f>IF(OR(Apresentação!$E$3='Base de Dados e filtragem'!AI$2,Apresentação!$E$3='Base de Dados e filtragem'!E1341),1,0)</f>
        <v>1</v>
      </c>
      <c r="AJ1341" s="25">
        <f>IF(OR(Apresentação!$E$4='Base de Dados e filtragem'!AJ$2,Apresentação!$E$4='Base de Dados e filtragem'!F1341),1,0)</f>
        <v>1</v>
      </c>
      <c r="AK1341" s="25">
        <f>IF(OR(Apresentação!$E$5='Base de Dados e filtragem'!AK$2,Apresentação!$E$5='Base de Dados e filtragem'!G1341),1,0)</f>
        <v>1</v>
      </c>
      <c r="AL1341" s="25">
        <f>IF(OR(Apresentação!$E$6='Base de Dados e filtragem'!AL$2,Apresentação!$E$6='Base de Dados e filtragem'!H1341),1,0)</f>
        <v>1</v>
      </c>
      <c r="AM1341" s="25">
        <f>IF(OR(Apresentação!$I$2='Base de Dados e filtragem'!AM$2,Apresentação!$I$2='Base de Dados e filtragem'!I1341),1,0)</f>
        <v>1</v>
      </c>
      <c r="AN1341" s="25">
        <f>IF(OR(Apresentação!$I$3='Base de Dados e filtragem'!AN$2,Apresentação!$I$3='Base de Dados e filtragem'!J1341),1,0)</f>
        <v>1</v>
      </c>
      <c r="AO1341" s="25">
        <f>IF(OR(Apresentação!$I$4='Base de Dados e filtragem'!AO$2,Apresentação!$I$4='Base de Dados e filtragem'!K1341),1,0)</f>
        <v>1</v>
      </c>
      <c r="AP1341" s="25">
        <f>IF(OR(Apresentação!$I$5='Base de Dados e filtragem'!AP$2,Apresentação!$I$5='Base de Dados e filtragem'!L1341),1,0)</f>
        <v>1</v>
      </c>
      <c r="AQ1341" s="25">
        <f>IF(OR(Apresentação!$I$6='Base de Dados e filtragem'!AQ$2,Apresentação!$I$6='Base de Dados e filtragem'!M1341),1,0)</f>
        <v>1</v>
      </c>
      <c r="AR1341" s="25">
        <v>1</v>
      </c>
      <c r="AS1341" s="25">
        <v>1</v>
      </c>
      <c r="AT1341" s="25">
        <v>1</v>
      </c>
      <c r="AU1341" s="25">
        <v>1</v>
      </c>
      <c r="AV1341" s="25">
        <v>1</v>
      </c>
      <c r="AW1341" s="25">
        <v>1</v>
      </c>
      <c r="AX1341" s="25">
        <v>1</v>
      </c>
      <c r="AY1341" s="25">
        <v>1</v>
      </c>
      <c r="AZ1341" s="25">
        <v>1</v>
      </c>
      <c r="BA1341" s="25">
        <v>1</v>
      </c>
      <c r="BB1341" s="25">
        <v>1</v>
      </c>
      <c r="BC1341" s="25">
        <v>1</v>
      </c>
      <c r="BD1341" s="25">
        <v>1</v>
      </c>
    </row>
    <row r="1342" spans="27:56" x14ac:dyDescent="0.25">
      <c r="AA1342" s="68" t="str">
        <f t="shared" si="81"/>
        <v>Fotos\\.jpg</v>
      </c>
      <c r="AB1342" s="53">
        <f t="shared" si="82"/>
        <v>7.4515648286140089E-4</v>
      </c>
      <c r="AC1342" s="25">
        <f t="shared" si="83"/>
        <v>1342</v>
      </c>
      <c r="AD1342" s="51">
        <f t="shared" si="84"/>
        <v>1</v>
      </c>
      <c r="AE1342" s="25">
        <v>1</v>
      </c>
      <c r="AF1342" s="25">
        <v>1</v>
      </c>
      <c r="AG1342" s="25">
        <v>1</v>
      </c>
      <c r="AH1342" s="25">
        <v>1</v>
      </c>
      <c r="AI1342" s="25">
        <f>IF(OR(Apresentação!$E$3='Base de Dados e filtragem'!AI$2,Apresentação!$E$3='Base de Dados e filtragem'!E1342),1,0)</f>
        <v>1</v>
      </c>
      <c r="AJ1342" s="25">
        <f>IF(OR(Apresentação!$E$4='Base de Dados e filtragem'!AJ$2,Apresentação!$E$4='Base de Dados e filtragem'!F1342),1,0)</f>
        <v>1</v>
      </c>
      <c r="AK1342" s="25">
        <f>IF(OR(Apresentação!$E$5='Base de Dados e filtragem'!AK$2,Apresentação!$E$5='Base de Dados e filtragem'!G1342),1,0)</f>
        <v>1</v>
      </c>
      <c r="AL1342" s="25">
        <f>IF(OR(Apresentação!$E$6='Base de Dados e filtragem'!AL$2,Apresentação!$E$6='Base de Dados e filtragem'!H1342),1,0)</f>
        <v>1</v>
      </c>
      <c r="AM1342" s="25">
        <f>IF(OR(Apresentação!$I$2='Base de Dados e filtragem'!AM$2,Apresentação!$I$2='Base de Dados e filtragem'!I1342),1,0)</f>
        <v>1</v>
      </c>
      <c r="AN1342" s="25">
        <f>IF(OR(Apresentação!$I$3='Base de Dados e filtragem'!AN$2,Apresentação!$I$3='Base de Dados e filtragem'!J1342),1,0)</f>
        <v>1</v>
      </c>
      <c r="AO1342" s="25">
        <f>IF(OR(Apresentação!$I$4='Base de Dados e filtragem'!AO$2,Apresentação!$I$4='Base de Dados e filtragem'!K1342),1,0)</f>
        <v>1</v>
      </c>
      <c r="AP1342" s="25">
        <f>IF(OR(Apresentação!$I$5='Base de Dados e filtragem'!AP$2,Apresentação!$I$5='Base de Dados e filtragem'!L1342),1,0)</f>
        <v>1</v>
      </c>
      <c r="AQ1342" s="25">
        <f>IF(OR(Apresentação!$I$6='Base de Dados e filtragem'!AQ$2,Apresentação!$I$6='Base de Dados e filtragem'!M1342),1,0)</f>
        <v>1</v>
      </c>
      <c r="AR1342" s="25">
        <v>1</v>
      </c>
      <c r="AS1342" s="25">
        <v>1</v>
      </c>
      <c r="AT1342" s="25">
        <v>1</v>
      </c>
      <c r="AU1342" s="25">
        <v>1</v>
      </c>
      <c r="AV1342" s="25">
        <v>1</v>
      </c>
      <c r="AW1342" s="25">
        <v>1</v>
      </c>
      <c r="AX1342" s="25">
        <v>1</v>
      </c>
      <c r="AY1342" s="25">
        <v>1</v>
      </c>
      <c r="AZ1342" s="25">
        <v>1</v>
      </c>
      <c r="BA1342" s="25">
        <v>1</v>
      </c>
      <c r="BB1342" s="25">
        <v>1</v>
      </c>
      <c r="BC1342" s="25">
        <v>1</v>
      </c>
      <c r="BD1342" s="25">
        <v>1</v>
      </c>
    </row>
    <row r="1343" spans="27:56" x14ac:dyDescent="0.25">
      <c r="AA1343" s="68" t="str">
        <f t="shared" si="81"/>
        <v>Fotos\\.jpg</v>
      </c>
      <c r="AB1343" s="53">
        <f t="shared" si="82"/>
        <v>7.4460163812360388E-4</v>
      </c>
      <c r="AC1343" s="25">
        <f t="shared" si="83"/>
        <v>1343</v>
      </c>
      <c r="AD1343" s="51">
        <f t="shared" si="84"/>
        <v>1</v>
      </c>
      <c r="AE1343" s="25">
        <v>1</v>
      </c>
      <c r="AF1343" s="25">
        <v>1</v>
      </c>
      <c r="AG1343" s="25">
        <v>1</v>
      </c>
      <c r="AH1343" s="25">
        <v>1</v>
      </c>
      <c r="AI1343" s="25">
        <f>IF(OR(Apresentação!$E$3='Base de Dados e filtragem'!AI$2,Apresentação!$E$3='Base de Dados e filtragem'!E1343),1,0)</f>
        <v>1</v>
      </c>
      <c r="AJ1343" s="25">
        <f>IF(OR(Apresentação!$E$4='Base de Dados e filtragem'!AJ$2,Apresentação!$E$4='Base de Dados e filtragem'!F1343),1,0)</f>
        <v>1</v>
      </c>
      <c r="AK1343" s="25">
        <f>IF(OR(Apresentação!$E$5='Base de Dados e filtragem'!AK$2,Apresentação!$E$5='Base de Dados e filtragem'!G1343),1,0)</f>
        <v>1</v>
      </c>
      <c r="AL1343" s="25">
        <f>IF(OR(Apresentação!$E$6='Base de Dados e filtragem'!AL$2,Apresentação!$E$6='Base de Dados e filtragem'!H1343),1,0)</f>
        <v>1</v>
      </c>
      <c r="AM1343" s="25">
        <f>IF(OR(Apresentação!$I$2='Base de Dados e filtragem'!AM$2,Apresentação!$I$2='Base de Dados e filtragem'!I1343),1,0)</f>
        <v>1</v>
      </c>
      <c r="AN1343" s="25">
        <f>IF(OR(Apresentação!$I$3='Base de Dados e filtragem'!AN$2,Apresentação!$I$3='Base de Dados e filtragem'!J1343),1,0)</f>
        <v>1</v>
      </c>
      <c r="AO1343" s="25">
        <f>IF(OR(Apresentação!$I$4='Base de Dados e filtragem'!AO$2,Apresentação!$I$4='Base de Dados e filtragem'!K1343),1,0)</f>
        <v>1</v>
      </c>
      <c r="AP1343" s="25">
        <f>IF(OR(Apresentação!$I$5='Base de Dados e filtragem'!AP$2,Apresentação!$I$5='Base de Dados e filtragem'!L1343),1,0)</f>
        <v>1</v>
      </c>
      <c r="AQ1343" s="25">
        <f>IF(OR(Apresentação!$I$6='Base de Dados e filtragem'!AQ$2,Apresentação!$I$6='Base de Dados e filtragem'!M1343),1,0)</f>
        <v>1</v>
      </c>
      <c r="AR1343" s="25">
        <v>1</v>
      </c>
      <c r="AS1343" s="25">
        <v>1</v>
      </c>
      <c r="AT1343" s="25">
        <v>1</v>
      </c>
      <c r="AU1343" s="25">
        <v>1</v>
      </c>
      <c r="AV1343" s="25">
        <v>1</v>
      </c>
      <c r="AW1343" s="25">
        <v>1</v>
      </c>
      <c r="AX1343" s="25">
        <v>1</v>
      </c>
      <c r="AY1343" s="25">
        <v>1</v>
      </c>
      <c r="AZ1343" s="25">
        <v>1</v>
      </c>
      <c r="BA1343" s="25">
        <v>1</v>
      </c>
      <c r="BB1343" s="25">
        <v>1</v>
      </c>
      <c r="BC1343" s="25">
        <v>1</v>
      </c>
      <c r="BD1343" s="25">
        <v>1</v>
      </c>
    </row>
    <row r="1344" spans="27:56" x14ac:dyDescent="0.25">
      <c r="AA1344" s="68" t="str">
        <f t="shared" si="81"/>
        <v>Fotos\\.jpg</v>
      </c>
      <c r="AB1344" s="53">
        <f t="shared" si="82"/>
        <v>7.4404761904761901E-4</v>
      </c>
      <c r="AC1344" s="25">
        <f t="shared" si="83"/>
        <v>1344</v>
      </c>
      <c r="AD1344" s="51">
        <f t="shared" si="84"/>
        <v>1</v>
      </c>
      <c r="AE1344" s="25">
        <v>1</v>
      </c>
      <c r="AF1344" s="25">
        <v>1</v>
      </c>
      <c r="AG1344" s="25">
        <v>1</v>
      </c>
      <c r="AH1344" s="25">
        <v>1</v>
      </c>
      <c r="AI1344" s="25">
        <f>IF(OR(Apresentação!$E$3='Base de Dados e filtragem'!AI$2,Apresentação!$E$3='Base de Dados e filtragem'!E1344),1,0)</f>
        <v>1</v>
      </c>
      <c r="AJ1344" s="25">
        <f>IF(OR(Apresentação!$E$4='Base de Dados e filtragem'!AJ$2,Apresentação!$E$4='Base de Dados e filtragem'!F1344),1,0)</f>
        <v>1</v>
      </c>
      <c r="AK1344" s="25">
        <f>IF(OR(Apresentação!$E$5='Base de Dados e filtragem'!AK$2,Apresentação!$E$5='Base de Dados e filtragem'!G1344),1,0)</f>
        <v>1</v>
      </c>
      <c r="AL1344" s="25">
        <f>IF(OR(Apresentação!$E$6='Base de Dados e filtragem'!AL$2,Apresentação!$E$6='Base de Dados e filtragem'!H1344),1,0)</f>
        <v>1</v>
      </c>
      <c r="AM1344" s="25">
        <f>IF(OR(Apresentação!$I$2='Base de Dados e filtragem'!AM$2,Apresentação!$I$2='Base de Dados e filtragem'!I1344),1,0)</f>
        <v>1</v>
      </c>
      <c r="AN1344" s="25">
        <f>IF(OR(Apresentação!$I$3='Base de Dados e filtragem'!AN$2,Apresentação!$I$3='Base de Dados e filtragem'!J1344),1,0)</f>
        <v>1</v>
      </c>
      <c r="AO1344" s="25">
        <f>IF(OR(Apresentação!$I$4='Base de Dados e filtragem'!AO$2,Apresentação!$I$4='Base de Dados e filtragem'!K1344),1,0)</f>
        <v>1</v>
      </c>
      <c r="AP1344" s="25">
        <f>IF(OR(Apresentação!$I$5='Base de Dados e filtragem'!AP$2,Apresentação!$I$5='Base de Dados e filtragem'!L1344),1,0)</f>
        <v>1</v>
      </c>
      <c r="AQ1344" s="25">
        <f>IF(OR(Apresentação!$I$6='Base de Dados e filtragem'!AQ$2,Apresentação!$I$6='Base de Dados e filtragem'!M1344),1,0)</f>
        <v>1</v>
      </c>
      <c r="AR1344" s="25">
        <v>1</v>
      </c>
      <c r="AS1344" s="25">
        <v>1</v>
      </c>
      <c r="AT1344" s="25">
        <v>1</v>
      </c>
      <c r="AU1344" s="25">
        <v>1</v>
      </c>
      <c r="AV1344" s="25">
        <v>1</v>
      </c>
      <c r="AW1344" s="25">
        <v>1</v>
      </c>
      <c r="AX1344" s="25">
        <v>1</v>
      </c>
      <c r="AY1344" s="25">
        <v>1</v>
      </c>
      <c r="AZ1344" s="25">
        <v>1</v>
      </c>
      <c r="BA1344" s="25">
        <v>1</v>
      </c>
      <c r="BB1344" s="25">
        <v>1</v>
      </c>
      <c r="BC1344" s="25">
        <v>1</v>
      </c>
      <c r="BD1344" s="25">
        <v>1</v>
      </c>
    </row>
    <row r="1345" spans="27:56" x14ac:dyDescent="0.25">
      <c r="AA1345" s="68" t="str">
        <f t="shared" si="81"/>
        <v>Fotos\\.jpg</v>
      </c>
      <c r="AB1345" s="53">
        <f t="shared" si="82"/>
        <v>7.4349442379182155E-4</v>
      </c>
      <c r="AC1345" s="25">
        <f t="shared" si="83"/>
        <v>1345</v>
      </c>
      <c r="AD1345" s="51">
        <f t="shared" si="84"/>
        <v>1</v>
      </c>
      <c r="AE1345" s="25">
        <v>1</v>
      </c>
      <c r="AF1345" s="25">
        <v>1</v>
      </c>
      <c r="AG1345" s="25">
        <v>1</v>
      </c>
      <c r="AH1345" s="25">
        <v>1</v>
      </c>
      <c r="AI1345" s="25">
        <f>IF(OR(Apresentação!$E$3='Base de Dados e filtragem'!AI$2,Apresentação!$E$3='Base de Dados e filtragem'!E1345),1,0)</f>
        <v>1</v>
      </c>
      <c r="AJ1345" s="25">
        <f>IF(OR(Apresentação!$E$4='Base de Dados e filtragem'!AJ$2,Apresentação!$E$4='Base de Dados e filtragem'!F1345),1,0)</f>
        <v>1</v>
      </c>
      <c r="AK1345" s="25">
        <f>IF(OR(Apresentação!$E$5='Base de Dados e filtragem'!AK$2,Apresentação!$E$5='Base de Dados e filtragem'!G1345),1,0)</f>
        <v>1</v>
      </c>
      <c r="AL1345" s="25">
        <f>IF(OR(Apresentação!$E$6='Base de Dados e filtragem'!AL$2,Apresentação!$E$6='Base de Dados e filtragem'!H1345),1,0)</f>
        <v>1</v>
      </c>
      <c r="AM1345" s="25">
        <f>IF(OR(Apresentação!$I$2='Base de Dados e filtragem'!AM$2,Apresentação!$I$2='Base de Dados e filtragem'!I1345),1,0)</f>
        <v>1</v>
      </c>
      <c r="AN1345" s="25">
        <f>IF(OR(Apresentação!$I$3='Base de Dados e filtragem'!AN$2,Apresentação!$I$3='Base de Dados e filtragem'!J1345),1,0)</f>
        <v>1</v>
      </c>
      <c r="AO1345" s="25">
        <f>IF(OR(Apresentação!$I$4='Base de Dados e filtragem'!AO$2,Apresentação!$I$4='Base de Dados e filtragem'!K1345),1,0)</f>
        <v>1</v>
      </c>
      <c r="AP1345" s="25">
        <f>IF(OR(Apresentação!$I$5='Base de Dados e filtragem'!AP$2,Apresentação!$I$5='Base de Dados e filtragem'!L1345),1,0)</f>
        <v>1</v>
      </c>
      <c r="AQ1345" s="25">
        <f>IF(OR(Apresentação!$I$6='Base de Dados e filtragem'!AQ$2,Apresentação!$I$6='Base de Dados e filtragem'!M1345),1,0)</f>
        <v>1</v>
      </c>
      <c r="AR1345" s="25">
        <v>1</v>
      </c>
      <c r="AS1345" s="25">
        <v>1</v>
      </c>
      <c r="AT1345" s="25">
        <v>1</v>
      </c>
      <c r="AU1345" s="25">
        <v>1</v>
      </c>
      <c r="AV1345" s="25">
        <v>1</v>
      </c>
      <c r="AW1345" s="25">
        <v>1</v>
      </c>
      <c r="AX1345" s="25">
        <v>1</v>
      </c>
      <c r="AY1345" s="25">
        <v>1</v>
      </c>
      <c r="AZ1345" s="25">
        <v>1</v>
      </c>
      <c r="BA1345" s="25">
        <v>1</v>
      </c>
      <c r="BB1345" s="25">
        <v>1</v>
      </c>
      <c r="BC1345" s="25">
        <v>1</v>
      </c>
      <c r="BD1345" s="25">
        <v>1</v>
      </c>
    </row>
    <row r="1346" spans="27:56" x14ac:dyDescent="0.25">
      <c r="AA1346" s="68" t="str">
        <f t="shared" si="81"/>
        <v>Fotos\\.jpg</v>
      </c>
      <c r="AB1346" s="53">
        <f t="shared" si="82"/>
        <v>7.429420505200594E-4</v>
      </c>
      <c r="AC1346" s="25">
        <f t="shared" si="83"/>
        <v>1346</v>
      </c>
      <c r="AD1346" s="51">
        <f t="shared" si="84"/>
        <v>1</v>
      </c>
      <c r="AE1346" s="25">
        <v>1</v>
      </c>
      <c r="AF1346" s="25">
        <v>1</v>
      </c>
      <c r="AG1346" s="25">
        <v>1</v>
      </c>
      <c r="AH1346" s="25">
        <v>1</v>
      </c>
      <c r="AI1346" s="25">
        <f>IF(OR(Apresentação!$E$3='Base de Dados e filtragem'!AI$2,Apresentação!$E$3='Base de Dados e filtragem'!E1346),1,0)</f>
        <v>1</v>
      </c>
      <c r="AJ1346" s="25">
        <f>IF(OR(Apresentação!$E$4='Base de Dados e filtragem'!AJ$2,Apresentação!$E$4='Base de Dados e filtragem'!F1346),1,0)</f>
        <v>1</v>
      </c>
      <c r="AK1346" s="25">
        <f>IF(OR(Apresentação!$E$5='Base de Dados e filtragem'!AK$2,Apresentação!$E$5='Base de Dados e filtragem'!G1346),1,0)</f>
        <v>1</v>
      </c>
      <c r="AL1346" s="25">
        <f>IF(OR(Apresentação!$E$6='Base de Dados e filtragem'!AL$2,Apresentação!$E$6='Base de Dados e filtragem'!H1346),1,0)</f>
        <v>1</v>
      </c>
      <c r="AM1346" s="25">
        <f>IF(OR(Apresentação!$I$2='Base de Dados e filtragem'!AM$2,Apresentação!$I$2='Base de Dados e filtragem'!I1346),1,0)</f>
        <v>1</v>
      </c>
      <c r="AN1346" s="25">
        <f>IF(OR(Apresentação!$I$3='Base de Dados e filtragem'!AN$2,Apresentação!$I$3='Base de Dados e filtragem'!J1346),1,0)</f>
        <v>1</v>
      </c>
      <c r="AO1346" s="25">
        <f>IF(OR(Apresentação!$I$4='Base de Dados e filtragem'!AO$2,Apresentação!$I$4='Base de Dados e filtragem'!K1346),1,0)</f>
        <v>1</v>
      </c>
      <c r="AP1346" s="25">
        <f>IF(OR(Apresentação!$I$5='Base de Dados e filtragem'!AP$2,Apresentação!$I$5='Base de Dados e filtragem'!L1346),1,0)</f>
        <v>1</v>
      </c>
      <c r="AQ1346" s="25">
        <f>IF(OR(Apresentação!$I$6='Base de Dados e filtragem'!AQ$2,Apresentação!$I$6='Base de Dados e filtragem'!M1346),1,0)</f>
        <v>1</v>
      </c>
      <c r="AR1346" s="25">
        <v>1</v>
      </c>
      <c r="AS1346" s="25">
        <v>1</v>
      </c>
      <c r="AT1346" s="25">
        <v>1</v>
      </c>
      <c r="AU1346" s="25">
        <v>1</v>
      </c>
      <c r="AV1346" s="25">
        <v>1</v>
      </c>
      <c r="AW1346" s="25">
        <v>1</v>
      </c>
      <c r="AX1346" s="25">
        <v>1</v>
      </c>
      <c r="AY1346" s="25">
        <v>1</v>
      </c>
      <c r="AZ1346" s="25">
        <v>1</v>
      </c>
      <c r="BA1346" s="25">
        <v>1</v>
      </c>
      <c r="BB1346" s="25">
        <v>1</v>
      </c>
      <c r="BC1346" s="25">
        <v>1</v>
      </c>
      <c r="BD1346" s="25">
        <v>1</v>
      </c>
    </row>
    <row r="1347" spans="27:56" x14ac:dyDescent="0.25">
      <c r="AA1347" s="68" t="str">
        <f t="shared" si="81"/>
        <v>Fotos\\.jpg</v>
      </c>
      <c r="AB1347" s="53">
        <f t="shared" si="82"/>
        <v>7.4239049740163323E-4</v>
      </c>
      <c r="AC1347" s="25">
        <f t="shared" si="83"/>
        <v>1347</v>
      </c>
      <c r="AD1347" s="51">
        <f t="shared" si="84"/>
        <v>1</v>
      </c>
      <c r="AE1347" s="25">
        <v>1</v>
      </c>
      <c r="AF1347" s="25">
        <v>1</v>
      </c>
      <c r="AG1347" s="25">
        <v>1</v>
      </c>
      <c r="AH1347" s="25">
        <v>1</v>
      </c>
      <c r="AI1347" s="25">
        <f>IF(OR(Apresentação!$E$3='Base de Dados e filtragem'!AI$2,Apresentação!$E$3='Base de Dados e filtragem'!E1347),1,0)</f>
        <v>1</v>
      </c>
      <c r="AJ1347" s="25">
        <f>IF(OR(Apresentação!$E$4='Base de Dados e filtragem'!AJ$2,Apresentação!$E$4='Base de Dados e filtragem'!F1347),1,0)</f>
        <v>1</v>
      </c>
      <c r="AK1347" s="25">
        <f>IF(OR(Apresentação!$E$5='Base de Dados e filtragem'!AK$2,Apresentação!$E$5='Base de Dados e filtragem'!G1347),1,0)</f>
        <v>1</v>
      </c>
      <c r="AL1347" s="25">
        <f>IF(OR(Apresentação!$E$6='Base de Dados e filtragem'!AL$2,Apresentação!$E$6='Base de Dados e filtragem'!H1347),1,0)</f>
        <v>1</v>
      </c>
      <c r="AM1347" s="25">
        <f>IF(OR(Apresentação!$I$2='Base de Dados e filtragem'!AM$2,Apresentação!$I$2='Base de Dados e filtragem'!I1347),1,0)</f>
        <v>1</v>
      </c>
      <c r="AN1347" s="25">
        <f>IF(OR(Apresentação!$I$3='Base de Dados e filtragem'!AN$2,Apresentação!$I$3='Base de Dados e filtragem'!J1347),1,0)</f>
        <v>1</v>
      </c>
      <c r="AO1347" s="25">
        <f>IF(OR(Apresentação!$I$4='Base de Dados e filtragem'!AO$2,Apresentação!$I$4='Base de Dados e filtragem'!K1347),1,0)</f>
        <v>1</v>
      </c>
      <c r="AP1347" s="25">
        <f>IF(OR(Apresentação!$I$5='Base de Dados e filtragem'!AP$2,Apresentação!$I$5='Base de Dados e filtragem'!L1347),1,0)</f>
        <v>1</v>
      </c>
      <c r="AQ1347" s="25">
        <f>IF(OR(Apresentação!$I$6='Base de Dados e filtragem'!AQ$2,Apresentação!$I$6='Base de Dados e filtragem'!M1347),1,0)</f>
        <v>1</v>
      </c>
      <c r="AR1347" s="25">
        <v>1</v>
      </c>
      <c r="AS1347" s="25">
        <v>1</v>
      </c>
      <c r="AT1347" s="25">
        <v>1</v>
      </c>
      <c r="AU1347" s="25">
        <v>1</v>
      </c>
      <c r="AV1347" s="25">
        <v>1</v>
      </c>
      <c r="AW1347" s="25">
        <v>1</v>
      </c>
      <c r="AX1347" s="25">
        <v>1</v>
      </c>
      <c r="AY1347" s="25">
        <v>1</v>
      </c>
      <c r="AZ1347" s="25">
        <v>1</v>
      </c>
      <c r="BA1347" s="25">
        <v>1</v>
      </c>
      <c r="BB1347" s="25">
        <v>1</v>
      </c>
      <c r="BC1347" s="25">
        <v>1</v>
      </c>
      <c r="BD1347" s="25">
        <v>1</v>
      </c>
    </row>
    <row r="1348" spans="27:56" x14ac:dyDescent="0.25">
      <c r="AA1348" s="68" t="str">
        <f t="shared" ref="AA1348:AA1411" si="85">"Fotos\"&amp;I1348&amp;"\"&amp;A1348&amp;".jpg"</f>
        <v>Fotos\\.jpg</v>
      </c>
      <c r="AB1348" s="53">
        <f t="shared" ref="AB1348:AB1411" si="86">AD1348/AC1348</f>
        <v>7.4183976261127599E-4</v>
      </c>
      <c r="AC1348" s="25">
        <f t="shared" ref="AC1348:AC1411" si="87">AC1347+1</f>
        <v>1348</v>
      </c>
      <c r="AD1348" s="51">
        <f t="shared" ref="AD1348:AD1411" si="88">PRODUCT(AE1348:BD1348)</f>
        <v>1</v>
      </c>
      <c r="AE1348" s="25">
        <v>1</v>
      </c>
      <c r="AF1348" s="25">
        <v>1</v>
      </c>
      <c r="AG1348" s="25">
        <v>1</v>
      </c>
      <c r="AH1348" s="25">
        <v>1</v>
      </c>
      <c r="AI1348" s="25">
        <f>IF(OR(Apresentação!$E$3='Base de Dados e filtragem'!AI$2,Apresentação!$E$3='Base de Dados e filtragem'!E1348),1,0)</f>
        <v>1</v>
      </c>
      <c r="AJ1348" s="25">
        <f>IF(OR(Apresentação!$E$4='Base de Dados e filtragem'!AJ$2,Apresentação!$E$4='Base de Dados e filtragem'!F1348),1,0)</f>
        <v>1</v>
      </c>
      <c r="AK1348" s="25">
        <f>IF(OR(Apresentação!$E$5='Base de Dados e filtragem'!AK$2,Apresentação!$E$5='Base de Dados e filtragem'!G1348),1,0)</f>
        <v>1</v>
      </c>
      <c r="AL1348" s="25">
        <f>IF(OR(Apresentação!$E$6='Base de Dados e filtragem'!AL$2,Apresentação!$E$6='Base de Dados e filtragem'!H1348),1,0)</f>
        <v>1</v>
      </c>
      <c r="AM1348" s="25">
        <f>IF(OR(Apresentação!$I$2='Base de Dados e filtragem'!AM$2,Apresentação!$I$2='Base de Dados e filtragem'!I1348),1,0)</f>
        <v>1</v>
      </c>
      <c r="AN1348" s="25">
        <f>IF(OR(Apresentação!$I$3='Base de Dados e filtragem'!AN$2,Apresentação!$I$3='Base de Dados e filtragem'!J1348),1,0)</f>
        <v>1</v>
      </c>
      <c r="AO1348" s="25">
        <f>IF(OR(Apresentação!$I$4='Base de Dados e filtragem'!AO$2,Apresentação!$I$4='Base de Dados e filtragem'!K1348),1,0)</f>
        <v>1</v>
      </c>
      <c r="AP1348" s="25">
        <f>IF(OR(Apresentação!$I$5='Base de Dados e filtragem'!AP$2,Apresentação!$I$5='Base de Dados e filtragem'!L1348),1,0)</f>
        <v>1</v>
      </c>
      <c r="AQ1348" s="25">
        <f>IF(OR(Apresentação!$I$6='Base de Dados e filtragem'!AQ$2,Apresentação!$I$6='Base de Dados e filtragem'!M1348),1,0)</f>
        <v>1</v>
      </c>
      <c r="AR1348" s="25">
        <v>1</v>
      </c>
      <c r="AS1348" s="25">
        <v>1</v>
      </c>
      <c r="AT1348" s="25">
        <v>1</v>
      </c>
      <c r="AU1348" s="25">
        <v>1</v>
      </c>
      <c r="AV1348" s="25">
        <v>1</v>
      </c>
      <c r="AW1348" s="25">
        <v>1</v>
      </c>
      <c r="AX1348" s="25">
        <v>1</v>
      </c>
      <c r="AY1348" s="25">
        <v>1</v>
      </c>
      <c r="AZ1348" s="25">
        <v>1</v>
      </c>
      <c r="BA1348" s="25">
        <v>1</v>
      </c>
      <c r="BB1348" s="25">
        <v>1</v>
      </c>
      <c r="BC1348" s="25">
        <v>1</v>
      </c>
      <c r="BD1348" s="25">
        <v>1</v>
      </c>
    </row>
    <row r="1349" spans="27:56" x14ac:dyDescent="0.25">
      <c r="AA1349" s="68" t="str">
        <f t="shared" si="85"/>
        <v>Fotos\\.jpg</v>
      </c>
      <c r="AB1349" s="53">
        <f t="shared" si="86"/>
        <v>7.4128984432913266E-4</v>
      </c>
      <c r="AC1349" s="25">
        <f t="shared" si="87"/>
        <v>1349</v>
      </c>
      <c r="AD1349" s="51">
        <f t="shared" si="88"/>
        <v>1</v>
      </c>
      <c r="AE1349" s="25">
        <v>1</v>
      </c>
      <c r="AF1349" s="25">
        <v>1</v>
      </c>
      <c r="AG1349" s="25">
        <v>1</v>
      </c>
      <c r="AH1349" s="25">
        <v>1</v>
      </c>
      <c r="AI1349" s="25">
        <f>IF(OR(Apresentação!$E$3='Base de Dados e filtragem'!AI$2,Apresentação!$E$3='Base de Dados e filtragem'!E1349),1,0)</f>
        <v>1</v>
      </c>
      <c r="AJ1349" s="25">
        <f>IF(OR(Apresentação!$E$4='Base de Dados e filtragem'!AJ$2,Apresentação!$E$4='Base de Dados e filtragem'!F1349),1,0)</f>
        <v>1</v>
      </c>
      <c r="AK1349" s="25">
        <f>IF(OR(Apresentação!$E$5='Base de Dados e filtragem'!AK$2,Apresentação!$E$5='Base de Dados e filtragem'!G1349),1,0)</f>
        <v>1</v>
      </c>
      <c r="AL1349" s="25">
        <f>IF(OR(Apresentação!$E$6='Base de Dados e filtragem'!AL$2,Apresentação!$E$6='Base de Dados e filtragem'!H1349),1,0)</f>
        <v>1</v>
      </c>
      <c r="AM1349" s="25">
        <f>IF(OR(Apresentação!$I$2='Base de Dados e filtragem'!AM$2,Apresentação!$I$2='Base de Dados e filtragem'!I1349),1,0)</f>
        <v>1</v>
      </c>
      <c r="AN1349" s="25">
        <f>IF(OR(Apresentação!$I$3='Base de Dados e filtragem'!AN$2,Apresentação!$I$3='Base de Dados e filtragem'!J1349),1,0)</f>
        <v>1</v>
      </c>
      <c r="AO1349" s="25">
        <f>IF(OR(Apresentação!$I$4='Base de Dados e filtragem'!AO$2,Apresentação!$I$4='Base de Dados e filtragem'!K1349),1,0)</f>
        <v>1</v>
      </c>
      <c r="AP1349" s="25">
        <f>IF(OR(Apresentação!$I$5='Base de Dados e filtragem'!AP$2,Apresentação!$I$5='Base de Dados e filtragem'!L1349),1,0)</f>
        <v>1</v>
      </c>
      <c r="AQ1349" s="25">
        <f>IF(OR(Apresentação!$I$6='Base de Dados e filtragem'!AQ$2,Apresentação!$I$6='Base de Dados e filtragem'!M1349),1,0)</f>
        <v>1</v>
      </c>
      <c r="AR1349" s="25">
        <v>1</v>
      </c>
      <c r="AS1349" s="25">
        <v>1</v>
      </c>
      <c r="AT1349" s="25">
        <v>1</v>
      </c>
      <c r="AU1349" s="25">
        <v>1</v>
      </c>
      <c r="AV1349" s="25">
        <v>1</v>
      </c>
      <c r="AW1349" s="25">
        <v>1</v>
      </c>
      <c r="AX1349" s="25">
        <v>1</v>
      </c>
      <c r="AY1349" s="25">
        <v>1</v>
      </c>
      <c r="AZ1349" s="25">
        <v>1</v>
      </c>
      <c r="BA1349" s="25">
        <v>1</v>
      </c>
      <c r="BB1349" s="25">
        <v>1</v>
      </c>
      <c r="BC1349" s="25">
        <v>1</v>
      </c>
      <c r="BD1349" s="25">
        <v>1</v>
      </c>
    </row>
    <row r="1350" spans="27:56" x14ac:dyDescent="0.25">
      <c r="AA1350" s="68" t="str">
        <f t="shared" si="85"/>
        <v>Fotos\\.jpg</v>
      </c>
      <c r="AB1350" s="53">
        <f t="shared" si="86"/>
        <v>7.407407407407407E-4</v>
      </c>
      <c r="AC1350" s="25">
        <f t="shared" si="87"/>
        <v>1350</v>
      </c>
      <c r="AD1350" s="51">
        <f t="shared" si="88"/>
        <v>1</v>
      </c>
      <c r="AE1350" s="25">
        <v>1</v>
      </c>
      <c r="AF1350" s="25">
        <v>1</v>
      </c>
      <c r="AG1350" s="25">
        <v>1</v>
      </c>
      <c r="AH1350" s="25">
        <v>1</v>
      </c>
      <c r="AI1350" s="25">
        <f>IF(OR(Apresentação!$E$3='Base de Dados e filtragem'!AI$2,Apresentação!$E$3='Base de Dados e filtragem'!E1350),1,0)</f>
        <v>1</v>
      </c>
      <c r="AJ1350" s="25">
        <f>IF(OR(Apresentação!$E$4='Base de Dados e filtragem'!AJ$2,Apresentação!$E$4='Base de Dados e filtragem'!F1350),1,0)</f>
        <v>1</v>
      </c>
      <c r="AK1350" s="25">
        <f>IF(OR(Apresentação!$E$5='Base de Dados e filtragem'!AK$2,Apresentação!$E$5='Base de Dados e filtragem'!G1350),1,0)</f>
        <v>1</v>
      </c>
      <c r="AL1350" s="25">
        <f>IF(OR(Apresentação!$E$6='Base de Dados e filtragem'!AL$2,Apresentação!$E$6='Base de Dados e filtragem'!H1350),1,0)</f>
        <v>1</v>
      </c>
      <c r="AM1350" s="25">
        <f>IF(OR(Apresentação!$I$2='Base de Dados e filtragem'!AM$2,Apresentação!$I$2='Base de Dados e filtragem'!I1350),1,0)</f>
        <v>1</v>
      </c>
      <c r="AN1350" s="25">
        <f>IF(OR(Apresentação!$I$3='Base de Dados e filtragem'!AN$2,Apresentação!$I$3='Base de Dados e filtragem'!J1350),1,0)</f>
        <v>1</v>
      </c>
      <c r="AO1350" s="25">
        <f>IF(OR(Apresentação!$I$4='Base de Dados e filtragem'!AO$2,Apresentação!$I$4='Base de Dados e filtragem'!K1350),1,0)</f>
        <v>1</v>
      </c>
      <c r="AP1350" s="25">
        <f>IF(OR(Apresentação!$I$5='Base de Dados e filtragem'!AP$2,Apresentação!$I$5='Base de Dados e filtragem'!L1350),1,0)</f>
        <v>1</v>
      </c>
      <c r="AQ1350" s="25">
        <f>IF(OR(Apresentação!$I$6='Base de Dados e filtragem'!AQ$2,Apresentação!$I$6='Base de Dados e filtragem'!M1350),1,0)</f>
        <v>1</v>
      </c>
      <c r="AR1350" s="25">
        <v>1</v>
      </c>
      <c r="AS1350" s="25">
        <v>1</v>
      </c>
      <c r="AT1350" s="25">
        <v>1</v>
      </c>
      <c r="AU1350" s="25">
        <v>1</v>
      </c>
      <c r="AV1350" s="25">
        <v>1</v>
      </c>
      <c r="AW1350" s="25">
        <v>1</v>
      </c>
      <c r="AX1350" s="25">
        <v>1</v>
      </c>
      <c r="AY1350" s="25">
        <v>1</v>
      </c>
      <c r="AZ1350" s="25">
        <v>1</v>
      </c>
      <c r="BA1350" s="25">
        <v>1</v>
      </c>
      <c r="BB1350" s="25">
        <v>1</v>
      </c>
      <c r="BC1350" s="25">
        <v>1</v>
      </c>
      <c r="BD1350" s="25">
        <v>1</v>
      </c>
    </row>
    <row r="1351" spans="27:56" x14ac:dyDescent="0.25">
      <c r="AA1351" s="68" t="str">
        <f t="shared" si="85"/>
        <v>Fotos\\.jpg</v>
      </c>
      <c r="AB1351" s="53">
        <f t="shared" si="86"/>
        <v>7.4019245003700959E-4</v>
      </c>
      <c r="AC1351" s="25">
        <f t="shared" si="87"/>
        <v>1351</v>
      </c>
      <c r="AD1351" s="51">
        <f t="shared" si="88"/>
        <v>1</v>
      </c>
      <c r="AE1351" s="25">
        <v>1</v>
      </c>
      <c r="AF1351" s="25">
        <v>1</v>
      </c>
      <c r="AG1351" s="25">
        <v>1</v>
      </c>
      <c r="AH1351" s="25">
        <v>1</v>
      </c>
      <c r="AI1351" s="25">
        <f>IF(OR(Apresentação!$E$3='Base de Dados e filtragem'!AI$2,Apresentação!$E$3='Base de Dados e filtragem'!E1351),1,0)</f>
        <v>1</v>
      </c>
      <c r="AJ1351" s="25">
        <f>IF(OR(Apresentação!$E$4='Base de Dados e filtragem'!AJ$2,Apresentação!$E$4='Base de Dados e filtragem'!F1351),1,0)</f>
        <v>1</v>
      </c>
      <c r="AK1351" s="25">
        <f>IF(OR(Apresentação!$E$5='Base de Dados e filtragem'!AK$2,Apresentação!$E$5='Base de Dados e filtragem'!G1351),1,0)</f>
        <v>1</v>
      </c>
      <c r="AL1351" s="25">
        <f>IF(OR(Apresentação!$E$6='Base de Dados e filtragem'!AL$2,Apresentação!$E$6='Base de Dados e filtragem'!H1351),1,0)</f>
        <v>1</v>
      </c>
      <c r="AM1351" s="25">
        <f>IF(OR(Apresentação!$I$2='Base de Dados e filtragem'!AM$2,Apresentação!$I$2='Base de Dados e filtragem'!I1351),1,0)</f>
        <v>1</v>
      </c>
      <c r="AN1351" s="25">
        <f>IF(OR(Apresentação!$I$3='Base de Dados e filtragem'!AN$2,Apresentação!$I$3='Base de Dados e filtragem'!J1351),1,0)</f>
        <v>1</v>
      </c>
      <c r="AO1351" s="25">
        <f>IF(OR(Apresentação!$I$4='Base de Dados e filtragem'!AO$2,Apresentação!$I$4='Base de Dados e filtragem'!K1351),1,0)</f>
        <v>1</v>
      </c>
      <c r="AP1351" s="25">
        <f>IF(OR(Apresentação!$I$5='Base de Dados e filtragem'!AP$2,Apresentação!$I$5='Base de Dados e filtragem'!L1351),1,0)</f>
        <v>1</v>
      </c>
      <c r="AQ1351" s="25">
        <f>IF(OR(Apresentação!$I$6='Base de Dados e filtragem'!AQ$2,Apresentação!$I$6='Base de Dados e filtragem'!M1351),1,0)</f>
        <v>1</v>
      </c>
      <c r="AR1351" s="25">
        <v>1</v>
      </c>
      <c r="AS1351" s="25">
        <v>1</v>
      </c>
      <c r="AT1351" s="25">
        <v>1</v>
      </c>
      <c r="AU1351" s="25">
        <v>1</v>
      </c>
      <c r="AV1351" s="25">
        <v>1</v>
      </c>
      <c r="AW1351" s="25">
        <v>1</v>
      </c>
      <c r="AX1351" s="25">
        <v>1</v>
      </c>
      <c r="AY1351" s="25">
        <v>1</v>
      </c>
      <c r="AZ1351" s="25">
        <v>1</v>
      </c>
      <c r="BA1351" s="25">
        <v>1</v>
      </c>
      <c r="BB1351" s="25">
        <v>1</v>
      </c>
      <c r="BC1351" s="25">
        <v>1</v>
      </c>
      <c r="BD1351" s="25">
        <v>1</v>
      </c>
    </row>
    <row r="1352" spans="27:56" x14ac:dyDescent="0.25">
      <c r="AA1352" s="68" t="str">
        <f t="shared" si="85"/>
        <v>Fotos\\.jpg</v>
      </c>
      <c r="AB1352" s="53">
        <f t="shared" si="86"/>
        <v>7.3964497041420117E-4</v>
      </c>
      <c r="AC1352" s="25">
        <f t="shared" si="87"/>
        <v>1352</v>
      </c>
      <c r="AD1352" s="51">
        <f t="shared" si="88"/>
        <v>1</v>
      </c>
      <c r="AE1352" s="25">
        <v>1</v>
      </c>
      <c r="AF1352" s="25">
        <v>1</v>
      </c>
      <c r="AG1352" s="25">
        <v>1</v>
      </c>
      <c r="AH1352" s="25">
        <v>1</v>
      </c>
      <c r="AI1352" s="25">
        <f>IF(OR(Apresentação!$E$3='Base de Dados e filtragem'!AI$2,Apresentação!$E$3='Base de Dados e filtragem'!E1352),1,0)</f>
        <v>1</v>
      </c>
      <c r="AJ1352" s="25">
        <f>IF(OR(Apresentação!$E$4='Base de Dados e filtragem'!AJ$2,Apresentação!$E$4='Base de Dados e filtragem'!F1352),1,0)</f>
        <v>1</v>
      </c>
      <c r="AK1352" s="25">
        <f>IF(OR(Apresentação!$E$5='Base de Dados e filtragem'!AK$2,Apresentação!$E$5='Base de Dados e filtragem'!G1352),1,0)</f>
        <v>1</v>
      </c>
      <c r="AL1352" s="25">
        <f>IF(OR(Apresentação!$E$6='Base de Dados e filtragem'!AL$2,Apresentação!$E$6='Base de Dados e filtragem'!H1352),1,0)</f>
        <v>1</v>
      </c>
      <c r="AM1352" s="25">
        <f>IF(OR(Apresentação!$I$2='Base de Dados e filtragem'!AM$2,Apresentação!$I$2='Base de Dados e filtragem'!I1352),1,0)</f>
        <v>1</v>
      </c>
      <c r="AN1352" s="25">
        <f>IF(OR(Apresentação!$I$3='Base de Dados e filtragem'!AN$2,Apresentação!$I$3='Base de Dados e filtragem'!J1352),1,0)</f>
        <v>1</v>
      </c>
      <c r="AO1352" s="25">
        <f>IF(OR(Apresentação!$I$4='Base de Dados e filtragem'!AO$2,Apresentação!$I$4='Base de Dados e filtragem'!K1352),1,0)</f>
        <v>1</v>
      </c>
      <c r="AP1352" s="25">
        <f>IF(OR(Apresentação!$I$5='Base de Dados e filtragem'!AP$2,Apresentação!$I$5='Base de Dados e filtragem'!L1352),1,0)</f>
        <v>1</v>
      </c>
      <c r="AQ1352" s="25">
        <f>IF(OR(Apresentação!$I$6='Base de Dados e filtragem'!AQ$2,Apresentação!$I$6='Base de Dados e filtragem'!M1352),1,0)</f>
        <v>1</v>
      </c>
      <c r="AR1352" s="25">
        <v>1</v>
      </c>
      <c r="AS1352" s="25">
        <v>1</v>
      </c>
      <c r="AT1352" s="25">
        <v>1</v>
      </c>
      <c r="AU1352" s="25">
        <v>1</v>
      </c>
      <c r="AV1352" s="25">
        <v>1</v>
      </c>
      <c r="AW1352" s="25">
        <v>1</v>
      </c>
      <c r="AX1352" s="25">
        <v>1</v>
      </c>
      <c r="AY1352" s="25">
        <v>1</v>
      </c>
      <c r="AZ1352" s="25">
        <v>1</v>
      </c>
      <c r="BA1352" s="25">
        <v>1</v>
      </c>
      <c r="BB1352" s="25">
        <v>1</v>
      </c>
      <c r="BC1352" s="25">
        <v>1</v>
      </c>
      <c r="BD1352" s="25">
        <v>1</v>
      </c>
    </row>
    <row r="1353" spans="27:56" x14ac:dyDescent="0.25">
      <c r="AA1353" s="68" t="str">
        <f t="shared" si="85"/>
        <v>Fotos\\.jpg</v>
      </c>
      <c r="AB1353" s="53">
        <f t="shared" si="86"/>
        <v>7.3909830007390983E-4</v>
      </c>
      <c r="AC1353" s="25">
        <f t="shared" si="87"/>
        <v>1353</v>
      </c>
      <c r="AD1353" s="51">
        <f t="shared" si="88"/>
        <v>1</v>
      </c>
      <c r="AE1353" s="25">
        <v>1</v>
      </c>
      <c r="AF1353" s="25">
        <v>1</v>
      </c>
      <c r="AG1353" s="25">
        <v>1</v>
      </c>
      <c r="AH1353" s="25">
        <v>1</v>
      </c>
      <c r="AI1353" s="25">
        <f>IF(OR(Apresentação!$E$3='Base de Dados e filtragem'!AI$2,Apresentação!$E$3='Base de Dados e filtragem'!E1353),1,0)</f>
        <v>1</v>
      </c>
      <c r="AJ1353" s="25">
        <f>IF(OR(Apresentação!$E$4='Base de Dados e filtragem'!AJ$2,Apresentação!$E$4='Base de Dados e filtragem'!F1353),1,0)</f>
        <v>1</v>
      </c>
      <c r="AK1353" s="25">
        <f>IF(OR(Apresentação!$E$5='Base de Dados e filtragem'!AK$2,Apresentação!$E$5='Base de Dados e filtragem'!G1353),1,0)</f>
        <v>1</v>
      </c>
      <c r="AL1353" s="25">
        <f>IF(OR(Apresentação!$E$6='Base de Dados e filtragem'!AL$2,Apresentação!$E$6='Base de Dados e filtragem'!H1353),1,0)</f>
        <v>1</v>
      </c>
      <c r="AM1353" s="25">
        <f>IF(OR(Apresentação!$I$2='Base de Dados e filtragem'!AM$2,Apresentação!$I$2='Base de Dados e filtragem'!I1353),1,0)</f>
        <v>1</v>
      </c>
      <c r="AN1353" s="25">
        <f>IF(OR(Apresentação!$I$3='Base de Dados e filtragem'!AN$2,Apresentação!$I$3='Base de Dados e filtragem'!J1353),1,0)</f>
        <v>1</v>
      </c>
      <c r="AO1353" s="25">
        <f>IF(OR(Apresentação!$I$4='Base de Dados e filtragem'!AO$2,Apresentação!$I$4='Base de Dados e filtragem'!K1353),1,0)</f>
        <v>1</v>
      </c>
      <c r="AP1353" s="25">
        <f>IF(OR(Apresentação!$I$5='Base de Dados e filtragem'!AP$2,Apresentação!$I$5='Base de Dados e filtragem'!L1353),1,0)</f>
        <v>1</v>
      </c>
      <c r="AQ1353" s="25">
        <f>IF(OR(Apresentação!$I$6='Base de Dados e filtragem'!AQ$2,Apresentação!$I$6='Base de Dados e filtragem'!M1353),1,0)</f>
        <v>1</v>
      </c>
      <c r="AR1353" s="25">
        <v>1</v>
      </c>
      <c r="AS1353" s="25">
        <v>1</v>
      </c>
      <c r="AT1353" s="25">
        <v>1</v>
      </c>
      <c r="AU1353" s="25">
        <v>1</v>
      </c>
      <c r="AV1353" s="25">
        <v>1</v>
      </c>
      <c r="AW1353" s="25">
        <v>1</v>
      </c>
      <c r="AX1353" s="25">
        <v>1</v>
      </c>
      <c r="AY1353" s="25">
        <v>1</v>
      </c>
      <c r="AZ1353" s="25">
        <v>1</v>
      </c>
      <c r="BA1353" s="25">
        <v>1</v>
      </c>
      <c r="BB1353" s="25">
        <v>1</v>
      </c>
      <c r="BC1353" s="25">
        <v>1</v>
      </c>
      <c r="BD1353" s="25">
        <v>1</v>
      </c>
    </row>
    <row r="1354" spans="27:56" x14ac:dyDescent="0.25">
      <c r="AA1354" s="68" t="str">
        <f t="shared" si="85"/>
        <v>Fotos\\.jpg</v>
      </c>
      <c r="AB1354" s="53">
        <f t="shared" si="86"/>
        <v>7.3855243722304289E-4</v>
      </c>
      <c r="AC1354" s="25">
        <f t="shared" si="87"/>
        <v>1354</v>
      </c>
      <c r="AD1354" s="51">
        <f t="shared" si="88"/>
        <v>1</v>
      </c>
      <c r="AE1354" s="25">
        <v>1</v>
      </c>
      <c r="AF1354" s="25">
        <v>1</v>
      </c>
      <c r="AG1354" s="25">
        <v>1</v>
      </c>
      <c r="AH1354" s="25">
        <v>1</v>
      </c>
      <c r="AI1354" s="25">
        <f>IF(OR(Apresentação!$E$3='Base de Dados e filtragem'!AI$2,Apresentação!$E$3='Base de Dados e filtragem'!E1354),1,0)</f>
        <v>1</v>
      </c>
      <c r="AJ1354" s="25">
        <f>IF(OR(Apresentação!$E$4='Base de Dados e filtragem'!AJ$2,Apresentação!$E$4='Base de Dados e filtragem'!F1354),1,0)</f>
        <v>1</v>
      </c>
      <c r="AK1354" s="25">
        <f>IF(OR(Apresentação!$E$5='Base de Dados e filtragem'!AK$2,Apresentação!$E$5='Base de Dados e filtragem'!G1354),1,0)</f>
        <v>1</v>
      </c>
      <c r="AL1354" s="25">
        <f>IF(OR(Apresentação!$E$6='Base de Dados e filtragem'!AL$2,Apresentação!$E$6='Base de Dados e filtragem'!H1354),1,0)</f>
        <v>1</v>
      </c>
      <c r="AM1354" s="25">
        <f>IF(OR(Apresentação!$I$2='Base de Dados e filtragem'!AM$2,Apresentação!$I$2='Base de Dados e filtragem'!I1354),1,0)</f>
        <v>1</v>
      </c>
      <c r="AN1354" s="25">
        <f>IF(OR(Apresentação!$I$3='Base de Dados e filtragem'!AN$2,Apresentação!$I$3='Base de Dados e filtragem'!J1354),1,0)</f>
        <v>1</v>
      </c>
      <c r="AO1354" s="25">
        <f>IF(OR(Apresentação!$I$4='Base de Dados e filtragem'!AO$2,Apresentação!$I$4='Base de Dados e filtragem'!K1354),1,0)</f>
        <v>1</v>
      </c>
      <c r="AP1354" s="25">
        <f>IF(OR(Apresentação!$I$5='Base de Dados e filtragem'!AP$2,Apresentação!$I$5='Base de Dados e filtragem'!L1354),1,0)</f>
        <v>1</v>
      </c>
      <c r="AQ1354" s="25">
        <f>IF(OR(Apresentação!$I$6='Base de Dados e filtragem'!AQ$2,Apresentação!$I$6='Base de Dados e filtragem'!M1354),1,0)</f>
        <v>1</v>
      </c>
      <c r="AR1354" s="25">
        <v>1</v>
      </c>
      <c r="AS1354" s="25">
        <v>1</v>
      </c>
      <c r="AT1354" s="25">
        <v>1</v>
      </c>
      <c r="AU1354" s="25">
        <v>1</v>
      </c>
      <c r="AV1354" s="25">
        <v>1</v>
      </c>
      <c r="AW1354" s="25">
        <v>1</v>
      </c>
      <c r="AX1354" s="25">
        <v>1</v>
      </c>
      <c r="AY1354" s="25">
        <v>1</v>
      </c>
      <c r="AZ1354" s="25">
        <v>1</v>
      </c>
      <c r="BA1354" s="25">
        <v>1</v>
      </c>
      <c r="BB1354" s="25">
        <v>1</v>
      </c>
      <c r="BC1354" s="25">
        <v>1</v>
      </c>
      <c r="BD1354" s="25">
        <v>1</v>
      </c>
    </row>
    <row r="1355" spans="27:56" x14ac:dyDescent="0.25">
      <c r="AA1355" s="68" t="str">
        <f t="shared" si="85"/>
        <v>Fotos\\.jpg</v>
      </c>
      <c r="AB1355" s="53">
        <f t="shared" si="86"/>
        <v>7.3800738007380072E-4</v>
      </c>
      <c r="AC1355" s="25">
        <f t="shared" si="87"/>
        <v>1355</v>
      </c>
      <c r="AD1355" s="51">
        <f t="shared" si="88"/>
        <v>1</v>
      </c>
      <c r="AE1355" s="25">
        <v>1</v>
      </c>
      <c r="AF1355" s="25">
        <v>1</v>
      </c>
      <c r="AG1355" s="25">
        <v>1</v>
      </c>
      <c r="AH1355" s="25">
        <v>1</v>
      </c>
      <c r="AI1355" s="25">
        <f>IF(OR(Apresentação!$E$3='Base de Dados e filtragem'!AI$2,Apresentação!$E$3='Base de Dados e filtragem'!E1355),1,0)</f>
        <v>1</v>
      </c>
      <c r="AJ1355" s="25">
        <f>IF(OR(Apresentação!$E$4='Base de Dados e filtragem'!AJ$2,Apresentação!$E$4='Base de Dados e filtragem'!F1355),1,0)</f>
        <v>1</v>
      </c>
      <c r="AK1355" s="25">
        <f>IF(OR(Apresentação!$E$5='Base de Dados e filtragem'!AK$2,Apresentação!$E$5='Base de Dados e filtragem'!G1355),1,0)</f>
        <v>1</v>
      </c>
      <c r="AL1355" s="25">
        <f>IF(OR(Apresentação!$E$6='Base de Dados e filtragem'!AL$2,Apresentação!$E$6='Base de Dados e filtragem'!H1355),1,0)</f>
        <v>1</v>
      </c>
      <c r="AM1355" s="25">
        <f>IF(OR(Apresentação!$I$2='Base de Dados e filtragem'!AM$2,Apresentação!$I$2='Base de Dados e filtragem'!I1355),1,0)</f>
        <v>1</v>
      </c>
      <c r="AN1355" s="25">
        <f>IF(OR(Apresentação!$I$3='Base de Dados e filtragem'!AN$2,Apresentação!$I$3='Base de Dados e filtragem'!J1355),1,0)</f>
        <v>1</v>
      </c>
      <c r="AO1355" s="25">
        <f>IF(OR(Apresentação!$I$4='Base de Dados e filtragem'!AO$2,Apresentação!$I$4='Base de Dados e filtragem'!K1355),1,0)</f>
        <v>1</v>
      </c>
      <c r="AP1355" s="25">
        <f>IF(OR(Apresentação!$I$5='Base de Dados e filtragem'!AP$2,Apresentação!$I$5='Base de Dados e filtragem'!L1355),1,0)</f>
        <v>1</v>
      </c>
      <c r="AQ1355" s="25">
        <f>IF(OR(Apresentação!$I$6='Base de Dados e filtragem'!AQ$2,Apresentação!$I$6='Base de Dados e filtragem'!M1355),1,0)</f>
        <v>1</v>
      </c>
      <c r="AR1355" s="25">
        <v>1</v>
      </c>
      <c r="AS1355" s="25">
        <v>1</v>
      </c>
      <c r="AT1355" s="25">
        <v>1</v>
      </c>
      <c r="AU1355" s="25">
        <v>1</v>
      </c>
      <c r="AV1355" s="25">
        <v>1</v>
      </c>
      <c r="AW1355" s="25">
        <v>1</v>
      </c>
      <c r="AX1355" s="25">
        <v>1</v>
      </c>
      <c r="AY1355" s="25">
        <v>1</v>
      </c>
      <c r="AZ1355" s="25">
        <v>1</v>
      </c>
      <c r="BA1355" s="25">
        <v>1</v>
      </c>
      <c r="BB1355" s="25">
        <v>1</v>
      </c>
      <c r="BC1355" s="25">
        <v>1</v>
      </c>
      <c r="BD1355" s="25">
        <v>1</v>
      </c>
    </row>
    <row r="1356" spans="27:56" x14ac:dyDescent="0.25">
      <c r="AA1356" s="68" t="str">
        <f t="shared" si="85"/>
        <v>Fotos\\.jpg</v>
      </c>
      <c r="AB1356" s="53">
        <f t="shared" si="86"/>
        <v>7.3746312684365781E-4</v>
      </c>
      <c r="AC1356" s="25">
        <f t="shared" si="87"/>
        <v>1356</v>
      </c>
      <c r="AD1356" s="51">
        <f t="shared" si="88"/>
        <v>1</v>
      </c>
      <c r="AE1356" s="25">
        <v>1</v>
      </c>
      <c r="AF1356" s="25">
        <v>1</v>
      </c>
      <c r="AG1356" s="25">
        <v>1</v>
      </c>
      <c r="AH1356" s="25">
        <v>1</v>
      </c>
      <c r="AI1356" s="25">
        <f>IF(OR(Apresentação!$E$3='Base de Dados e filtragem'!AI$2,Apresentação!$E$3='Base de Dados e filtragem'!E1356),1,0)</f>
        <v>1</v>
      </c>
      <c r="AJ1356" s="25">
        <f>IF(OR(Apresentação!$E$4='Base de Dados e filtragem'!AJ$2,Apresentação!$E$4='Base de Dados e filtragem'!F1356),1,0)</f>
        <v>1</v>
      </c>
      <c r="AK1356" s="25">
        <f>IF(OR(Apresentação!$E$5='Base de Dados e filtragem'!AK$2,Apresentação!$E$5='Base de Dados e filtragem'!G1356),1,0)</f>
        <v>1</v>
      </c>
      <c r="AL1356" s="25">
        <f>IF(OR(Apresentação!$E$6='Base de Dados e filtragem'!AL$2,Apresentação!$E$6='Base de Dados e filtragem'!H1356),1,0)</f>
        <v>1</v>
      </c>
      <c r="AM1356" s="25">
        <f>IF(OR(Apresentação!$I$2='Base de Dados e filtragem'!AM$2,Apresentação!$I$2='Base de Dados e filtragem'!I1356),1,0)</f>
        <v>1</v>
      </c>
      <c r="AN1356" s="25">
        <f>IF(OR(Apresentação!$I$3='Base de Dados e filtragem'!AN$2,Apresentação!$I$3='Base de Dados e filtragem'!J1356),1,0)</f>
        <v>1</v>
      </c>
      <c r="AO1356" s="25">
        <f>IF(OR(Apresentação!$I$4='Base de Dados e filtragem'!AO$2,Apresentação!$I$4='Base de Dados e filtragem'!K1356),1,0)</f>
        <v>1</v>
      </c>
      <c r="AP1356" s="25">
        <f>IF(OR(Apresentação!$I$5='Base de Dados e filtragem'!AP$2,Apresentação!$I$5='Base de Dados e filtragem'!L1356),1,0)</f>
        <v>1</v>
      </c>
      <c r="AQ1356" s="25">
        <f>IF(OR(Apresentação!$I$6='Base de Dados e filtragem'!AQ$2,Apresentação!$I$6='Base de Dados e filtragem'!M1356),1,0)</f>
        <v>1</v>
      </c>
      <c r="AR1356" s="25">
        <v>1</v>
      </c>
      <c r="AS1356" s="25">
        <v>1</v>
      </c>
      <c r="AT1356" s="25">
        <v>1</v>
      </c>
      <c r="AU1356" s="25">
        <v>1</v>
      </c>
      <c r="AV1356" s="25">
        <v>1</v>
      </c>
      <c r="AW1356" s="25">
        <v>1</v>
      </c>
      <c r="AX1356" s="25">
        <v>1</v>
      </c>
      <c r="AY1356" s="25">
        <v>1</v>
      </c>
      <c r="AZ1356" s="25">
        <v>1</v>
      </c>
      <c r="BA1356" s="25">
        <v>1</v>
      </c>
      <c r="BB1356" s="25">
        <v>1</v>
      </c>
      <c r="BC1356" s="25">
        <v>1</v>
      </c>
      <c r="BD1356" s="25">
        <v>1</v>
      </c>
    </row>
    <row r="1357" spans="27:56" x14ac:dyDescent="0.25">
      <c r="AA1357" s="68" t="str">
        <f t="shared" si="85"/>
        <v>Fotos\\.jpg</v>
      </c>
      <c r="AB1357" s="53">
        <f t="shared" si="86"/>
        <v>7.3691967575534268E-4</v>
      </c>
      <c r="AC1357" s="25">
        <f t="shared" si="87"/>
        <v>1357</v>
      </c>
      <c r="AD1357" s="51">
        <f t="shared" si="88"/>
        <v>1</v>
      </c>
      <c r="AE1357" s="25">
        <v>1</v>
      </c>
      <c r="AF1357" s="25">
        <v>1</v>
      </c>
      <c r="AG1357" s="25">
        <v>1</v>
      </c>
      <c r="AH1357" s="25">
        <v>1</v>
      </c>
      <c r="AI1357" s="25">
        <f>IF(OR(Apresentação!$E$3='Base de Dados e filtragem'!AI$2,Apresentação!$E$3='Base de Dados e filtragem'!E1357),1,0)</f>
        <v>1</v>
      </c>
      <c r="AJ1357" s="25">
        <f>IF(OR(Apresentação!$E$4='Base de Dados e filtragem'!AJ$2,Apresentação!$E$4='Base de Dados e filtragem'!F1357),1,0)</f>
        <v>1</v>
      </c>
      <c r="AK1357" s="25">
        <f>IF(OR(Apresentação!$E$5='Base de Dados e filtragem'!AK$2,Apresentação!$E$5='Base de Dados e filtragem'!G1357),1,0)</f>
        <v>1</v>
      </c>
      <c r="AL1357" s="25">
        <f>IF(OR(Apresentação!$E$6='Base de Dados e filtragem'!AL$2,Apresentação!$E$6='Base de Dados e filtragem'!H1357),1,0)</f>
        <v>1</v>
      </c>
      <c r="AM1357" s="25">
        <f>IF(OR(Apresentação!$I$2='Base de Dados e filtragem'!AM$2,Apresentação!$I$2='Base de Dados e filtragem'!I1357),1,0)</f>
        <v>1</v>
      </c>
      <c r="AN1357" s="25">
        <f>IF(OR(Apresentação!$I$3='Base de Dados e filtragem'!AN$2,Apresentação!$I$3='Base de Dados e filtragem'!J1357),1,0)</f>
        <v>1</v>
      </c>
      <c r="AO1357" s="25">
        <f>IF(OR(Apresentação!$I$4='Base de Dados e filtragem'!AO$2,Apresentação!$I$4='Base de Dados e filtragem'!K1357),1,0)</f>
        <v>1</v>
      </c>
      <c r="AP1357" s="25">
        <f>IF(OR(Apresentação!$I$5='Base de Dados e filtragem'!AP$2,Apresentação!$I$5='Base de Dados e filtragem'!L1357),1,0)</f>
        <v>1</v>
      </c>
      <c r="AQ1357" s="25">
        <f>IF(OR(Apresentação!$I$6='Base de Dados e filtragem'!AQ$2,Apresentação!$I$6='Base de Dados e filtragem'!M1357),1,0)</f>
        <v>1</v>
      </c>
      <c r="AR1357" s="25">
        <v>1</v>
      </c>
      <c r="AS1357" s="25">
        <v>1</v>
      </c>
      <c r="AT1357" s="25">
        <v>1</v>
      </c>
      <c r="AU1357" s="25">
        <v>1</v>
      </c>
      <c r="AV1357" s="25">
        <v>1</v>
      </c>
      <c r="AW1357" s="25">
        <v>1</v>
      </c>
      <c r="AX1357" s="25">
        <v>1</v>
      </c>
      <c r="AY1357" s="25">
        <v>1</v>
      </c>
      <c r="AZ1357" s="25">
        <v>1</v>
      </c>
      <c r="BA1357" s="25">
        <v>1</v>
      </c>
      <c r="BB1357" s="25">
        <v>1</v>
      </c>
      <c r="BC1357" s="25">
        <v>1</v>
      </c>
      <c r="BD1357" s="25">
        <v>1</v>
      </c>
    </row>
    <row r="1358" spans="27:56" x14ac:dyDescent="0.25">
      <c r="AA1358" s="68" t="str">
        <f t="shared" si="85"/>
        <v>Fotos\\.jpg</v>
      </c>
      <c r="AB1358" s="53">
        <f t="shared" si="86"/>
        <v>7.3637702503681884E-4</v>
      </c>
      <c r="AC1358" s="25">
        <f t="shared" si="87"/>
        <v>1358</v>
      </c>
      <c r="AD1358" s="51">
        <f t="shared" si="88"/>
        <v>1</v>
      </c>
      <c r="AE1358" s="25">
        <v>1</v>
      </c>
      <c r="AF1358" s="25">
        <v>1</v>
      </c>
      <c r="AG1358" s="25">
        <v>1</v>
      </c>
      <c r="AH1358" s="25">
        <v>1</v>
      </c>
      <c r="AI1358" s="25">
        <f>IF(OR(Apresentação!$E$3='Base de Dados e filtragem'!AI$2,Apresentação!$E$3='Base de Dados e filtragem'!E1358),1,0)</f>
        <v>1</v>
      </c>
      <c r="AJ1358" s="25">
        <f>IF(OR(Apresentação!$E$4='Base de Dados e filtragem'!AJ$2,Apresentação!$E$4='Base de Dados e filtragem'!F1358),1,0)</f>
        <v>1</v>
      </c>
      <c r="AK1358" s="25">
        <f>IF(OR(Apresentação!$E$5='Base de Dados e filtragem'!AK$2,Apresentação!$E$5='Base de Dados e filtragem'!G1358),1,0)</f>
        <v>1</v>
      </c>
      <c r="AL1358" s="25">
        <f>IF(OR(Apresentação!$E$6='Base de Dados e filtragem'!AL$2,Apresentação!$E$6='Base de Dados e filtragem'!H1358),1,0)</f>
        <v>1</v>
      </c>
      <c r="AM1358" s="25">
        <f>IF(OR(Apresentação!$I$2='Base de Dados e filtragem'!AM$2,Apresentação!$I$2='Base de Dados e filtragem'!I1358),1,0)</f>
        <v>1</v>
      </c>
      <c r="AN1358" s="25">
        <f>IF(OR(Apresentação!$I$3='Base de Dados e filtragem'!AN$2,Apresentação!$I$3='Base de Dados e filtragem'!J1358),1,0)</f>
        <v>1</v>
      </c>
      <c r="AO1358" s="25">
        <f>IF(OR(Apresentação!$I$4='Base de Dados e filtragem'!AO$2,Apresentação!$I$4='Base de Dados e filtragem'!K1358),1,0)</f>
        <v>1</v>
      </c>
      <c r="AP1358" s="25">
        <f>IF(OR(Apresentação!$I$5='Base de Dados e filtragem'!AP$2,Apresentação!$I$5='Base de Dados e filtragem'!L1358),1,0)</f>
        <v>1</v>
      </c>
      <c r="AQ1358" s="25">
        <f>IF(OR(Apresentação!$I$6='Base de Dados e filtragem'!AQ$2,Apresentação!$I$6='Base de Dados e filtragem'!M1358),1,0)</f>
        <v>1</v>
      </c>
      <c r="AR1358" s="25">
        <v>1</v>
      </c>
      <c r="AS1358" s="25">
        <v>1</v>
      </c>
      <c r="AT1358" s="25">
        <v>1</v>
      </c>
      <c r="AU1358" s="25">
        <v>1</v>
      </c>
      <c r="AV1358" s="25">
        <v>1</v>
      </c>
      <c r="AW1358" s="25">
        <v>1</v>
      </c>
      <c r="AX1358" s="25">
        <v>1</v>
      </c>
      <c r="AY1358" s="25">
        <v>1</v>
      </c>
      <c r="AZ1358" s="25">
        <v>1</v>
      </c>
      <c r="BA1358" s="25">
        <v>1</v>
      </c>
      <c r="BB1358" s="25">
        <v>1</v>
      </c>
      <c r="BC1358" s="25">
        <v>1</v>
      </c>
      <c r="BD1358" s="25">
        <v>1</v>
      </c>
    </row>
    <row r="1359" spans="27:56" x14ac:dyDescent="0.25">
      <c r="AA1359" s="68" t="str">
        <f t="shared" si="85"/>
        <v>Fotos\\.jpg</v>
      </c>
      <c r="AB1359" s="53">
        <f t="shared" si="86"/>
        <v>7.3583517292126564E-4</v>
      </c>
      <c r="AC1359" s="25">
        <f t="shared" si="87"/>
        <v>1359</v>
      </c>
      <c r="AD1359" s="51">
        <f t="shared" si="88"/>
        <v>1</v>
      </c>
      <c r="AE1359" s="25">
        <v>1</v>
      </c>
      <c r="AF1359" s="25">
        <v>1</v>
      </c>
      <c r="AG1359" s="25">
        <v>1</v>
      </c>
      <c r="AH1359" s="25">
        <v>1</v>
      </c>
      <c r="AI1359" s="25">
        <f>IF(OR(Apresentação!$E$3='Base de Dados e filtragem'!AI$2,Apresentação!$E$3='Base de Dados e filtragem'!E1359),1,0)</f>
        <v>1</v>
      </c>
      <c r="AJ1359" s="25">
        <f>IF(OR(Apresentação!$E$4='Base de Dados e filtragem'!AJ$2,Apresentação!$E$4='Base de Dados e filtragem'!F1359),1,0)</f>
        <v>1</v>
      </c>
      <c r="AK1359" s="25">
        <f>IF(OR(Apresentação!$E$5='Base de Dados e filtragem'!AK$2,Apresentação!$E$5='Base de Dados e filtragem'!G1359),1,0)</f>
        <v>1</v>
      </c>
      <c r="AL1359" s="25">
        <f>IF(OR(Apresentação!$E$6='Base de Dados e filtragem'!AL$2,Apresentação!$E$6='Base de Dados e filtragem'!H1359),1,0)</f>
        <v>1</v>
      </c>
      <c r="AM1359" s="25">
        <f>IF(OR(Apresentação!$I$2='Base de Dados e filtragem'!AM$2,Apresentação!$I$2='Base de Dados e filtragem'!I1359),1,0)</f>
        <v>1</v>
      </c>
      <c r="AN1359" s="25">
        <f>IF(OR(Apresentação!$I$3='Base de Dados e filtragem'!AN$2,Apresentação!$I$3='Base de Dados e filtragem'!J1359),1,0)</f>
        <v>1</v>
      </c>
      <c r="AO1359" s="25">
        <f>IF(OR(Apresentação!$I$4='Base de Dados e filtragem'!AO$2,Apresentação!$I$4='Base de Dados e filtragem'!K1359),1,0)</f>
        <v>1</v>
      </c>
      <c r="AP1359" s="25">
        <f>IF(OR(Apresentação!$I$5='Base de Dados e filtragem'!AP$2,Apresentação!$I$5='Base de Dados e filtragem'!L1359),1,0)</f>
        <v>1</v>
      </c>
      <c r="AQ1359" s="25">
        <f>IF(OR(Apresentação!$I$6='Base de Dados e filtragem'!AQ$2,Apresentação!$I$6='Base de Dados e filtragem'!M1359),1,0)</f>
        <v>1</v>
      </c>
      <c r="AR1359" s="25">
        <v>1</v>
      </c>
      <c r="AS1359" s="25">
        <v>1</v>
      </c>
      <c r="AT1359" s="25">
        <v>1</v>
      </c>
      <c r="AU1359" s="25">
        <v>1</v>
      </c>
      <c r="AV1359" s="25">
        <v>1</v>
      </c>
      <c r="AW1359" s="25">
        <v>1</v>
      </c>
      <c r="AX1359" s="25">
        <v>1</v>
      </c>
      <c r="AY1359" s="25">
        <v>1</v>
      </c>
      <c r="AZ1359" s="25">
        <v>1</v>
      </c>
      <c r="BA1359" s="25">
        <v>1</v>
      </c>
      <c r="BB1359" s="25">
        <v>1</v>
      </c>
      <c r="BC1359" s="25">
        <v>1</v>
      </c>
      <c r="BD1359" s="25">
        <v>1</v>
      </c>
    </row>
    <row r="1360" spans="27:56" x14ac:dyDescent="0.25">
      <c r="AA1360" s="68" t="str">
        <f t="shared" si="85"/>
        <v>Fotos\\.jpg</v>
      </c>
      <c r="AB1360" s="53">
        <f t="shared" si="86"/>
        <v>7.3529411764705881E-4</v>
      </c>
      <c r="AC1360" s="25">
        <f t="shared" si="87"/>
        <v>1360</v>
      </c>
      <c r="AD1360" s="51">
        <f t="shared" si="88"/>
        <v>1</v>
      </c>
      <c r="AE1360" s="25">
        <v>1</v>
      </c>
      <c r="AF1360" s="25">
        <v>1</v>
      </c>
      <c r="AG1360" s="25">
        <v>1</v>
      </c>
      <c r="AH1360" s="25">
        <v>1</v>
      </c>
      <c r="AI1360" s="25">
        <f>IF(OR(Apresentação!$E$3='Base de Dados e filtragem'!AI$2,Apresentação!$E$3='Base de Dados e filtragem'!E1360),1,0)</f>
        <v>1</v>
      </c>
      <c r="AJ1360" s="25">
        <f>IF(OR(Apresentação!$E$4='Base de Dados e filtragem'!AJ$2,Apresentação!$E$4='Base de Dados e filtragem'!F1360),1,0)</f>
        <v>1</v>
      </c>
      <c r="AK1360" s="25">
        <f>IF(OR(Apresentação!$E$5='Base de Dados e filtragem'!AK$2,Apresentação!$E$5='Base de Dados e filtragem'!G1360),1,0)</f>
        <v>1</v>
      </c>
      <c r="AL1360" s="25">
        <f>IF(OR(Apresentação!$E$6='Base de Dados e filtragem'!AL$2,Apresentação!$E$6='Base de Dados e filtragem'!H1360),1,0)</f>
        <v>1</v>
      </c>
      <c r="AM1360" s="25">
        <f>IF(OR(Apresentação!$I$2='Base de Dados e filtragem'!AM$2,Apresentação!$I$2='Base de Dados e filtragem'!I1360),1,0)</f>
        <v>1</v>
      </c>
      <c r="AN1360" s="25">
        <f>IF(OR(Apresentação!$I$3='Base de Dados e filtragem'!AN$2,Apresentação!$I$3='Base de Dados e filtragem'!J1360),1,0)</f>
        <v>1</v>
      </c>
      <c r="AO1360" s="25">
        <f>IF(OR(Apresentação!$I$4='Base de Dados e filtragem'!AO$2,Apresentação!$I$4='Base de Dados e filtragem'!K1360),1,0)</f>
        <v>1</v>
      </c>
      <c r="AP1360" s="25">
        <f>IF(OR(Apresentação!$I$5='Base de Dados e filtragem'!AP$2,Apresentação!$I$5='Base de Dados e filtragem'!L1360),1,0)</f>
        <v>1</v>
      </c>
      <c r="AQ1360" s="25">
        <f>IF(OR(Apresentação!$I$6='Base de Dados e filtragem'!AQ$2,Apresentação!$I$6='Base de Dados e filtragem'!M1360),1,0)</f>
        <v>1</v>
      </c>
      <c r="AR1360" s="25">
        <v>1</v>
      </c>
      <c r="AS1360" s="25">
        <v>1</v>
      </c>
      <c r="AT1360" s="25">
        <v>1</v>
      </c>
      <c r="AU1360" s="25">
        <v>1</v>
      </c>
      <c r="AV1360" s="25">
        <v>1</v>
      </c>
      <c r="AW1360" s="25">
        <v>1</v>
      </c>
      <c r="AX1360" s="25">
        <v>1</v>
      </c>
      <c r="AY1360" s="25">
        <v>1</v>
      </c>
      <c r="AZ1360" s="25">
        <v>1</v>
      </c>
      <c r="BA1360" s="25">
        <v>1</v>
      </c>
      <c r="BB1360" s="25">
        <v>1</v>
      </c>
      <c r="BC1360" s="25">
        <v>1</v>
      </c>
      <c r="BD1360" s="25">
        <v>1</v>
      </c>
    </row>
    <row r="1361" spans="27:56" x14ac:dyDescent="0.25">
      <c r="AA1361" s="68" t="str">
        <f t="shared" si="85"/>
        <v>Fotos\\.jpg</v>
      </c>
      <c r="AB1361" s="53">
        <f t="shared" si="86"/>
        <v>7.347538574577516E-4</v>
      </c>
      <c r="AC1361" s="25">
        <f t="shared" si="87"/>
        <v>1361</v>
      </c>
      <c r="AD1361" s="51">
        <f t="shared" si="88"/>
        <v>1</v>
      </c>
      <c r="AE1361" s="25">
        <v>1</v>
      </c>
      <c r="AF1361" s="25">
        <v>1</v>
      </c>
      <c r="AG1361" s="25">
        <v>1</v>
      </c>
      <c r="AH1361" s="25">
        <v>1</v>
      </c>
      <c r="AI1361" s="25">
        <f>IF(OR(Apresentação!$E$3='Base de Dados e filtragem'!AI$2,Apresentação!$E$3='Base de Dados e filtragem'!E1361),1,0)</f>
        <v>1</v>
      </c>
      <c r="AJ1361" s="25">
        <f>IF(OR(Apresentação!$E$4='Base de Dados e filtragem'!AJ$2,Apresentação!$E$4='Base de Dados e filtragem'!F1361),1,0)</f>
        <v>1</v>
      </c>
      <c r="AK1361" s="25">
        <f>IF(OR(Apresentação!$E$5='Base de Dados e filtragem'!AK$2,Apresentação!$E$5='Base de Dados e filtragem'!G1361),1,0)</f>
        <v>1</v>
      </c>
      <c r="AL1361" s="25">
        <f>IF(OR(Apresentação!$E$6='Base de Dados e filtragem'!AL$2,Apresentação!$E$6='Base de Dados e filtragem'!H1361),1,0)</f>
        <v>1</v>
      </c>
      <c r="AM1361" s="25">
        <f>IF(OR(Apresentação!$I$2='Base de Dados e filtragem'!AM$2,Apresentação!$I$2='Base de Dados e filtragem'!I1361),1,0)</f>
        <v>1</v>
      </c>
      <c r="AN1361" s="25">
        <f>IF(OR(Apresentação!$I$3='Base de Dados e filtragem'!AN$2,Apresentação!$I$3='Base de Dados e filtragem'!J1361),1,0)</f>
        <v>1</v>
      </c>
      <c r="AO1361" s="25">
        <f>IF(OR(Apresentação!$I$4='Base de Dados e filtragem'!AO$2,Apresentação!$I$4='Base de Dados e filtragem'!K1361),1,0)</f>
        <v>1</v>
      </c>
      <c r="AP1361" s="25">
        <f>IF(OR(Apresentação!$I$5='Base de Dados e filtragem'!AP$2,Apresentação!$I$5='Base de Dados e filtragem'!L1361),1,0)</f>
        <v>1</v>
      </c>
      <c r="AQ1361" s="25">
        <f>IF(OR(Apresentação!$I$6='Base de Dados e filtragem'!AQ$2,Apresentação!$I$6='Base de Dados e filtragem'!M1361),1,0)</f>
        <v>1</v>
      </c>
      <c r="AR1361" s="25">
        <v>1</v>
      </c>
      <c r="AS1361" s="25">
        <v>1</v>
      </c>
      <c r="AT1361" s="25">
        <v>1</v>
      </c>
      <c r="AU1361" s="25">
        <v>1</v>
      </c>
      <c r="AV1361" s="25">
        <v>1</v>
      </c>
      <c r="AW1361" s="25">
        <v>1</v>
      </c>
      <c r="AX1361" s="25">
        <v>1</v>
      </c>
      <c r="AY1361" s="25">
        <v>1</v>
      </c>
      <c r="AZ1361" s="25">
        <v>1</v>
      </c>
      <c r="BA1361" s="25">
        <v>1</v>
      </c>
      <c r="BB1361" s="25">
        <v>1</v>
      </c>
      <c r="BC1361" s="25">
        <v>1</v>
      </c>
      <c r="BD1361" s="25">
        <v>1</v>
      </c>
    </row>
    <row r="1362" spans="27:56" x14ac:dyDescent="0.25">
      <c r="AA1362" s="68" t="str">
        <f t="shared" si="85"/>
        <v>Fotos\\.jpg</v>
      </c>
      <c r="AB1362" s="53">
        <f t="shared" si="86"/>
        <v>7.3421439060205576E-4</v>
      </c>
      <c r="AC1362" s="25">
        <f t="shared" si="87"/>
        <v>1362</v>
      </c>
      <c r="AD1362" s="51">
        <f t="shared" si="88"/>
        <v>1</v>
      </c>
      <c r="AE1362" s="25">
        <v>1</v>
      </c>
      <c r="AF1362" s="25">
        <v>1</v>
      </c>
      <c r="AG1362" s="25">
        <v>1</v>
      </c>
      <c r="AH1362" s="25">
        <v>1</v>
      </c>
      <c r="AI1362" s="25">
        <f>IF(OR(Apresentação!$E$3='Base de Dados e filtragem'!AI$2,Apresentação!$E$3='Base de Dados e filtragem'!E1362),1,0)</f>
        <v>1</v>
      </c>
      <c r="AJ1362" s="25">
        <f>IF(OR(Apresentação!$E$4='Base de Dados e filtragem'!AJ$2,Apresentação!$E$4='Base de Dados e filtragem'!F1362),1,0)</f>
        <v>1</v>
      </c>
      <c r="AK1362" s="25">
        <f>IF(OR(Apresentação!$E$5='Base de Dados e filtragem'!AK$2,Apresentação!$E$5='Base de Dados e filtragem'!G1362),1,0)</f>
        <v>1</v>
      </c>
      <c r="AL1362" s="25">
        <f>IF(OR(Apresentação!$E$6='Base de Dados e filtragem'!AL$2,Apresentação!$E$6='Base de Dados e filtragem'!H1362),1,0)</f>
        <v>1</v>
      </c>
      <c r="AM1362" s="25">
        <f>IF(OR(Apresentação!$I$2='Base de Dados e filtragem'!AM$2,Apresentação!$I$2='Base de Dados e filtragem'!I1362),1,0)</f>
        <v>1</v>
      </c>
      <c r="AN1362" s="25">
        <f>IF(OR(Apresentação!$I$3='Base de Dados e filtragem'!AN$2,Apresentação!$I$3='Base de Dados e filtragem'!J1362),1,0)</f>
        <v>1</v>
      </c>
      <c r="AO1362" s="25">
        <f>IF(OR(Apresentação!$I$4='Base de Dados e filtragem'!AO$2,Apresentação!$I$4='Base de Dados e filtragem'!K1362),1,0)</f>
        <v>1</v>
      </c>
      <c r="AP1362" s="25">
        <f>IF(OR(Apresentação!$I$5='Base de Dados e filtragem'!AP$2,Apresentação!$I$5='Base de Dados e filtragem'!L1362),1,0)</f>
        <v>1</v>
      </c>
      <c r="AQ1362" s="25">
        <f>IF(OR(Apresentação!$I$6='Base de Dados e filtragem'!AQ$2,Apresentação!$I$6='Base de Dados e filtragem'!M1362),1,0)</f>
        <v>1</v>
      </c>
      <c r="AR1362" s="25">
        <v>1</v>
      </c>
      <c r="AS1362" s="25">
        <v>1</v>
      </c>
      <c r="AT1362" s="25">
        <v>1</v>
      </c>
      <c r="AU1362" s="25">
        <v>1</v>
      </c>
      <c r="AV1362" s="25">
        <v>1</v>
      </c>
      <c r="AW1362" s="25">
        <v>1</v>
      </c>
      <c r="AX1362" s="25">
        <v>1</v>
      </c>
      <c r="AY1362" s="25">
        <v>1</v>
      </c>
      <c r="AZ1362" s="25">
        <v>1</v>
      </c>
      <c r="BA1362" s="25">
        <v>1</v>
      </c>
      <c r="BB1362" s="25">
        <v>1</v>
      </c>
      <c r="BC1362" s="25">
        <v>1</v>
      </c>
      <c r="BD1362" s="25">
        <v>1</v>
      </c>
    </row>
    <row r="1363" spans="27:56" x14ac:dyDescent="0.25">
      <c r="AA1363" s="68" t="str">
        <f t="shared" si="85"/>
        <v>Fotos\\.jpg</v>
      </c>
      <c r="AB1363" s="53">
        <f t="shared" si="86"/>
        <v>7.3367571533382249E-4</v>
      </c>
      <c r="AC1363" s="25">
        <f t="shared" si="87"/>
        <v>1363</v>
      </c>
      <c r="AD1363" s="51">
        <f t="shared" si="88"/>
        <v>1</v>
      </c>
      <c r="AE1363" s="25">
        <v>1</v>
      </c>
      <c r="AF1363" s="25">
        <v>1</v>
      </c>
      <c r="AG1363" s="25">
        <v>1</v>
      </c>
      <c r="AH1363" s="25">
        <v>1</v>
      </c>
      <c r="AI1363" s="25">
        <f>IF(OR(Apresentação!$E$3='Base de Dados e filtragem'!AI$2,Apresentação!$E$3='Base de Dados e filtragem'!E1363),1,0)</f>
        <v>1</v>
      </c>
      <c r="AJ1363" s="25">
        <f>IF(OR(Apresentação!$E$4='Base de Dados e filtragem'!AJ$2,Apresentação!$E$4='Base de Dados e filtragem'!F1363),1,0)</f>
        <v>1</v>
      </c>
      <c r="AK1363" s="25">
        <f>IF(OR(Apresentação!$E$5='Base de Dados e filtragem'!AK$2,Apresentação!$E$5='Base de Dados e filtragem'!G1363),1,0)</f>
        <v>1</v>
      </c>
      <c r="AL1363" s="25">
        <f>IF(OR(Apresentação!$E$6='Base de Dados e filtragem'!AL$2,Apresentação!$E$6='Base de Dados e filtragem'!H1363),1,0)</f>
        <v>1</v>
      </c>
      <c r="AM1363" s="25">
        <f>IF(OR(Apresentação!$I$2='Base de Dados e filtragem'!AM$2,Apresentação!$I$2='Base de Dados e filtragem'!I1363),1,0)</f>
        <v>1</v>
      </c>
      <c r="AN1363" s="25">
        <f>IF(OR(Apresentação!$I$3='Base de Dados e filtragem'!AN$2,Apresentação!$I$3='Base de Dados e filtragem'!J1363),1,0)</f>
        <v>1</v>
      </c>
      <c r="AO1363" s="25">
        <f>IF(OR(Apresentação!$I$4='Base de Dados e filtragem'!AO$2,Apresentação!$I$4='Base de Dados e filtragem'!K1363),1,0)</f>
        <v>1</v>
      </c>
      <c r="AP1363" s="25">
        <f>IF(OR(Apresentação!$I$5='Base de Dados e filtragem'!AP$2,Apresentação!$I$5='Base de Dados e filtragem'!L1363),1,0)</f>
        <v>1</v>
      </c>
      <c r="AQ1363" s="25">
        <f>IF(OR(Apresentação!$I$6='Base de Dados e filtragem'!AQ$2,Apresentação!$I$6='Base de Dados e filtragem'!M1363),1,0)</f>
        <v>1</v>
      </c>
      <c r="AR1363" s="25">
        <v>1</v>
      </c>
      <c r="AS1363" s="25">
        <v>1</v>
      </c>
      <c r="AT1363" s="25">
        <v>1</v>
      </c>
      <c r="AU1363" s="25">
        <v>1</v>
      </c>
      <c r="AV1363" s="25">
        <v>1</v>
      </c>
      <c r="AW1363" s="25">
        <v>1</v>
      </c>
      <c r="AX1363" s="25">
        <v>1</v>
      </c>
      <c r="AY1363" s="25">
        <v>1</v>
      </c>
      <c r="AZ1363" s="25">
        <v>1</v>
      </c>
      <c r="BA1363" s="25">
        <v>1</v>
      </c>
      <c r="BB1363" s="25">
        <v>1</v>
      </c>
      <c r="BC1363" s="25">
        <v>1</v>
      </c>
      <c r="BD1363" s="25">
        <v>1</v>
      </c>
    </row>
    <row r="1364" spans="27:56" x14ac:dyDescent="0.25">
      <c r="AA1364" s="68" t="str">
        <f t="shared" si="85"/>
        <v>Fotos\\.jpg</v>
      </c>
      <c r="AB1364" s="53">
        <f t="shared" si="86"/>
        <v>7.3313782991202346E-4</v>
      </c>
      <c r="AC1364" s="25">
        <f t="shared" si="87"/>
        <v>1364</v>
      </c>
      <c r="AD1364" s="51">
        <f t="shared" si="88"/>
        <v>1</v>
      </c>
      <c r="AE1364" s="25">
        <v>1</v>
      </c>
      <c r="AF1364" s="25">
        <v>1</v>
      </c>
      <c r="AG1364" s="25">
        <v>1</v>
      </c>
      <c r="AH1364" s="25">
        <v>1</v>
      </c>
      <c r="AI1364" s="25">
        <f>IF(OR(Apresentação!$E$3='Base de Dados e filtragem'!AI$2,Apresentação!$E$3='Base de Dados e filtragem'!E1364),1,0)</f>
        <v>1</v>
      </c>
      <c r="AJ1364" s="25">
        <f>IF(OR(Apresentação!$E$4='Base de Dados e filtragem'!AJ$2,Apresentação!$E$4='Base de Dados e filtragem'!F1364),1,0)</f>
        <v>1</v>
      </c>
      <c r="AK1364" s="25">
        <f>IF(OR(Apresentação!$E$5='Base de Dados e filtragem'!AK$2,Apresentação!$E$5='Base de Dados e filtragem'!G1364),1,0)</f>
        <v>1</v>
      </c>
      <c r="AL1364" s="25">
        <f>IF(OR(Apresentação!$E$6='Base de Dados e filtragem'!AL$2,Apresentação!$E$6='Base de Dados e filtragem'!H1364),1,0)</f>
        <v>1</v>
      </c>
      <c r="AM1364" s="25">
        <f>IF(OR(Apresentação!$I$2='Base de Dados e filtragem'!AM$2,Apresentação!$I$2='Base de Dados e filtragem'!I1364),1,0)</f>
        <v>1</v>
      </c>
      <c r="AN1364" s="25">
        <f>IF(OR(Apresentação!$I$3='Base de Dados e filtragem'!AN$2,Apresentação!$I$3='Base de Dados e filtragem'!J1364),1,0)</f>
        <v>1</v>
      </c>
      <c r="AO1364" s="25">
        <f>IF(OR(Apresentação!$I$4='Base de Dados e filtragem'!AO$2,Apresentação!$I$4='Base de Dados e filtragem'!K1364),1,0)</f>
        <v>1</v>
      </c>
      <c r="AP1364" s="25">
        <f>IF(OR(Apresentação!$I$5='Base de Dados e filtragem'!AP$2,Apresentação!$I$5='Base de Dados e filtragem'!L1364),1,0)</f>
        <v>1</v>
      </c>
      <c r="AQ1364" s="25">
        <f>IF(OR(Apresentação!$I$6='Base de Dados e filtragem'!AQ$2,Apresentação!$I$6='Base de Dados e filtragem'!M1364),1,0)</f>
        <v>1</v>
      </c>
      <c r="AR1364" s="25">
        <v>1</v>
      </c>
      <c r="AS1364" s="25">
        <v>1</v>
      </c>
      <c r="AT1364" s="25">
        <v>1</v>
      </c>
      <c r="AU1364" s="25">
        <v>1</v>
      </c>
      <c r="AV1364" s="25">
        <v>1</v>
      </c>
      <c r="AW1364" s="25">
        <v>1</v>
      </c>
      <c r="AX1364" s="25">
        <v>1</v>
      </c>
      <c r="AY1364" s="25">
        <v>1</v>
      </c>
      <c r="AZ1364" s="25">
        <v>1</v>
      </c>
      <c r="BA1364" s="25">
        <v>1</v>
      </c>
      <c r="BB1364" s="25">
        <v>1</v>
      </c>
      <c r="BC1364" s="25">
        <v>1</v>
      </c>
      <c r="BD1364" s="25">
        <v>1</v>
      </c>
    </row>
    <row r="1365" spans="27:56" x14ac:dyDescent="0.25">
      <c r="AA1365" s="68" t="str">
        <f t="shared" si="85"/>
        <v>Fotos\\.jpg</v>
      </c>
      <c r="AB1365" s="53">
        <f t="shared" si="86"/>
        <v>7.326007326007326E-4</v>
      </c>
      <c r="AC1365" s="25">
        <f t="shared" si="87"/>
        <v>1365</v>
      </c>
      <c r="AD1365" s="51">
        <f t="shared" si="88"/>
        <v>1</v>
      </c>
      <c r="AE1365" s="25">
        <v>1</v>
      </c>
      <c r="AF1365" s="25">
        <v>1</v>
      </c>
      <c r="AG1365" s="25">
        <v>1</v>
      </c>
      <c r="AH1365" s="25">
        <v>1</v>
      </c>
      <c r="AI1365" s="25">
        <f>IF(OR(Apresentação!$E$3='Base de Dados e filtragem'!AI$2,Apresentação!$E$3='Base de Dados e filtragem'!E1365),1,0)</f>
        <v>1</v>
      </c>
      <c r="AJ1365" s="25">
        <f>IF(OR(Apresentação!$E$4='Base de Dados e filtragem'!AJ$2,Apresentação!$E$4='Base de Dados e filtragem'!F1365),1,0)</f>
        <v>1</v>
      </c>
      <c r="AK1365" s="25">
        <f>IF(OR(Apresentação!$E$5='Base de Dados e filtragem'!AK$2,Apresentação!$E$5='Base de Dados e filtragem'!G1365),1,0)</f>
        <v>1</v>
      </c>
      <c r="AL1365" s="25">
        <f>IF(OR(Apresentação!$E$6='Base de Dados e filtragem'!AL$2,Apresentação!$E$6='Base de Dados e filtragem'!H1365),1,0)</f>
        <v>1</v>
      </c>
      <c r="AM1365" s="25">
        <f>IF(OR(Apresentação!$I$2='Base de Dados e filtragem'!AM$2,Apresentação!$I$2='Base de Dados e filtragem'!I1365),1,0)</f>
        <v>1</v>
      </c>
      <c r="AN1365" s="25">
        <f>IF(OR(Apresentação!$I$3='Base de Dados e filtragem'!AN$2,Apresentação!$I$3='Base de Dados e filtragem'!J1365),1,0)</f>
        <v>1</v>
      </c>
      <c r="AO1365" s="25">
        <f>IF(OR(Apresentação!$I$4='Base de Dados e filtragem'!AO$2,Apresentação!$I$4='Base de Dados e filtragem'!K1365),1,0)</f>
        <v>1</v>
      </c>
      <c r="AP1365" s="25">
        <f>IF(OR(Apresentação!$I$5='Base de Dados e filtragem'!AP$2,Apresentação!$I$5='Base de Dados e filtragem'!L1365),1,0)</f>
        <v>1</v>
      </c>
      <c r="AQ1365" s="25">
        <f>IF(OR(Apresentação!$I$6='Base de Dados e filtragem'!AQ$2,Apresentação!$I$6='Base de Dados e filtragem'!M1365),1,0)</f>
        <v>1</v>
      </c>
      <c r="AR1365" s="25">
        <v>1</v>
      </c>
      <c r="AS1365" s="25">
        <v>1</v>
      </c>
      <c r="AT1365" s="25">
        <v>1</v>
      </c>
      <c r="AU1365" s="25">
        <v>1</v>
      </c>
      <c r="AV1365" s="25">
        <v>1</v>
      </c>
      <c r="AW1365" s="25">
        <v>1</v>
      </c>
      <c r="AX1365" s="25">
        <v>1</v>
      </c>
      <c r="AY1365" s="25">
        <v>1</v>
      </c>
      <c r="AZ1365" s="25">
        <v>1</v>
      </c>
      <c r="BA1365" s="25">
        <v>1</v>
      </c>
      <c r="BB1365" s="25">
        <v>1</v>
      </c>
      <c r="BC1365" s="25">
        <v>1</v>
      </c>
      <c r="BD1365" s="25">
        <v>1</v>
      </c>
    </row>
    <row r="1366" spans="27:56" x14ac:dyDescent="0.25">
      <c r="AA1366" s="68" t="str">
        <f t="shared" si="85"/>
        <v>Fotos\\.jpg</v>
      </c>
      <c r="AB1366" s="53">
        <f t="shared" si="86"/>
        <v>7.320644216691069E-4</v>
      </c>
      <c r="AC1366" s="25">
        <f t="shared" si="87"/>
        <v>1366</v>
      </c>
      <c r="AD1366" s="51">
        <f t="shared" si="88"/>
        <v>1</v>
      </c>
      <c r="AE1366" s="25">
        <v>1</v>
      </c>
      <c r="AF1366" s="25">
        <v>1</v>
      </c>
      <c r="AG1366" s="25">
        <v>1</v>
      </c>
      <c r="AH1366" s="25">
        <v>1</v>
      </c>
      <c r="AI1366" s="25">
        <f>IF(OR(Apresentação!$E$3='Base de Dados e filtragem'!AI$2,Apresentação!$E$3='Base de Dados e filtragem'!E1366),1,0)</f>
        <v>1</v>
      </c>
      <c r="AJ1366" s="25">
        <f>IF(OR(Apresentação!$E$4='Base de Dados e filtragem'!AJ$2,Apresentação!$E$4='Base de Dados e filtragem'!F1366),1,0)</f>
        <v>1</v>
      </c>
      <c r="AK1366" s="25">
        <f>IF(OR(Apresentação!$E$5='Base de Dados e filtragem'!AK$2,Apresentação!$E$5='Base de Dados e filtragem'!G1366),1,0)</f>
        <v>1</v>
      </c>
      <c r="AL1366" s="25">
        <f>IF(OR(Apresentação!$E$6='Base de Dados e filtragem'!AL$2,Apresentação!$E$6='Base de Dados e filtragem'!H1366),1,0)</f>
        <v>1</v>
      </c>
      <c r="AM1366" s="25">
        <f>IF(OR(Apresentação!$I$2='Base de Dados e filtragem'!AM$2,Apresentação!$I$2='Base de Dados e filtragem'!I1366),1,0)</f>
        <v>1</v>
      </c>
      <c r="AN1366" s="25">
        <f>IF(OR(Apresentação!$I$3='Base de Dados e filtragem'!AN$2,Apresentação!$I$3='Base de Dados e filtragem'!J1366),1,0)</f>
        <v>1</v>
      </c>
      <c r="AO1366" s="25">
        <f>IF(OR(Apresentação!$I$4='Base de Dados e filtragem'!AO$2,Apresentação!$I$4='Base de Dados e filtragem'!K1366),1,0)</f>
        <v>1</v>
      </c>
      <c r="AP1366" s="25">
        <f>IF(OR(Apresentação!$I$5='Base de Dados e filtragem'!AP$2,Apresentação!$I$5='Base de Dados e filtragem'!L1366),1,0)</f>
        <v>1</v>
      </c>
      <c r="AQ1366" s="25">
        <f>IF(OR(Apresentação!$I$6='Base de Dados e filtragem'!AQ$2,Apresentação!$I$6='Base de Dados e filtragem'!M1366),1,0)</f>
        <v>1</v>
      </c>
      <c r="AR1366" s="25">
        <v>1</v>
      </c>
      <c r="AS1366" s="25">
        <v>1</v>
      </c>
      <c r="AT1366" s="25">
        <v>1</v>
      </c>
      <c r="AU1366" s="25">
        <v>1</v>
      </c>
      <c r="AV1366" s="25">
        <v>1</v>
      </c>
      <c r="AW1366" s="25">
        <v>1</v>
      </c>
      <c r="AX1366" s="25">
        <v>1</v>
      </c>
      <c r="AY1366" s="25">
        <v>1</v>
      </c>
      <c r="AZ1366" s="25">
        <v>1</v>
      </c>
      <c r="BA1366" s="25">
        <v>1</v>
      </c>
      <c r="BB1366" s="25">
        <v>1</v>
      </c>
      <c r="BC1366" s="25">
        <v>1</v>
      </c>
      <c r="BD1366" s="25">
        <v>1</v>
      </c>
    </row>
    <row r="1367" spans="27:56" x14ac:dyDescent="0.25">
      <c r="AA1367" s="68" t="str">
        <f t="shared" si="85"/>
        <v>Fotos\\.jpg</v>
      </c>
      <c r="AB1367" s="53">
        <f t="shared" si="86"/>
        <v>7.3152889539136799E-4</v>
      </c>
      <c r="AC1367" s="25">
        <f t="shared" si="87"/>
        <v>1367</v>
      </c>
      <c r="AD1367" s="51">
        <f t="shared" si="88"/>
        <v>1</v>
      </c>
      <c r="AE1367" s="25">
        <v>1</v>
      </c>
      <c r="AF1367" s="25">
        <v>1</v>
      </c>
      <c r="AG1367" s="25">
        <v>1</v>
      </c>
      <c r="AH1367" s="25">
        <v>1</v>
      </c>
      <c r="AI1367" s="25">
        <f>IF(OR(Apresentação!$E$3='Base de Dados e filtragem'!AI$2,Apresentação!$E$3='Base de Dados e filtragem'!E1367),1,0)</f>
        <v>1</v>
      </c>
      <c r="AJ1367" s="25">
        <f>IF(OR(Apresentação!$E$4='Base de Dados e filtragem'!AJ$2,Apresentação!$E$4='Base de Dados e filtragem'!F1367),1,0)</f>
        <v>1</v>
      </c>
      <c r="AK1367" s="25">
        <f>IF(OR(Apresentação!$E$5='Base de Dados e filtragem'!AK$2,Apresentação!$E$5='Base de Dados e filtragem'!G1367),1,0)</f>
        <v>1</v>
      </c>
      <c r="AL1367" s="25">
        <f>IF(OR(Apresentação!$E$6='Base de Dados e filtragem'!AL$2,Apresentação!$E$6='Base de Dados e filtragem'!H1367),1,0)</f>
        <v>1</v>
      </c>
      <c r="AM1367" s="25">
        <f>IF(OR(Apresentação!$I$2='Base de Dados e filtragem'!AM$2,Apresentação!$I$2='Base de Dados e filtragem'!I1367),1,0)</f>
        <v>1</v>
      </c>
      <c r="AN1367" s="25">
        <f>IF(OR(Apresentação!$I$3='Base de Dados e filtragem'!AN$2,Apresentação!$I$3='Base de Dados e filtragem'!J1367),1,0)</f>
        <v>1</v>
      </c>
      <c r="AO1367" s="25">
        <f>IF(OR(Apresentação!$I$4='Base de Dados e filtragem'!AO$2,Apresentação!$I$4='Base de Dados e filtragem'!K1367),1,0)</f>
        <v>1</v>
      </c>
      <c r="AP1367" s="25">
        <f>IF(OR(Apresentação!$I$5='Base de Dados e filtragem'!AP$2,Apresentação!$I$5='Base de Dados e filtragem'!L1367),1,0)</f>
        <v>1</v>
      </c>
      <c r="AQ1367" s="25">
        <f>IF(OR(Apresentação!$I$6='Base de Dados e filtragem'!AQ$2,Apresentação!$I$6='Base de Dados e filtragem'!M1367),1,0)</f>
        <v>1</v>
      </c>
      <c r="AR1367" s="25">
        <v>1</v>
      </c>
      <c r="AS1367" s="25">
        <v>1</v>
      </c>
      <c r="AT1367" s="25">
        <v>1</v>
      </c>
      <c r="AU1367" s="25">
        <v>1</v>
      </c>
      <c r="AV1367" s="25">
        <v>1</v>
      </c>
      <c r="AW1367" s="25">
        <v>1</v>
      </c>
      <c r="AX1367" s="25">
        <v>1</v>
      </c>
      <c r="AY1367" s="25">
        <v>1</v>
      </c>
      <c r="AZ1367" s="25">
        <v>1</v>
      </c>
      <c r="BA1367" s="25">
        <v>1</v>
      </c>
      <c r="BB1367" s="25">
        <v>1</v>
      </c>
      <c r="BC1367" s="25">
        <v>1</v>
      </c>
      <c r="BD1367" s="25">
        <v>1</v>
      </c>
    </row>
    <row r="1368" spans="27:56" x14ac:dyDescent="0.25">
      <c r="AA1368" s="68" t="str">
        <f t="shared" si="85"/>
        <v>Fotos\\.jpg</v>
      </c>
      <c r="AB1368" s="53">
        <f t="shared" si="86"/>
        <v>7.3099415204678359E-4</v>
      </c>
      <c r="AC1368" s="25">
        <f t="shared" si="87"/>
        <v>1368</v>
      </c>
      <c r="AD1368" s="51">
        <f t="shared" si="88"/>
        <v>1</v>
      </c>
      <c r="AE1368" s="25">
        <v>1</v>
      </c>
      <c r="AF1368" s="25">
        <v>1</v>
      </c>
      <c r="AG1368" s="25">
        <v>1</v>
      </c>
      <c r="AH1368" s="25">
        <v>1</v>
      </c>
      <c r="AI1368" s="25">
        <f>IF(OR(Apresentação!$E$3='Base de Dados e filtragem'!AI$2,Apresentação!$E$3='Base de Dados e filtragem'!E1368),1,0)</f>
        <v>1</v>
      </c>
      <c r="AJ1368" s="25">
        <f>IF(OR(Apresentação!$E$4='Base de Dados e filtragem'!AJ$2,Apresentação!$E$4='Base de Dados e filtragem'!F1368),1,0)</f>
        <v>1</v>
      </c>
      <c r="AK1368" s="25">
        <f>IF(OR(Apresentação!$E$5='Base de Dados e filtragem'!AK$2,Apresentação!$E$5='Base de Dados e filtragem'!G1368),1,0)</f>
        <v>1</v>
      </c>
      <c r="AL1368" s="25">
        <f>IF(OR(Apresentação!$E$6='Base de Dados e filtragem'!AL$2,Apresentação!$E$6='Base de Dados e filtragem'!H1368),1,0)</f>
        <v>1</v>
      </c>
      <c r="AM1368" s="25">
        <f>IF(OR(Apresentação!$I$2='Base de Dados e filtragem'!AM$2,Apresentação!$I$2='Base de Dados e filtragem'!I1368),1,0)</f>
        <v>1</v>
      </c>
      <c r="AN1368" s="25">
        <f>IF(OR(Apresentação!$I$3='Base de Dados e filtragem'!AN$2,Apresentação!$I$3='Base de Dados e filtragem'!J1368),1,0)</f>
        <v>1</v>
      </c>
      <c r="AO1368" s="25">
        <f>IF(OR(Apresentação!$I$4='Base de Dados e filtragem'!AO$2,Apresentação!$I$4='Base de Dados e filtragem'!K1368),1,0)</f>
        <v>1</v>
      </c>
      <c r="AP1368" s="25">
        <f>IF(OR(Apresentação!$I$5='Base de Dados e filtragem'!AP$2,Apresentação!$I$5='Base de Dados e filtragem'!L1368),1,0)</f>
        <v>1</v>
      </c>
      <c r="AQ1368" s="25">
        <f>IF(OR(Apresentação!$I$6='Base de Dados e filtragem'!AQ$2,Apresentação!$I$6='Base de Dados e filtragem'!M1368),1,0)</f>
        <v>1</v>
      </c>
      <c r="AR1368" s="25">
        <v>1</v>
      </c>
      <c r="AS1368" s="25">
        <v>1</v>
      </c>
      <c r="AT1368" s="25">
        <v>1</v>
      </c>
      <c r="AU1368" s="25">
        <v>1</v>
      </c>
      <c r="AV1368" s="25">
        <v>1</v>
      </c>
      <c r="AW1368" s="25">
        <v>1</v>
      </c>
      <c r="AX1368" s="25">
        <v>1</v>
      </c>
      <c r="AY1368" s="25">
        <v>1</v>
      </c>
      <c r="AZ1368" s="25">
        <v>1</v>
      </c>
      <c r="BA1368" s="25">
        <v>1</v>
      </c>
      <c r="BB1368" s="25">
        <v>1</v>
      </c>
      <c r="BC1368" s="25">
        <v>1</v>
      </c>
      <c r="BD1368" s="25">
        <v>1</v>
      </c>
    </row>
    <row r="1369" spans="27:56" x14ac:dyDescent="0.25">
      <c r="AA1369" s="68" t="str">
        <f t="shared" si="85"/>
        <v>Fotos\\.jpg</v>
      </c>
      <c r="AB1369" s="53">
        <f t="shared" si="86"/>
        <v>7.3046018991964939E-4</v>
      </c>
      <c r="AC1369" s="25">
        <f t="shared" si="87"/>
        <v>1369</v>
      </c>
      <c r="AD1369" s="51">
        <f t="shared" si="88"/>
        <v>1</v>
      </c>
      <c r="AE1369" s="25">
        <v>1</v>
      </c>
      <c r="AF1369" s="25">
        <v>1</v>
      </c>
      <c r="AG1369" s="25">
        <v>1</v>
      </c>
      <c r="AH1369" s="25">
        <v>1</v>
      </c>
      <c r="AI1369" s="25">
        <f>IF(OR(Apresentação!$E$3='Base de Dados e filtragem'!AI$2,Apresentação!$E$3='Base de Dados e filtragem'!E1369),1,0)</f>
        <v>1</v>
      </c>
      <c r="AJ1369" s="25">
        <f>IF(OR(Apresentação!$E$4='Base de Dados e filtragem'!AJ$2,Apresentação!$E$4='Base de Dados e filtragem'!F1369),1,0)</f>
        <v>1</v>
      </c>
      <c r="AK1369" s="25">
        <f>IF(OR(Apresentação!$E$5='Base de Dados e filtragem'!AK$2,Apresentação!$E$5='Base de Dados e filtragem'!G1369),1,0)</f>
        <v>1</v>
      </c>
      <c r="AL1369" s="25">
        <f>IF(OR(Apresentação!$E$6='Base de Dados e filtragem'!AL$2,Apresentação!$E$6='Base de Dados e filtragem'!H1369),1,0)</f>
        <v>1</v>
      </c>
      <c r="AM1369" s="25">
        <f>IF(OR(Apresentação!$I$2='Base de Dados e filtragem'!AM$2,Apresentação!$I$2='Base de Dados e filtragem'!I1369),1,0)</f>
        <v>1</v>
      </c>
      <c r="AN1369" s="25">
        <f>IF(OR(Apresentação!$I$3='Base de Dados e filtragem'!AN$2,Apresentação!$I$3='Base de Dados e filtragem'!J1369),1,0)</f>
        <v>1</v>
      </c>
      <c r="AO1369" s="25">
        <f>IF(OR(Apresentação!$I$4='Base de Dados e filtragem'!AO$2,Apresentação!$I$4='Base de Dados e filtragem'!K1369),1,0)</f>
        <v>1</v>
      </c>
      <c r="AP1369" s="25">
        <f>IF(OR(Apresentação!$I$5='Base de Dados e filtragem'!AP$2,Apresentação!$I$5='Base de Dados e filtragem'!L1369),1,0)</f>
        <v>1</v>
      </c>
      <c r="AQ1369" s="25">
        <f>IF(OR(Apresentação!$I$6='Base de Dados e filtragem'!AQ$2,Apresentação!$I$6='Base de Dados e filtragem'!M1369),1,0)</f>
        <v>1</v>
      </c>
      <c r="AR1369" s="25">
        <v>1</v>
      </c>
      <c r="AS1369" s="25">
        <v>1</v>
      </c>
      <c r="AT1369" s="25">
        <v>1</v>
      </c>
      <c r="AU1369" s="25">
        <v>1</v>
      </c>
      <c r="AV1369" s="25">
        <v>1</v>
      </c>
      <c r="AW1369" s="25">
        <v>1</v>
      </c>
      <c r="AX1369" s="25">
        <v>1</v>
      </c>
      <c r="AY1369" s="25">
        <v>1</v>
      </c>
      <c r="AZ1369" s="25">
        <v>1</v>
      </c>
      <c r="BA1369" s="25">
        <v>1</v>
      </c>
      <c r="BB1369" s="25">
        <v>1</v>
      </c>
      <c r="BC1369" s="25">
        <v>1</v>
      </c>
      <c r="BD1369" s="25">
        <v>1</v>
      </c>
    </row>
    <row r="1370" spans="27:56" x14ac:dyDescent="0.25">
      <c r="AA1370" s="68" t="str">
        <f t="shared" si="85"/>
        <v>Fotos\\.jpg</v>
      </c>
      <c r="AB1370" s="53">
        <f t="shared" si="86"/>
        <v>7.2992700729927003E-4</v>
      </c>
      <c r="AC1370" s="25">
        <f t="shared" si="87"/>
        <v>1370</v>
      </c>
      <c r="AD1370" s="51">
        <f t="shared" si="88"/>
        <v>1</v>
      </c>
      <c r="AE1370" s="25">
        <v>1</v>
      </c>
      <c r="AF1370" s="25">
        <v>1</v>
      </c>
      <c r="AG1370" s="25">
        <v>1</v>
      </c>
      <c r="AH1370" s="25">
        <v>1</v>
      </c>
      <c r="AI1370" s="25">
        <f>IF(OR(Apresentação!$E$3='Base de Dados e filtragem'!AI$2,Apresentação!$E$3='Base de Dados e filtragem'!E1370),1,0)</f>
        <v>1</v>
      </c>
      <c r="AJ1370" s="25">
        <f>IF(OR(Apresentação!$E$4='Base de Dados e filtragem'!AJ$2,Apresentação!$E$4='Base de Dados e filtragem'!F1370),1,0)</f>
        <v>1</v>
      </c>
      <c r="AK1370" s="25">
        <f>IF(OR(Apresentação!$E$5='Base de Dados e filtragem'!AK$2,Apresentação!$E$5='Base de Dados e filtragem'!G1370),1,0)</f>
        <v>1</v>
      </c>
      <c r="AL1370" s="25">
        <f>IF(OR(Apresentação!$E$6='Base de Dados e filtragem'!AL$2,Apresentação!$E$6='Base de Dados e filtragem'!H1370),1,0)</f>
        <v>1</v>
      </c>
      <c r="AM1370" s="25">
        <f>IF(OR(Apresentação!$I$2='Base de Dados e filtragem'!AM$2,Apresentação!$I$2='Base de Dados e filtragem'!I1370),1,0)</f>
        <v>1</v>
      </c>
      <c r="AN1370" s="25">
        <f>IF(OR(Apresentação!$I$3='Base de Dados e filtragem'!AN$2,Apresentação!$I$3='Base de Dados e filtragem'!J1370),1,0)</f>
        <v>1</v>
      </c>
      <c r="AO1370" s="25">
        <f>IF(OR(Apresentação!$I$4='Base de Dados e filtragem'!AO$2,Apresentação!$I$4='Base de Dados e filtragem'!K1370),1,0)</f>
        <v>1</v>
      </c>
      <c r="AP1370" s="25">
        <f>IF(OR(Apresentação!$I$5='Base de Dados e filtragem'!AP$2,Apresentação!$I$5='Base de Dados e filtragem'!L1370),1,0)</f>
        <v>1</v>
      </c>
      <c r="AQ1370" s="25">
        <f>IF(OR(Apresentação!$I$6='Base de Dados e filtragem'!AQ$2,Apresentação!$I$6='Base de Dados e filtragem'!M1370),1,0)</f>
        <v>1</v>
      </c>
      <c r="AR1370" s="25">
        <v>1</v>
      </c>
      <c r="AS1370" s="25">
        <v>1</v>
      </c>
      <c r="AT1370" s="25">
        <v>1</v>
      </c>
      <c r="AU1370" s="25">
        <v>1</v>
      </c>
      <c r="AV1370" s="25">
        <v>1</v>
      </c>
      <c r="AW1370" s="25">
        <v>1</v>
      </c>
      <c r="AX1370" s="25">
        <v>1</v>
      </c>
      <c r="AY1370" s="25">
        <v>1</v>
      </c>
      <c r="AZ1370" s="25">
        <v>1</v>
      </c>
      <c r="BA1370" s="25">
        <v>1</v>
      </c>
      <c r="BB1370" s="25">
        <v>1</v>
      </c>
      <c r="BC1370" s="25">
        <v>1</v>
      </c>
      <c r="BD1370" s="25">
        <v>1</v>
      </c>
    </row>
    <row r="1371" spans="27:56" x14ac:dyDescent="0.25">
      <c r="AA1371" s="68" t="str">
        <f t="shared" si="85"/>
        <v>Fotos\\.jpg</v>
      </c>
      <c r="AB1371" s="53">
        <f t="shared" si="86"/>
        <v>7.2939460247994166E-4</v>
      </c>
      <c r="AC1371" s="25">
        <f t="shared" si="87"/>
        <v>1371</v>
      </c>
      <c r="AD1371" s="51">
        <f t="shared" si="88"/>
        <v>1</v>
      </c>
      <c r="AE1371" s="25">
        <v>1</v>
      </c>
      <c r="AF1371" s="25">
        <v>1</v>
      </c>
      <c r="AG1371" s="25">
        <v>1</v>
      </c>
      <c r="AH1371" s="25">
        <v>1</v>
      </c>
      <c r="AI1371" s="25">
        <f>IF(OR(Apresentação!$E$3='Base de Dados e filtragem'!AI$2,Apresentação!$E$3='Base de Dados e filtragem'!E1371),1,0)</f>
        <v>1</v>
      </c>
      <c r="AJ1371" s="25">
        <f>IF(OR(Apresentação!$E$4='Base de Dados e filtragem'!AJ$2,Apresentação!$E$4='Base de Dados e filtragem'!F1371),1,0)</f>
        <v>1</v>
      </c>
      <c r="AK1371" s="25">
        <f>IF(OR(Apresentação!$E$5='Base de Dados e filtragem'!AK$2,Apresentação!$E$5='Base de Dados e filtragem'!G1371),1,0)</f>
        <v>1</v>
      </c>
      <c r="AL1371" s="25">
        <f>IF(OR(Apresentação!$E$6='Base de Dados e filtragem'!AL$2,Apresentação!$E$6='Base de Dados e filtragem'!H1371),1,0)</f>
        <v>1</v>
      </c>
      <c r="AM1371" s="25">
        <f>IF(OR(Apresentação!$I$2='Base de Dados e filtragem'!AM$2,Apresentação!$I$2='Base de Dados e filtragem'!I1371),1,0)</f>
        <v>1</v>
      </c>
      <c r="AN1371" s="25">
        <f>IF(OR(Apresentação!$I$3='Base de Dados e filtragem'!AN$2,Apresentação!$I$3='Base de Dados e filtragem'!J1371),1,0)</f>
        <v>1</v>
      </c>
      <c r="AO1371" s="25">
        <f>IF(OR(Apresentação!$I$4='Base de Dados e filtragem'!AO$2,Apresentação!$I$4='Base de Dados e filtragem'!K1371),1,0)</f>
        <v>1</v>
      </c>
      <c r="AP1371" s="25">
        <f>IF(OR(Apresentação!$I$5='Base de Dados e filtragem'!AP$2,Apresentação!$I$5='Base de Dados e filtragem'!L1371),1,0)</f>
        <v>1</v>
      </c>
      <c r="AQ1371" s="25">
        <f>IF(OR(Apresentação!$I$6='Base de Dados e filtragem'!AQ$2,Apresentação!$I$6='Base de Dados e filtragem'!M1371),1,0)</f>
        <v>1</v>
      </c>
      <c r="AR1371" s="25">
        <v>1</v>
      </c>
      <c r="AS1371" s="25">
        <v>1</v>
      </c>
      <c r="AT1371" s="25">
        <v>1</v>
      </c>
      <c r="AU1371" s="25">
        <v>1</v>
      </c>
      <c r="AV1371" s="25">
        <v>1</v>
      </c>
      <c r="AW1371" s="25">
        <v>1</v>
      </c>
      <c r="AX1371" s="25">
        <v>1</v>
      </c>
      <c r="AY1371" s="25">
        <v>1</v>
      </c>
      <c r="AZ1371" s="25">
        <v>1</v>
      </c>
      <c r="BA1371" s="25">
        <v>1</v>
      </c>
      <c r="BB1371" s="25">
        <v>1</v>
      </c>
      <c r="BC1371" s="25">
        <v>1</v>
      </c>
      <c r="BD1371" s="25">
        <v>1</v>
      </c>
    </row>
    <row r="1372" spans="27:56" x14ac:dyDescent="0.25">
      <c r="AA1372" s="68" t="str">
        <f t="shared" si="85"/>
        <v>Fotos\\.jpg</v>
      </c>
      <c r="AB1372" s="53">
        <f t="shared" si="86"/>
        <v>7.2886297376093293E-4</v>
      </c>
      <c r="AC1372" s="25">
        <f t="shared" si="87"/>
        <v>1372</v>
      </c>
      <c r="AD1372" s="51">
        <f t="shared" si="88"/>
        <v>1</v>
      </c>
      <c r="AE1372" s="25">
        <v>1</v>
      </c>
      <c r="AF1372" s="25">
        <v>1</v>
      </c>
      <c r="AG1372" s="25">
        <v>1</v>
      </c>
      <c r="AH1372" s="25">
        <v>1</v>
      </c>
      <c r="AI1372" s="25">
        <f>IF(OR(Apresentação!$E$3='Base de Dados e filtragem'!AI$2,Apresentação!$E$3='Base de Dados e filtragem'!E1372),1,0)</f>
        <v>1</v>
      </c>
      <c r="AJ1372" s="25">
        <f>IF(OR(Apresentação!$E$4='Base de Dados e filtragem'!AJ$2,Apresentação!$E$4='Base de Dados e filtragem'!F1372),1,0)</f>
        <v>1</v>
      </c>
      <c r="AK1372" s="25">
        <f>IF(OR(Apresentação!$E$5='Base de Dados e filtragem'!AK$2,Apresentação!$E$5='Base de Dados e filtragem'!G1372),1,0)</f>
        <v>1</v>
      </c>
      <c r="AL1372" s="25">
        <f>IF(OR(Apresentação!$E$6='Base de Dados e filtragem'!AL$2,Apresentação!$E$6='Base de Dados e filtragem'!H1372),1,0)</f>
        <v>1</v>
      </c>
      <c r="AM1372" s="25">
        <f>IF(OR(Apresentação!$I$2='Base de Dados e filtragem'!AM$2,Apresentação!$I$2='Base de Dados e filtragem'!I1372),1,0)</f>
        <v>1</v>
      </c>
      <c r="AN1372" s="25">
        <f>IF(OR(Apresentação!$I$3='Base de Dados e filtragem'!AN$2,Apresentação!$I$3='Base de Dados e filtragem'!J1372),1,0)</f>
        <v>1</v>
      </c>
      <c r="AO1372" s="25">
        <f>IF(OR(Apresentação!$I$4='Base de Dados e filtragem'!AO$2,Apresentação!$I$4='Base de Dados e filtragem'!K1372),1,0)</f>
        <v>1</v>
      </c>
      <c r="AP1372" s="25">
        <f>IF(OR(Apresentação!$I$5='Base de Dados e filtragem'!AP$2,Apresentação!$I$5='Base de Dados e filtragem'!L1372),1,0)</f>
        <v>1</v>
      </c>
      <c r="AQ1372" s="25">
        <f>IF(OR(Apresentação!$I$6='Base de Dados e filtragem'!AQ$2,Apresentação!$I$6='Base de Dados e filtragem'!M1372),1,0)</f>
        <v>1</v>
      </c>
      <c r="AR1372" s="25">
        <v>1</v>
      </c>
      <c r="AS1372" s="25">
        <v>1</v>
      </c>
      <c r="AT1372" s="25">
        <v>1</v>
      </c>
      <c r="AU1372" s="25">
        <v>1</v>
      </c>
      <c r="AV1372" s="25">
        <v>1</v>
      </c>
      <c r="AW1372" s="25">
        <v>1</v>
      </c>
      <c r="AX1372" s="25">
        <v>1</v>
      </c>
      <c r="AY1372" s="25">
        <v>1</v>
      </c>
      <c r="AZ1372" s="25">
        <v>1</v>
      </c>
      <c r="BA1372" s="25">
        <v>1</v>
      </c>
      <c r="BB1372" s="25">
        <v>1</v>
      </c>
      <c r="BC1372" s="25">
        <v>1</v>
      </c>
      <c r="BD1372" s="25">
        <v>1</v>
      </c>
    </row>
    <row r="1373" spans="27:56" x14ac:dyDescent="0.25">
      <c r="AA1373" s="68" t="str">
        <f t="shared" si="85"/>
        <v>Fotos\\.jpg</v>
      </c>
      <c r="AB1373" s="53">
        <f t="shared" si="86"/>
        <v>7.2833211944646763E-4</v>
      </c>
      <c r="AC1373" s="25">
        <f t="shared" si="87"/>
        <v>1373</v>
      </c>
      <c r="AD1373" s="51">
        <f t="shared" si="88"/>
        <v>1</v>
      </c>
      <c r="AE1373" s="25">
        <v>1</v>
      </c>
      <c r="AF1373" s="25">
        <v>1</v>
      </c>
      <c r="AG1373" s="25">
        <v>1</v>
      </c>
      <c r="AH1373" s="25">
        <v>1</v>
      </c>
      <c r="AI1373" s="25">
        <f>IF(OR(Apresentação!$E$3='Base de Dados e filtragem'!AI$2,Apresentação!$E$3='Base de Dados e filtragem'!E1373),1,0)</f>
        <v>1</v>
      </c>
      <c r="AJ1373" s="25">
        <f>IF(OR(Apresentação!$E$4='Base de Dados e filtragem'!AJ$2,Apresentação!$E$4='Base de Dados e filtragem'!F1373),1,0)</f>
        <v>1</v>
      </c>
      <c r="AK1373" s="25">
        <f>IF(OR(Apresentação!$E$5='Base de Dados e filtragem'!AK$2,Apresentação!$E$5='Base de Dados e filtragem'!G1373),1,0)</f>
        <v>1</v>
      </c>
      <c r="AL1373" s="25">
        <f>IF(OR(Apresentação!$E$6='Base de Dados e filtragem'!AL$2,Apresentação!$E$6='Base de Dados e filtragem'!H1373),1,0)</f>
        <v>1</v>
      </c>
      <c r="AM1373" s="25">
        <f>IF(OR(Apresentação!$I$2='Base de Dados e filtragem'!AM$2,Apresentação!$I$2='Base de Dados e filtragem'!I1373),1,0)</f>
        <v>1</v>
      </c>
      <c r="AN1373" s="25">
        <f>IF(OR(Apresentação!$I$3='Base de Dados e filtragem'!AN$2,Apresentação!$I$3='Base de Dados e filtragem'!J1373),1,0)</f>
        <v>1</v>
      </c>
      <c r="AO1373" s="25">
        <f>IF(OR(Apresentação!$I$4='Base de Dados e filtragem'!AO$2,Apresentação!$I$4='Base de Dados e filtragem'!K1373),1,0)</f>
        <v>1</v>
      </c>
      <c r="AP1373" s="25">
        <f>IF(OR(Apresentação!$I$5='Base de Dados e filtragem'!AP$2,Apresentação!$I$5='Base de Dados e filtragem'!L1373),1,0)</f>
        <v>1</v>
      </c>
      <c r="AQ1373" s="25">
        <f>IF(OR(Apresentação!$I$6='Base de Dados e filtragem'!AQ$2,Apresentação!$I$6='Base de Dados e filtragem'!M1373),1,0)</f>
        <v>1</v>
      </c>
      <c r="AR1373" s="25">
        <v>1</v>
      </c>
      <c r="AS1373" s="25">
        <v>1</v>
      </c>
      <c r="AT1373" s="25">
        <v>1</v>
      </c>
      <c r="AU1373" s="25">
        <v>1</v>
      </c>
      <c r="AV1373" s="25">
        <v>1</v>
      </c>
      <c r="AW1373" s="25">
        <v>1</v>
      </c>
      <c r="AX1373" s="25">
        <v>1</v>
      </c>
      <c r="AY1373" s="25">
        <v>1</v>
      </c>
      <c r="AZ1373" s="25">
        <v>1</v>
      </c>
      <c r="BA1373" s="25">
        <v>1</v>
      </c>
      <c r="BB1373" s="25">
        <v>1</v>
      </c>
      <c r="BC1373" s="25">
        <v>1</v>
      </c>
      <c r="BD1373" s="25">
        <v>1</v>
      </c>
    </row>
    <row r="1374" spans="27:56" x14ac:dyDescent="0.25">
      <c r="AA1374" s="68" t="str">
        <f t="shared" si="85"/>
        <v>Fotos\\.jpg</v>
      </c>
      <c r="AB1374" s="53">
        <f t="shared" si="86"/>
        <v>7.27802037845706E-4</v>
      </c>
      <c r="AC1374" s="25">
        <f t="shared" si="87"/>
        <v>1374</v>
      </c>
      <c r="AD1374" s="51">
        <f t="shared" si="88"/>
        <v>1</v>
      </c>
      <c r="AE1374" s="25">
        <v>1</v>
      </c>
      <c r="AF1374" s="25">
        <v>1</v>
      </c>
      <c r="AG1374" s="25">
        <v>1</v>
      </c>
      <c r="AH1374" s="25">
        <v>1</v>
      </c>
      <c r="AI1374" s="25">
        <f>IF(OR(Apresentação!$E$3='Base de Dados e filtragem'!AI$2,Apresentação!$E$3='Base de Dados e filtragem'!E1374),1,0)</f>
        <v>1</v>
      </c>
      <c r="AJ1374" s="25">
        <f>IF(OR(Apresentação!$E$4='Base de Dados e filtragem'!AJ$2,Apresentação!$E$4='Base de Dados e filtragem'!F1374),1,0)</f>
        <v>1</v>
      </c>
      <c r="AK1374" s="25">
        <f>IF(OR(Apresentação!$E$5='Base de Dados e filtragem'!AK$2,Apresentação!$E$5='Base de Dados e filtragem'!G1374),1,0)</f>
        <v>1</v>
      </c>
      <c r="AL1374" s="25">
        <f>IF(OR(Apresentação!$E$6='Base de Dados e filtragem'!AL$2,Apresentação!$E$6='Base de Dados e filtragem'!H1374),1,0)</f>
        <v>1</v>
      </c>
      <c r="AM1374" s="25">
        <f>IF(OR(Apresentação!$I$2='Base de Dados e filtragem'!AM$2,Apresentação!$I$2='Base de Dados e filtragem'!I1374),1,0)</f>
        <v>1</v>
      </c>
      <c r="AN1374" s="25">
        <f>IF(OR(Apresentação!$I$3='Base de Dados e filtragem'!AN$2,Apresentação!$I$3='Base de Dados e filtragem'!J1374),1,0)</f>
        <v>1</v>
      </c>
      <c r="AO1374" s="25">
        <f>IF(OR(Apresentação!$I$4='Base de Dados e filtragem'!AO$2,Apresentação!$I$4='Base de Dados e filtragem'!K1374),1,0)</f>
        <v>1</v>
      </c>
      <c r="AP1374" s="25">
        <f>IF(OR(Apresentação!$I$5='Base de Dados e filtragem'!AP$2,Apresentação!$I$5='Base de Dados e filtragem'!L1374),1,0)</f>
        <v>1</v>
      </c>
      <c r="AQ1374" s="25">
        <f>IF(OR(Apresentação!$I$6='Base de Dados e filtragem'!AQ$2,Apresentação!$I$6='Base de Dados e filtragem'!M1374),1,0)</f>
        <v>1</v>
      </c>
      <c r="AR1374" s="25">
        <v>1</v>
      </c>
      <c r="AS1374" s="25">
        <v>1</v>
      </c>
      <c r="AT1374" s="25">
        <v>1</v>
      </c>
      <c r="AU1374" s="25">
        <v>1</v>
      </c>
      <c r="AV1374" s="25">
        <v>1</v>
      </c>
      <c r="AW1374" s="25">
        <v>1</v>
      </c>
      <c r="AX1374" s="25">
        <v>1</v>
      </c>
      <c r="AY1374" s="25">
        <v>1</v>
      </c>
      <c r="AZ1374" s="25">
        <v>1</v>
      </c>
      <c r="BA1374" s="25">
        <v>1</v>
      </c>
      <c r="BB1374" s="25">
        <v>1</v>
      </c>
      <c r="BC1374" s="25">
        <v>1</v>
      </c>
      <c r="BD1374" s="25">
        <v>1</v>
      </c>
    </row>
    <row r="1375" spans="27:56" x14ac:dyDescent="0.25">
      <c r="AA1375" s="68" t="str">
        <f t="shared" si="85"/>
        <v>Fotos\\.jpg</v>
      </c>
      <c r="AB1375" s="53">
        <f t="shared" si="86"/>
        <v>7.2727272727272723E-4</v>
      </c>
      <c r="AC1375" s="25">
        <f t="shared" si="87"/>
        <v>1375</v>
      </c>
      <c r="AD1375" s="51">
        <f t="shared" si="88"/>
        <v>1</v>
      </c>
      <c r="AE1375" s="25">
        <v>1</v>
      </c>
      <c r="AF1375" s="25">
        <v>1</v>
      </c>
      <c r="AG1375" s="25">
        <v>1</v>
      </c>
      <c r="AH1375" s="25">
        <v>1</v>
      </c>
      <c r="AI1375" s="25">
        <f>IF(OR(Apresentação!$E$3='Base de Dados e filtragem'!AI$2,Apresentação!$E$3='Base de Dados e filtragem'!E1375),1,0)</f>
        <v>1</v>
      </c>
      <c r="AJ1375" s="25">
        <f>IF(OR(Apresentação!$E$4='Base de Dados e filtragem'!AJ$2,Apresentação!$E$4='Base de Dados e filtragem'!F1375),1,0)</f>
        <v>1</v>
      </c>
      <c r="AK1375" s="25">
        <f>IF(OR(Apresentação!$E$5='Base de Dados e filtragem'!AK$2,Apresentação!$E$5='Base de Dados e filtragem'!G1375),1,0)</f>
        <v>1</v>
      </c>
      <c r="AL1375" s="25">
        <f>IF(OR(Apresentação!$E$6='Base de Dados e filtragem'!AL$2,Apresentação!$E$6='Base de Dados e filtragem'!H1375),1,0)</f>
        <v>1</v>
      </c>
      <c r="AM1375" s="25">
        <f>IF(OR(Apresentação!$I$2='Base de Dados e filtragem'!AM$2,Apresentação!$I$2='Base de Dados e filtragem'!I1375),1,0)</f>
        <v>1</v>
      </c>
      <c r="AN1375" s="25">
        <f>IF(OR(Apresentação!$I$3='Base de Dados e filtragem'!AN$2,Apresentação!$I$3='Base de Dados e filtragem'!J1375),1,0)</f>
        <v>1</v>
      </c>
      <c r="AO1375" s="25">
        <f>IF(OR(Apresentação!$I$4='Base de Dados e filtragem'!AO$2,Apresentação!$I$4='Base de Dados e filtragem'!K1375),1,0)</f>
        <v>1</v>
      </c>
      <c r="AP1375" s="25">
        <f>IF(OR(Apresentação!$I$5='Base de Dados e filtragem'!AP$2,Apresentação!$I$5='Base de Dados e filtragem'!L1375),1,0)</f>
        <v>1</v>
      </c>
      <c r="AQ1375" s="25">
        <f>IF(OR(Apresentação!$I$6='Base de Dados e filtragem'!AQ$2,Apresentação!$I$6='Base de Dados e filtragem'!M1375),1,0)</f>
        <v>1</v>
      </c>
      <c r="AR1375" s="25">
        <v>1</v>
      </c>
      <c r="AS1375" s="25">
        <v>1</v>
      </c>
      <c r="AT1375" s="25">
        <v>1</v>
      </c>
      <c r="AU1375" s="25">
        <v>1</v>
      </c>
      <c r="AV1375" s="25">
        <v>1</v>
      </c>
      <c r="AW1375" s="25">
        <v>1</v>
      </c>
      <c r="AX1375" s="25">
        <v>1</v>
      </c>
      <c r="AY1375" s="25">
        <v>1</v>
      </c>
      <c r="AZ1375" s="25">
        <v>1</v>
      </c>
      <c r="BA1375" s="25">
        <v>1</v>
      </c>
      <c r="BB1375" s="25">
        <v>1</v>
      </c>
      <c r="BC1375" s="25">
        <v>1</v>
      </c>
      <c r="BD1375" s="25">
        <v>1</v>
      </c>
    </row>
    <row r="1376" spans="27:56" x14ac:dyDescent="0.25">
      <c r="AA1376" s="68" t="str">
        <f t="shared" si="85"/>
        <v>Fotos\\.jpg</v>
      </c>
      <c r="AB1376" s="53">
        <f t="shared" si="86"/>
        <v>7.2674418604651162E-4</v>
      </c>
      <c r="AC1376" s="25">
        <f t="shared" si="87"/>
        <v>1376</v>
      </c>
      <c r="AD1376" s="51">
        <f t="shared" si="88"/>
        <v>1</v>
      </c>
      <c r="AE1376" s="25">
        <v>1</v>
      </c>
      <c r="AF1376" s="25">
        <v>1</v>
      </c>
      <c r="AG1376" s="25">
        <v>1</v>
      </c>
      <c r="AH1376" s="25">
        <v>1</v>
      </c>
      <c r="AI1376" s="25">
        <f>IF(OR(Apresentação!$E$3='Base de Dados e filtragem'!AI$2,Apresentação!$E$3='Base de Dados e filtragem'!E1376),1,0)</f>
        <v>1</v>
      </c>
      <c r="AJ1376" s="25">
        <f>IF(OR(Apresentação!$E$4='Base de Dados e filtragem'!AJ$2,Apresentação!$E$4='Base de Dados e filtragem'!F1376),1,0)</f>
        <v>1</v>
      </c>
      <c r="AK1376" s="25">
        <f>IF(OR(Apresentação!$E$5='Base de Dados e filtragem'!AK$2,Apresentação!$E$5='Base de Dados e filtragem'!G1376),1,0)</f>
        <v>1</v>
      </c>
      <c r="AL1376" s="25">
        <f>IF(OR(Apresentação!$E$6='Base de Dados e filtragem'!AL$2,Apresentação!$E$6='Base de Dados e filtragem'!H1376),1,0)</f>
        <v>1</v>
      </c>
      <c r="AM1376" s="25">
        <f>IF(OR(Apresentação!$I$2='Base de Dados e filtragem'!AM$2,Apresentação!$I$2='Base de Dados e filtragem'!I1376),1,0)</f>
        <v>1</v>
      </c>
      <c r="AN1376" s="25">
        <f>IF(OR(Apresentação!$I$3='Base de Dados e filtragem'!AN$2,Apresentação!$I$3='Base de Dados e filtragem'!J1376),1,0)</f>
        <v>1</v>
      </c>
      <c r="AO1376" s="25">
        <f>IF(OR(Apresentação!$I$4='Base de Dados e filtragem'!AO$2,Apresentação!$I$4='Base de Dados e filtragem'!K1376),1,0)</f>
        <v>1</v>
      </c>
      <c r="AP1376" s="25">
        <f>IF(OR(Apresentação!$I$5='Base de Dados e filtragem'!AP$2,Apresentação!$I$5='Base de Dados e filtragem'!L1376),1,0)</f>
        <v>1</v>
      </c>
      <c r="AQ1376" s="25">
        <f>IF(OR(Apresentação!$I$6='Base de Dados e filtragem'!AQ$2,Apresentação!$I$6='Base de Dados e filtragem'!M1376),1,0)</f>
        <v>1</v>
      </c>
      <c r="AR1376" s="25">
        <v>1</v>
      </c>
      <c r="AS1376" s="25">
        <v>1</v>
      </c>
      <c r="AT1376" s="25">
        <v>1</v>
      </c>
      <c r="AU1376" s="25">
        <v>1</v>
      </c>
      <c r="AV1376" s="25">
        <v>1</v>
      </c>
      <c r="AW1376" s="25">
        <v>1</v>
      </c>
      <c r="AX1376" s="25">
        <v>1</v>
      </c>
      <c r="AY1376" s="25">
        <v>1</v>
      </c>
      <c r="AZ1376" s="25">
        <v>1</v>
      </c>
      <c r="BA1376" s="25">
        <v>1</v>
      </c>
      <c r="BB1376" s="25">
        <v>1</v>
      </c>
      <c r="BC1376" s="25">
        <v>1</v>
      </c>
      <c r="BD1376" s="25">
        <v>1</v>
      </c>
    </row>
    <row r="1377" spans="27:56" x14ac:dyDescent="0.25">
      <c r="AA1377" s="68" t="str">
        <f t="shared" si="85"/>
        <v>Fotos\\.jpg</v>
      </c>
      <c r="AB1377" s="53">
        <f t="shared" si="86"/>
        <v>7.2621641249092229E-4</v>
      </c>
      <c r="AC1377" s="25">
        <f t="shared" si="87"/>
        <v>1377</v>
      </c>
      <c r="AD1377" s="51">
        <f t="shared" si="88"/>
        <v>1</v>
      </c>
      <c r="AE1377" s="25">
        <v>1</v>
      </c>
      <c r="AF1377" s="25">
        <v>1</v>
      </c>
      <c r="AG1377" s="25">
        <v>1</v>
      </c>
      <c r="AH1377" s="25">
        <v>1</v>
      </c>
      <c r="AI1377" s="25">
        <f>IF(OR(Apresentação!$E$3='Base de Dados e filtragem'!AI$2,Apresentação!$E$3='Base de Dados e filtragem'!E1377),1,0)</f>
        <v>1</v>
      </c>
      <c r="AJ1377" s="25">
        <f>IF(OR(Apresentação!$E$4='Base de Dados e filtragem'!AJ$2,Apresentação!$E$4='Base de Dados e filtragem'!F1377),1,0)</f>
        <v>1</v>
      </c>
      <c r="AK1377" s="25">
        <f>IF(OR(Apresentação!$E$5='Base de Dados e filtragem'!AK$2,Apresentação!$E$5='Base de Dados e filtragem'!G1377),1,0)</f>
        <v>1</v>
      </c>
      <c r="AL1377" s="25">
        <f>IF(OR(Apresentação!$E$6='Base de Dados e filtragem'!AL$2,Apresentação!$E$6='Base de Dados e filtragem'!H1377),1,0)</f>
        <v>1</v>
      </c>
      <c r="AM1377" s="25">
        <f>IF(OR(Apresentação!$I$2='Base de Dados e filtragem'!AM$2,Apresentação!$I$2='Base de Dados e filtragem'!I1377),1,0)</f>
        <v>1</v>
      </c>
      <c r="AN1377" s="25">
        <f>IF(OR(Apresentação!$I$3='Base de Dados e filtragem'!AN$2,Apresentação!$I$3='Base de Dados e filtragem'!J1377),1,0)</f>
        <v>1</v>
      </c>
      <c r="AO1377" s="25">
        <f>IF(OR(Apresentação!$I$4='Base de Dados e filtragem'!AO$2,Apresentação!$I$4='Base de Dados e filtragem'!K1377),1,0)</f>
        <v>1</v>
      </c>
      <c r="AP1377" s="25">
        <f>IF(OR(Apresentação!$I$5='Base de Dados e filtragem'!AP$2,Apresentação!$I$5='Base de Dados e filtragem'!L1377),1,0)</f>
        <v>1</v>
      </c>
      <c r="AQ1377" s="25">
        <f>IF(OR(Apresentação!$I$6='Base de Dados e filtragem'!AQ$2,Apresentação!$I$6='Base de Dados e filtragem'!M1377),1,0)</f>
        <v>1</v>
      </c>
      <c r="AR1377" s="25">
        <v>1</v>
      </c>
      <c r="AS1377" s="25">
        <v>1</v>
      </c>
      <c r="AT1377" s="25">
        <v>1</v>
      </c>
      <c r="AU1377" s="25">
        <v>1</v>
      </c>
      <c r="AV1377" s="25">
        <v>1</v>
      </c>
      <c r="AW1377" s="25">
        <v>1</v>
      </c>
      <c r="AX1377" s="25">
        <v>1</v>
      </c>
      <c r="AY1377" s="25">
        <v>1</v>
      </c>
      <c r="AZ1377" s="25">
        <v>1</v>
      </c>
      <c r="BA1377" s="25">
        <v>1</v>
      </c>
      <c r="BB1377" s="25">
        <v>1</v>
      </c>
      <c r="BC1377" s="25">
        <v>1</v>
      </c>
      <c r="BD1377" s="25">
        <v>1</v>
      </c>
    </row>
    <row r="1378" spans="27:56" x14ac:dyDescent="0.25">
      <c r="AA1378" s="68" t="str">
        <f t="shared" si="85"/>
        <v>Fotos\\.jpg</v>
      </c>
      <c r="AB1378" s="53">
        <f t="shared" si="86"/>
        <v>7.2568940493468795E-4</v>
      </c>
      <c r="AC1378" s="25">
        <f t="shared" si="87"/>
        <v>1378</v>
      </c>
      <c r="AD1378" s="51">
        <f t="shared" si="88"/>
        <v>1</v>
      </c>
      <c r="AE1378" s="25">
        <v>1</v>
      </c>
      <c r="AF1378" s="25">
        <v>1</v>
      </c>
      <c r="AG1378" s="25">
        <v>1</v>
      </c>
      <c r="AH1378" s="25">
        <v>1</v>
      </c>
      <c r="AI1378" s="25">
        <f>IF(OR(Apresentação!$E$3='Base de Dados e filtragem'!AI$2,Apresentação!$E$3='Base de Dados e filtragem'!E1378),1,0)</f>
        <v>1</v>
      </c>
      <c r="AJ1378" s="25">
        <f>IF(OR(Apresentação!$E$4='Base de Dados e filtragem'!AJ$2,Apresentação!$E$4='Base de Dados e filtragem'!F1378),1,0)</f>
        <v>1</v>
      </c>
      <c r="AK1378" s="25">
        <f>IF(OR(Apresentação!$E$5='Base de Dados e filtragem'!AK$2,Apresentação!$E$5='Base de Dados e filtragem'!G1378),1,0)</f>
        <v>1</v>
      </c>
      <c r="AL1378" s="25">
        <f>IF(OR(Apresentação!$E$6='Base de Dados e filtragem'!AL$2,Apresentação!$E$6='Base de Dados e filtragem'!H1378),1,0)</f>
        <v>1</v>
      </c>
      <c r="AM1378" s="25">
        <f>IF(OR(Apresentação!$I$2='Base de Dados e filtragem'!AM$2,Apresentação!$I$2='Base de Dados e filtragem'!I1378),1,0)</f>
        <v>1</v>
      </c>
      <c r="AN1378" s="25">
        <f>IF(OR(Apresentação!$I$3='Base de Dados e filtragem'!AN$2,Apresentação!$I$3='Base de Dados e filtragem'!J1378),1,0)</f>
        <v>1</v>
      </c>
      <c r="AO1378" s="25">
        <f>IF(OR(Apresentação!$I$4='Base de Dados e filtragem'!AO$2,Apresentação!$I$4='Base de Dados e filtragem'!K1378),1,0)</f>
        <v>1</v>
      </c>
      <c r="AP1378" s="25">
        <f>IF(OR(Apresentação!$I$5='Base de Dados e filtragem'!AP$2,Apresentação!$I$5='Base de Dados e filtragem'!L1378),1,0)</f>
        <v>1</v>
      </c>
      <c r="AQ1378" s="25">
        <f>IF(OR(Apresentação!$I$6='Base de Dados e filtragem'!AQ$2,Apresentação!$I$6='Base de Dados e filtragem'!M1378),1,0)</f>
        <v>1</v>
      </c>
      <c r="AR1378" s="25">
        <v>1</v>
      </c>
      <c r="AS1378" s="25">
        <v>1</v>
      </c>
      <c r="AT1378" s="25">
        <v>1</v>
      </c>
      <c r="AU1378" s="25">
        <v>1</v>
      </c>
      <c r="AV1378" s="25">
        <v>1</v>
      </c>
      <c r="AW1378" s="25">
        <v>1</v>
      </c>
      <c r="AX1378" s="25">
        <v>1</v>
      </c>
      <c r="AY1378" s="25">
        <v>1</v>
      </c>
      <c r="AZ1378" s="25">
        <v>1</v>
      </c>
      <c r="BA1378" s="25">
        <v>1</v>
      </c>
      <c r="BB1378" s="25">
        <v>1</v>
      </c>
      <c r="BC1378" s="25">
        <v>1</v>
      </c>
      <c r="BD1378" s="25">
        <v>1</v>
      </c>
    </row>
    <row r="1379" spans="27:56" x14ac:dyDescent="0.25">
      <c r="AA1379" s="68" t="str">
        <f t="shared" si="85"/>
        <v>Fotos\\.jpg</v>
      </c>
      <c r="AB1379" s="53">
        <f t="shared" si="86"/>
        <v>7.2516316171138508E-4</v>
      </c>
      <c r="AC1379" s="25">
        <f t="shared" si="87"/>
        <v>1379</v>
      </c>
      <c r="AD1379" s="51">
        <f t="shared" si="88"/>
        <v>1</v>
      </c>
      <c r="AE1379" s="25">
        <v>1</v>
      </c>
      <c r="AF1379" s="25">
        <v>1</v>
      </c>
      <c r="AG1379" s="25">
        <v>1</v>
      </c>
      <c r="AH1379" s="25">
        <v>1</v>
      </c>
      <c r="AI1379" s="25">
        <f>IF(OR(Apresentação!$E$3='Base de Dados e filtragem'!AI$2,Apresentação!$E$3='Base de Dados e filtragem'!E1379),1,0)</f>
        <v>1</v>
      </c>
      <c r="AJ1379" s="25">
        <f>IF(OR(Apresentação!$E$4='Base de Dados e filtragem'!AJ$2,Apresentação!$E$4='Base de Dados e filtragem'!F1379),1,0)</f>
        <v>1</v>
      </c>
      <c r="AK1379" s="25">
        <f>IF(OR(Apresentação!$E$5='Base de Dados e filtragem'!AK$2,Apresentação!$E$5='Base de Dados e filtragem'!G1379),1,0)</f>
        <v>1</v>
      </c>
      <c r="AL1379" s="25">
        <f>IF(OR(Apresentação!$E$6='Base de Dados e filtragem'!AL$2,Apresentação!$E$6='Base de Dados e filtragem'!H1379),1,0)</f>
        <v>1</v>
      </c>
      <c r="AM1379" s="25">
        <f>IF(OR(Apresentação!$I$2='Base de Dados e filtragem'!AM$2,Apresentação!$I$2='Base de Dados e filtragem'!I1379),1,0)</f>
        <v>1</v>
      </c>
      <c r="AN1379" s="25">
        <f>IF(OR(Apresentação!$I$3='Base de Dados e filtragem'!AN$2,Apresentação!$I$3='Base de Dados e filtragem'!J1379),1,0)</f>
        <v>1</v>
      </c>
      <c r="AO1379" s="25">
        <f>IF(OR(Apresentação!$I$4='Base de Dados e filtragem'!AO$2,Apresentação!$I$4='Base de Dados e filtragem'!K1379),1,0)</f>
        <v>1</v>
      </c>
      <c r="AP1379" s="25">
        <f>IF(OR(Apresentação!$I$5='Base de Dados e filtragem'!AP$2,Apresentação!$I$5='Base de Dados e filtragem'!L1379),1,0)</f>
        <v>1</v>
      </c>
      <c r="AQ1379" s="25">
        <f>IF(OR(Apresentação!$I$6='Base de Dados e filtragem'!AQ$2,Apresentação!$I$6='Base de Dados e filtragem'!M1379),1,0)</f>
        <v>1</v>
      </c>
      <c r="AR1379" s="25">
        <v>1</v>
      </c>
      <c r="AS1379" s="25">
        <v>1</v>
      </c>
      <c r="AT1379" s="25">
        <v>1</v>
      </c>
      <c r="AU1379" s="25">
        <v>1</v>
      </c>
      <c r="AV1379" s="25">
        <v>1</v>
      </c>
      <c r="AW1379" s="25">
        <v>1</v>
      </c>
      <c r="AX1379" s="25">
        <v>1</v>
      </c>
      <c r="AY1379" s="25">
        <v>1</v>
      </c>
      <c r="AZ1379" s="25">
        <v>1</v>
      </c>
      <c r="BA1379" s="25">
        <v>1</v>
      </c>
      <c r="BB1379" s="25">
        <v>1</v>
      </c>
      <c r="BC1379" s="25">
        <v>1</v>
      </c>
      <c r="BD1379" s="25">
        <v>1</v>
      </c>
    </row>
    <row r="1380" spans="27:56" x14ac:dyDescent="0.25">
      <c r="AA1380" s="68" t="str">
        <f t="shared" si="85"/>
        <v>Fotos\\.jpg</v>
      </c>
      <c r="AB1380" s="53">
        <f t="shared" si="86"/>
        <v>7.246376811594203E-4</v>
      </c>
      <c r="AC1380" s="25">
        <f t="shared" si="87"/>
        <v>1380</v>
      </c>
      <c r="AD1380" s="51">
        <f t="shared" si="88"/>
        <v>1</v>
      </c>
      <c r="AE1380" s="25">
        <v>1</v>
      </c>
      <c r="AF1380" s="25">
        <v>1</v>
      </c>
      <c r="AG1380" s="25">
        <v>1</v>
      </c>
      <c r="AH1380" s="25">
        <v>1</v>
      </c>
      <c r="AI1380" s="25">
        <f>IF(OR(Apresentação!$E$3='Base de Dados e filtragem'!AI$2,Apresentação!$E$3='Base de Dados e filtragem'!E1380),1,0)</f>
        <v>1</v>
      </c>
      <c r="AJ1380" s="25">
        <f>IF(OR(Apresentação!$E$4='Base de Dados e filtragem'!AJ$2,Apresentação!$E$4='Base de Dados e filtragem'!F1380),1,0)</f>
        <v>1</v>
      </c>
      <c r="AK1380" s="25">
        <f>IF(OR(Apresentação!$E$5='Base de Dados e filtragem'!AK$2,Apresentação!$E$5='Base de Dados e filtragem'!G1380),1,0)</f>
        <v>1</v>
      </c>
      <c r="AL1380" s="25">
        <f>IF(OR(Apresentação!$E$6='Base de Dados e filtragem'!AL$2,Apresentação!$E$6='Base de Dados e filtragem'!H1380),1,0)</f>
        <v>1</v>
      </c>
      <c r="AM1380" s="25">
        <f>IF(OR(Apresentação!$I$2='Base de Dados e filtragem'!AM$2,Apresentação!$I$2='Base de Dados e filtragem'!I1380),1,0)</f>
        <v>1</v>
      </c>
      <c r="AN1380" s="25">
        <f>IF(OR(Apresentação!$I$3='Base de Dados e filtragem'!AN$2,Apresentação!$I$3='Base de Dados e filtragem'!J1380),1,0)</f>
        <v>1</v>
      </c>
      <c r="AO1380" s="25">
        <f>IF(OR(Apresentação!$I$4='Base de Dados e filtragem'!AO$2,Apresentação!$I$4='Base de Dados e filtragem'!K1380),1,0)</f>
        <v>1</v>
      </c>
      <c r="AP1380" s="25">
        <f>IF(OR(Apresentação!$I$5='Base de Dados e filtragem'!AP$2,Apresentação!$I$5='Base de Dados e filtragem'!L1380),1,0)</f>
        <v>1</v>
      </c>
      <c r="AQ1380" s="25">
        <f>IF(OR(Apresentação!$I$6='Base de Dados e filtragem'!AQ$2,Apresentação!$I$6='Base de Dados e filtragem'!M1380),1,0)</f>
        <v>1</v>
      </c>
      <c r="AR1380" s="25">
        <v>1</v>
      </c>
      <c r="AS1380" s="25">
        <v>1</v>
      </c>
      <c r="AT1380" s="25">
        <v>1</v>
      </c>
      <c r="AU1380" s="25">
        <v>1</v>
      </c>
      <c r="AV1380" s="25">
        <v>1</v>
      </c>
      <c r="AW1380" s="25">
        <v>1</v>
      </c>
      <c r="AX1380" s="25">
        <v>1</v>
      </c>
      <c r="AY1380" s="25">
        <v>1</v>
      </c>
      <c r="AZ1380" s="25">
        <v>1</v>
      </c>
      <c r="BA1380" s="25">
        <v>1</v>
      </c>
      <c r="BB1380" s="25">
        <v>1</v>
      </c>
      <c r="BC1380" s="25">
        <v>1</v>
      </c>
      <c r="BD1380" s="25">
        <v>1</v>
      </c>
    </row>
    <row r="1381" spans="27:56" x14ac:dyDescent="0.25">
      <c r="AA1381" s="68" t="str">
        <f t="shared" si="85"/>
        <v>Fotos\\.jpg</v>
      </c>
      <c r="AB1381" s="53">
        <f t="shared" si="86"/>
        <v>7.2411296162201298E-4</v>
      </c>
      <c r="AC1381" s="25">
        <f t="shared" si="87"/>
        <v>1381</v>
      </c>
      <c r="AD1381" s="51">
        <f t="shared" si="88"/>
        <v>1</v>
      </c>
      <c r="AE1381" s="25">
        <v>1</v>
      </c>
      <c r="AF1381" s="25">
        <v>1</v>
      </c>
      <c r="AG1381" s="25">
        <v>1</v>
      </c>
      <c r="AH1381" s="25">
        <v>1</v>
      </c>
      <c r="AI1381" s="25">
        <f>IF(OR(Apresentação!$E$3='Base de Dados e filtragem'!AI$2,Apresentação!$E$3='Base de Dados e filtragem'!E1381),1,0)</f>
        <v>1</v>
      </c>
      <c r="AJ1381" s="25">
        <f>IF(OR(Apresentação!$E$4='Base de Dados e filtragem'!AJ$2,Apresentação!$E$4='Base de Dados e filtragem'!F1381),1,0)</f>
        <v>1</v>
      </c>
      <c r="AK1381" s="25">
        <f>IF(OR(Apresentação!$E$5='Base de Dados e filtragem'!AK$2,Apresentação!$E$5='Base de Dados e filtragem'!G1381),1,0)</f>
        <v>1</v>
      </c>
      <c r="AL1381" s="25">
        <f>IF(OR(Apresentação!$E$6='Base de Dados e filtragem'!AL$2,Apresentação!$E$6='Base de Dados e filtragem'!H1381),1,0)</f>
        <v>1</v>
      </c>
      <c r="AM1381" s="25">
        <f>IF(OR(Apresentação!$I$2='Base de Dados e filtragem'!AM$2,Apresentação!$I$2='Base de Dados e filtragem'!I1381),1,0)</f>
        <v>1</v>
      </c>
      <c r="AN1381" s="25">
        <f>IF(OR(Apresentação!$I$3='Base de Dados e filtragem'!AN$2,Apresentação!$I$3='Base de Dados e filtragem'!J1381),1,0)</f>
        <v>1</v>
      </c>
      <c r="AO1381" s="25">
        <f>IF(OR(Apresentação!$I$4='Base de Dados e filtragem'!AO$2,Apresentação!$I$4='Base de Dados e filtragem'!K1381),1,0)</f>
        <v>1</v>
      </c>
      <c r="AP1381" s="25">
        <f>IF(OR(Apresentação!$I$5='Base de Dados e filtragem'!AP$2,Apresentação!$I$5='Base de Dados e filtragem'!L1381),1,0)</f>
        <v>1</v>
      </c>
      <c r="AQ1381" s="25">
        <f>IF(OR(Apresentação!$I$6='Base de Dados e filtragem'!AQ$2,Apresentação!$I$6='Base de Dados e filtragem'!M1381),1,0)</f>
        <v>1</v>
      </c>
      <c r="AR1381" s="25">
        <v>1</v>
      </c>
      <c r="AS1381" s="25">
        <v>1</v>
      </c>
      <c r="AT1381" s="25">
        <v>1</v>
      </c>
      <c r="AU1381" s="25">
        <v>1</v>
      </c>
      <c r="AV1381" s="25">
        <v>1</v>
      </c>
      <c r="AW1381" s="25">
        <v>1</v>
      </c>
      <c r="AX1381" s="25">
        <v>1</v>
      </c>
      <c r="AY1381" s="25">
        <v>1</v>
      </c>
      <c r="AZ1381" s="25">
        <v>1</v>
      </c>
      <c r="BA1381" s="25">
        <v>1</v>
      </c>
      <c r="BB1381" s="25">
        <v>1</v>
      </c>
      <c r="BC1381" s="25">
        <v>1</v>
      </c>
      <c r="BD1381" s="25">
        <v>1</v>
      </c>
    </row>
    <row r="1382" spans="27:56" x14ac:dyDescent="0.25">
      <c r="AA1382" s="68" t="str">
        <f t="shared" si="85"/>
        <v>Fotos\\.jpg</v>
      </c>
      <c r="AB1382" s="53">
        <f t="shared" si="86"/>
        <v>7.2358900144717795E-4</v>
      </c>
      <c r="AC1382" s="25">
        <f t="shared" si="87"/>
        <v>1382</v>
      </c>
      <c r="AD1382" s="51">
        <f t="shared" si="88"/>
        <v>1</v>
      </c>
      <c r="AE1382" s="25">
        <v>1</v>
      </c>
      <c r="AF1382" s="25">
        <v>1</v>
      </c>
      <c r="AG1382" s="25">
        <v>1</v>
      </c>
      <c r="AH1382" s="25">
        <v>1</v>
      </c>
      <c r="AI1382" s="25">
        <f>IF(OR(Apresentação!$E$3='Base de Dados e filtragem'!AI$2,Apresentação!$E$3='Base de Dados e filtragem'!E1382),1,0)</f>
        <v>1</v>
      </c>
      <c r="AJ1382" s="25">
        <f>IF(OR(Apresentação!$E$4='Base de Dados e filtragem'!AJ$2,Apresentação!$E$4='Base de Dados e filtragem'!F1382),1,0)</f>
        <v>1</v>
      </c>
      <c r="AK1382" s="25">
        <f>IF(OR(Apresentação!$E$5='Base de Dados e filtragem'!AK$2,Apresentação!$E$5='Base de Dados e filtragem'!G1382),1,0)</f>
        <v>1</v>
      </c>
      <c r="AL1382" s="25">
        <f>IF(OR(Apresentação!$E$6='Base de Dados e filtragem'!AL$2,Apresentação!$E$6='Base de Dados e filtragem'!H1382),1,0)</f>
        <v>1</v>
      </c>
      <c r="AM1382" s="25">
        <f>IF(OR(Apresentação!$I$2='Base de Dados e filtragem'!AM$2,Apresentação!$I$2='Base de Dados e filtragem'!I1382),1,0)</f>
        <v>1</v>
      </c>
      <c r="AN1382" s="25">
        <f>IF(OR(Apresentação!$I$3='Base de Dados e filtragem'!AN$2,Apresentação!$I$3='Base de Dados e filtragem'!J1382),1,0)</f>
        <v>1</v>
      </c>
      <c r="AO1382" s="25">
        <f>IF(OR(Apresentação!$I$4='Base de Dados e filtragem'!AO$2,Apresentação!$I$4='Base de Dados e filtragem'!K1382),1,0)</f>
        <v>1</v>
      </c>
      <c r="AP1382" s="25">
        <f>IF(OR(Apresentação!$I$5='Base de Dados e filtragem'!AP$2,Apresentação!$I$5='Base de Dados e filtragem'!L1382),1,0)</f>
        <v>1</v>
      </c>
      <c r="AQ1382" s="25">
        <f>IF(OR(Apresentação!$I$6='Base de Dados e filtragem'!AQ$2,Apresentação!$I$6='Base de Dados e filtragem'!M1382),1,0)</f>
        <v>1</v>
      </c>
      <c r="AR1382" s="25">
        <v>1</v>
      </c>
      <c r="AS1382" s="25">
        <v>1</v>
      </c>
      <c r="AT1382" s="25">
        <v>1</v>
      </c>
      <c r="AU1382" s="25">
        <v>1</v>
      </c>
      <c r="AV1382" s="25">
        <v>1</v>
      </c>
      <c r="AW1382" s="25">
        <v>1</v>
      </c>
      <c r="AX1382" s="25">
        <v>1</v>
      </c>
      <c r="AY1382" s="25">
        <v>1</v>
      </c>
      <c r="AZ1382" s="25">
        <v>1</v>
      </c>
      <c r="BA1382" s="25">
        <v>1</v>
      </c>
      <c r="BB1382" s="25">
        <v>1</v>
      </c>
      <c r="BC1382" s="25">
        <v>1</v>
      </c>
      <c r="BD1382" s="25">
        <v>1</v>
      </c>
    </row>
    <row r="1383" spans="27:56" x14ac:dyDescent="0.25">
      <c r="AA1383" s="68" t="str">
        <f t="shared" si="85"/>
        <v>Fotos\\.jpg</v>
      </c>
      <c r="AB1383" s="53">
        <f t="shared" si="86"/>
        <v>7.2306579898770787E-4</v>
      </c>
      <c r="AC1383" s="25">
        <f t="shared" si="87"/>
        <v>1383</v>
      </c>
      <c r="AD1383" s="51">
        <f t="shared" si="88"/>
        <v>1</v>
      </c>
      <c r="AE1383" s="25">
        <v>1</v>
      </c>
      <c r="AF1383" s="25">
        <v>1</v>
      </c>
      <c r="AG1383" s="25">
        <v>1</v>
      </c>
      <c r="AH1383" s="25">
        <v>1</v>
      </c>
      <c r="AI1383" s="25">
        <f>IF(OR(Apresentação!$E$3='Base de Dados e filtragem'!AI$2,Apresentação!$E$3='Base de Dados e filtragem'!E1383),1,0)</f>
        <v>1</v>
      </c>
      <c r="AJ1383" s="25">
        <f>IF(OR(Apresentação!$E$4='Base de Dados e filtragem'!AJ$2,Apresentação!$E$4='Base de Dados e filtragem'!F1383),1,0)</f>
        <v>1</v>
      </c>
      <c r="AK1383" s="25">
        <f>IF(OR(Apresentação!$E$5='Base de Dados e filtragem'!AK$2,Apresentação!$E$5='Base de Dados e filtragem'!G1383),1,0)</f>
        <v>1</v>
      </c>
      <c r="AL1383" s="25">
        <f>IF(OR(Apresentação!$E$6='Base de Dados e filtragem'!AL$2,Apresentação!$E$6='Base de Dados e filtragem'!H1383),1,0)</f>
        <v>1</v>
      </c>
      <c r="AM1383" s="25">
        <f>IF(OR(Apresentação!$I$2='Base de Dados e filtragem'!AM$2,Apresentação!$I$2='Base de Dados e filtragem'!I1383),1,0)</f>
        <v>1</v>
      </c>
      <c r="AN1383" s="25">
        <f>IF(OR(Apresentação!$I$3='Base de Dados e filtragem'!AN$2,Apresentação!$I$3='Base de Dados e filtragem'!J1383),1,0)</f>
        <v>1</v>
      </c>
      <c r="AO1383" s="25">
        <f>IF(OR(Apresentação!$I$4='Base de Dados e filtragem'!AO$2,Apresentação!$I$4='Base de Dados e filtragem'!K1383),1,0)</f>
        <v>1</v>
      </c>
      <c r="AP1383" s="25">
        <f>IF(OR(Apresentação!$I$5='Base de Dados e filtragem'!AP$2,Apresentação!$I$5='Base de Dados e filtragem'!L1383),1,0)</f>
        <v>1</v>
      </c>
      <c r="AQ1383" s="25">
        <f>IF(OR(Apresentação!$I$6='Base de Dados e filtragem'!AQ$2,Apresentação!$I$6='Base de Dados e filtragem'!M1383),1,0)</f>
        <v>1</v>
      </c>
      <c r="AR1383" s="25">
        <v>1</v>
      </c>
      <c r="AS1383" s="25">
        <v>1</v>
      </c>
      <c r="AT1383" s="25">
        <v>1</v>
      </c>
      <c r="AU1383" s="25">
        <v>1</v>
      </c>
      <c r="AV1383" s="25">
        <v>1</v>
      </c>
      <c r="AW1383" s="25">
        <v>1</v>
      </c>
      <c r="AX1383" s="25">
        <v>1</v>
      </c>
      <c r="AY1383" s="25">
        <v>1</v>
      </c>
      <c r="AZ1383" s="25">
        <v>1</v>
      </c>
      <c r="BA1383" s="25">
        <v>1</v>
      </c>
      <c r="BB1383" s="25">
        <v>1</v>
      </c>
      <c r="BC1383" s="25">
        <v>1</v>
      </c>
      <c r="BD1383" s="25">
        <v>1</v>
      </c>
    </row>
    <row r="1384" spans="27:56" x14ac:dyDescent="0.25">
      <c r="AA1384" s="68" t="str">
        <f t="shared" si="85"/>
        <v>Fotos\\.jpg</v>
      </c>
      <c r="AB1384" s="53">
        <f t="shared" si="86"/>
        <v>7.2254335260115603E-4</v>
      </c>
      <c r="AC1384" s="25">
        <f t="shared" si="87"/>
        <v>1384</v>
      </c>
      <c r="AD1384" s="51">
        <f t="shared" si="88"/>
        <v>1</v>
      </c>
      <c r="AE1384" s="25">
        <v>1</v>
      </c>
      <c r="AF1384" s="25">
        <v>1</v>
      </c>
      <c r="AG1384" s="25">
        <v>1</v>
      </c>
      <c r="AH1384" s="25">
        <v>1</v>
      </c>
      <c r="AI1384" s="25">
        <f>IF(OR(Apresentação!$E$3='Base de Dados e filtragem'!AI$2,Apresentação!$E$3='Base de Dados e filtragem'!E1384),1,0)</f>
        <v>1</v>
      </c>
      <c r="AJ1384" s="25">
        <f>IF(OR(Apresentação!$E$4='Base de Dados e filtragem'!AJ$2,Apresentação!$E$4='Base de Dados e filtragem'!F1384),1,0)</f>
        <v>1</v>
      </c>
      <c r="AK1384" s="25">
        <f>IF(OR(Apresentação!$E$5='Base de Dados e filtragem'!AK$2,Apresentação!$E$5='Base de Dados e filtragem'!G1384),1,0)</f>
        <v>1</v>
      </c>
      <c r="AL1384" s="25">
        <f>IF(OR(Apresentação!$E$6='Base de Dados e filtragem'!AL$2,Apresentação!$E$6='Base de Dados e filtragem'!H1384),1,0)</f>
        <v>1</v>
      </c>
      <c r="AM1384" s="25">
        <f>IF(OR(Apresentação!$I$2='Base de Dados e filtragem'!AM$2,Apresentação!$I$2='Base de Dados e filtragem'!I1384),1,0)</f>
        <v>1</v>
      </c>
      <c r="AN1384" s="25">
        <f>IF(OR(Apresentação!$I$3='Base de Dados e filtragem'!AN$2,Apresentação!$I$3='Base de Dados e filtragem'!J1384),1,0)</f>
        <v>1</v>
      </c>
      <c r="AO1384" s="25">
        <f>IF(OR(Apresentação!$I$4='Base de Dados e filtragem'!AO$2,Apresentação!$I$4='Base de Dados e filtragem'!K1384),1,0)</f>
        <v>1</v>
      </c>
      <c r="AP1384" s="25">
        <f>IF(OR(Apresentação!$I$5='Base de Dados e filtragem'!AP$2,Apresentação!$I$5='Base de Dados e filtragem'!L1384),1,0)</f>
        <v>1</v>
      </c>
      <c r="AQ1384" s="25">
        <f>IF(OR(Apresentação!$I$6='Base de Dados e filtragem'!AQ$2,Apresentação!$I$6='Base de Dados e filtragem'!M1384),1,0)</f>
        <v>1</v>
      </c>
      <c r="AR1384" s="25">
        <v>1</v>
      </c>
      <c r="AS1384" s="25">
        <v>1</v>
      </c>
      <c r="AT1384" s="25">
        <v>1</v>
      </c>
      <c r="AU1384" s="25">
        <v>1</v>
      </c>
      <c r="AV1384" s="25">
        <v>1</v>
      </c>
      <c r="AW1384" s="25">
        <v>1</v>
      </c>
      <c r="AX1384" s="25">
        <v>1</v>
      </c>
      <c r="AY1384" s="25">
        <v>1</v>
      </c>
      <c r="AZ1384" s="25">
        <v>1</v>
      </c>
      <c r="BA1384" s="25">
        <v>1</v>
      </c>
      <c r="BB1384" s="25">
        <v>1</v>
      </c>
      <c r="BC1384" s="25">
        <v>1</v>
      </c>
      <c r="BD1384" s="25">
        <v>1</v>
      </c>
    </row>
    <row r="1385" spans="27:56" x14ac:dyDescent="0.25">
      <c r="AA1385" s="68" t="str">
        <f t="shared" si="85"/>
        <v>Fotos\\.jpg</v>
      </c>
      <c r="AB1385" s="53">
        <f t="shared" si="86"/>
        <v>7.2202166064981946E-4</v>
      </c>
      <c r="AC1385" s="25">
        <f t="shared" si="87"/>
        <v>1385</v>
      </c>
      <c r="AD1385" s="51">
        <f t="shared" si="88"/>
        <v>1</v>
      </c>
      <c r="AE1385" s="25">
        <v>1</v>
      </c>
      <c r="AF1385" s="25">
        <v>1</v>
      </c>
      <c r="AG1385" s="25">
        <v>1</v>
      </c>
      <c r="AH1385" s="25">
        <v>1</v>
      </c>
      <c r="AI1385" s="25">
        <f>IF(OR(Apresentação!$E$3='Base de Dados e filtragem'!AI$2,Apresentação!$E$3='Base de Dados e filtragem'!E1385),1,0)</f>
        <v>1</v>
      </c>
      <c r="AJ1385" s="25">
        <f>IF(OR(Apresentação!$E$4='Base de Dados e filtragem'!AJ$2,Apresentação!$E$4='Base de Dados e filtragem'!F1385),1,0)</f>
        <v>1</v>
      </c>
      <c r="AK1385" s="25">
        <f>IF(OR(Apresentação!$E$5='Base de Dados e filtragem'!AK$2,Apresentação!$E$5='Base de Dados e filtragem'!G1385),1,0)</f>
        <v>1</v>
      </c>
      <c r="AL1385" s="25">
        <f>IF(OR(Apresentação!$E$6='Base de Dados e filtragem'!AL$2,Apresentação!$E$6='Base de Dados e filtragem'!H1385),1,0)</f>
        <v>1</v>
      </c>
      <c r="AM1385" s="25">
        <f>IF(OR(Apresentação!$I$2='Base de Dados e filtragem'!AM$2,Apresentação!$I$2='Base de Dados e filtragem'!I1385),1,0)</f>
        <v>1</v>
      </c>
      <c r="AN1385" s="25">
        <f>IF(OR(Apresentação!$I$3='Base de Dados e filtragem'!AN$2,Apresentação!$I$3='Base de Dados e filtragem'!J1385),1,0)</f>
        <v>1</v>
      </c>
      <c r="AO1385" s="25">
        <f>IF(OR(Apresentação!$I$4='Base de Dados e filtragem'!AO$2,Apresentação!$I$4='Base de Dados e filtragem'!K1385),1,0)</f>
        <v>1</v>
      </c>
      <c r="AP1385" s="25">
        <f>IF(OR(Apresentação!$I$5='Base de Dados e filtragem'!AP$2,Apresentação!$I$5='Base de Dados e filtragem'!L1385),1,0)</f>
        <v>1</v>
      </c>
      <c r="AQ1385" s="25">
        <f>IF(OR(Apresentação!$I$6='Base de Dados e filtragem'!AQ$2,Apresentação!$I$6='Base de Dados e filtragem'!M1385),1,0)</f>
        <v>1</v>
      </c>
      <c r="AR1385" s="25">
        <v>1</v>
      </c>
      <c r="AS1385" s="25">
        <v>1</v>
      </c>
      <c r="AT1385" s="25">
        <v>1</v>
      </c>
      <c r="AU1385" s="25">
        <v>1</v>
      </c>
      <c r="AV1385" s="25">
        <v>1</v>
      </c>
      <c r="AW1385" s="25">
        <v>1</v>
      </c>
      <c r="AX1385" s="25">
        <v>1</v>
      </c>
      <c r="AY1385" s="25">
        <v>1</v>
      </c>
      <c r="AZ1385" s="25">
        <v>1</v>
      </c>
      <c r="BA1385" s="25">
        <v>1</v>
      </c>
      <c r="BB1385" s="25">
        <v>1</v>
      </c>
      <c r="BC1385" s="25">
        <v>1</v>
      </c>
      <c r="BD1385" s="25">
        <v>1</v>
      </c>
    </row>
    <row r="1386" spans="27:56" x14ac:dyDescent="0.25">
      <c r="AA1386" s="68" t="str">
        <f t="shared" si="85"/>
        <v>Fotos\\.jpg</v>
      </c>
      <c r="AB1386" s="53">
        <f t="shared" si="86"/>
        <v>7.215007215007215E-4</v>
      </c>
      <c r="AC1386" s="25">
        <f t="shared" si="87"/>
        <v>1386</v>
      </c>
      <c r="AD1386" s="51">
        <f t="shared" si="88"/>
        <v>1</v>
      </c>
      <c r="AE1386" s="25">
        <v>1</v>
      </c>
      <c r="AF1386" s="25">
        <v>1</v>
      </c>
      <c r="AG1386" s="25">
        <v>1</v>
      </c>
      <c r="AH1386" s="25">
        <v>1</v>
      </c>
      <c r="AI1386" s="25">
        <f>IF(OR(Apresentação!$E$3='Base de Dados e filtragem'!AI$2,Apresentação!$E$3='Base de Dados e filtragem'!E1386),1,0)</f>
        <v>1</v>
      </c>
      <c r="AJ1386" s="25">
        <f>IF(OR(Apresentação!$E$4='Base de Dados e filtragem'!AJ$2,Apresentação!$E$4='Base de Dados e filtragem'!F1386),1,0)</f>
        <v>1</v>
      </c>
      <c r="AK1386" s="25">
        <f>IF(OR(Apresentação!$E$5='Base de Dados e filtragem'!AK$2,Apresentação!$E$5='Base de Dados e filtragem'!G1386),1,0)</f>
        <v>1</v>
      </c>
      <c r="AL1386" s="25">
        <f>IF(OR(Apresentação!$E$6='Base de Dados e filtragem'!AL$2,Apresentação!$E$6='Base de Dados e filtragem'!H1386),1,0)</f>
        <v>1</v>
      </c>
      <c r="AM1386" s="25">
        <f>IF(OR(Apresentação!$I$2='Base de Dados e filtragem'!AM$2,Apresentação!$I$2='Base de Dados e filtragem'!I1386),1,0)</f>
        <v>1</v>
      </c>
      <c r="AN1386" s="25">
        <f>IF(OR(Apresentação!$I$3='Base de Dados e filtragem'!AN$2,Apresentação!$I$3='Base de Dados e filtragem'!J1386),1,0)</f>
        <v>1</v>
      </c>
      <c r="AO1386" s="25">
        <f>IF(OR(Apresentação!$I$4='Base de Dados e filtragem'!AO$2,Apresentação!$I$4='Base de Dados e filtragem'!K1386),1,0)</f>
        <v>1</v>
      </c>
      <c r="AP1386" s="25">
        <f>IF(OR(Apresentação!$I$5='Base de Dados e filtragem'!AP$2,Apresentação!$I$5='Base de Dados e filtragem'!L1386),1,0)</f>
        <v>1</v>
      </c>
      <c r="AQ1386" s="25">
        <f>IF(OR(Apresentação!$I$6='Base de Dados e filtragem'!AQ$2,Apresentação!$I$6='Base de Dados e filtragem'!M1386),1,0)</f>
        <v>1</v>
      </c>
      <c r="AR1386" s="25">
        <v>1</v>
      </c>
      <c r="AS1386" s="25">
        <v>1</v>
      </c>
      <c r="AT1386" s="25">
        <v>1</v>
      </c>
      <c r="AU1386" s="25">
        <v>1</v>
      </c>
      <c r="AV1386" s="25">
        <v>1</v>
      </c>
      <c r="AW1386" s="25">
        <v>1</v>
      </c>
      <c r="AX1386" s="25">
        <v>1</v>
      </c>
      <c r="AY1386" s="25">
        <v>1</v>
      </c>
      <c r="AZ1386" s="25">
        <v>1</v>
      </c>
      <c r="BA1386" s="25">
        <v>1</v>
      </c>
      <c r="BB1386" s="25">
        <v>1</v>
      </c>
      <c r="BC1386" s="25">
        <v>1</v>
      </c>
      <c r="BD1386" s="25">
        <v>1</v>
      </c>
    </row>
    <row r="1387" spans="27:56" x14ac:dyDescent="0.25">
      <c r="AA1387" s="68" t="str">
        <f t="shared" si="85"/>
        <v>Fotos\\.jpg</v>
      </c>
      <c r="AB1387" s="53">
        <f t="shared" si="86"/>
        <v>7.2098053352559477E-4</v>
      </c>
      <c r="AC1387" s="25">
        <f t="shared" si="87"/>
        <v>1387</v>
      </c>
      <c r="AD1387" s="51">
        <f t="shared" si="88"/>
        <v>1</v>
      </c>
      <c r="AE1387" s="25">
        <v>1</v>
      </c>
      <c r="AF1387" s="25">
        <v>1</v>
      </c>
      <c r="AG1387" s="25">
        <v>1</v>
      </c>
      <c r="AH1387" s="25">
        <v>1</v>
      </c>
      <c r="AI1387" s="25">
        <f>IF(OR(Apresentação!$E$3='Base de Dados e filtragem'!AI$2,Apresentação!$E$3='Base de Dados e filtragem'!E1387),1,0)</f>
        <v>1</v>
      </c>
      <c r="AJ1387" s="25">
        <f>IF(OR(Apresentação!$E$4='Base de Dados e filtragem'!AJ$2,Apresentação!$E$4='Base de Dados e filtragem'!F1387),1,0)</f>
        <v>1</v>
      </c>
      <c r="AK1387" s="25">
        <f>IF(OR(Apresentação!$E$5='Base de Dados e filtragem'!AK$2,Apresentação!$E$5='Base de Dados e filtragem'!G1387),1,0)</f>
        <v>1</v>
      </c>
      <c r="AL1387" s="25">
        <f>IF(OR(Apresentação!$E$6='Base de Dados e filtragem'!AL$2,Apresentação!$E$6='Base de Dados e filtragem'!H1387),1,0)</f>
        <v>1</v>
      </c>
      <c r="AM1387" s="25">
        <f>IF(OR(Apresentação!$I$2='Base de Dados e filtragem'!AM$2,Apresentação!$I$2='Base de Dados e filtragem'!I1387),1,0)</f>
        <v>1</v>
      </c>
      <c r="AN1387" s="25">
        <f>IF(OR(Apresentação!$I$3='Base de Dados e filtragem'!AN$2,Apresentação!$I$3='Base de Dados e filtragem'!J1387),1,0)</f>
        <v>1</v>
      </c>
      <c r="AO1387" s="25">
        <f>IF(OR(Apresentação!$I$4='Base de Dados e filtragem'!AO$2,Apresentação!$I$4='Base de Dados e filtragem'!K1387),1,0)</f>
        <v>1</v>
      </c>
      <c r="AP1387" s="25">
        <f>IF(OR(Apresentação!$I$5='Base de Dados e filtragem'!AP$2,Apresentação!$I$5='Base de Dados e filtragem'!L1387),1,0)</f>
        <v>1</v>
      </c>
      <c r="AQ1387" s="25">
        <f>IF(OR(Apresentação!$I$6='Base de Dados e filtragem'!AQ$2,Apresentação!$I$6='Base de Dados e filtragem'!M1387),1,0)</f>
        <v>1</v>
      </c>
      <c r="AR1387" s="25">
        <v>1</v>
      </c>
      <c r="AS1387" s="25">
        <v>1</v>
      </c>
      <c r="AT1387" s="25">
        <v>1</v>
      </c>
      <c r="AU1387" s="25">
        <v>1</v>
      </c>
      <c r="AV1387" s="25">
        <v>1</v>
      </c>
      <c r="AW1387" s="25">
        <v>1</v>
      </c>
      <c r="AX1387" s="25">
        <v>1</v>
      </c>
      <c r="AY1387" s="25">
        <v>1</v>
      </c>
      <c r="AZ1387" s="25">
        <v>1</v>
      </c>
      <c r="BA1387" s="25">
        <v>1</v>
      </c>
      <c r="BB1387" s="25">
        <v>1</v>
      </c>
      <c r="BC1387" s="25">
        <v>1</v>
      </c>
      <c r="BD1387" s="25">
        <v>1</v>
      </c>
    </row>
    <row r="1388" spans="27:56" x14ac:dyDescent="0.25">
      <c r="AA1388" s="68" t="str">
        <f t="shared" si="85"/>
        <v>Fotos\\.jpg</v>
      </c>
      <c r="AB1388" s="53">
        <f t="shared" si="86"/>
        <v>7.2046109510086451E-4</v>
      </c>
      <c r="AC1388" s="25">
        <f t="shared" si="87"/>
        <v>1388</v>
      </c>
      <c r="AD1388" s="51">
        <f t="shared" si="88"/>
        <v>1</v>
      </c>
      <c r="AE1388" s="25">
        <v>1</v>
      </c>
      <c r="AF1388" s="25">
        <v>1</v>
      </c>
      <c r="AG1388" s="25">
        <v>1</v>
      </c>
      <c r="AH1388" s="25">
        <v>1</v>
      </c>
      <c r="AI1388" s="25">
        <f>IF(OR(Apresentação!$E$3='Base de Dados e filtragem'!AI$2,Apresentação!$E$3='Base de Dados e filtragem'!E1388),1,0)</f>
        <v>1</v>
      </c>
      <c r="AJ1388" s="25">
        <f>IF(OR(Apresentação!$E$4='Base de Dados e filtragem'!AJ$2,Apresentação!$E$4='Base de Dados e filtragem'!F1388),1,0)</f>
        <v>1</v>
      </c>
      <c r="AK1388" s="25">
        <f>IF(OR(Apresentação!$E$5='Base de Dados e filtragem'!AK$2,Apresentação!$E$5='Base de Dados e filtragem'!G1388),1,0)</f>
        <v>1</v>
      </c>
      <c r="AL1388" s="25">
        <f>IF(OR(Apresentação!$E$6='Base de Dados e filtragem'!AL$2,Apresentação!$E$6='Base de Dados e filtragem'!H1388),1,0)</f>
        <v>1</v>
      </c>
      <c r="AM1388" s="25">
        <f>IF(OR(Apresentação!$I$2='Base de Dados e filtragem'!AM$2,Apresentação!$I$2='Base de Dados e filtragem'!I1388),1,0)</f>
        <v>1</v>
      </c>
      <c r="AN1388" s="25">
        <f>IF(OR(Apresentação!$I$3='Base de Dados e filtragem'!AN$2,Apresentação!$I$3='Base de Dados e filtragem'!J1388),1,0)</f>
        <v>1</v>
      </c>
      <c r="AO1388" s="25">
        <f>IF(OR(Apresentação!$I$4='Base de Dados e filtragem'!AO$2,Apresentação!$I$4='Base de Dados e filtragem'!K1388),1,0)</f>
        <v>1</v>
      </c>
      <c r="AP1388" s="25">
        <f>IF(OR(Apresentação!$I$5='Base de Dados e filtragem'!AP$2,Apresentação!$I$5='Base de Dados e filtragem'!L1388),1,0)</f>
        <v>1</v>
      </c>
      <c r="AQ1388" s="25">
        <f>IF(OR(Apresentação!$I$6='Base de Dados e filtragem'!AQ$2,Apresentação!$I$6='Base de Dados e filtragem'!M1388),1,0)</f>
        <v>1</v>
      </c>
      <c r="AR1388" s="25">
        <v>1</v>
      </c>
      <c r="AS1388" s="25">
        <v>1</v>
      </c>
      <c r="AT1388" s="25">
        <v>1</v>
      </c>
      <c r="AU1388" s="25">
        <v>1</v>
      </c>
      <c r="AV1388" s="25">
        <v>1</v>
      </c>
      <c r="AW1388" s="25">
        <v>1</v>
      </c>
      <c r="AX1388" s="25">
        <v>1</v>
      </c>
      <c r="AY1388" s="25">
        <v>1</v>
      </c>
      <c r="AZ1388" s="25">
        <v>1</v>
      </c>
      <c r="BA1388" s="25">
        <v>1</v>
      </c>
      <c r="BB1388" s="25">
        <v>1</v>
      </c>
      <c r="BC1388" s="25">
        <v>1</v>
      </c>
      <c r="BD1388" s="25">
        <v>1</v>
      </c>
    </row>
    <row r="1389" spans="27:56" x14ac:dyDescent="0.25">
      <c r="AA1389" s="68" t="str">
        <f t="shared" si="85"/>
        <v>Fotos\\.jpg</v>
      </c>
      <c r="AB1389" s="53">
        <f t="shared" si="86"/>
        <v>7.1994240460763136E-4</v>
      </c>
      <c r="AC1389" s="25">
        <f t="shared" si="87"/>
        <v>1389</v>
      </c>
      <c r="AD1389" s="51">
        <f t="shared" si="88"/>
        <v>1</v>
      </c>
      <c r="AE1389" s="25">
        <v>1</v>
      </c>
      <c r="AF1389" s="25">
        <v>1</v>
      </c>
      <c r="AG1389" s="25">
        <v>1</v>
      </c>
      <c r="AH1389" s="25">
        <v>1</v>
      </c>
      <c r="AI1389" s="25">
        <f>IF(OR(Apresentação!$E$3='Base de Dados e filtragem'!AI$2,Apresentação!$E$3='Base de Dados e filtragem'!E1389),1,0)</f>
        <v>1</v>
      </c>
      <c r="AJ1389" s="25">
        <f>IF(OR(Apresentação!$E$4='Base de Dados e filtragem'!AJ$2,Apresentação!$E$4='Base de Dados e filtragem'!F1389),1,0)</f>
        <v>1</v>
      </c>
      <c r="AK1389" s="25">
        <f>IF(OR(Apresentação!$E$5='Base de Dados e filtragem'!AK$2,Apresentação!$E$5='Base de Dados e filtragem'!G1389),1,0)</f>
        <v>1</v>
      </c>
      <c r="AL1389" s="25">
        <f>IF(OR(Apresentação!$E$6='Base de Dados e filtragem'!AL$2,Apresentação!$E$6='Base de Dados e filtragem'!H1389),1,0)</f>
        <v>1</v>
      </c>
      <c r="AM1389" s="25">
        <f>IF(OR(Apresentação!$I$2='Base de Dados e filtragem'!AM$2,Apresentação!$I$2='Base de Dados e filtragem'!I1389),1,0)</f>
        <v>1</v>
      </c>
      <c r="AN1389" s="25">
        <f>IF(OR(Apresentação!$I$3='Base de Dados e filtragem'!AN$2,Apresentação!$I$3='Base de Dados e filtragem'!J1389),1,0)</f>
        <v>1</v>
      </c>
      <c r="AO1389" s="25">
        <f>IF(OR(Apresentação!$I$4='Base de Dados e filtragem'!AO$2,Apresentação!$I$4='Base de Dados e filtragem'!K1389),1,0)</f>
        <v>1</v>
      </c>
      <c r="AP1389" s="25">
        <f>IF(OR(Apresentação!$I$5='Base de Dados e filtragem'!AP$2,Apresentação!$I$5='Base de Dados e filtragem'!L1389),1,0)</f>
        <v>1</v>
      </c>
      <c r="AQ1389" s="25">
        <f>IF(OR(Apresentação!$I$6='Base de Dados e filtragem'!AQ$2,Apresentação!$I$6='Base de Dados e filtragem'!M1389),1,0)</f>
        <v>1</v>
      </c>
      <c r="AR1389" s="25">
        <v>1</v>
      </c>
      <c r="AS1389" s="25">
        <v>1</v>
      </c>
      <c r="AT1389" s="25">
        <v>1</v>
      </c>
      <c r="AU1389" s="25">
        <v>1</v>
      </c>
      <c r="AV1389" s="25">
        <v>1</v>
      </c>
      <c r="AW1389" s="25">
        <v>1</v>
      </c>
      <c r="AX1389" s="25">
        <v>1</v>
      </c>
      <c r="AY1389" s="25">
        <v>1</v>
      </c>
      <c r="AZ1389" s="25">
        <v>1</v>
      </c>
      <c r="BA1389" s="25">
        <v>1</v>
      </c>
      <c r="BB1389" s="25">
        <v>1</v>
      </c>
      <c r="BC1389" s="25">
        <v>1</v>
      </c>
      <c r="BD1389" s="25">
        <v>1</v>
      </c>
    </row>
    <row r="1390" spans="27:56" x14ac:dyDescent="0.25">
      <c r="AA1390" s="68" t="str">
        <f t="shared" si="85"/>
        <v>Fotos\\.jpg</v>
      </c>
      <c r="AB1390" s="53">
        <f t="shared" si="86"/>
        <v>7.1942446043165469E-4</v>
      </c>
      <c r="AC1390" s="25">
        <f t="shared" si="87"/>
        <v>1390</v>
      </c>
      <c r="AD1390" s="51">
        <f t="shared" si="88"/>
        <v>1</v>
      </c>
      <c r="AE1390" s="25">
        <v>1</v>
      </c>
      <c r="AF1390" s="25">
        <v>1</v>
      </c>
      <c r="AG1390" s="25">
        <v>1</v>
      </c>
      <c r="AH1390" s="25">
        <v>1</v>
      </c>
      <c r="AI1390" s="25">
        <f>IF(OR(Apresentação!$E$3='Base de Dados e filtragem'!AI$2,Apresentação!$E$3='Base de Dados e filtragem'!E1390),1,0)</f>
        <v>1</v>
      </c>
      <c r="AJ1390" s="25">
        <f>IF(OR(Apresentação!$E$4='Base de Dados e filtragem'!AJ$2,Apresentação!$E$4='Base de Dados e filtragem'!F1390),1,0)</f>
        <v>1</v>
      </c>
      <c r="AK1390" s="25">
        <f>IF(OR(Apresentação!$E$5='Base de Dados e filtragem'!AK$2,Apresentação!$E$5='Base de Dados e filtragem'!G1390),1,0)</f>
        <v>1</v>
      </c>
      <c r="AL1390" s="25">
        <f>IF(OR(Apresentação!$E$6='Base de Dados e filtragem'!AL$2,Apresentação!$E$6='Base de Dados e filtragem'!H1390),1,0)</f>
        <v>1</v>
      </c>
      <c r="AM1390" s="25">
        <f>IF(OR(Apresentação!$I$2='Base de Dados e filtragem'!AM$2,Apresentação!$I$2='Base de Dados e filtragem'!I1390),1,0)</f>
        <v>1</v>
      </c>
      <c r="AN1390" s="25">
        <f>IF(OR(Apresentação!$I$3='Base de Dados e filtragem'!AN$2,Apresentação!$I$3='Base de Dados e filtragem'!J1390),1,0)</f>
        <v>1</v>
      </c>
      <c r="AO1390" s="25">
        <f>IF(OR(Apresentação!$I$4='Base de Dados e filtragem'!AO$2,Apresentação!$I$4='Base de Dados e filtragem'!K1390),1,0)</f>
        <v>1</v>
      </c>
      <c r="AP1390" s="25">
        <f>IF(OR(Apresentação!$I$5='Base de Dados e filtragem'!AP$2,Apresentação!$I$5='Base de Dados e filtragem'!L1390),1,0)</f>
        <v>1</v>
      </c>
      <c r="AQ1390" s="25">
        <f>IF(OR(Apresentação!$I$6='Base de Dados e filtragem'!AQ$2,Apresentação!$I$6='Base de Dados e filtragem'!M1390),1,0)</f>
        <v>1</v>
      </c>
      <c r="AR1390" s="25">
        <v>1</v>
      </c>
      <c r="AS1390" s="25">
        <v>1</v>
      </c>
      <c r="AT1390" s="25">
        <v>1</v>
      </c>
      <c r="AU1390" s="25">
        <v>1</v>
      </c>
      <c r="AV1390" s="25">
        <v>1</v>
      </c>
      <c r="AW1390" s="25">
        <v>1</v>
      </c>
      <c r="AX1390" s="25">
        <v>1</v>
      </c>
      <c r="AY1390" s="25">
        <v>1</v>
      </c>
      <c r="AZ1390" s="25">
        <v>1</v>
      </c>
      <c r="BA1390" s="25">
        <v>1</v>
      </c>
      <c r="BB1390" s="25">
        <v>1</v>
      </c>
      <c r="BC1390" s="25">
        <v>1</v>
      </c>
      <c r="BD1390" s="25">
        <v>1</v>
      </c>
    </row>
    <row r="1391" spans="27:56" x14ac:dyDescent="0.25">
      <c r="AA1391" s="68" t="str">
        <f t="shared" si="85"/>
        <v>Fotos\\.jpg</v>
      </c>
      <c r="AB1391" s="53">
        <f t="shared" si="86"/>
        <v>7.1890726096333576E-4</v>
      </c>
      <c r="AC1391" s="25">
        <f t="shared" si="87"/>
        <v>1391</v>
      </c>
      <c r="AD1391" s="51">
        <f t="shared" si="88"/>
        <v>1</v>
      </c>
      <c r="AE1391" s="25">
        <v>1</v>
      </c>
      <c r="AF1391" s="25">
        <v>1</v>
      </c>
      <c r="AG1391" s="25">
        <v>1</v>
      </c>
      <c r="AH1391" s="25">
        <v>1</v>
      </c>
      <c r="AI1391" s="25">
        <f>IF(OR(Apresentação!$E$3='Base de Dados e filtragem'!AI$2,Apresentação!$E$3='Base de Dados e filtragem'!E1391),1,0)</f>
        <v>1</v>
      </c>
      <c r="AJ1391" s="25">
        <f>IF(OR(Apresentação!$E$4='Base de Dados e filtragem'!AJ$2,Apresentação!$E$4='Base de Dados e filtragem'!F1391),1,0)</f>
        <v>1</v>
      </c>
      <c r="AK1391" s="25">
        <f>IF(OR(Apresentação!$E$5='Base de Dados e filtragem'!AK$2,Apresentação!$E$5='Base de Dados e filtragem'!G1391),1,0)</f>
        <v>1</v>
      </c>
      <c r="AL1391" s="25">
        <f>IF(OR(Apresentação!$E$6='Base de Dados e filtragem'!AL$2,Apresentação!$E$6='Base de Dados e filtragem'!H1391),1,0)</f>
        <v>1</v>
      </c>
      <c r="AM1391" s="25">
        <f>IF(OR(Apresentação!$I$2='Base de Dados e filtragem'!AM$2,Apresentação!$I$2='Base de Dados e filtragem'!I1391),1,0)</f>
        <v>1</v>
      </c>
      <c r="AN1391" s="25">
        <f>IF(OR(Apresentação!$I$3='Base de Dados e filtragem'!AN$2,Apresentação!$I$3='Base de Dados e filtragem'!J1391),1,0)</f>
        <v>1</v>
      </c>
      <c r="AO1391" s="25">
        <f>IF(OR(Apresentação!$I$4='Base de Dados e filtragem'!AO$2,Apresentação!$I$4='Base de Dados e filtragem'!K1391),1,0)</f>
        <v>1</v>
      </c>
      <c r="AP1391" s="25">
        <f>IF(OR(Apresentação!$I$5='Base de Dados e filtragem'!AP$2,Apresentação!$I$5='Base de Dados e filtragem'!L1391),1,0)</f>
        <v>1</v>
      </c>
      <c r="AQ1391" s="25">
        <f>IF(OR(Apresentação!$I$6='Base de Dados e filtragem'!AQ$2,Apresentação!$I$6='Base de Dados e filtragem'!M1391),1,0)</f>
        <v>1</v>
      </c>
      <c r="AR1391" s="25">
        <v>1</v>
      </c>
      <c r="AS1391" s="25">
        <v>1</v>
      </c>
      <c r="AT1391" s="25">
        <v>1</v>
      </c>
      <c r="AU1391" s="25">
        <v>1</v>
      </c>
      <c r="AV1391" s="25">
        <v>1</v>
      </c>
      <c r="AW1391" s="25">
        <v>1</v>
      </c>
      <c r="AX1391" s="25">
        <v>1</v>
      </c>
      <c r="AY1391" s="25">
        <v>1</v>
      </c>
      <c r="AZ1391" s="25">
        <v>1</v>
      </c>
      <c r="BA1391" s="25">
        <v>1</v>
      </c>
      <c r="BB1391" s="25">
        <v>1</v>
      </c>
      <c r="BC1391" s="25">
        <v>1</v>
      </c>
      <c r="BD1391" s="25">
        <v>1</v>
      </c>
    </row>
    <row r="1392" spans="27:56" x14ac:dyDescent="0.25">
      <c r="AA1392" s="68" t="str">
        <f t="shared" si="85"/>
        <v>Fotos\\.jpg</v>
      </c>
      <c r="AB1392" s="53">
        <f t="shared" si="86"/>
        <v>7.1839080459770114E-4</v>
      </c>
      <c r="AC1392" s="25">
        <f t="shared" si="87"/>
        <v>1392</v>
      </c>
      <c r="AD1392" s="51">
        <f t="shared" si="88"/>
        <v>1</v>
      </c>
      <c r="AE1392" s="25">
        <v>1</v>
      </c>
      <c r="AF1392" s="25">
        <v>1</v>
      </c>
      <c r="AG1392" s="25">
        <v>1</v>
      </c>
      <c r="AH1392" s="25">
        <v>1</v>
      </c>
      <c r="AI1392" s="25">
        <f>IF(OR(Apresentação!$E$3='Base de Dados e filtragem'!AI$2,Apresentação!$E$3='Base de Dados e filtragem'!E1392),1,0)</f>
        <v>1</v>
      </c>
      <c r="AJ1392" s="25">
        <f>IF(OR(Apresentação!$E$4='Base de Dados e filtragem'!AJ$2,Apresentação!$E$4='Base de Dados e filtragem'!F1392),1,0)</f>
        <v>1</v>
      </c>
      <c r="AK1392" s="25">
        <f>IF(OR(Apresentação!$E$5='Base de Dados e filtragem'!AK$2,Apresentação!$E$5='Base de Dados e filtragem'!G1392),1,0)</f>
        <v>1</v>
      </c>
      <c r="AL1392" s="25">
        <f>IF(OR(Apresentação!$E$6='Base de Dados e filtragem'!AL$2,Apresentação!$E$6='Base de Dados e filtragem'!H1392),1,0)</f>
        <v>1</v>
      </c>
      <c r="AM1392" s="25">
        <f>IF(OR(Apresentação!$I$2='Base de Dados e filtragem'!AM$2,Apresentação!$I$2='Base de Dados e filtragem'!I1392),1,0)</f>
        <v>1</v>
      </c>
      <c r="AN1392" s="25">
        <f>IF(OR(Apresentação!$I$3='Base de Dados e filtragem'!AN$2,Apresentação!$I$3='Base de Dados e filtragem'!J1392),1,0)</f>
        <v>1</v>
      </c>
      <c r="AO1392" s="25">
        <f>IF(OR(Apresentação!$I$4='Base de Dados e filtragem'!AO$2,Apresentação!$I$4='Base de Dados e filtragem'!K1392),1,0)</f>
        <v>1</v>
      </c>
      <c r="AP1392" s="25">
        <f>IF(OR(Apresentação!$I$5='Base de Dados e filtragem'!AP$2,Apresentação!$I$5='Base de Dados e filtragem'!L1392),1,0)</f>
        <v>1</v>
      </c>
      <c r="AQ1392" s="25">
        <f>IF(OR(Apresentação!$I$6='Base de Dados e filtragem'!AQ$2,Apresentação!$I$6='Base de Dados e filtragem'!M1392),1,0)</f>
        <v>1</v>
      </c>
      <c r="AR1392" s="25">
        <v>1</v>
      </c>
      <c r="AS1392" s="25">
        <v>1</v>
      </c>
      <c r="AT1392" s="25">
        <v>1</v>
      </c>
      <c r="AU1392" s="25">
        <v>1</v>
      </c>
      <c r="AV1392" s="25">
        <v>1</v>
      </c>
      <c r="AW1392" s="25">
        <v>1</v>
      </c>
      <c r="AX1392" s="25">
        <v>1</v>
      </c>
      <c r="AY1392" s="25">
        <v>1</v>
      </c>
      <c r="AZ1392" s="25">
        <v>1</v>
      </c>
      <c r="BA1392" s="25">
        <v>1</v>
      </c>
      <c r="BB1392" s="25">
        <v>1</v>
      </c>
      <c r="BC1392" s="25">
        <v>1</v>
      </c>
      <c r="BD1392" s="25">
        <v>1</v>
      </c>
    </row>
    <row r="1393" spans="27:56" x14ac:dyDescent="0.25">
      <c r="AA1393" s="68" t="str">
        <f t="shared" si="85"/>
        <v>Fotos\\.jpg</v>
      </c>
      <c r="AB1393" s="53">
        <f t="shared" si="86"/>
        <v>7.1787508973438624E-4</v>
      </c>
      <c r="AC1393" s="25">
        <f t="shared" si="87"/>
        <v>1393</v>
      </c>
      <c r="AD1393" s="51">
        <f t="shared" si="88"/>
        <v>1</v>
      </c>
      <c r="AE1393" s="25">
        <v>1</v>
      </c>
      <c r="AF1393" s="25">
        <v>1</v>
      </c>
      <c r="AG1393" s="25">
        <v>1</v>
      </c>
      <c r="AH1393" s="25">
        <v>1</v>
      </c>
      <c r="AI1393" s="25">
        <f>IF(OR(Apresentação!$E$3='Base de Dados e filtragem'!AI$2,Apresentação!$E$3='Base de Dados e filtragem'!E1393),1,0)</f>
        <v>1</v>
      </c>
      <c r="AJ1393" s="25">
        <f>IF(OR(Apresentação!$E$4='Base de Dados e filtragem'!AJ$2,Apresentação!$E$4='Base de Dados e filtragem'!F1393),1,0)</f>
        <v>1</v>
      </c>
      <c r="AK1393" s="25">
        <f>IF(OR(Apresentação!$E$5='Base de Dados e filtragem'!AK$2,Apresentação!$E$5='Base de Dados e filtragem'!G1393),1,0)</f>
        <v>1</v>
      </c>
      <c r="AL1393" s="25">
        <f>IF(OR(Apresentação!$E$6='Base de Dados e filtragem'!AL$2,Apresentação!$E$6='Base de Dados e filtragem'!H1393),1,0)</f>
        <v>1</v>
      </c>
      <c r="AM1393" s="25">
        <f>IF(OR(Apresentação!$I$2='Base de Dados e filtragem'!AM$2,Apresentação!$I$2='Base de Dados e filtragem'!I1393),1,0)</f>
        <v>1</v>
      </c>
      <c r="AN1393" s="25">
        <f>IF(OR(Apresentação!$I$3='Base de Dados e filtragem'!AN$2,Apresentação!$I$3='Base de Dados e filtragem'!J1393),1,0)</f>
        <v>1</v>
      </c>
      <c r="AO1393" s="25">
        <f>IF(OR(Apresentação!$I$4='Base de Dados e filtragem'!AO$2,Apresentação!$I$4='Base de Dados e filtragem'!K1393),1,0)</f>
        <v>1</v>
      </c>
      <c r="AP1393" s="25">
        <f>IF(OR(Apresentação!$I$5='Base de Dados e filtragem'!AP$2,Apresentação!$I$5='Base de Dados e filtragem'!L1393),1,0)</f>
        <v>1</v>
      </c>
      <c r="AQ1393" s="25">
        <f>IF(OR(Apresentação!$I$6='Base de Dados e filtragem'!AQ$2,Apresentação!$I$6='Base de Dados e filtragem'!M1393),1,0)</f>
        <v>1</v>
      </c>
      <c r="AR1393" s="25">
        <v>1</v>
      </c>
      <c r="AS1393" s="25">
        <v>1</v>
      </c>
      <c r="AT1393" s="25">
        <v>1</v>
      </c>
      <c r="AU1393" s="25">
        <v>1</v>
      </c>
      <c r="AV1393" s="25">
        <v>1</v>
      </c>
      <c r="AW1393" s="25">
        <v>1</v>
      </c>
      <c r="AX1393" s="25">
        <v>1</v>
      </c>
      <c r="AY1393" s="25">
        <v>1</v>
      </c>
      <c r="AZ1393" s="25">
        <v>1</v>
      </c>
      <c r="BA1393" s="25">
        <v>1</v>
      </c>
      <c r="BB1393" s="25">
        <v>1</v>
      </c>
      <c r="BC1393" s="25">
        <v>1</v>
      </c>
      <c r="BD1393" s="25">
        <v>1</v>
      </c>
    </row>
    <row r="1394" spans="27:56" x14ac:dyDescent="0.25">
      <c r="AA1394" s="68" t="str">
        <f t="shared" si="85"/>
        <v>Fotos\\.jpg</v>
      </c>
      <c r="AB1394" s="53">
        <f t="shared" si="86"/>
        <v>7.173601147776184E-4</v>
      </c>
      <c r="AC1394" s="25">
        <f t="shared" si="87"/>
        <v>1394</v>
      </c>
      <c r="AD1394" s="51">
        <f t="shared" si="88"/>
        <v>1</v>
      </c>
      <c r="AE1394" s="25">
        <v>1</v>
      </c>
      <c r="AF1394" s="25">
        <v>1</v>
      </c>
      <c r="AG1394" s="25">
        <v>1</v>
      </c>
      <c r="AH1394" s="25">
        <v>1</v>
      </c>
      <c r="AI1394" s="25">
        <f>IF(OR(Apresentação!$E$3='Base de Dados e filtragem'!AI$2,Apresentação!$E$3='Base de Dados e filtragem'!E1394),1,0)</f>
        <v>1</v>
      </c>
      <c r="AJ1394" s="25">
        <f>IF(OR(Apresentação!$E$4='Base de Dados e filtragem'!AJ$2,Apresentação!$E$4='Base de Dados e filtragem'!F1394),1,0)</f>
        <v>1</v>
      </c>
      <c r="AK1394" s="25">
        <f>IF(OR(Apresentação!$E$5='Base de Dados e filtragem'!AK$2,Apresentação!$E$5='Base de Dados e filtragem'!G1394),1,0)</f>
        <v>1</v>
      </c>
      <c r="AL1394" s="25">
        <f>IF(OR(Apresentação!$E$6='Base de Dados e filtragem'!AL$2,Apresentação!$E$6='Base de Dados e filtragem'!H1394),1,0)</f>
        <v>1</v>
      </c>
      <c r="AM1394" s="25">
        <f>IF(OR(Apresentação!$I$2='Base de Dados e filtragem'!AM$2,Apresentação!$I$2='Base de Dados e filtragem'!I1394),1,0)</f>
        <v>1</v>
      </c>
      <c r="AN1394" s="25">
        <f>IF(OR(Apresentação!$I$3='Base de Dados e filtragem'!AN$2,Apresentação!$I$3='Base de Dados e filtragem'!J1394),1,0)</f>
        <v>1</v>
      </c>
      <c r="AO1394" s="25">
        <f>IF(OR(Apresentação!$I$4='Base de Dados e filtragem'!AO$2,Apresentação!$I$4='Base de Dados e filtragem'!K1394),1,0)</f>
        <v>1</v>
      </c>
      <c r="AP1394" s="25">
        <f>IF(OR(Apresentação!$I$5='Base de Dados e filtragem'!AP$2,Apresentação!$I$5='Base de Dados e filtragem'!L1394),1,0)</f>
        <v>1</v>
      </c>
      <c r="AQ1394" s="25">
        <f>IF(OR(Apresentação!$I$6='Base de Dados e filtragem'!AQ$2,Apresentação!$I$6='Base de Dados e filtragem'!M1394),1,0)</f>
        <v>1</v>
      </c>
      <c r="AR1394" s="25">
        <v>1</v>
      </c>
      <c r="AS1394" s="25">
        <v>1</v>
      </c>
      <c r="AT1394" s="25">
        <v>1</v>
      </c>
      <c r="AU1394" s="25">
        <v>1</v>
      </c>
      <c r="AV1394" s="25">
        <v>1</v>
      </c>
      <c r="AW1394" s="25">
        <v>1</v>
      </c>
      <c r="AX1394" s="25">
        <v>1</v>
      </c>
      <c r="AY1394" s="25">
        <v>1</v>
      </c>
      <c r="AZ1394" s="25">
        <v>1</v>
      </c>
      <c r="BA1394" s="25">
        <v>1</v>
      </c>
      <c r="BB1394" s="25">
        <v>1</v>
      </c>
      <c r="BC1394" s="25">
        <v>1</v>
      </c>
      <c r="BD1394" s="25">
        <v>1</v>
      </c>
    </row>
    <row r="1395" spans="27:56" x14ac:dyDescent="0.25">
      <c r="AA1395" s="68" t="str">
        <f t="shared" si="85"/>
        <v>Fotos\\.jpg</v>
      </c>
      <c r="AB1395" s="53">
        <f t="shared" si="86"/>
        <v>7.1684587813620072E-4</v>
      </c>
      <c r="AC1395" s="25">
        <f t="shared" si="87"/>
        <v>1395</v>
      </c>
      <c r="AD1395" s="51">
        <f t="shared" si="88"/>
        <v>1</v>
      </c>
      <c r="AE1395" s="25">
        <v>1</v>
      </c>
      <c r="AF1395" s="25">
        <v>1</v>
      </c>
      <c r="AG1395" s="25">
        <v>1</v>
      </c>
      <c r="AH1395" s="25">
        <v>1</v>
      </c>
      <c r="AI1395" s="25">
        <f>IF(OR(Apresentação!$E$3='Base de Dados e filtragem'!AI$2,Apresentação!$E$3='Base de Dados e filtragem'!E1395),1,0)</f>
        <v>1</v>
      </c>
      <c r="AJ1395" s="25">
        <f>IF(OR(Apresentação!$E$4='Base de Dados e filtragem'!AJ$2,Apresentação!$E$4='Base de Dados e filtragem'!F1395),1,0)</f>
        <v>1</v>
      </c>
      <c r="AK1395" s="25">
        <f>IF(OR(Apresentação!$E$5='Base de Dados e filtragem'!AK$2,Apresentação!$E$5='Base de Dados e filtragem'!G1395),1,0)</f>
        <v>1</v>
      </c>
      <c r="AL1395" s="25">
        <f>IF(OR(Apresentação!$E$6='Base de Dados e filtragem'!AL$2,Apresentação!$E$6='Base de Dados e filtragem'!H1395),1,0)</f>
        <v>1</v>
      </c>
      <c r="AM1395" s="25">
        <f>IF(OR(Apresentação!$I$2='Base de Dados e filtragem'!AM$2,Apresentação!$I$2='Base de Dados e filtragem'!I1395),1,0)</f>
        <v>1</v>
      </c>
      <c r="AN1395" s="25">
        <f>IF(OR(Apresentação!$I$3='Base de Dados e filtragem'!AN$2,Apresentação!$I$3='Base de Dados e filtragem'!J1395),1,0)</f>
        <v>1</v>
      </c>
      <c r="AO1395" s="25">
        <f>IF(OR(Apresentação!$I$4='Base de Dados e filtragem'!AO$2,Apresentação!$I$4='Base de Dados e filtragem'!K1395),1,0)</f>
        <v>1</v>
      </c>
      <c r="AP1395" s="25">
        <f>IF(OR(Apresentação!$I$5='Base de Dados e filtragem'!AP$2,Apresentação!$I$5='Base de Dados e filtragem'!L1395),1,0)</f>
        <v>1</v>
      </c>
      <c r="AQ1395" s="25">
        <f>IF(OR(Apresentação!$I$6='Base de Dados e filtragem'!AQ$2,Apresentação!$I$6='Base de Dados e filtragem'!M1395),1,0)</f>
        <v>1</v>
      </c>
      <c r="AR1395" s="25">
        <v>1</v>
      </c>
      <c r="AS1395" s="25">
        <v>1</v>
      </c>
      <c r="AT1395" s="25">
        <v>1</v>
      </c>
      <c r="AU1395" s="25">
        <v>1</v>
      </c>
      <c r="AV1395" s="25">
        <v>1</v>
      </c>
      <c r="AW1395" s="25">
        <v>1</v>
      </c>
      <c r="AX1395" s="25">
        <v>1</v>
      </c>
      <c r="AY1395" s="25">
        <v>1</v>
      </c>
      <c r="AZ1395" s="25">
        <v>1</v>
      </c>
      <c r="BA1395" s="25">
        <v>1</v>
      </c>
      <c r="BB1395" s="25">
        <v>1</v>
      </c>
      <c r="BC1395" s="25">
        <v>1</v>
      </c>
      <c r="BD1395" s="25">
        <v>1</v>
      </c>
    </row>
    <row r="1396" spans="27:56" x14ac:dyDescent="0.25">
      <c r="AA1396" s="68" t="str">
        <f t="shared" si="85"/>
        <v>Fotos\\.jpg</v>
      </c>
      <c r="AB1396" s="53">
        <f t="shared" si="86"/>
        <v>7.1633237822349568E-4</v>
      </c>
      <c r="AC1396" s="25">
        <f t="shared" si="87"/>
        <v>1396</v>
      </c>
      <c r="AD1396" s="51">
        <f t="shared" si="88"/>
        <v>1</v>
      </c>
      <c r="AE1396" s="25">
        <v>1</v>
      </c>
      <c r="AF1396" s="25">
        <v>1</v>
      </c>
      <c r="AG1396" s="25">
        <v>1</v>
      </c>
      <c r="AH1396" s="25">
        <v>1</v>
      </c>
      <c r="AI1396" s="25">
        <f>IF(OR(Apresentação!$E$3='Base de Dados e filtragem'!AI$2,Apresentação!$E$3='Base de Dados e filtragem'!E1396),1,0)</f>
        <v>1</v>
      </c>
      <c r="AJ1396" s="25">
        <f>IF(OR(Apresentação!$E$4='Base de Dados e filtragem'!AJ$2,Apresentação!$E$4='Base de Dados e filtragem'!F1396),1,0)</f>
        <v>1</v>
      </c>
      <c r="AK1396" s="25">
        <f>IF(OR(Apresentação!$E$5='Base de Dados e filtragem'!AK$2,Apresentação!$E$5='Base de Dados e filtragem'!G1396),1,0)</f>
        <v>1</v>
      </c>
      <c r="AL1396" s="25">
        <f>IF(OR(Apresentação!$E$6='Base de Dados e filtragem'!AL$2,Apresentação!$E$6='Base de Dados e filtragem'!H1396),1,0)</f>
        <v>1</v>
      </c>
      <c r="AM1396" s="25">
        <f>IF(OR(Apresentação!$I$2='Base de Dados e filtragem'!AM$2,Apresentação!$I$2='Base de Dados e filtragem'!I1396),1,0)</f>
        <v>1</v>
      </c>
      <c r="AN1396" s="25">
        <f>IF(OR(Apresentação!$I$3='Base de Dados e filtragem'!AN$2,Apresentação!$I$3='Base de Dados e filtragem'!J1396),1,0)</f>
        <v>1</v>
      </c>
      <c r="AO1396" s="25">
        <f>IF(OR(Apresentação!$I$4='Base de Dados e filtragem'!AO$2,Apresentação!$I$4='Base de Dados e filtragem'!K1396),1,0)</f>
        <v>1</v>
      </c>
      <c r="AP1396" s="25">
        <f>IF(OR(Apresentação!$I$5='Base de Dados e filtragem'!AP$2,Apresentação!$I$5='Base de Dados e filtragem'!L1396),1,0)</f>
        <v>1</v>
      </c>
      <c r="AQ1396" s="25">
        <f>IF(OR(Apresentação!$I$6='Base de Dados e filtragem'!AQ$2,Apresentação!$I$6='Base de Dados e filtragem'!M1396),1,0)</f>
        <v>1</v>
      </c>
      <c r="AR1396" s="25">
        <v>1</v>
      </c>
      <c r="AS1396" s="25">
        <v>1</v>
      </c>
      <c r="AT1396" s="25">
        <v>1</v>
      </c>
      <c r="AU1396" s="25">
        <v>1</v>
      </c>
      <c r="AV1396" s="25">
        <v>1</v>
      </c>
      <c r="AW1396" s="25">
        <v>1</v>
      </c>
      <c r="AX1396" s="25">
        <v>1</v>
      </c>
      <c r="AY1396" s="25">
        <v>1</v>
      </c>
      <c r="AZ1396" s="25">
        <v>1</v>
      </c>
      <c r="BA1396" s="25">
        <v>1</v>
      </c>
      <c r="BB1396" s="25">
        <v>1</v>
      </c>
      <c r="BC1396" s="25">
        <v>1</v>
      </c>
      <c r="BD1396" s="25">
        <v>1</v>
      </c>
    </row>
    <row r="1397" spans="27:56" x14ac:dyDescent="0.25">
      <c r="AA1397" s="68" t="str">
        <f t="shared" si="85"/>
        <v>Fotos\\.jpg</v>
      </c>
      <c r="AB1397" s="53">
        <f t="shared" si="86"/>
        <v>7.158196134574087E-4</v>
      </c>
      <c r="AC1397" s="25">
        <f t="shared" si="87"/>
        <v>1397</v>
      </c>
      <c r="AD1397" s="51">
        <f t="shared" si="88"/>
        <v>1</v>
      </c>
      <c r="AE1397" s="25">
        <v>1</v>
      </c>
      <c r="AF1397" s="25">
        <v>1</v>
      </c>
      <c r="AG1397" s="25">
        <v>1</v>
      </c>
      <c r="AH1397" s="25">
        <v>1</v>
      </c>
      <c r="AI1397" s="25">
        <f>IF(OR(Apresentação!$E$3='Base de Dados e filtragem'!AI$2,Apresentação!$E$3='Base de Dados e filtragem'!E1397),1,0)</f>
        <v>1</v>
      </c>
      <c r="AJ1397" s="25">
        <f>IF(OR(Apresentação!$E$4='Base de Dados e filtragem'!AJ$2,Apresentação!$E$4='Base de Dados e filtragem'!F1397),1,0)</f>
        <v>1</v>
      </c>
      <c r="AK1397" s="25">
        <f>IF(OR(Apresentação!$E$5='Base de Dados e filtragem'!AK$2,Apresentação!$E$5='Base de Dados e filtragem'!G1397),1,0)</f>
        <v>1</v>
      </c>
      <c r="AL1397" s="25">
        <f>IF(OR(Apresentação!$E$6='Base de Dados e filtragem'!AL$2,Apresentação!$E$6='Base de Dados e filtragem'!H1397),1,0)</f>
        <v>1</v>
      </c>
      <c r="AM1397" s="25">
        <f>IF(OR(Apresentação!$I$2='Base de Dados e filtragem'!AM$2,Apresentação!$I$2='Base de Dados e filtragem'!I1397),1,0)</f>
        <v>1</v>
      </c>
      <c r="AN1397" s="25">
        <f>IF(OR(Apresentação!$I$3='Base de Dados e filtragem'!AN$2,Apresentação!$I$3='Base de Dados e filtragem'!J1397),1,0)</f>
        <v>1</v>
      </c>
      <c r="AO1397" s="25">
        <f>IF(OR(Apresentação!$I$4='Base de Dados e filtragem'!AO$2,Apresentação!$I$4='Base de Dados e filtragem'!K1397),1,0)</f>
        <v>1</v>
      </c>
      <c r="AP1397" s="25">
        <f>IF(OR(Apresentação!$I$5='Base de Dados e filtragem'!AP$2,Apresentação!$I$5='Base de Dados e filtragem'!L1397),1,0)</f>
        <v>1</v>
      </c>
      <c r="AQ1397" s="25">
        <f>IF(OR(Apresentação!$I$6='Base de Dados e filtragem'!AQ$2,Apresentação!$I$6='Base de Dados e filtragem'!M1397),1,0)</f>
        <v>1</v>
      </c>
      <c r="AR1397" s="25">
        <v>1</v>
      </c>
      <c r="AS1397" s="25">
        <v>1</v>
      </c>
      <c r="AT1397" s="25">
        <v>1</v>
      </c>
      <c r="AU1397" s="25">
        <v>1</v>
      </c>
      <c r="AV1397" s="25">
        <v>1</v>
      </c>
      <c r="AW1397" s="25">
        <v>1</v>
      </c>
      <c r="AX1397" s="25">
        <v>1</v>
      </c>
      <c r="AY1397" s="25">
        <v>1</v>
      </c>
      <c r="AZ1397" s="25">
        <v>1</v>
      </c>
      <c r="BA1397" s="25">
        <v>1</v>
      </c>
      <c r="BB1397" s="25">
        <v>1</v>
      </c>
      <c r="BC1397" s="25">
        <v>1</v>
      </c>
      <c r="BD1397" s="25">
        <v>1</v>
      </c>
    </row>
    <row r="1398" spans="27:56" x14ac:dyDescent="0.25">
      <c r="AA1398" s="68" t="str">
        <f t="shared" si="85"/>
        <v>Fotos\\.jpg</v>
      </c>
      <c r="AB1398" s="53">
        <f t="shared" si="86"/>
        <v>7.1530758226037196E-4</v>
      </c>
      <c r="AC1398" s="25">
        <f t="shared" si="87"/>
        <v>1398</v>
      </c>
      <c r="AD1398" s="51">
        <f t="shared" si="88"/>
        <v>1</v>
      </c>
      <c r="AE1398" s="25">
        <v>1</v>
      </c>
      <c r="AF1398" s="25">
        <v>1</v>
      </c>
      <c r="AG1398" s="25">
        <v>1</v>
      </c>
      <c r="AH1398" s="25">
        <v>1</v>
      </c>
      <c r="AI1398" s="25">
        <f>IF(OR(Apresentação!$E$3='Base de Dados e filtragem'!AI$2,Apresentação!$E$3='Base de Dados e filtragem'!E1398),1,0)</f>
        <v>1</v>
      </c>
      <c r="AJ1398" s="25">
        <f>IF(OR(Apresentação!$E$4='Base de Dados e filtragem'!AJ$2,Apresentação!$E$4='Base de Dados e filtragem'!F1398),1,0)</f>
        <v>1</v>
      </c>
      <c r="AK1398" s="25">
        <f>IF(OR(Apresentação!$E$5='Base de Dados e filtragem'!AK$2,Apresentação!$E$5='Base de Dados e filtragem'!G1398),1,0)</f>
        <v>1</v>
      </c>
      <c r="AL1398" s="25">
        <f>IF(OR(Apresentação!$E$6='Base de Dados e filtragem'!AL$2,Apresentação!$E$6='Base de Dados e filtragem'!H1398),1,0)</f>
        <v>1</v>
      </c>
      <c r="AM1398" s="25">
        <f>IF(OR(Apresentação!$I$2='Base de Dados e filtragem'!AM$2,Apresentação!$I$2='Base de Dados e filtragem'!I1398),1,0)</f>
        <v>1</v>
      </c>
      <c r="AN1398" s="25">
        <f>IF(OR(Apresentação!$I$3='Base de Dados e filtragem'!AN$2,Apresentação!$I$3='Base de Dados e filtragem'!J1398),1,0)</f>
        <v>1</v>
      </c>
      <c r="AO1398" s="25">
        <f>IF(OR(Apresentação!$I$4='Base de Dados e filtragem'!AO$2,Apresentação!$I$4='Base de Dados e filtragem'!K1398),1,0)</f>
        <v>1</v>
      </c>
      <c r="AP1398" s="25">
        <f>IF(OR(Apresentação!$I$5='Base de Dados e filtragem'!AP$2,Apresentação!$I$5='Base de Dados e filtragem'!L1398),1,0)</f>
        <v>1</v>
      </c>
      <c r="AQ1398" s="25">
        <f>IF(OR(Apresentação!$I$6='Base de Dados e filtragem'!AQ$2,Apresentação!$I$6='Base de Dados e filtragem'!M1398),1,0)</f>
        <v>1</v>
      </c>
      <c r="AR1398" s="25">
        <v>1</v>
      </c>
      <c r="AS1398" s="25">
        <v>1</v>
      </c>
      <c r="AT1398" s="25">
        <v>1</v>
      </c>
      <c r="AU1398" s="25">
        <v>1</v>
      </c>
      <c r="AV1398" s="25">
        <v>1</v>
      </c>
      <c r="AW1398" s="25">
        <v>1</v>
      </c>
      <c r="AX1398" s="25">
        <v>1</v>
      </c>
      <c r="AY1398" s="25">
        <v>1</v>
      </c>
      <c r="AZ1398" s="25">
        <v>1</v>
      </c>
      <c r="BA1398" s="25">
        <v>1</v>
      </c>
      <c r="BB1398" s="25">
        <v>1</v>
      </c>
      <c r="BC1398" s="25">
        <v>1</v>
      </c>
      <c r="BD1398" s="25">
        <v>1</v>
      </c>
    </row>
    <row r="1399" spans="27:56" x14ac:dyDescent="0.25">
      <c r="AA1399" s="68" t="str">
        <f t="shared" si="85"/>
        <v>Fotos\\.jpg</v>
      </c>
      <c r="AB1399" s="53">
        <f t="shared" si="86"/>
        <v>7.1479628305932811E-4</v>
      </c>
      <c r="AC1399" s="25">
        <f t="shared" si="87"/>
        <v>1399</v>
      </c>
      <c r="AD1399" s="51">
        <f t="shared" si="88"/>
        <v>1</v>
      </c>
      <c r="AE1399" s="25">
        <v>1</v>
      </c>
      <c r="AF1399" s="25">
        <v>1</v>
      </c>
      <c r="AG1399" s="25">
        <v>1</v>
      </c>
      <c r="AH1399" s="25">
        <v>1</v>
      </c>
      <c r="AI1399" s="25">
        <f>IF(OR(Apresentação!$E$3='Base de Dados e filtragem'!AI$2,Apresentação!$E$3='Base de Dados e filtragem'!E1399),1,0)</f>
        <v>1</v>
      </c>
      <c r="AJ1399" s="25">
        <f>IF(OR(Apresentação!$E$4='Base de Dados e filtragem'!AJ$2,Apresentação!$E$4='Base de Dados e filtragem'!F1399),1,0)</f>
        <v>1</v>
      </c>
      <c r="AK1399" s="25">
        <f>IF(OR(Apresentação!$E$5='Base de Dados e filtragem'!AK$2,Apresentação!$E$5='Base de Dados e filtragem'!G1399),1,0)</f>
        <v>1</v>
      </c>
      <c r="AL1399" s="25">
        <f>IF(OR(Apresentação!$E$6='Base de Dados e filtragem'!AL$2,Apresentação!$E$6='Base de Dados e filtragem'!H1399),1,0)</f>
        <v>1</v>
      </c>
      <c r="AM1399" s="25">
        <f>IF(OR(Apresentação!$I$2='Base de Dados e filtragem'!AM$2,Apresentação!$I$2='Base de Dados e filtragem'!I1399),1,0)</f>
        <v>1</v>
      </c>
      <c r="AN1399" s="25">
        <f>IF(OR(Apresentação!$I$3='Base de Dados e filtragem'!AN$2,Apresentação!$I$3='Base de Dados e filtragem'!J1399),1,0)</f>
        <v>1</v>
      </c>
      <c r="AO1399" s="25">
        <f>IF(OR(Apresentação!$I$4='Base de Dados e filtragem'!AO$2,Apresentação!$I$4='Base de Dados e filtragem'!K1399),1,0)</f>
        <v>1</v>
      </c>
      <c r="AP1399" s="25">
        <f>IF(OR(Apresentação!$I$5='Base de Dados e filtragem'!AP$2,Apresentação!$I$5='Base de Dados e filtragem'!L1399),1,0)</f>
        <v>1</v>
      </c>
      <c r="AQ1399" s="25">
        <f>IF(OR(Apresentação!$I$6='Base de Dados e filtragem'!AQ$2,Apresentação!$I$6='Base de Dados e filtragem'!M1399),1,0)</f>
        <v>1</v>
      </c>
      <c r="AR1399" s="25">
        <v>1</v>
      </c>
      <c r="AS1399" s="25">
        <v>1</v>
      </c>
      <c r="AT1399" s="25">
        <v>1</v>
      </c>
      <c r="AU1399" s="25">
        <v>1</v>
      </c>
      <c r="AV1399" s="25">
        <v>1</v>
      </c>
      <c r="AW1399" s="25">
        <v>1</v>
      </c>
      <c r="AX1399" s="25">
        <v>1</v>
      </c>
      <c r="AY1399" s="25">
        <v>1</v>
      </c>
      <c r="AZ1399" s="25">
        <v>1</v>
      </c>
      <c r="BA1399" s="25">
        <v>1</v>
      </c>
      <c r="BB1399" s="25">
        <v>1</v>
      </c>
      <c r="BC1399" s="25">
        <v>1</v>
      </c>
      <c r="BD1399" s="25">
        <v>1</v>
      </c>
    </row>
    <row r="1400" spans="27:56" x14ac:dyDescent="0.25">
      <c r="AA1400" s="68" t="str">
        <f t="shared" si="85"/>
        <v>Fotos\\.jpg</v>
      </c>
      <c r="AB1400" s="53">
        <f t="shared" si="86"/>
        <v>7.1428571428571429E-4</v>
      </c>
      <c r="AC1400" s="25">
        <f t="shared" si="87"/>
        <v>1400</v>
      </c>
      <c r="AD1400" s="51">
        <f t="shared" si="88"/>
        <v>1</v>
      </c>
      <c r="AE1400" s="25">
        <v>1</v>
      </c>
      <c r="AF1400" s="25">
        <v>1</v>
      </c>
      <c r="AG1400" s="25">
        <v>1</v>
      </c>
      <c r="AH1400" s="25">
        <v>1</v>
      </c>
      <c r="AI1400" s="25">
        <f>IF(OR(Apresentação!$E$3='Base de Dados e filtragem'!AI$2,Apresentação!$E$3='Base de Dados e filtragem'!E1400),1,0)</f>
        <v>1</v>
      </c>
      <c r="AJ1400" s="25">
        <f>IF(OR(Apresentação!$E$4='Base de Dados e filtragem'!AJ$2,Apresentação!$E$4='Base de Dados e filtragem'!F1400),1,0)</f>
        <v>1</v>
      </c>
      <c r="AK1400" s="25">
        <f>IF(OR(Apresentação!$E$5='Base de Dados e filtragem'!AK$2,Apresentação!$E$5='Base de Dados e filtragem'!G1400),1,0)</f>
        <v>1</v>
      </c>
      <c r="AL1400" s="25">
        <f>IF(OR(Apresentação!$E$6='Base de Dados e filtragem'!AL$2,Apresentação!$E$6='Base de Dados e filtragem'!H1400),1,0)</f>
        <v>1</v>
      </c>
      <c r="AM1400" s="25">
        <f>IF(OR(Apresentação!$I$2='Base de Dados e filtragem'!AM$2,Apresentação!$I$2='Base de Dados e filtragem'!I1400),1,0)</f>
        <v>1</v>
      </c>
      <c r="AN1400" s="25">
        <f>IF(OR(Apresentação!$I$3='Base de Dados e filtragem'!AN$2,Apresentação!$I$3='Base de Dados e filtragem'!J1400),1,0)</f>
        <v>1</v>
      </c>
      <c r="AO1400" s="25">
        <f>IF(OR(Apresentação!$I$4='Base de Dados e filtragem'!AO$2,Apresentação!$I$4='Base de Dados e filtragem'!K1400),1,0)</f>
        <v>1</v>
      </c>
      <c r="AP1400" s="25">
        <f>IF(OR(Apresentação!$I$5='Base de Dados e filtragem'!AP$2,Apresentação!$I$5='Base de Dados e filtragem'!L1400),1,0)</f>
        <v>1</v>
      </c>
      <c r="AQ1400" s="25">
        <f>IF(OR(Apresentação!$I$6='Base de Dados e filtragem'!AQ$2,Apresentação!$I$6='Base de Dados e filtragem'!M1400),1,0)</f>
        <v>1</v>
      </c>
      <c r="AR1400" s="25">
        <v>1</v>
      </c>
      <c r="AS1400" s="25">
        <v>1</v>
      </c>
      <c r="AT1400" s="25">
        <v>1</v>
      </c>
      <c r="AU1400" s="25">
        <v>1</v>
      </c>
      <c r="AV1400" s="25">
        <v>1</v>
      </c>
      <c r="AW1400" s="25">
        <v>1</v>
      </c>
      <c r="AX1400" s="25">
        <v>1</v>
      </c>
      <c r="AY1400" s="25">
        <v>1</v>
      </c>
      <c r="AZ1400" s="25">
        <v>1</v>
      </c>
      <c r="BA1400" s="25">
        <v>1</v>
      </c>
      <c r="BB1400" s="25">
        <v>1</v>
      </c>
      <c r="BC1400" s="25">
        <v>1</v>
      </c>
      <c r="BD1400" s="25">
        <v>1</v>
      </c>
    </row>
    <row r="1401" spans="27:56" x14ac:dyDescent="0.25">
      <c r="AA1401" s="68" t="str">
        <f t="shared" si="85"/>
        <v>Fotos\\.jpg</v>
      </c>
      <c r="AB1401" s="53">
        <f t="shared" si="86"/>
        <v>7.1377587437544611E-4</v>
      </c>
      <c r="AC1401" s="25">
        <f t="shared" si="87"/>
        <v>1401</v>
      </c>
      <c r="AD1401" s="51">
        <f t="shared" si="88"/>
        <v>1</v>
      </c>
      <c r="AE1401" s="25">
        <v>1</v>
      </c>
      <c r="AF1401" s="25">
        <v>1</v>
      </c>
      <c r="AG1401" s="25">
        <v>1</v>
      </c>
      <c r="AH1401" s="25">
        <v>1</v>
      </c>
      <c r="AI1401" s="25">
        <f>IF(OR(Apresentação!$E$3='Base de Dados e filtragem'!AI$2,Apresentação!$E$3='Base de Dados e filtragem'!E1401),1,0)</f>
        <v>1</v>
      </c>
      <c r="AJ1401" s="25">
        <f>IF(OR(Apresentação!$E$4='Base de Dados e filtragem'!AJ$2,Apresentação!$E$4='Base de Dados e filtragem'!F1401),1,0)</f>
        <v>1</v>
      </c>
      <c r="AK1401" s="25">
        <f>IF(OR(Apresentação!$E$5='Base de Dados e filtragem'!AK$2,Apresentação!$E$5='Base de Dados e filtragem'!G1401),1,0)</f>
        <v>1</v>
      </c>
      <c r="AL1401" s="25">
        <f>IF(OR(Apresentação!$E$6='Base de Dados e filtragem'!AL$2,Apresentação!$E$6='Base de Dados e filtragem'!H1401),1,0)</f>
        <v>1</v>
      </c>
      <c r="AM1401" s="25">
        <f>IF(OR(Apresentação!$I$2='Base de Dados e filtragem'!AM$2,Apresentação!$I$2='Base de Dados e filtragem'!I1401),1,0)</f>
        <v>1</v>
      </c>
      <c r="AN1401" s="25">
        <f>IF(OR(Apresentação!$I$3='Base de Dados e filtragem'!AN$2,Apresentação!$I$3='Base de Dados e filtragem'!J1401),1,0)</f>
        <v>1</v>
      </c>
      <c r="AO1401" s="25">
        <f>IF(OR(Apresentação!$I$4='Base de Dados e filtragem'!AO$2,Apresentação!$I$4='Base de Dados e filtragem'!K1401),1,0)</f>
        <v>1</v>
      </c>
      <c r="AP1401" s="25">
        <f>IF(OR(Apresentação!$I$5='Base de Dados e filtragem'!AP$2,Apresentação!$I$5='Base de Dados e filtragem'!L1401),1,0)</f>
        <v>1</v>
      </c>
      <c r="AQ1401" s="25">
        <f>IF(OR(Apresentação!$I$6='Base de Dados e filtragem'!AQ$2,Apresentação!$I$6='Base de Dados e filtragem'!M1401),1,0)</f>
        <v>1</v>
      </c>
      <c r="AR1401" s="25">
        <v>1</v>
      </c>
      <c r="AS1401" s="25">
        <v>1</v>
      </c>
      <c r="AT1401" s="25">
        <v>1</v>
      </c>
      <c r="AU1401" s="25">
        <v>1</v>
      </c>
      <c r="AV1401" s="25">
        <v>1</v>
      </c>
      <c r="AW1401" s="25">
        <v>1</v>
      </c>
      <c r="AX1401" s="25">
        <v>1</v>
      </c>
      <c r="AY1401" s="25">
        <v>1</v>
      </c>
      <c r="AZ1401" s="25">
        <v>1</v>
      </c>
      <c r="BA1401" s="25">
        <v>1</v>
      </c>
      <c r="BB1401" s="25">
        <v>1</v>
      </c>
      <c r="BC1401" s="25">
        <v>1</v>
      </c>
      <c r="BD1401" s="25">
        <v>1</v>
      </c>
    </row>
    <row r="1402" spans="27:56" x14ac:dyDescent="0.25">
      <c r="AA1402" s="68" t="str">
        <f t="shared" si="85"/>
        <v>Fotos\\.jpg</v>
      </c>
      <c r="AB1402" s="53">
        <f t="shared" si="86"/>
        <v>7.1326676176890159E-4</v>
      </c>
      <c r="AC1402" s="25">
        <f t="shared" si="87"/>
        <v>1402</v>
      </c>
      <c r="AD1402" s="51">
        <f t="shared" si="88"/>
        <v>1</v>
      </c>
      <c r="AE1402" s="25">
        <v>1</v>
      </c>
      <c r="AF1402" s="25">
        <v>1</v>
      </c>
      <c r="AG1402" s="25">
        <v>1</v>
      </c>
      <c r="AH1402" s="25">
        <v>1</v>
      </c>
      <c r="AI1402" s="25">
        <f>IF(OR(Apresentação!$E$3='Base de Dados e filtragem'!AI$2,Apresentação!$E$3='Base de Dados e filtragem'!E1402),1,0)</f>
        <v>1</v>
      </c>
      <c r="AJ1402" s="25">
        <f>IF(OR(Apresentação!$E$4='Base de Dados e filtragem'!AJ$2,Apresentação!$E$4='Base de Dados e filtragem'!F1402),1,0)</f>
        <v>1</v>
      </c>
      <c r="AK1402" s="25">
        <f>IF(OR(Apresentação!$E$5='Base de Dados e filtragem'!AK$2,Apresentação!$E$5='Base de Dados e filtragem'!G1402),1,0)</f>
        <v>1</v>
      </c>
      <c r="AL1402" s="25">
        <f>IF(OR(Apresentação!$E$6='Base de Dados e filtragem'!AL$2,Apresentação!$E$6='Base de Dados e filtragem'!H1402),1,0)</f>
        <v>1</v>
      </c>
      <c r="AM1402" s="25">
        <f>IF(OR(Apresentação!$I$2='Base de Dados e filtragem'!AM$2,Apresentação!$I$2='Base de Dados e filtragem'!I1402),1,0)</f>
        <v>1</v>
      </c>
      <c r="AN1402" s="25">
        <f>IF(OR(Apresentação!$I$3='Base de Dados e filtragem'!AN$2,Apresentação!$I$3='Base de Dados e filtragem'!J1402),1,0)</f>
        <v>1</v>
      </c>
      <c r="AO1402" s="25">
        <f>IF(OR(Apresentação!$I$4='Base de Dados e filtragem'!AO$2,Apresentação!$I$4='Base de Dados e filtragem'!K1402),1,0)</f>
        <v>1</v>
      </c>
      <c r="AP1402" s="25">
        <f>IF(OR(Apresentação!$I$5='Base de Dados e filtragem'!AP$2,Apresentação!$I$5='Base de Dados e filtragem'!L1402),1,0)</f>
        <v>1</v>
      </c>
      <c r="AQ1402" s="25">
        <f>IF(OR(Apresentação!$I$6='Base de Dados e filtragem'!AQ$2,Apresentação!$I$6='Base de Dados e filtragem'!M1402),1,0)</f>
        <v>1</v>
      </c>
      <c r="AR1402" s="25">
        <v>1</v>
      </c>
      <c r="AS1402" s="25">
        <v>1</v>
      </c>
      <c r="AT1402" s="25">
        <v>1</v>
      </c>
      <c r="AU1402" s="25">
        <v>1</v>
      </c>
      <c r="AV1402" s="25">
        <v>1</v>
      </c>
      <c r="AW1402" s="25">
        <v>1</v>
      </c>
      <c r="AX1402" s="25">
        <v>1</v>
      </c>
      <c r="AY1402" s="25">
        <v>1</v>
      </c>
      <c r="AZ1402" s="25">
        <v>1</v>
      </c>
      <c r="BA1402" s="25">
        <v>1</v>
      </c>
      <c r="BB1402" s="25">
        <v>1</v>
      </c>
      <c r="BC1402" s="25">
        <v>1</v>
      </c>
      <c r="BD1402" s="25">
        <v>1</v>
      </c>
    </row>
    <row r="1403" spans="27:56" x14ac:dyDescent="0.25">
      <c r="AA1403" s="68" t="str">
        <f t="shared" si="85"/>
        <v>Fotos\\.jpg</v>
      </c>
      <c r="AB1403" s="53">
        <f t="shared" si="86"/>
        <v>7.1275837491090524E-4</v>
      </c>
      <c r="AC1403" s="25">
        <f t="shared" si="87"/>
        <v>1403</v>
      </c>
      <c r="AD1403" s="51">
        <f t="shared" si="88"/>
        <v>1</v>
      </c>
      <c r="AE1403" s="25">
        <v>1</v>
      </c>
      <c r="AF1403" s="25">
        <v>1</v>
      </c>
      <c r="AG1403" s="25">
        <v>1</v>
      </c>
      <c r="AH1403" s="25">
        <v>1</v>
      </c>
      <c r="AI1403" s="25">
        <f>IF(OR(Apresentação!$E$3='Base de Dados e filtragem'!AI$2,Apresentação!$E$3='Base de Dados e filtragem'!E1403),1,0)</f>
        <v>1</v>
      </c>
      <c r="AJ1403" s="25">
        <f>IF(OR(Apresentação!$E$4='Base de Dados e filtragem'!AJ$2,Apresentação!$E$4='Base de Dados e filtragem'!F1403),1,0)</f>
        <v>1</v>
      </c>
      <c r="AK1403" s="25">
        <f>IF(OR(Apresentação!$E$5='Base de Dados e filtragem'!AK$2,Apresentação!$E$5='Base de Dados e filtragem'!G1403),1,0)</f>
        <v>1</v>
      </c>
      <c r="AL1403" s="25">
        <f>IF(OR(Apresentação!$E$6='Base de Dados e filtragem'!AL$2,Apresentação!$E$6='Base de Dados e filtragem'!H1403),1,0)</f>
        <v>1</v>
      </c>
      <c r="AM1403" s="25">
        <f>IF(OR(Apresentação!$I$2='Base de Dados e filtragem'!AM$2,Apresentação!$I$2='Base de Dados e filtragem'!I1403),1,0)</f>
        <v>1</v>
      </c>
      <c r="AN1403" s="25">
        <f>IF(OR(Apresentação!$I$3='Base de Dados e filtragem'!AN$2,Apresentação!$I$3='Base de Dados e filtragem'!J1403),1,0)</f>
        <v>1</v>
      </c>
      <c r="AO1403" s="25">
        <f>IF(OR(Apresentação!$I$4='Base de Dados e filtragem'!AO$2,Apresentação!$I$4='Base de Dados e filtragem'!K1403),1,0)</f>
        <v>1</v>
      </c>
      <c r="AP1403" s="25">
        <f>IF(OR(Apresentação!$I$5='Base de Dados e filtragem'!AP$2,Apresentação!$I$5='Base de Dados e filtragem'!L1403),1,0)</f>
        <v>1</v>
      </c>
      <c r="AQ1403" s="25">
        <f>IF(OR(Apresentação!$I$6='Base de Dados e filtragem'!AQ$2,Apresentação!$I$6='Base de Dados e filtragem'!M1403),1,0)</f>
        <v>1</v>
      </c>
      <c r="AR1403" s="25">
        <v>1</v>
      </c>
      <c r="AS1403" s="25">
        <v>1</v>
      </c>
      <c r="AT1403" s="25">
        <v>1</v>
      </c>
      <c r="AU1403" s="25">
        <v>1</v>
      </c>
      <c r="AV1403" s="25">
        <v>1</v>
      </c>
      <c r="AW1403" s="25">
        <v>1</v>
      </c>
      <c r="AX1403" s="25">
        <v>1</v>
      </c>
      <c r="AY1403" s="25">
        <v>1</v>
      </c>
      <c r="AZ1403" s="25">
        <v>1</v>
      </c>
      <c r="BA1403" s="25">
        <v>1</v>
      </c>
      <c r="BB1403" s="25">
        <v>1</v>
      </c>
      <c r="BC1403" s="25">
        <v>1</v>
      </c>
      <c r="BD1403" s="25">
        <v>1</v>
      </c>
    </row>
    <row r="1404" spans="27:56" x14ac:dyDescent="0.25">
      <c r="AA1404" s="68" t="str">
        <f t="shared" si="85"/>
        <v>Fotos\\.jpg</v>
      </c>
      <c r="AB1404" s="53">
        <f t="shared" si="86"/>
        <v>7.1225071225071229E-4</v>
      </c>
      <c r="AC1404" s="25">
        <f t="shared" si="87"/>
        <v>1404</v>
      </c>
      <c r="AD1404" s="51">
        <f t="shared" si="88"/>
        <v>1</v>
      </c>
      <c r="AE1404" s="25">
        <v>1</v>
      </c>
      <c r="AF1404" s="25">
        <v>1</v>
      </c>
      <c r="AG1404" s="25">
        <v>1</v>
      </c>
      <c r="AH1404" s="25">
        <v>1</v>
      </c>
      <c r="AI1404" s="25">
        <f>IF(OR(Apresentação!$E$3='Base de Dados e filtragem'!AI$2,Apresentação!$E$3='Base de Dados e filtragem'!E1404),1,0)</f>
        <v>1</v>
      </c>
      <c r="AJ1404" s="25">
        <f>IF(OR(Apresentação!$E$4='Base de Dados e filtragem'!AJ$2,Apresentação!$E$4='Base de Dados e filtragem'!F1404),1,0)</f>
        <v>1</v>
      </c>
      <c r="AK1404" s="25">
        <f>IF(OR(Apresentação!$E$5='Base de Dados e filtragem'!AK$2,Apresentação!$E$5='Base de Dados e filtragem'!G1404),1,0)</f>
        <v>1</v>
      </c>
      <c r="AL1404" s="25">
        <f>IF(OR(Apresentação!$E$6='Base de Dados e filtragem'!AL$2,Apresentação!$E$6='Base de Dados e filtragem'!H1404),1,0)</f>
        <v>1</v>
      </c>
      <c r="AM1404" s="25">
        <f>IF(OR(Apresentação!$I$2='Base de Dados e filtragem'!AM$2,Apresentação!$I$2='Base de Dados e filtragem'!I1404),1,0)</f>
        <v>1</v>
      </c>
      <c r="AN1404" s="25">
        <f>IF(OR(Apresentação!$I$3='Base de Dados e filtragem'!AN$2,Apresentação!$I$3='Base de Dados e filtragem'!J1404),1,0)</f>
        <v>1</v>
      </c>
      <c r="AO1404" s="25">
        <f>IF(OR(Apresentação!$I$4='Base de Dados e filtragem'!AO$2,Apresentação!$I$4='Base de Dados e filtragem'!K1404),1,0)</f>
        <v>1</v>
      </c>
      <c r="AP1404" s="25">
        <f>IF(OR(Apresentação!$I$5='Base de Dados e filtragem'!AP$2,Apresentação!$I$5='Base de Dados e filtragem'!L1404),1,0)</f>
        <v>1</v>
      </c>
      <c r="AQ1404" s="25">
        <f>IF(OR(Apresentação!$I$6='Base de Dados e filtragem'!AQ$2,Apresentação!$I$6='Base de Dados e filtragem'!M1404),1,0)</f>
        <v>1</v>
      </c>
      <c r="AR1404" s="25">
        <v>1</v>
      </c>
      <c r="AS1404" s="25">
        <v>1</v>
      </c>
      <c r="AT1404" s="25">
        <v>1</v>
      </c>
      <c r="AU1404" s="25">
        <v>1</v>
      </c>
      <c r="AV1404" s="25">
        <v>1</v>
      </c>
      <c r="AW1404" s="25">
        <v>1</v>
      </c>
      <c r="AX1404" s="25">
        <v>1</v>
      </c>
      <c r="AY1404" s="25">
        <v>1</v>
      </c>
      <c r="AZ1404" s="25">
        <v>1</v>
      </c>
      <c r="BA1404" s="25">
        <v>1</v>
      </c>
      <c r="BB1404" s="25">
        <v>1</v>
      </c>
      <c r="BC1404" s="25">
        <v>1</v>
      </c>
      <c r="BD1404" s="25">
        <v>1</v>
      </c>
    </row>
    <row r="1405" spans="27:56" x14ac:dyDescent="0.25">
      <c r="AA1405" s="68" t="str">
        <f t="shared" si="85"/>
        <v>Fotos\\.jpg</v>
      </c>
      <c r="AB1405" s="53">
        <f t="shared" si="86"/>
        <v>7.1174377224199293E-4</v>
      </c>
      <c r="AC1405" s="25">
        <f t="shared" si="87"/>
        <v>1405</v>
      </c>
      <c r="AD1405" s="51">
        <f t="shared" si="88"/>
        <v>1</v>
      </c>
      <c r="AE1405" s="25">
        <v>1</v>
      </c>
      <c r="AF1405" s="25">
        <v>1</v>
      </c>
      <c r="AG1405" s="25">
        <v>1</v>
      </c>
      <c r="AH1405" s="25">
        <v>1</v>
      </c>
      <c r="AI1405" s="25">
        <f>IF(OR(Apresentação!$E$3='Base de Dados e filtragem'!AI$2,Apresentação!$E$3='Base de Dados e filtragem'!E1405),1,0)</f>
        <v>1</v>
      </c>
      <c r="AJ1405" s="25">
        <f>IF(OR(Apresentação!$E$4='Base de Dados e filtragem'!AJ$2,Apresentação!$E$4='Base de Dados e filtragem'!F1405),1,0)</f>
        <v>1</v>
      </c>
      <c r="AK1405" s="25">
        <f>IF(OR(Apresentação!$E$5='Base de Dados e filtragem'!AK$2,Apresentação!$E$5='Base de Dados e filtragem'!G1405),1,0)</f>
        <v>1</v>
      </c>
      <c r="AL1405" s="25">
        <f>IF(OR(Apresentação!$E$6='Base de Dados e filtragem'!AL$2,Apresentação!$E$6='Base de Dados e filtragem'!H1405),1,0)</f>
        <v>1</v>
      </c>
      <c r="AM1405" s="25">
        <f>IF(OR(Apresentação!$I$2='Base de Dados e filtragem'!AM$2,Apresentação!$I$2='Base de Dados e filtragem'!I1405),1,0)</f>
        <v>1</v>
      </c>
      <c r="AN1405" s="25">
        <f>IF(OR(Apresentação!$I$3='Base de Dados e filtragem'!AN$2,Apresentação!$I$3='Base de Dados e filtragem'!J1405),1,0)</f>
        <v>1</v>
      </c>
      <c r="AO1405" s="25">
        <f>IF(OR(Apresentação!$I$4='Base de Dados e filtragem'!AO$2,Apresentação!$I$4='Base de Dados e filtragem'!K1405),1,0)</f>
        <v>1</v>
      </c>
      <c r="AP1405" s="25">
        <f>IF(OR(Apresentação!$I$5='Base de Dados e filtragem'!AP$2,Apresentação!$I$5='Base de Dados e filtragem'!L1405),1,0)</f>
        <v>1</v>
      </c>
      <c r="AQ1405" s="25">
        <f>IF(OR(Apresentação!$I$6='Base de Dados e filtragem'!AQ$2,Apresentação!$I$6='Base de Dados e filtragem'!M1405),1,0)</f>
        <v>1</v>
      </c>
      <c r="AR1405" s="25">
        <v>1</v>
      </c>
      <c r="AS1405" s="25">
        <v>1</v>
      </c>
      <c r="AT1405" s="25">
        <v>1</v>
      </c>
      <c r="AU1405" s="25">
        <v>1</v>
      </c>
      <c r="AV1405" s="25">
        <v>1</v>
      </c>
      <c r="AW1405" s="25">
        <v>1</v>
      </c>
      <c r="AX1405" s="25">
        <v>1</v>
      </c>
      <c r="AY1405" s="25">
        <v>1</v>
      </c>
      <c r="AZ1405" s="25">
        <v>1</v>
      </c>
      <c r="BA1405" s="25">
        <v>1</v>
      </c>
      <c r="BB1405" s="25">
        <v>1</v>
      </c>
      <c r="BC1405" s="25">
        <v>1</v>
      </c>
      <c r="BD1405" s="25">
        <v>1</v>
      </c>
    </row>
    <row r="1406" spans="27:56" x14ac:dyDescent="0.25">
      <c r="AA1406" s="68" t="str">
        <f t="shared" si="85"/>
        <v>Fotos\\.jpg</v>
      </c>
      <c r="AB1406" s="53">
        <f t="shared" si="86"/>
        <v>7.1123755334281653E-4</v>
      </c>
      <c r="AC1406" s="25">
        <f t="shared" si="87"/>
        <v>1406</v>
      </c>
      <c r="AD1406" s="51">
        <f t="shared" si="88"/>
        <v>1</v>
      </c>
      <c r="AE1406" s="25">
        <v>1</v>
      </c>
      <c r="AF1406" s="25">
        <v>1</v>
      </c>
      <c r="AG1406" s="25">
        <v>1</v>
      </c>
      <c r="AH1406" s="25">
        <v>1</v>
      </c>
      <c r="AI1406" s="25">
        <f>IF(OR(Apresentação!$E$3='Base de Dados e filtragem'!AI$2,Apresentação!$E$3='Base de Dados e filtragem'!E1406),1,0)</f>
        <v>1</v>
      </c>
      <c r="AJ1406" s="25">
        <f>IF(OR(Apresentação!$E$4='Base de Dados e filtragem'!AJ$2,Apresentação!$E$4='Base de Dados e filtragem'!F1406),1,0)</f>
        <v>1</v>
      </c>
      <c r="AK1406" s="25">
        <f>IF(OR(Apresentação!$E$5='Base de Dados e filtragem'!AK$2,Apresentação!$E$5='Base de Dados e filtragem'!G1406),1,0)</f>
        <v>1</v>
      </c>
      <c r="AL1406" s="25">
        <f>IF(OR(Apresentação!$E$6='Base de Dados e filtragem'!AL$2,Apresentação!$E$6='Base de Dados e filtragem'!H1406),1,0)</f>
        <v>1</v>
      </c>
      <c r="AM1406" s="25">
        <f>IF(OR(Apresentação!$I$2='Base de Dados e filtragem'!AM$2,Apresentação!$I$2='Base de Dados e filtragem'!I1406),1,0)</f>
        <v>1</v>
      </c>
      <c r="AN1406" s="25">
        <f>IF(OR(Apresentação!$I$3='Base de Dados e filtragem'!AN$2,Apresentação!$I$3='Base de Dados e filtragem'!J1406),1,0)</f>
        <v>1</v>
      </c>
      <c r="AO1406" s="25">
        <f>IF(OR(Apresentação!$I$4='Base de Dados e filtragem'!AO$2,Apresentação!$I$4='Base de Dados e filtragem'!K1406),1,0)</f>
        <v>1</v>
      </c>
      <c r="AP1406" s="25">
        <f>IF(OR(Apresentação!$I$5='Base de Dados e filtragem'!AP$2,Apresentação!$I$5='Base de Dados e filtragem'!L1406),1,0)</f>
        <v>1</v>
      </c>
      <c r="AQ1406" s="25">
        <f>IF(OR(Apresentação!$I$6='Base de Dados e filtragem'!AQ$2,Apresentação!$I$6='Base de Dados e filtragem'!M1406),1,0)</f>
        <v>1</v>
      </c>
      <c r="AR1406" s="25">
        <v>1</v>
      </c>
      <c r="AS1406" s="25">
        <v>1</v>
      </c>
      <c r="AT1406" s="25">
        <v>1</v>
      </c>
      <c r="AU1406" s="25">
        <v>1</v>
      </c>
      <c r="AV1406" s="25">
        <v>1</v>
      </c>
      <c r="AW1406" s="25">
        <v>1</v>
      </c>
      <c r="AX1406" s="25">
        <v>1</v>
      </c>
      <c r="AY1406" s="25">
        <v>1</v>
      </c>
      <c r="AZ1406" s="25">
        <v>1</v>
      </c>
      <c r="BA1406" s="25">
        <v>1</v>
      </c>
      <c r="BB1406" s="25">
        <v>1</v>
      </c>
      <c r="BC1406" s="25">
        <v>1</v>
      </c>
      <c r="BD1406" s="25">
        <v>1</v>
      </c>
    </row>
    <row r="1407" spans="27:56" x14ac:dyDescent="0.25">
      <c r="AA1407" s="68" t="str">
        <f t="shared" si="85"/>
        <v>Fotos\\.jpg</v>
      </c>
      <c r="AB1407" s="53">
        <f t="shared" si="86"/>
        <v>7.1073205401563609E-4</v>
      </c>
      <c r="AC1407" s="25">
        <f t="shared" si="87"/>
        <v>1407</v>
      </c>
      <c r="AD1407" s="51">
        <f t="shared" si="88"/>
        <v>1</v>
      </c>
      <c r="AE1407" s="25">
        <v>1</v>
      </c>
      <c r="AF1407" s="25">
        <v>1</v>
      </c>
      <c r="AG1407" s="25">
        <v>1</v>
      </c>
      <c r="AH1407" s="25">
        <v>1</v>
      </c>
      <c r="AI1407" s="25">
        <f>IF(OR(Apresentação!$E$3='Base de Dados e filtragem'!AI$2,Apresentação!$E$3='Base de Dados e filtragem'!E1407),1,0)</f>
        <v>1</v>
      </c>
      <c r="AJ1407" s="25">
        <f>IF(OR(Apresentação!$E$4='Base de Dados e filtragem'!AJ$2,Apresentação!$E$4='Base de Dados e filtragem'!F1407),1,0)</f>
        <v>1</v>
      </c>
      <c r="AK1407" s="25">
        <f>IF(OR(Apresentação!$E$5='Base de Dados e filtragem'!AK$2,Apresentação!$E$5='Base de Dados e filtragem'!G1407),1,0)</f>
        <v>1</v>
      </c>
      <c r="AL1407" s="25">
        <f>IF(OR(Apresentação!$E$6='Base de Dados e filtragem'!AL$2,Apresentação!$E$6='Base de Dados e filtragem'!H1407),1,0)</f>
        <v>1</v>
      </c>
      <c r="AM1407" s="25">
        <f>IF(OR(Apresentação!$I$2='Base de Dados e filtragem'!AM$2,Apresentação!$I$2='Base de Dados e filtragem'!I1407),1,0)</f>
        <v>1</v>
      </c>
      <c r="AN1407" s="25">
        <f>IF(OR(Apresentação!$I$3='Base de Dados e filtragem'!AN$2,Apresentação!$I$3='Base de Dados e filtragem'!J1407),1,0)</f>
        <v>1</v>
      </c>
      <c r="AO1407" s="25">
        <f>IF(OR(Apresentação!$I$4='Base de Dados e filtragem'!AO$2,Apresentação!$I$4='Base de Dados e filtragem'!K1407),1,0)</f>
        <v>1</v>
      </c>
      <c r="AP1407" s="25">
        <f>IF(OR(Apresentação!$I$5='Base de Dados e filtragem'!AP$2,Apresentação!$I$5='Base de Dados e filtragem'!L1407),1,0)</f>
        <v>1</v>
      </c>
      <c r="AQ1407" s="25">
        <f>IF(OR(Apresentação!$I$6='Base de Dados e filtragem'!AQ$2,Apresentação!$I$6='Base de Dados e filtragem'!M1407),1,0)</f>
        <v>1</v>
      </c>
      <c r="AR1407" s="25">
        <v>1</v>
      </c>
      <c r="AS1407" s="25">
        <v>1</v>
      </c>
      <c r="AT1407" s="25">
        <v>1</v>
      </c>
      <c r="AU1407" s="25">
        <v>1</v>
      </c>
      <c r="AV1407" s="25">
        <v>1</v>
      </c>
      <c r="AW1407" s="25">
        <v>1</v>
      </c>
      <c r="AX1407" s="25">
        <v>1</v>
      </c>
      <c r="AY1407" s="25">
        <v>1</v>
      </c>
      <c r="AZ1407" s="25">
        <v>1</v>
      </c>
      <c r="BA1407" s="25">
        <v>1</v>
      </c>
      <c r="BB1407" s="25">
        <v>1</v>
      </c>
      <c r="BC1407" s="25">
        <v>1</v>
      </c>
      <c r="BD1407" s="25">
        <v>1</v>
      </c>
    </row>
    <row r="1408" spans="27:56" x14ac:dyDescent="0.25">
      <c r="AA1408" s="68" t="str">
        <f t="shared" si="85"/>
        <v>Fotos\\.jpg</v>
      </c>
      <c r="AB1408" s="53">
        <f t="shared" si="86"/>
        <v>7.1022727272727275E-4</v>
      </c>
      <c r="AC1408" s="25">
        <f t="shared" si="87"/>
        <v>1408</v>
      </c>
      <c r="AD1408" s="51">
        <f t="shared" si="88"/>
        <v>1</v>
      </c>
      <c r="AE1408" s="25">
        <v>1</v>
      </c>
      <c r="AF1408" s="25">
        <v>1</v>
      </c>
      <c r="AG1408" s="25">
        <v>1</v>
      </c>
      <c r="AH1408" s="25">
        <v>1</v>
      </c>
      <c r="AI1408" s="25">
        <f>IF(OR(Apresentação!$E$3='Base de Dados e filtragem'!AI$2,Apresentação!$E$3='Base de Dados e filtragem'!E1408),1,0)</f>
        <v>1</v>
      </c>
      <c r="AJ1408" s="25">
        <f>IF(OR(Apresentação!$E$4='Base de Dados e filtragem'!AJ$2,Apresentação!$E$4='Base de Dados e filtragem'!F1408),1,0)</f>
        <v>1</v>
      </c>
      <c r="AK1408" s="25">
        <f>IF(OR(Apresentação!$E$5='Base de Dados e filtragem'!AK$2,Apresentação!$E$5='Base de Dados e filtragem'!G1408),1,0)</f>
        <v>1</v>
      </c>
      <c r="AL1408" s="25">
        <f>IF(OR(Apresentação!$E$6='Base de Dados e filtragem'!AL$2,Apresentação!$E$6='Base de Dados e filtragem'!H1408),1,0)</f>
        <v>1</v>
      </c>
      <c r="AM1408" s="25">
        <f>IF(OR(Apresentação!$I$2='Base de Dados e filtragem'!AM$2,Apresentação!$I$2='Base de Dados e filtragem'!I1408),1,0)</f>
        <v>1</v>
      </c>
      <c r="AN1408" s="25">
        <f>IF(OR(Apresentação!$I$3='Base de Dados e filtragem'!AN$2,Apresentação!$I$3='Base de Dados e filtragem'!J1408),1,0)</f>
        <v>1</v>
      </c>
      <c r="AO1408" s="25">
        <f>IF(OR(Apresentação!$I$4='Base de Dados e filtragem'!AO$2,Apresentação!$I$4='Base de Dados e filtragem'!K1408),1,0)</f>
        <v>1</v>
      </c>
      <c r="AP1408" s="25">
        <f>IF(OR(Apresentação!$I$5='Base de Dados e filtragem'!AP$2,Apresentação!$I$5='Base de Dados e filtragem'!L1408),1,0)</f>
        <v>1</v>
      </c>
      <c r="AQ1408" s="25">
        <f>IF(OR(Apresentação!$I$6='Base de Dados e filtragem'!AQ$2,Apresentação!$I$6='Base de Dados e filtragem'!M1408),1,0)</f>
        <v>1</v>
      </c>
      <c r="AR1408" s="25">
        <v>1</v>
      </c>
      <c r="AS1408" s="25">
        <v>1</v>
      </c>
      <c r="AT1408" s="25">
        <v>1</v>
      </c>
      <c r="AU1408" s="25">
        <v>1</v>
      </c>
      <c r="AV1408" s="25">
        <v>1</v>
      </c>
      <c r="AW1408" s="25">
        <v>1</v>
      </c>
      <c r="AX1408" s="25">
        <v>1</v>
      </c>
      <c r="AY1408" s="25">
        <v>1</v>
      </c>
      <c r="AZ1408" s="25">
        <v>1</v>
      </c>
      <c r="BA1408" s="25">
        <v>1</v>
      </c>
      <c r="BB1408" s="25">
        <v>1</v>
      </c>
      <c r="BC1408" s="25">
        <v>1</v>
      </c>
      <c r="BD1408" s="25">
        <v>1</v>
      </c>
    </row>
    <row r="1409" spans="27:56" x14ac:dyDescent="0.25">
      <c r="AA1409" s="68" t="str">
        <f t="shared" si="85"/>
        <v>Fotos\\.jpg</v>
      </c>
      <c r="AB1409" s="53">
        <f t="shared" si="86"/>
        <v>7.0972320794889996E-4</v>
      </c>
      <c r="AC1409" s="25">
        <f t="shared" si="87"/>
        <v>1409</v>
      </c>
      <c r="AD1409" s="51">
        <f t="shared" si="88"/>
        <v>1</v>
      </c>
      <c r="AE1409" s="25">
        <v>1</v>
      </c>
      <c r="AF1409" s="25">
        <v>1</v>
      </c>
      <c r="AG1409" s="25">
        <v>1</v>
      </c>
      <c r="AH1409" s="25">
        <v>1</v>
      </c>
      <c r="AI1409" s="25">
        <f>IF(OR(Apresentação!$E$3='Base de Dados e filtragem'!AI$2,Apresentação!$E$3='Base de Dados e filtragem'!E1409),1,0)</f>
        <v>1</v>
      </c>
      <c r="AJ1409" s="25">
        <f>IF(OR(Apresentação!$E$4='Base de Dados e filtragem'!AJ$2,Apresentação!$E$4='Base de Dados e filtragem'!F1409),1,0)</f>
        <v>1</v>
      </c>
      <c r="AK1409" s="25">
        <f>IF(OR(Apresentação!$E$5='Base de Dados e filtragem'!AK$2,Apresentação!$E$5='Base de Dados e filtragem'!G1409),1,0)</f>
        <v>1</v>
      </c>
      <c r="AL1409" s="25">
        <f>IF(OR(Apresentação!$E$6='Base de Dados e filtragem'!AL$2,Apresentação!$E$6='Base de Dados e filtragem'!H1409),1,0)</f>
        <v>1</v>
      </c>
      <c r="AM1409" s="25">
        <f>IF(OR(Apresentação!$I$2='Base de Dados e filtragem'!AM$2,Apresentação!$I$2='Base de Dados e filtragem'!I1409),1,0)</f>
        <v>1</v>
      </c>
      <c r="AN1409" s="25">
        <f>IF(OR(Apresentação!$I$3='Base de Dados e filtragem'!AN$2,Apresentação!$I$3='Base de Dados e filtragem'!J1409),1,0)</f>
        <v>1</v>
      </c>
      <c r="AO1409" s="25">
        <f>IF(OR(Apresentação!$I$4='Base de Dados e filtragem'!AO$2,Apresentação!$I$4='Base de Dados e filtragem'!K1409),1,0)</f>
        <v>1</v>
      </c>
      <c r="AP1409" s="25">
        <f>IF(OR(Apresentação!$I$5='Base de Dados e filtragem'!AP$2,Apresentação!$I$5='Base de Dados e filtragem'!L1409),1,0)</f>
        <v>1</v>
      </c>
      <c r="AQ1409" s="25">
        <f>IF(OR(Apresentação!$I$6='Base de Dados e filtragem'!AQ$2,Apresentação!$I$6='Base de Dados e filtragem'!M1409),1,0)</f>
        <v>1</v>
      </c>
      <c r="AR1409" s="25">
        <v>1</v>
      </c>
      <c r="AS1409" s="25">
        <v>1</v>
      </c>
      <c r="AT1409" s="25">
        <v>1</v>
      </c>
      <c r="AU1409" s="25">
        <v>1</v>
      </c>
      <c r="AV1409" s="25">
        <v>1</v>
      </c>
      <c r="AW1409" s="25">
        <v>1</v>
      </c>
      <c r="AX1409" s="25">
        <v>1</v>
      </c>
      <c r="AY1409" s="25">
        <v>1</v>
      </c>
      <c r="AZ1409" s="25">
        <v>1</v>
      </c>
      <c r="BA1409" s="25">
        <v>1</v>
      </c>
      <c r="BB1409" s="25">
        <v>1</v>
      </c>
      <c r="BC1409" s="25">
        <v>1</v>
      </c>
      <c r="BD1409" s="25">
        <v>1</v>
      </c>
    </row>
    <row r="1410" spans="27:56" x14ac:dyDescent="0.25">
      <c r="AA1410" s="68" t="str">
        <f t="shared" si="85"/>
        <v>Fotos\\.jpg</v>
      </c>
      <c r="AB1410" s="53">
        <f t="shared" si="86"/>
        <v>7.0921985815602842E-4</v>
      </c>
      <c r="AC1410" s="25">
        <f t="shared" si="87"/>
        <v>1410</v>
      </c>
      <c r="AD1410" s="51">
        <f t="shared" si="88"/>
        <v>1</v>
      </c>
      <c r="AE1410" s="25">
        <v>1</v>
      </c>
      <c r="AF1410" s="25">
        <v>1</v>
      </c>
      <c r="AG1410" s="25">
        <v>1</v>
      </c>
      <c r="AH1410" s="25">
        <v>1</v>
      </c>
      <c r="AI1410" s="25">
        <f>IF(OR(Apresentação!$E$3='Base de Dados e filtragem'!AI$2,Apresentação!$E$3='Base de Dados e filtragem'!E1410),1,0)</f>
        <v>1</v>
      </c>
      <c r="AJ1410" s="25">
        <f>IF(OR(Apresentação!$E$4='Base de Dados e filtragem'!AJ$2,Apresentação!$E$4='Base de Dados e filtragem'!F1410),1,0)</f>
        <v>1</v>
      </c>
      <c r="AK1410" s="25">
        <f>IF(OR(Apresentação!$E$5='Base de Dados e filtragem'!AK$2,Apresentação!$E$5='Base de Dados e filtragem'!G1410),1,0)</f>
        <v>1</v>
      </c>
      <c r="AL1410" s="25">
        <f>IF(OR(Apresentação!$E$6='Base de Dados e filtragem'!AL$2,Apresentação!$E$6='Base de Dados e filtragem'!H1410),1,0)</f>
        <v>1</v>
      </c>
      <c r="AM1410" s="25">
        <f>IF(OR(Apresentação!$I$2='Base de Dados e filtragem'!AM$2,Apresentação!$I$2='Base de Dados e filtragem'!I1410),1,0)</f>
        <v>1</v>
      </c>
      <c r="AN1410" s="25">
        <f>IF(OR(Apresentação!$I$3='Base de Dados e filtragem'!AN$2,Apresentação!$I$3='Base de Dados e filtragem'!J1410),1,0)</f>
        <v>1</v>
      </c>
      <c r="AO1410" s="25">
        <f>IF(OR(Apresentação!$I$4='Base de Dados e filtragem'!AO$2,Apresentação!$I$4='Base de Dados e filtragem'!K1410),1,0)</f>
        <v>1</v>
      </c>
      <c r="AP1410" s="25">
        <f>IF(OR(Apresentação!$I$5='Base de Dados e filtragem'!AP$2,Apresentação!$I$5='Base de Dados e filtragem'!L1410),1,0)</f>
        <v>1</v>
      </c>
      <c r="AQ1410" s="25">
        <f>IF(OR(Apresentação!$I$6='Base de Dados e filtragem'!AQ$2,Apresentação!$I$6='Base de Dados e filtragem'!M1410),1,0)</f>
        <v>1</v>
      </c>
      <c r="AR1410" s="25">
        <v>1</v>
      </c>
      <c r="AS1410" s="25">
        <v>1</v>
      </c>
      <c r="AT1410" s="25">
        <v>1</v>
      </c>
      <c r="AU1410" s="25">
        <v>1</v>
      </c>
      <c r="AV1410" s="25">
        <v>1</v>
      </c>
      <c r="AW1410" s="25">
        <v>1</v>
      </c>
      <c r="AX1410" s="25">
        <v>1</v>
      </c>
      <c r="AY1410" s="25">
        <v>1</v>
      </c>
      <c r="AZ1410" s="25">
        <v>1</v>
      </c>
      <c r="BA1410" s="25">
        <v>1</v>
      </c>
      <c r="BB1410" s="25">
        <v>1</v>
      </c>
      <c r="BC1410" s="25">
        <v>1</v>
      </c>
      <c r="BD1410" s="25">
        <v>1</v>
      </c>
    </row>
    <row r="1411" spans="27:56" x14ac:dyDescent="0.25">
      <c r="AA1411" s="68" t="str">
        <f t="shared" si="85"/>
        <v>Fotos\\.jpg</v>
      </c>
      <c r="AB1411" s="53">
        <f t="shared" si="86"/>
        <v>7.0871722182849046E-4</v>
      </c>
      <c r="AC1411" s="25">
        <f t="shared" si="87"/>
        <v>1411</v>
      </c>
      <c r="AD1411" s="51">
        <f t="shared" si="88"/>
        <v>1</v>
      </c>
      <c r="AE1411" s="25">
        <v>1</v>
      </c>
      <c r="AF1411" s="25">
        <v>1</v>
      </c>
      <c r="AG1411" s="25">
        <v>1</v>
      </c>
      <c r="AH1411" s="25">
        <v>1</v>
      </c>
      <c r="AI1411" s="25">
        <f>IF(OR(Apresentação!$E$3='Base de Dados e filtragem'!AI$2,Apresentação!$E$3='Base de Dados e filtragem'!E1411),1,0)</f>
        <v>1</v>
      </c>
      <c r="AJ1411" s="25">
        <f>IF(OR(Apresentação!$E$4='Base de Dados e filtragem'!AJ$2,Apresentação!$E$4='Base de Dados e filtragem'!F1411),1,0)</f>
        <v>1</v>
      </c>
      <c r="AK1411" s="25">
        <f>IF(OR(Apresentação!$E$5='Base de Dados e filtragem'!AK$2,Apresentação!$E$5='Base de Dados e filtragem'!G1411),1,0)</f>
        <v>1</v>
      </c>
      <c r="AL1411" s="25">
        <f>IF(OR(Apresentação!$E$6='Base de Dados e filtragem'!AL$2,Apresentação!$E$6='Base de Dados e filtragem'!H1411),1,0)</f>
        <v>1</v>
      </c>
      <c r="AM1411" s="25">
        <f>IF(OR(Apresentação!$I$2='Base de Dados e filtragem'!AM$2,Apresentação!$I$2='Base de Dados e filtragem'!I1411),1,0)</f>
        <v>1</v>
      </c>
      <c r="AN1411" s="25">
        <f>IF(OR(Apresentação!$I$3='Base de Dados e filtragem'!AN$2,Apresentação!$I$3='Base de Dados e filtragem'!J1411),1,0)</f>
        <v>1</v>
      </c>
      <c r="AO1411" s="25">
        <f>IF(OR(Apresentação!$I$4='Base de Dados e filtragem'!AO$2,Apresentação!$I$4='Base de Dados e filtragem'!K1411),1,0)</f>
        <v>1</v>
      </c>
      <c r="AP1411" s="25">
        <f>IF(OR(Apresentação!$I$5='Base de Dados e filtragem'!AP$2,Apresentação!$I$5='Base de Dados e filtragem'!L1411),1,0)</f>
        <v>1</v>
      </c>
      <c r="AQ1411" s="25">
        <f>IF(OR(Apresentação!$I$6='Base de Dados e filtragem'!AQ$2,Apresentação!$I$6='Base de Dados e filtragem'!M1411),1,0)</f>
        <v>1</v>
      </c>
      <c r="AR1411" s="25">
        <v>1</v>
      </c>
      <c r="AS1411" s="25">
        <v>1</v>
      </c>
      <c r="AT1411" s="25">
        <v>1</v>
      </c>
      <c r="AU1411" s="25">
        <v>1</v>
      </c>
      <c r="AV1411" s="25">
        <v>1</v>
      </c>
      <c r="AW1411" s="25">
        <v>1</v>
      </c>
      <c r="AX1411" s="25">
        <v>1</v>
      </c>
      <c r="AY1411" s="25">
        <v>1</v>
      </c>
      <c r="AZ1411" s="25">
        <v>1</v>
      </c>
      <c r="BA1411" s="25">
        <v>1</v>
      </c>
      <c r="BB1411" s="25">
        <v>1</v>
      </c>
      <c r="BC1411" s="25">
        <v>1</v>
      </c>
      <c r="BD1411" s="25">
        <v>1</v>
      </c>
    </row>
    <row r="1412" spans="27:56" x14ac:dyDescent="0.25">
      <c r="AA1412" s="68" t="str">
        <f t="shared" ref="AA1412:AA1475" si="89">"Fotos\"&amp;I1412&amp;"\"&amp;A1412&amp;".jpg"</f>
        <v>Fotos\\.jpg</v>
      </c>
      <c r="AB1412" s="53">
        <f t="shared" ref="AB1412:AB1475" si="90">AD1412/AC1412</f>
        <v>7.0821529745042496E-4</v>
      </c>
      <c r="AC1412" s="25">
        <f t="shared" ref="AC1412:AC1475" si="91">AC1411+1</f>
        <v>1412</v>
      </c>
      <c r="AD1412" s="51">
        <f t="shared" ref="AD1412:AD1475" si="92">PRODUCT(AE1412:BD1412)</f>
        <v>1</v>
      </c>
      <c r="AE1412" s="25">
        <v>1</v>
      </c>
      <c r="AF1412" s="25">
        <v>1</v>
      </c>
      <c r="AG1412" s="25">
        <v>1</v>
      </c>
      <c r="AH1412" s="25">
        <v>1</v>
      </c>
      <c r="AI1412" s="25">
        <f>IF(OR(Apresentação!$E$3='Base de Dados e filtragem'!AI$2,Apresentação!$E$3='Base de Dados e filtragem'!E1412),1,0)</f>
        <v>1</v>
      </c>
      <c r="AJ1412" s="25">
        <f>IF(OR(Apresentação!$E$4='Base de Dados e filtragem'!AJ$2,Apresentação!$E$4='Base de Dados e filtragem'!F1412),1,0)</f>
        <v>1</v>
      </c>
      <c r="AK1412" s="25">
        <f>IF(OR(Apresentação!$E$5='Base de Dados e filtragem'!AK$2,Apresentação!$E$5='Base de Dados e filtragem'!G1412),1,0)</f>
        <v>1</v>
      </c>
      <c r="AL1412" s="25">
        <f>IF(OR(Apresentação!$E$6='Base de Dados e filtragem'!AL$2,Apresentação!$E$6='Base de Dados e filtragem'!H1412),1,0)</f>
        <v>1</v>
      </c>
      <c r="AM1412" s="25">
        <f>IF(OR(Apresentação!$I$2='Base de Dados e filtragem'!AM$2,Apresentação!$I$2='Base de Dados e filtragem'!I1412),1,0)</f>
        <v>1</v>
      </c>
      <c r="AN1412" s="25">
        <f>IF(OR(Apresentação!$I$3='Base de Dados e filtragem'!AN$2,Apresentação!$I$3='Base de Dados e filtragem'!J1412),1,0)</f>
        <v>1</v>
      </c>
      <c r="AO1412" s="25">
        <f>IF(OR(Apresentação!$I$4='Base de Dados e filtragem'!AO$2,Apresentação!$I$4='Base de Dados e filtragem'!K1412),1,0)</f>
        <v>1</v>
      </c>
      <c r="AP1412" s="25">
        <f>IF(OR(Apresentação!$I$5='Base de Dados e filtragem'!AP$2,Apresentação!$I$5='Base de Dados e filtragem'!L1412),1,0)</f>
        <v>1</v>
      </c>
      <c r="AQ1412" s="25">
        <f>IF(OR(Apresentação!$I$6='Base de Dados e filtragem'!AQ$2,Apresentação!$I$6='Base de Dados e filtragem'!M1412),1,0)</f>
        <v>1</v>
      </c>
      <c r="AR1412" s="25">
        <v>1</v>
      </c>
      <c r="AS1412" s="25">
        <v>1</v>
      </c>
      <c r="AT1412" s="25">
        <v>1</v>
      </c>
      <c r="AU1412" s="25">
        <v>1</v>
      </c>
      <c r="AV1412" s="25">
        <v>1</v>
      </c>
      <c r="AW1412" s="25">
        <v>1</v>
      </c>
      <c r="AX1412" s="25">
        <v>1</v>
      </c>
      <c r="AY1412" s="25">
        <v>1</v>
      </c>
      <c r="AZ1412" s="25">
        <v>1</v>
      </c>
      <c r="BA1412" s="25">
        <v>1</v>
      </c>
      <c r="BB1412" s="25">
        <v>1</v>
      </c>
      <c r="BC1412" s="25">
        <v>1</v>
      </c>
      <c r="BD1412" s="25">
        <v>1</v>
      </c>
    </row>
    <row r="1413" spans="27:56" x14ac:dyDescent="0.25">
      <c r="AA1413" s="68" t="str">
        <f t="shared" si="89"/>
        <v>Fotos\\.jpg</v>
      </c>
      <c r="AB1413" s="53">
        <f t="shared" si="90"/>
        <v>7.0771408351026188E-4</v>
      </c>
      <c r="AC1413" s="25">
        <f t="shared" si="91"/>
        <v>1413</v>
      </c>
      <c r="AD1413" s="51">
        <f t="shared" si="92"/>
        <v>1</v>
      </c>
      <c r="AE1413" s="25">
        <v>1</v>
      </c>
      <c r="AF1413" s="25">
        <v>1</v>
      </c>
      <c r="AG1413" s="25">
        <v>1</v>
      </c>
      <c r="AH1413" s="25">
        <v>1</v>
      </c>
      <c r="AI1413" s="25">
        <f>IF(OR(Apresentação!$E$3='Base de Dados e filtragem'!AI$2,Apresentação!$E$3='Base de Dados e filtragem'!E1413),1,0)</f>
        <v>1</v>
      </c>
      <c r="AJ1413" s="25">
        <f>IF(OR(Apresentação!$E$4='Base de Dados e filtragem'!AJ$2,Apresentação!$E$4='Base de Dados e filtragem'!F1413),1,0)</f>
        <v>1</v>
      </c>
      <c r="AK1413" s="25">
        <f>IF(OR(Apresentação!$E$5='Base de Dados e filtragem'!AK$2,Apresentação!$E$5='Base de Dados e filtragem'!G1413),1,0)</f>
        <v>1</v>
      </c>
      <c r="AL1413" s="25">
        <f>IF(OR(Apresentação!$E$6='Base de Dados e filtragem'!AL$2,Apresentação!$E$6='Base de Dados e filtragem'!H1413),1,0)</f>
        <v>1</v>
      </c>
      <c r="AM1413" s="25">
        <f>IF(OR(Apresentação!$I$2='Base de Dados e filtragem'!AM$2,Apresentação!$I$2='Base de Dados e filtragem'!I1413),1,0)</f>
        <v>1</v>
      </c>
      <c r="AN1413" s="25">
        <f>IF(OR(Apresentação!$I$3='Base de Dados e filtragem'!AN$2,Apresentação!$I$3='Base de Dados e filtragem'!J1413),1,0)</f>
        <v>1</v>
      </c>
      <c r="AO1413" s="25">
        <f>IF(OR(Apresentação!$I$4='Base de Dados e filtragem'!AO$2,Apresentação!$I$4='Base de Dados e filtragem'!K1413),1,0)</f>
        <v>1</v>
      </c>
      <c r="AP1413" s="25">
        <f>IF(OR(Apresentação!$I$5='Base de Dados e filtragem'!AP$2,Apresentação!$I$5='Base de Dados e filtragem'!L1413),1,0)</f>
        <v>1</v>
      </c>
      <c r="AQ1413" s="25">
        <f>IF(OR(Apresentação!$I$6='Base de Dados e filtragem'!AQ$2,Apresentação!$I$6='Base de Dados e filtragem'!M1413),1,0)</f>
        <v>1</v>
      </c>
      <c r="AR1413" s="25">
        <v>1</v>
      </c>
      <c r="AS1413" s="25">
        <v>1</v>
      </c>
      <c r="AT1413" s="25">
        <v>1</v>
      </c>
      <c r="AU1413" s="25">
        <v>1</v>
      </c>
      <c r="AV1413" s="25">
        <v>1</v>
      </c>
      <c r="AW1413" s="25">
        <v>1</v>
      </c>
      <c r="AX1413" s="25">
        <v>1</v>
      </c>
      <c r="AY1413" s="25">
        <v>1</v>
      </c>
      <c r="AZ1413" s="25">
        <v>1</v>
      </c>
      <c r="BA1413" s="25">
        <v>1</v>
      </c>
      <c r="BB1413" s="25">
        <v>1</v>
      </c>
      <c r="BC1413" s="25">
        <v>1</v>
      </c>
      <c r="BD1413" s="25">
        <v>1</v>
      </c>
    </row>
    <row r="1414" spans="27:56" x14ac:dyDescent="0.25">
      <c r="AA1414" s="68" t="str">
        <f t="shared" si="89"/>
        <v>Fotos\\.jpg</v>
      </c>
      <c r="AB1414" s="53">
        <f t="shared" si="90"/>
        <v>7.0721357850070724E-4</v>
      </c>
      <c r="AC1414" s="25">
        <f t="shared" si="91"/>
        <v>1414</v>
      </c>
      <c r="AD1414" s="51">
        <f t="shared" si="92"/>
        <v>1</v>
      </c>
      <c r="AE1414" s="25">
        <v>1</v>
      </c>
      <c r="AF1414" s="25">
        <v>1</v>
      </c>
      <c r="AG1414" s="25">
        <v>1</v>
      </c>
      <c r="AH1414" s="25">
        <v>1</v>
      </c>
      <c r="AI1414" s="25">
        <f>IF(OR(Apresentação!$E$3='Base de Dados e filtragem'!AI$2,Apresentação!$E$3='Base de Dados e filtragem'!E1414),1,0)</f>
        <v>1</v>
      </c>
      <c r="AJ1414" s="25">
        <f>IF(OR(Apresentação!$E$4='Base de Dados e filtragem'!AJ$2,Apresentação!$E$4='Base de Dados e filtragem'!F1414),1,0)</f>
        <v>1</v>
      </c>
      <c r="AK1414" s="25">
        <f>IF(OR(Apresentação!$E$5='Base de Dados e filtragem'!AK$2,Apresentação!$E$5='Base de Dados e filtragem'!G1414),1,0)</f>
        <v>1</v>
      </c>
      <c r="AL1414" s="25">
        <f>IF(OR(Apresentação!$E$6='Base de Dados e filtragem'!AL$2,Apresentação!$E$6='Base de Dados e filtragem'!H1414),1,0)</f>
        <v>1</v>
      </c>
      <c r="AM1414" s="25">
        <f>IF(OR(Apresentação!$I$2='Base de Dados e filtragem'!AM$2,Apresentação!$I$2='Base de Dados e filtragem'!I1414),1,0)</f>
        <v>1</v>
      </c>
      <c r="AN1414" s="25">
        <f>IF(OR(Apresentação!$I$3='Base de Dados e filtragem'!AN$2,Apresentação!$I$3='Base de Dados e filtragem'!J1414),1,0)</f>
        <v>1</v>
      </c>
      <c r="AO1414" s="25">
        <f>IF(OR(Apresentação!$I$4='Base de Dados e filtragem'!AO$2,Apresentação!$I$4='Base de Dados e filtragem'!K1414),1,0)</f>
        <v>1</v>
      </c>
      <c r="AP1414" s="25">
        <f>IF(OR(Apresentação!$I$5='Base de Dados e filtragem'!AP$2,Apresentação!$I$5='Base de Dados e filtragem'!L1414),1,0)</f>
        <v>1</v>
      </c>
      <c r="AQ1414" s="25">
        <f>IF(OR(Apresentação!$I$6='Base de Dados e filtragem'!AQ$2,Apresentação!$I$6='Base de Dados e filtragem'!M1414),1,0)</f>
        <v>1</v>
      </c>
      <c r="AR1414" s="25">
        <v>1</v>
      </c>
      <c r="AS1414" s="25">
        <v>1</v>
      </c>
      <c r="AT1414" s="25">
        <v>1</v>
      </c>
      <c r="AU1414" s="25">
        <v>1</v>
      </c>
      <c r="AV1414" s="25">
        <v>1</v>
      </c>
      <c r="AW1414" s="25">
        <v>1</v>
      </c>
      <c r="AX1414" s="25">
        <v>1</v>
      </c>
      <c r="AY1414" s="25">
        <v>1</v>
      </c>
      <c r="AZ1414" s="25">
        <v>1</v>
      </c>
      <c r="BA1414" s="25">
        <v>1</v>
      </c>
      <c r="BB1414" s="25">
        <v>1</v>
      </c>
      <c r="BC1414" s="25">
        <v>1</v>
      </c>
      <c r="BD1414" s="25">
        <v>1</v>
      </c>
    </row>
    <row r="1415" spans="27:56" x14ac:dyDescent="0.25">
      <c r="AA1415" s="68" t="str">
        <f t="shared" si="89"/>
        <v>Fotos\\.jpg</v>
      </c>
      <c r="AB1415" s="53">
        <f t="shared" si="90"/>
        <v>7.0671378091872788E-4</v>
      </c>
      <c r="AC1415" s="25">
        <f t="shared" si="91"/>
        <v>1415</v>
      </c>
      <c r="AD1415" s="51">
        <f t="shared" si="92"/>
        <v>1</v>
      </c>
      <c r="AE1415" s="25">
        <v>1</v>
      </c>
      <c r="AF1415" s="25">
        <v>1</v>
      </c>
      <c r="AG1415" s="25">
        <v>1</v>
      </c>
      <c r="AH1415" s="25">
        <v>1</v>
      </c>
      <c r="AI1415" s="25">
        <f>IF(OR(Apresentação!$E$3='Base de Dados e filtragem'!AI$2,Apresentação!$E$3='Base de Dados e filtragem'!E1415),1,0)</f>
        <v>1</v>
      </c>
      <c r="AJ1415" s="25">
        <f>IF(OR(Apresentação!$E$4='Base de Dados e filtragem'!AJ$2,Apresentação!$E$4='Base de Dados e filtragem'!F1415),1,0)</f>
        <v>1</v>
      </c>
      <c r="AK1415" s="25">
        <f>IF(OR(Apresentação!$E$5='Base de Dados e filtragem'!AK$2,Apresentação!$E$5='Base de Dados e filtragem'!G1415),1,0)</f>
        <v>1</v>
      </c>
      <c r="AL1415" s="25">
        <f>IF(OR(Apresentação!$E$6='Base de Dados e filtragem'!AL$2,Apresentação!$E$6='Base de Dados e filtragem'!H1415),1,0)</f>
        <v>1</v>
      </c>
      <c r="AM1415" s="25">
        <f>IF(OR(Apresentação!$I$2='Base de Dados e filtragem'!AM$2,Apresentação!$I$2='Base de Dados e filtragem'!I1415),1,0)</f>
        <v>1</v>
      </c>
      <c r="AN1415" s="25">
        <f>IF(OR(Apresentação!$I$3='Base de Dados e filtragem'!AN$2,Apresentação!$I$3='Base de Dados e filtragem'!J1415),1,0)</f>
        <v>1</v>
      </c>
      <c r="AO1415" s="25">
        <f>IF(OR(Apresentação!$I$4='Base de Dados e filtragem'!AO$2,Apresentação!$I$4='Base de Dados e filtragem'!K1415),1,0)</f>
        <v>1</v>
      </c>
      <c r="AP1415" s="25">
        <f>IF(OR(Apresentação!$I$5='Base de Dados e filtragem'!AP$2,Apresentação!$I$5='Base de Dados e filtragem'!L1415),1,0)</f>
        <v>1</v>
      </c>
      <c r="AQ1415" s="25">
        <f>IF(OR(Apresentação!$I$6='Base de Dados e filtragem'!AQ$2,Apresentação!$I$6='Base de Dados e filtragem'!M1415),1,0)</f>
        <v>1</v>
      </c>
      <c r="AR1415" s="25">
        <v>1</v>
      </c>
      <c r="AS1415" s="25">
        <v>1</v>
      </c>
      <c r="AT1415" s="25">
        <v>1</v>
      </c>
      <c r="AU1415" s="25">
        <v>1</v>
      </c>
      <c r="AV1415" s="25">
        <v>1</v>
      </c>
      <c r="AW1415" s="25">
        <v>1</v>
      </c>
      <c r="AX1415" s="25">
        <v>1</v>
      </c>
      <c r="AY1415" s="25">
        <v>1</v>
      </c>
      <c r="AZ1415" s="25">
        <v>1</v>
      </c>
      <c r="BA1415" s="25">
        <v>1</v>
      </c>
      <c r="BB1415" s="25">
        <v>1</v>
      </c>
      <c r="BC1415" s="25">
        <v>1</v>
      </c>
      <c r="BD1415" s="25">
        <v>1</v>
      </c>
    </row>
    <row r="1416" spans="27:56" x14ac:dyDescent="0.25">
      <c r="AA1416" s="68" t="str">
        <f t="shared" si="89"/>
        <v>Fotos\\.jpg</v>
      </c>
      <c r="AB1416" s="53">
        <f t="shared" si="90"/>
        <v>7.0621468926553672E-4</v>
      </c>
      <c r="AC1416" s="25">
        <f t="shared" si="91"/>
        <v>1416</v>
      </c>
      <c r="AD1416" s="51">
        <f t="shared" si="92"/>
        <v>1</v>
      </c>
      <c r="AE1416" s="25">
        <v>1</v>
      </c>
      <c r="AF1416" s="25">
        <v>1</v>
      </c>
      <c r="AG1416" s="25">
        <v>1</v>
      </c>
      <c r="AH1416" s="25">
        <v>1</v>
      </c>
      <c r="AI1416" s="25">
        <f>IF(OR(Apresentação!$E$3='Base de Dados e filtragem'!AI$2,Apresentação!$E$3='Base de Dados e filtragem'!E1416),1,0)</f>
        <v>1</v>
      </c>
      <c r="AJ1416" s="25">
        <f>IF(OR(Apresentação!$E$4='Base de Dados e filtragem'!AJ$2,Apresentação!$E$4='Base de Dados e filtragem'!F1416),1,0)</f>
        <v>1</v>
      </c>
      <c r="AK1416" s="25">
        <f>IF(OR(Apresentação!$E$5='Base de Dados e filtragem'!AK$2,Apresentação!$E$5='Base de Dados e filtragem'!G1416),1,0)</f>
        <v>1</v>
      </c>
      <c r="AL1416" s="25">
        <f>IF(OR(Apresentação!$E$6='Base de Dados e filtragem'!AL$2,Apresentação!$E$6='Base de Dados e filtragem'!H1416),1,0)</f>
        <v>1</v>
      </c>
      <c r="AM1416" s="25">
        <f>IF(OR(Apresentação!$I$2='Base de Dados e filtragem'!AM$2,Apresentação!$I$2='Base de Dados e filtragem'!I1416),1,0)</f>
        <v>1</v>
      </c>
      <c r="AN1416" s="25">
        <f>IF(OR(Apresentação!$I$3='Base de Dados e filtragem'!AN$2,Apresentação!$I$3='Base de Dados e filtragem'!J1416),1,0)</f>
        <v>1</v>
      </c>
      <c r="AO1416" s="25">
        <f>IF(OR(Apresentação!$I$4='Base de Dados e filtragem'!AO$2,Apresentação!$I$4='Base de Dados e filtragem'!K1416),1,0)</f>
        <v>1</v>
      </c>
      <c r="AP1416" s="25">
        <f>IF(OR(Apresentação!$I$5='Base de Dados e filtragem'!AP$2,Apresentação!$I$5='Base de Dados e filtragem'!L1416),1,0)</f>
        <v>1</v>
      </c>
      <c r="AQ1416" s="25">
        <f>IF(OR(Apresentação!$I$6='Base de Dados e filtragem'!AQ$2,Apresentação!$I$6='Base de Dados e filtragem'!M1416),1,0)</f>
        <v>1</v>
      </c>
      <c r="AR1416" s="25">
        <v>1</v>
      </c>
      <c r="AS1416" s="25">
        <v>1</v>
      </c>
      <c r="AT1416" s="25">
        <v>1</v>
      </c>
      <c r="AU1416" s="25">
        <v>1</v>
      </c>
      <c r="AV1416" s="25">
        <v>1</v>
      </c>
      <c r="AW1416" s="25">
        <v>1</v>
      </c>
      <c r="AX1416" s="25">
        <v>1</v>
      </c>
      <c r="AY1416" s="25">
        <v>1</v>
      </c>
      <c r="AZ1416" s="25">
        <v>1</v>
      </c>
      <c r="BA1416" s="25">
        <v>1</v>
      </c>
      <c r="BB1416" s="25">
        <v>1</v>
      </c>
      <c r="BC1416" s="25">
        <v>1</v>
      </c>
      <c r="BD1416" s="25">
        <v>1</v>
      </c>
    </row>
    <row r="1417" spans="27:56" x14ac:dyDescent="0.25">
      <c r="AA1417" s="68" t="str">
        <f t="shared" si="89"/>
        <v>Fotos\\.jpg</v>
      </c>
      <c r="AB1417" s="53">
        <f t="shared" si="90"/>
        <v>7.0571630204657732E-4</v>
      </c>
      <c r="AC1417" s="25">
        <f t="shared" si="91"/>
        <v>1417</v>
      </c>
      <c r="AD1417" s="51">
        <f t="shared" si="92"/>
        <v>1</v>
      </c>
      <c r="AE1417" s="25">
        <v>1</v>
      </c>
      <c r="AF1417" s="25">
        <v>1</v>
      </c>
      <c r="AG1417" s="25">
        <v>1</v>
      </c>
      <c r="AH1417" s="25">
        <v>1</v>
      </c>
      <c r="AI1417" s="25">
        <f>IF(OR(Apresentação!$E$3='Base de Dados e filtragem'!AI$2,Apresentação!$E$3='Base de Dados e filtragem'!E1417),1,0)</f>
        <v>1</v>
      </c>
      <c r="AJ1417" s="25">
        <f>IF(OR(Apresentação!$E$4='Base de Dados e filtragem'!AJ$2,Apresentação!$E$4='Base de Dados e filtragem'!F1417),1,0)</f>
        <v>1</v>
      </c>
      <c r="AK1417" s="25">
        <f>IF(OR(Apresentação!$E$5='Base de Dados e filtragem'!AK$2,Apresentação!$E$5='Base de Dados e filtragem'!G1417),1,0)</f>
        <v>1</v>
      </c>
      <c r="AL1417" s="25">
        <f>IF(OR(Apresentação!$E$6='Base de Dados e filtragem'!AL$2,Apresentação!$E$6='Base de Dados e filtragem'!H1417),1,0)</f>
        <v>1</v>
      </c>
      <c r="AM1417" s="25">
        <f>IF(OR(Apresentação!$I$2='Base de Dados e filtragem'!AM$2,Apresentação!$I$2='Base de Dados e filtragem'!I1417),1,0)</f>
        <v>1</v>
      </c>
      <c r="AN1417" s="25">
        <f>IF(OR(Apresentação!$I$3='Base de Dados e filtragem'!AN$2,Apresentação!$I$3='Base de Dados e filtragem'!J1417),1,0)</f>
        <v>1</v>
      </c>
      <c r="AO1417" s="25">
        <f>IF(OR(Apresentação!$I$4='Base de Dados e filtragem'!AO$2,Apresentação!$I$4='Base de Dados e filtragem'!K1417),1,0)</f>
        <v>1</v>
      </c>
      <c r="AP1417" s="25">
        <f>IF(OR(Apresentação!$I$5='Base de Dados e filtragem'!AP$2,Apresentação!$I$5='Base de Dados e filtragem'!L1417),1,0)</f>
        <v>1</v>
      </c>
      <c r="AQ1417" s="25">
        <f>IF(OR(Apresentação!$I$6='Base de Dados e filtragem'!AQ$2,Apresentação!$I$6='Base de Dados e filtragem'!M1417),1,0)</f>
        <v>1</v>
      </c>
      <c r="AR1417" s="25">
        <v>1</v>
      </c>
      <c r="AS1417" s="25">
        <v>1</v>
      </c>
      <c r="AT1417" s="25">
        <v>1</v>
      </c>
      <c r="AU1417" s="25">
        <v>1</v>
      </c>
      <c r="AV1417" s="25">
        <v>1</v>
      </c>
      <c r="AW1417" s="25">
        <v>1</v>
      </c>
      <c r="AX1417" s="25">
        <v>1</v>
      </c>
      <c r="AY1417" s="25">
        <v>1</v>
      </c>
      <c r="AZ1417" s="25">
        <v>1</v>
      </c>
      <c r="BA1417" s="25">
        <v>1</v>
      </c>
      <c r="BB1417" s="25">
        <v>1</v>
      </c>
      <c r="BC1417" s="25">
        <v>1</v>
      </c>
      <c r="BD1417" s="25">
        <v>1</v>
      </c>
    </row>
    <row r="1418" spans="27:56" x14ac:dyDescent="0.25">
      <c r="AA1418" s="68" t="str">
        <f t="shared" si="89"/>
        <v>Fotos\\.jpg</v>
      </c>
      <c r="AB1418" s="53">
        <f t="shared" si="90"/>
        <v>7.0521861777150916E-4</v>
      </c>
      <c r="AC1418" s="25">
        <f t="shared" si="91"/>
        <v>1418</v>
      </c>
      <c r="AD1418" s="51">
        <f t="shared" si="92"/>
        <v>1</v>
      </c>
      <c r="AE1418" s="25">
        <v>1</v>
      </c>
      <c r="AF1418" s="25">
        <v>1</v>
      </c>
      <c r="AG1418" s="25">
        <v>1</v>
      </c>
      <c r="AH1418" s="25">
        <v>1</v>
      </c>
      <c r="AI1418" s="25">
        <f>IF(OR(Apresentação!$E$3='Base de Dados e filtragem'!AI$2,Apresentação!$E$3='Base de Dados e filtragem'!E1418),1,0)</f>
        <v>1</v>
      </c>
      <c r="AJ1418" s="25">
        <f>IF(OR(Apresentação!$E$4='Base de Dados e filtragem'!AJ$2,Apresentação!$E$4='Base de Dados e filtragem'!F1418),1,0)</f>
        <v>1</v>
      </c>
      <c r="AK1418" s="25">
        <f>IF(OR(Apresentação!$E$5='Base de Dados e filtragem'!AK$2,Apresentação!$E$5='Base de Dados e filtragem'!G1418),1,0)</f>
        <v>1</v>
      </c>
      <c r="AL1418" s="25">
        <f>IF(OR(Apresentação!$E$6='Base de Dados e filtragem'!AL$2,Apresentação!$E$6='Base de Dados e filtragem'!H1418),1,0)</f>
        <v>1</v>
      </c>
      <c r="AM1418" s="25">
        <f>IF(OR(Apresentação!$I$2='Base de Dados e filtragem'!AM$2,Apresentação!$I$2='Base de Dados e filtragem'!I1418),1,0)</f>
        <v>1</v>
      </c>
      <c r="AN1418" s="25">
        <f>IF(OR(Apresentação!$I$3='Base de Dados e filtragem'!AN$2,Apresentação!$I$3='Base de Dados e filtragem'!J1418),1,0)</f>
        <v>1</v>
      </c>
      <c r="AO1418" s="25">
        <f>IF(OR(Apresentação!$I$4='Base de Dados e filtragem'!AO$2,Apresentação!$I$4='Base de Dados e filtragem'!K1418),1,0)</f>
        <v>1</v>
      </c>
      <c r="AP1418" s="25">
        <f>IF(OR(Apresentação!$I$5='Base de Dados e filtragem'!AP$2,Apresentação!$I$5='Base de Dados e filtragem'!L1418),1,0)</f>
        <v>1</v>
      </c>
      <c r="AQ1418" s="25">
        <f>IF(OR(Apresentação!$I$6='Base de Dados e filtragem'!AQ$2,Apresentação!$I$6='Base de Dados e filtragem'!M1418),1,0)</f>
        <v>1</v>
      </c>
      <c r="AR1418" s="25">
        <v>1</v>
      </c>
      <c r="AS1418" s="25">
        <v>1</v>
      </c>
      <c r="AT1418" s="25">
        <v>1</v>
      </c>
      <c r="AU1418" s="25">
        <v>1</v>
      </c>
      <c r="AV1418" s="25">
        <v>1</v>
      </c>
      <c r="AW1418" s="25">
        <v>1</v>
      </c>
      <c r="AX1418" s="25">
        <v>1</v>
      </c>
      <c r="AY1418" s="25">
        <v>1</v>
      </c>
      <c r="AZ1418" s="25">
        <v>1</v>
      </c>
      <c r="BA1418" s="25">
        <v>1</v>
      </c>
      <c r="BB1418" s="25">
        <v>1</v>
      </c>
      <c r="BC1418" s="25">
        <v>1</v>
      </c>
      <c r="BD1418" s="25">
        <v>1</v>
      </c>
    </row>
    <row r="1419" spans="27:56" x14ac:dyDescent="0.25">
      <c r="AA1419" s="68" t="str">
        <f t="shared" si="89"/>
        <v>Fotos\\.jpg</v>
      </c>
      <c r="AB1419" s="53">
        <f t="shared" si="90"/>
        <v>7.0472163495419312E-4</v>
      </c>
      <c r="AC1419" s="25">
        <f t="shared" si="91"/>
        <v>1419</v>
      </c>
      <c r="AD1419" s="51">
        <f t="shared" si="92"/>
        <v>1</v>
      </c>
      <c r="AE1419" s="25">
        <v>1</v>
      </c>
      <c r="AF1419" s="25">
        <v>1</v>
      </c>
      <c r="AG1419" s="25">
        <v>1</v>
      </c>
      <c r="AH1419" s="25">
        <v>1</v>
      </c>
      <c r="AI1419" s="25">
        <f>IF(OR(Apresentação!$E$3='Base de Dados e filtragem'!AI$2,Apresentação!$E$3='Base de Dados e filtragem'!E1419),1,0)</f>
        <v>1</v>
      </c>
      <c r="AJ1419" s="25">
        <f>IF(OR(Apresentação!$E$4='Base de Dados e filtragem'!AJ$2,Apresentação!$E$4='Base de Dados e filtragem'!F1419),1,0)</f>
        <v>1</v>
      </c>
      <c r="AK1419" s="25">
        <f>IF(OR(Apresentação!$E$5='Base de Dados e filtragem'!AK$2,Apresentação!$E$5='Base de Dados e filtragem'!G1419),1,0)</f>
        <v>1</v>
      </c>
      <c r="AL1419" s="25">
        <f>IF(OR(Apresentação!$E$6='Base de Dados e filtragem'!AL$2,Apresentação!$E$6='Base de Dados e filtragem'!H1419),1,0)</f>
        <v>1</v>
      </c>
      <c r="AM1419" s="25">
        <f>IF(OR(Apresentação!$I$2='Base de Dados e filtragem'!AM$2,Apresentação!$I$2='Base de Dados e filtragem'!I1419),1,0)</f>
        <v>1</v>
      </c>
      <c r="AN1419" s="25">
        <f>IF(OR(Apresentação!$I$3='Base de Dados e filtragem'!AN$2,Apresentação!$I$3='Base de Dados e filtragem'!J1419),1,0)</f>
        <v>1</v>
      </c>
      <c r="AO1419" s="25">
        <f>IF(OR(Apresentação!$I$4='Base de Dados e filtragem'!AO$2,Apresentação!$I$4='Base de Dados e filtragem'!K1419),1,0)</f>
        <v>1</v>
      </c>
      <c r="AP1419" s="25">
        <f>IF(OR(Apresentação!$I$5='Base de Dados e filtragem'!AP$2,Apresentação!$I$5='Base de Dados e filtragem'!L1419),1,0)</f>
        <v>1</v>
      </c>
      <c r="AQ1419" s="25">
        <f>IF(OR(Apresentação!$I$6='Base de Dados e filtragem'!AQ$2,Apresentação!$I$6='Base de Dados e filtragem'!M1419),1,0)</f>
        <v>1</v>
      </c>
      <c r="AR1419" s="25">
        <v>1</v>
      </c>
      <c r="AS1419" s="25">
        <v>1</v>
      </c>
      <c r="AT1419" s="25">
        <v>1</v>
      </c>
      <c r="AU1419" s="25">
        <v>1</v>
      </c>
      <c r="AV1419" s="25">
        <v>1</v>
      </c>
      <c r="AW1419" s="25">
        <v>1</v>
      </c>
      <c r="AX1419" s="25">
        <v>1</v>
      </c>
      <c r="AY1419" s="25">
        <v>1</v>
      </c>
      <c r="AZ1419" s="25">
        <v>1</v>
      </c>
      <c r="BA1419" s="25">
        <v>1</v>
      </c>
      <c r="BB1419" s="25">
        <v>1</v>
      </c>
      <c r="BC1419" s="25">
        <v>1</v>
      </c>
      <c r="BD1419" s="25">
        <v>1</v>
      </c>
    </row>
    <row r="1420" spans="27:56" x14ac:dyDescent="0.25">
      <c r="AA1420" s="68" t="str">
        <f t="shared" si="89"/>
        <v>Fotos\\.jpg</v>
      </c>
      <c r="AB1420" s="53">
        <f t="shared" si="90"/>
        <v>7.0422535211267609E-4</v>
      </c>
      <c r="AC1420" s="25">
        <f t="shared" si="91"/>
        <v>1420</v>
      </c>
      <c r="AD1420" s="51">
        <f t="shared" si="92"/>
        <v>1</v>
      </c>
      <c r="AE1420" s="25">
        <v>1</v>
      </c>
      <c r="AF1420" s="25">
        <v>1</v>
      </c>
      <c r="AG1420" s="25">
        <v>1</v>
      </c>
      <c r="AH1420" s="25">
        <v>1</v>
      </c>
      <c r="AI1420" s="25">
        <f>IF(OR(Apresentação!$E$3='Base de Dados e filtragem'!AI$2,Apresentação!$E$3='Base de Dados e filtragem'!E1420),1,0)</f>
        <v>1</v>
      </c>
      <c r="AJ1420" s="25">
        <f>IF(OR(Apresentação!$E$4='Base de Dados e filtragem'!AJ$2,Apresentação!$E$4='Base de Dados e filtragem'!F1420),1,0)</f>
        <v>1</v>
      </c>
      <c r="AK1420" s="25">
        <f>IF(OR(Apresentação!$E$5='Base de Dados e filtragem'!AK$2,Apresentação!$E$5='Base de Dados e filtragem'!G1420),1,0)</f>
        <v>1</v>
      </c>
      <c r="AL1420" s="25">
        <f>IF(OR(Apresentação!$E$6='Base de Dados e filtragem'!AL$2,Apresentação!$E$6='Base de Dados e filtragem'!H1420),1,0)</f>
        <v>1</v>
      </c>
      <c r="AM1420" s="25">
        <f>IF(OR(Apresentação!$I$2='Base de Dados e filtragem'!AM$2,Apresentação!$I$2='Base de Dados e filtragem'!I1420),1,0)</f>
        <v>1</v>
      </c>
      <c r="AN1420" s="25">
        <f>IF(OR(Apresentação!$I$3='Base de Dados e filtragem'!AN$2,Apresentação!$I$3='Base de Dados e filtragem'!J1420),1,0)</f>
        <v>1</v>
      </c>
      <c r="AO1420" s="25">
        <f>IF(OR(Apresentação!$I$4='Base de Dados e filtragem'!AO$2,Apresentação!$I$4='Base de Dados e filtragem'!K1420),1,0)</f>
        <v>1</v>
      </c>
      <c r="AP1420" s="25">
        <f>IF(OR(Apresentação!$I$5='Base de Dados e filtragem'!AP$2,Apresentação!$I$5='Base de Dados e filtragem'!L1420),1,0)</f>
        <v>1</v>
      </c>
      <c r="AQ1420" s="25">
        <f>IF(OR(Apresentação!$I$6='Base de Dados e filtragem'!AQ$2,Apresentação!$I$6='Base de Dados e filtragem'!M1420),1,0)</f>
        <v>1</v>
      </c>
      <c r="AR1420" s="25">
        <v>1</v>
      </c>
      <c r="AS1420" s="25">
        <v>1</v>
      </c>
      <c r="AT1420" s="25">
        <v>1</v>
      </c>
      <c r="AU1420" s="25">
        <v>1</v>
      </c>
      <c r="AV1420" s="25">
        <v>1</v>
      </c>
      <c r="AW1420" s="25">
        <v>1</v>
      </c>
      <c r="AX1420" s="25">
        <v>1</v>
      </c>
      <c r="AY1420" s="25">
        <v>1</v>
      </c>
      <c r="AZ1420" s="25">
        <v>1</v>
      </c>
      <c r="BA1420" s="25">
        <v>1</v>
      </c>
      <c r="BB1420" s="25">
        <v>1</v>
      </c>
      <c r="BC1420" s="25">
        <v>1</v>
      </c>
      <c r="BD1420" s="25">
        <v>1</v>
      </c>
    </row>
    <row r="1421" spans="27:56" x14ac:dyDescent="0.25">
      <c r="AA1421" s="68" t="str">
        <f t="shared" si="89"/>
        <v>Fotos\\.jpg</v>
      </c>
      <c r="AB1421" s="53">
        <f t="shared" si="90"/>
        <v>7.0372976776917663E-4</v>
      </c>
      <c r="AC1421" s="25">
        <f t="shared" si="91"/>
        <v>1421</v>
      </c>
      <c r="AD1421" s="51">
        <f t="shared" si="92"/>
        <v>1</v>
      </c>
      <c r="AE1421" s="25">
        <v>1</v>
      </c>
      <c r="AF1421" s="25">
        <v>1</v>
      </c>
      <c r="AG1421" s="25">
        <v>1</v>
      </c>
      <c r="AH1421" s="25">
        <v>1</v>
      </c>
      <c r="AI1421" s="25">
        <f>IF(OR(Apresentação!$E$3='Base de Dados e filtragem'!AI$2,Apresentação!$E$3='Base de Dados e filtragem'!E1421),1,0)</f>
        <v>1</v>
      </c>
      <c r="AJ1421" s="25">
        <f>IF(OR(Apresentação!$E$4='Base de Dados e filtragem'!AJ$2,Apresentação!$E$4='Base de Dados e filtragem'!F1421),1,0)</f>
        <v>1</v>
      </c>
      <c r="AK1421" s="25">
        <f>IF(OR(Apresentação!$E$5='Base de Dados e filtragem'!AK$2,Apresentação!$E$5='Base de Dados e filtragem'!G1421),1,0)</f>
        <v>1</v>
      </c>
      <c r="AL1421" s="25">
        <f>IF(OR(Apresentação!$E$6='Base de Dados e filtragem'!AL$2,Apresentação!$E$6='Base de Dados e filtragem'!H1421),1,0)</f>
        <v>1</v>
      </c>
      <c r="AM1421" s="25">
        <f>IF(OR(Apresentação!$I$2='Base de Dados e filtragem'!AM$2,Apresentação!$I$2='Base de Dados e filtragem'!I1421),1,0)</f>
        <v>1</v>
      </c>
      <c r="AN1421" s="25">
        <f>IF(OR(Apresentação!$I$3='Base de Dados e filtragem'!AN$2,Apresentação!$I$3='Base de Dados e filtragem'!J1421),1,0)</f>
        <v>1</v>
      </c>
      <c r="AO1421" s="25">
        <f>IF(OR(Apresentação!$I$4='Base de Dados e filtragem'!AO$2,Apresentação!$I$4='Base de Dados e filtragem'!K1421),1,0)</f>
        <v>1</v>
      </c>
      <c r="AP1421" s="25">
        <f>IF(OR(Apresentação!$I$5='Base de Dados e filtragem'!AP$2,Apresentação!$I$5='Base de Dados e filtragem'!L1421),1,0)</f>
        <v>1</v>
      </c>
      <c r="AQ1421" s="25">
        <f>IF(OR(Apresentação!$I$6='Base de Dados e filtragem'!AQ$2,Apresentação!$I$6='Base de Dados e filtragem'!M1421),1,0)</f>
        <v>1</v>
      </c>
      <c r="AR1421" s="25">
        <v>1</v>
      </c>
      <c r="AS1421" s="25">
        <v>1</v>
      </c>
      <c r="AT1421" s="25">
        <v>1</v>
      </c>
      <c r="AU1421" s="25">
        <v>1</v>
      </c>
      <c r="AV1421" s="25">
        <v>1</v>
      </c>
      <c r="AW1421" s="25">
        <v>1</v>
      </c>
      <c r="AX1421" s="25">
        <v>1</v>
      </c>
      <c r="AY1421" s="25">
        <v>1</v>
      </c>
      <c r="AZ1421" s="25">
        <v>1</v>
      </c>
      <c r="BA1421" s="25">
        <v>1</v>
      </c>
      <c r="BB1421" s="25">
        <v>1</v>
      </c>
      <c r="BC1421" s="25">
        <v>1</v>
      </c>
      <c r="BD1421" s="25">
        <v>1</v>
      </c>
    </row>
    <row r="1422" spans="27:56" x14ac:dyDescent="0.25">
      <c r="AA1422" s="68" t="str">
        <f t="shared" si="89"/>
        <v>Fotos\\.jpg</v>
      </c>
      <c r="AB1422" s="53">
        <f t="shared" si="90"/>
        <v>7.0323488045007034E-4</v>
      </c>
      <c r="AC1422" s="25">
        <f t="shared" si="91"/>
        <v>1422</v>
      </c>
      <c r="AD1422" s="51">
        <f t="shared" si="92"/>
        <v>1</v>
      </c>
      <c r="AE1422" s="25">
        <v>1</v>
      </c>
      <c r="AF1422" s="25">
        <v>1</v>
      </c>
      <c r="AG1422" s="25">
        <v>1</v>
      </c>
      <c r="AH1422" s="25">
        <v>1</v>
      </c>
      <c r="AI1422" s="25">
        <f>IF(OR(Apresentação!$E$3='Base de Dados e filtragem'!AI$2,Apresentação!$E$3='Base de Dados e filtragem'!E1422),1,0)</f>
        <v>1</v>
      </c>
      <c r="AJ1422" s="25">
        <f>IF(OR(Apresentação!$E$4='Base de Dados e filtragem'!AJ$2,Apresentação!$E$4='Base de Dados e filtragem'!F1422),1,0)</f>
        <v>1</v>
      </c>
      <c r="AK1422" s="25">
        <f>IF(OR(Apresentação!$E$5='Base de Dados e filtragem'!AK$2,Apresentação!$E$5='Base de Dados e filtragem'!G1422),1,0)</f>
        <v>1</v>
      </c>
      <c r="AL1422" s="25">
        <f>IF(OR(Apresentação!$E$6='Base de Dados e filtragem'!AL$2,Apresentação!$E$6='Base de Dados e filtragem'!H1422),1,0)</f>
        <v>1</v>
      </c>
      <c r="AM1422" s="25">
        <f>IF(OR(Apresentação!$I$2='Base de Dados e filtragem'!AM$2,Apresentação!$I$2='Base de Dados e filtragem'!I1422),1,0)</f>
        <v>1</v>
      </c>
      <c r="AN1422" s="25">
        <f>IF(OR(Apresentação!$I$3='Base de Dados e filtragem'!AN$2,Apresentação!$I$3='Base de Dados e filtragem'!J1422),1,0)</f>
        <v>1</v>
      </c>
      <c r="AO1422" s="25">
        <f>IF(OR(Apresentação!$I$4='Base de Dados e filtragem'!AO$2,Apresentação!$I$4='Base de Dados e filtragem'!K1422),1,0)</f>
        <v>1</v>
      </c>
      <c r="AP1422" s="25">
        <f>IF(OR(Apresentação!$I$5='Base de Dados e filtragem'!AP$2,Apresentação!$I$5='Base de Dados e filtragem'!L1422),1,0)</f>
        <v>1</v>
      </c>
      <c r="AQ1422" s="25">
        <f>IF(OR(Apresentação!$I$6='Base de Dados e filtragem'!AQ$2,Apresentação!$I$6='Base de Dados e filtragem'!M1422),1,0)</f>
        <v>1</v>
      </c>
      <c r="AR1422" s="25">
        <v>1</v>
      </c>
      <c r="AS1422" s="25">
        <v>1</v>
      </c>
      <c r="AT1422" s="25">
        <v>1</v>
      </c>
      <c r="AU1422" s="25">
        <v>1</v>
      </c>
      <c r="AV1422" s="25">
        <v>1</v>
      </c>
      <c r="AW1422" s="25">
        <v>1</v>
      </c>
      <c r="AX1422" s="25">
        <v>1</v>
      </c>
      <c r="AY1422" s="25">
        <v>1</v>
      </c>
      <c r="AZ1422" s="25">
        <v>1</v>
      </c>
      <c r="BA1422" s="25">
        <v>1</v>
      </c>
      <c r="BB1422" s="25">
        <v>1</v>
      </c>
      <c r="BC1422" s="25">
        <v>1</v>
      </c>
      <c r="BD1422" s="25">
        <v>1</v>
      </c>
    </row>
    <row r="1423" spans="27:56" x14ac:dyDescent="0.25">
      <c r="AA1423" s="68" t="str">
        <f t="shared" si="89"/>
        <v>Fotos\\.jpg</v>
      </c>
      <c r="AB1423" s="53">
        <f t="shared" si="90"/>
        <v>7.0274068868587491E-4</v>
      </c>
      <c r="AC1423" s="25">
        <f t="shared" si="91"/>
        <v>1423</v>
      </c>
      <c r="AD1423" s="51">
        <f t="shared" si="92"/>
        <v>1</v>
      </c>
      <c r="AE1423" s="25">
        <v>1</v>
      </c>
      <c r="AF1423" s="25">
        <v>1</v>
      </c>
      <c r="AG1423" s="25">
        <v>1</v>
      </c>
      <c r="AH1423" s="25">
        <v>1</v>
      </c>
      <c r="AI1423" s="25">
        <f>IF(OR(Apresentação!$E$3='Base de Dados e filtragem'!AI$2,Apresentação!$E$3='Base de Dados e filtragem'!E1423),1,0)</f>
        <v>1</v>
      </c>
      <c r="AJ1423" s="25">
        <f>IF(OR(Apresentação!$E$4='Base de Dados e filtragem'!AJ$2,Apresentação!$E$4='Base de Dados e filtragem'!F1423),1,0)</f>
        <v>1</v>
      </c>
      <c r="AK1423" s="25">
        <f>IF(OR(Apresentação!$E$5='Base de Dados e filtragem'!AK$2,Apresentação!$E$5='Base de Dados e filtragem'!G1423),1,0)</f>
        <v>1</v>
      </c>
      <c r="AL1423" s="25">
        <f>IF(OR(Apresentação!$E$6='Base de Dados e filtragem'!AL$2,Apresentação!$E$6='Base de Dados e filtragem'!H1423),1,0)</f>
        <v>1</v>
      </c>
      <c r="AM1423" s="25">
        <f>IF(OR(Apresentação!$I$2='Base de Dados e filtragem'!AM$2,Apresentação!$I$2='Base de Dados e filtragem'!I1423),1,0)</f>
        <v>1</v>
      </c>
      <c r="AN1423" s="25">
        <f>IF(OR(Apresentação!$I$3='Base de Dados e filtragem'!AN$2,Apresentação!$I$3='Base de Dados e filtragem'!J1423),1,0)</f>
        <v>1</v>
      </c>
      <c r="AO1423" s="25">
        <f>IF(OR(Apresentação!$I$4='Base de Dados e filtragem'!AO$2,Apresentação!$I$4='Base de Dados e filtragem'!K1423),1,0)</f>
        <v>1</v>
      </c>
      <c r="AP1423" s="25">
        <f>IF(OR(Apresentação!$I$5='Base de Dados e filtragem'!AP$2,Apresentação!$I$5='Base de Dados e filtragem'!L1423),1,0)</f>
        <v>1</v>
      </c>
      <c r="AQ1423" s="25">
        <f>IF(OR(Apresentação!$I$6='Base de Dados e filtragem'!AQ$2,Apresentação!$I$6='Base de Dados e filtragem'!M1423),1,0)</f>
        <v>1</v>
      </c>
      <c r="AR1423" s="25">
        <v>1</v>
      </c>
      <c r="AS1423" s="25">
        <v>1</v>
      </c>
      <c r="AT1423" s="25">
        <v>1</v>
      </c>
      <c r="AU1423" s="25">
        <v>1</v>
      </c>
      <c r="AV1423" s="25">
        <v>1</v>
      </c>
      <c r="AW1423" s="25">
        <v>1</v>
      </c>
      <c r="AX1423" s="25">
        <v>1</v>
      </c>
      <c r="AY1423" s="25">
        <v>1</v>
      </c>
      <c r="AZ1423" s="25">
        <v>1</v>
      </c>
      <c r="BA1423" s="25">
        <v>1</v>
      </c>
      <c r="BB1423" s="25">
        <v>1</v>
      </c>
      <c r="BC1423" s="25">
        <v>1</v>
      </c>
      <c r="BD1423" s="25">
        <v>1</v>
      </c>
    </row>
    <row r="1424" spans="27:56" x14ac:dyDescent="0.25">
      <c r="AA1424" s="68" t="str">
        <f t="shared" si="89"/>
        <v>Fotos\\.jpg</v>
      </c>
      <c r="AB1424" s="53">
        <f t="shared" si="90"/>
        <v>7.0224719101123594E-4</v>
      </c>
      <c r="AC1424" s="25">
        <f t="shared" si="91"/>
        <v>1424</v>
      </c>
      <c r="AD1424" s="51">
        <f t="shared" si="92"/>
        <v>1</v>
      </c>
      <c r="AE1424" s="25">
        <v>1</v>
      </c>
      <c r="AF1424" s="25">
        <v>1</v>
      </c>
      <c r="AG1424" s="25">
        <v>1</v>
      </c>
      <c r="AH1424" s="25">
        <v>1</v>
      </c>
      <c r="AI1424" s="25">
        <f>IF(OR(Apresentação!$E$3='Base de Dados e filtragem'!AI$2,Apresentação!$E$3='Base de Dados e filtragem'!E1424),1,0)</f>
        <v>1</v>
      </c>
      <c r="AJ1424" s="25">
        <f>IF(OR(Apresentação!$E$4='Base de Dados e filtragem'!AJ$2,Apresentação!$E$4='Base de Dados e filtragem'!F1424),1,0)</f>
        <v>1</v>
      </c>
      <c r="AK1424" s="25">
        <f>IF(OR(Apresentação!$E$5='Base de Dados e filtragem'!AK$2,Apresentação!$E$5='Base de Dados e filtragem'!G1424),1,0)</f>
        <v>1</v>
      </c>
      <c r="AL1424" s="25">
        <f>IF(OR(Apresentação!$E$6='Base de Dados e filtragem'!AL$2,Apresentação!$E$6='Base de Dados e filtragem'!H1424),1,0)</f>
        <v>1</v>
      </c>
      <c r="AM1424" s="25">
        <f>IF(OR(Apresentação!$I$2='Base de Dados e filtragem'!AM$2,Apresentação!$I$2='Base de Dados e filtragem'!I1424),1,0)</f>
        <v>1</v>
      </c>
      <c r="AN1424" s="25">
        <f>IF(OR(Apresentação!$I$3='Base de Dados e filtragem'!AN$2,Apresentação!$I$3='Base de Dados e filtragem'!J1424),1,0)</f>
        <v>1</v>
      </c>
      <c r="AO1424" s="25">
        <f>IF(OR(Apresentação!$I$4='Base de Dados e filtragem'!AO$2,Apresentação!$I$4='Base de Dados e filtragem'!K1424),1,0)</f>
        <v>1</v>
      </c>
      <c r="AP1424" s="25">
        <f>IF(OR(Apresentação!$I$5='Base de Dados e filtragem'!AP$2,Apresentação!$I$5='Base de Dados e filtragem'!L1424),1,0)</f>
        <v>1</v>
      </c>
      <c r="AQ1424" s="25">
        <f>IF(OR(Apresentação!$I$6='Base de Dados e filtragem'!AQ$2,Apresentação!$I$6='Base de Dados e filtragem'!M1424),1,0)</f>
        <v>1</v>
      </c>
      <c r="AR1424" s="25">
        <v>1</v>
      </c>
      <c r="AS1424" s="25">
        <v>1</v>
      </c>
      <c r="AT1424" s="25">
        <v>1</v>
      </c>
      <c r="AU1424" s="25">
        <v>1</v>
      </c>
      <c r="AV1424" s="25">
        <v>1</v>
      </c>
      <c r="AW1424" s="25">
        <v>1</v>
      </c>
      <c r="AX1424" s="25">
        <v>1</v>
      </c>
      <c r="AY1424" s="25">
        <v>1</v>
      </c>
      <c r="AZ1424" s="25">
        <v>1</v>
      </c>
      <c r="BA1424" s="25">
        <v>1</v>
      </c>
      <c r="BB1424" s="25">
        <v>1</v>
      </c>
      <c r="BC1424" s="25">
        <v>1</v>
      </c>
      <c r="BD1424" s="25">
        <v>1</v>
      </c>
    </row>
    <row r="1425" spans="27:56" x14ac:dyDescent="0.25">
      <c r="AA1425" s="68" t="str">
        <f t="shared" si="89"/>
        <v>Fotos\\.jpg</v>
      </c>
      <c r="AB1425" s="53">
        <f t="shared" si="90"/>
        <v>7.0175438596491223E-4</v>
      </c>
      <c r="AC1425" s="25">
        <f t="shared" si="91"/>
        <v>1425</v>
      </c>
      <c r="AD1425" s="51">
        <f t="shared" si="92"/>
        <v>1</v>
      </c>
      <c r="AE1425" s="25">
        <v>1</v>
      </c>
      <c r="AF1425" s="25">
        <v>1</v>
      </c>
      <c r="AG1425" s="25">
        <v>1</v>
      </c>
      <c r="AH1425" s="25">
        <v>1</v>
      </c>
      <c r="AI1425" s="25">
        <f>IF(OR(Apresentação!$E$3='Base de Dados e filtragem'!AI$2,Apresentação!$E$3='Base de Dados e filtragem'!E1425),1,0)</f>
        <v>1</v>
      </c>
      <c r="AJ1425" s="25">
        <f>IF(OR(Apresentação!$E$4='Base de Dados e filtragem'!AJ$2,Apresentação!$E$4='Base de Dados e filtragem'!F1425),1,0)</f>
        <v>1</v>
      </c>
      <c r="AK1425" s="25">
        <f>IF(OR(Apresentação!$E$5='Base de Dados e filtragem'!AK$2,Apresentação!$E$5='Base de Dados e filtragem'!G1425),1,0)</f>
        <v>1</v>
      </c>
      <c r="AL1425" s="25">
        <f>IF(OR(Apresentação!$E$6='Base de Dados e filtragem'!AL$2,Apresentação!$E$6='Base de Dados e filtragem'!H1425),1,0)</f>
        <v>1</v>
      </c>
      <c r="AM1425" s="25">
        <f>IF(OR(Apresentação!$I$2='Base de Dados e filtragem'!AM$2,Apresentação!$I$2='Base de Dados e filtragem'!I1425),1,0)</f>
        <v>1</v>
      </c>
      <c r="AN1425" s="25">
        <f>IF(OR(Apresentação!$I$3='Base de Dados e filtragem'!AN$2,Apresentação!$I$3='Base de Dados e filtragem'!J1425),1,0)</f>
        <v>1</v>
      </c>
      <c r="AO1425" s="25">
        <f>IF(OR(Apresentação!$I$4='Base de Dados e filtragem'!AO$2,Apresentação!$I$4='Base de Dados e filtragem'!K1425),1,0)</f>
        <v>1</v>
      </c>
      <c r="AP1425" s="25">
        <f>IF(OR(Apresentação!$I$5='Base de Dados e filtragem'!AP$2,Apresentação!$I$5='Base de Dados e filtragem'!L1425),1,0)</f>
        <v>1</v>
      </c>
      <c r="AQ1425" s="25">
        <f>IF(OR(Apresentação!$I$6='Base de Dados e filtragem'!AQ$2,Apresentação!$I$6='Base de Dados e filtragem'!M1425),1,0)</f>
        <v>1</v>
      </c>
      <c r="AR1425" s="25">
        <v>1</v>
      </c>
      <c r="AS1425" s="25">
        <v>1</v>
      </c>
      <c r="AT1425" s="25">
        <v>1</v>
      </c>
      <c r="AU1425" s="25">
        <v>1</v>
      </c>
      <c r="AV1425" s="25">
        <v>1</v>
      </c>
      <c r="AW1425" s="25">
        <v>1</v>
      </c>
      <c r="AX1425" s="25">
        <v>1</v>
      </c>
      <c r="AY1425" s="25">
        <v>1</v>
      </c>
      <c r="AZ1425" s="25">
        <v>1</v>
      </c>
      <c r="BA1425" s="25">
        <v>1</v>
      </c>
      <c r="BB1425" s="25">
        <v>1</v>
      </c>
      <c r="BC1425" s="25">
        <v>1</v>
      </c>
      <c r="BD1425" s="25">
        <v>1</v>
      </c>
    </row>
    <row r="1426" spans="27:56" x14ac:dyDescent="0.25">
      <c r="AA1426" s="68" t="str">
        <f t="shared" si="89"/>
        <v>Fotos\\.jpg</v>
      </c>
      <c r="AB1426" s="53">
        <f t="shared" si="90"/>
        <v>7.0126227208976155E-4</v>
      </c>
      <c r="AC1426" s="25">
        <f t="shared" si="91"/>
        <v>1426</v>
      </c>
      <c r="AD1426" s="51">
        <f t="shared" si="92"/>
        <v>1</v>
      </c>
      <c r="AE1426" s="25">
        <v>1</v>
      </c>
      <c r="AF1426" s="25">
        <v>1</v>
      </c>
      <c r="AG1426" s="25">
        <v>1</v>
      </c>
      <c r="AH1426" s="25">
        <v>1</v>
      </c>
      <c r="AI1426" s="25">
        <f>IF(OR(Apresentação!$E$3='Base de Dados e filtragem'!AI$2,Apresentação!$E$3='Base de Dados e filtragem'!E1426),1,0)</f>
        <v>1</v>
      </c>
      <c r="AJ1426" s="25">
        <f>IF(OR(Apresentação!$E$4='Base de Dados e filtragem'!AJ$2,Apresentação!$E$4='Base de Dados e filtragem'!F1426),1,0)</f>
        <v>1</v>
      </c>
      <c r="AK1426" s="25">
        <f>IF(OR(Apresentação!$E$5='Base de Dados e filtragem'!AK$2,Apresentação!$E$5='Base de Dados e filtragem'!G1426),1,0)</f>
        <v>1</v>
      </c>
      <c r="AL1426" s="25">
        <f>IF(OR(Apresentação!$E$6='Base de Dados e filtragem'!AL$2,Apresentação!$E$6='Base de Dados e filtragem'!H1426),1,0)</f>
        <v>1</v>
      </c>
      <c r="AM1426" s="25">
        <f>IF(OR(Apresentação!$I$2='Base de Dados e filtragem'!AM$2,Apresentação!$I$2='Base de Dados e filtragem'!I1426),1,0)</f>
        <v>1</v>
      </c>
      <c r="AN1426" s="25">
        <f>IF(OR(Apresentação!$I$3='Base de Dados e filtragem'!AN$2,Apresentação!$I$3='Base de Dados e filtragem'!J1426),1,0)</f>
        <v>1</v>
      </c>
      <c r="AO1426" s="25">
        <f>IF(OR(Apresentação!$I$4='Base de Dados e filtragem'!AO$2,Apresentação!$I$4='Base de Dados e filtragem'!K1426),1,0)</f>
        <v>1</v>
      </c>
      <c r="AP1426" s="25">
        <f>IF(OR(Apresentação!$I$5='Base de Dados e filtragem'!AP$2,Apresentação!$I$5='Base de Dados e filtragem'!L1426),1,0)</f>
        <v>1</v>
      </c>
      <c r="AQ1426" s="25">
        <f>IF(OR(Apresentação!$I$6='Base de Dados e filtragem'!AQ$2,Apresentação!$I$6='Base de Dados e filtragem'!M1426),1,0)</f>
        <v>1</v>
      </c>
      <c r="AR1426" s="25">
        <v>1</v>
      </c>
      <c r="AS1426" s="25">
        <v>1</v>
      </c>
      <c r="AT1426" s="25">
        <v>1</v>
      </c>
      <c r="AU1426" s="25">
        <v>1</v>
      </c>
      <c r="AV1426" s="25">
        <v>1</v>
      </c>
      <c r="AW1426" s="25">
        <v>1</v>
      </c>
      <c r="AX1426" s="25">
        <v>1</v>
      </c>
      <c r="AY1426" s="25">
        <v>1</v>
      </c>
      <c r="AZ1426" s="25">
        <v>1</v>
      </c>
      <c r="BA1426" s="25">
        <v>1</v>
      </c>
      <c r="BB1426" s="25">
        <v>1</v>
      </c>
      <c r="BC1426" s="25">
        <v>1</v>
      </c>
      <c r="BD1426" s="25">
        <v>1</v>
      </c>
    </row>
    <row r="1427" spans="27:56" x14ac:dyDescent="0.25">
      <c r="AA1427" s="68" t="str">
        <f t="shared" si="89"/>
        <v>Fotos\\.jpg</v>
      </c>
      <c r="AB1427" s="53">
        <f t="shared" si="90"/>
        <v>7.0077084793272596E-4</v>
      </c>
      <c r="AC1427" s="25">
        <f t="shared" si="91"/>
        <v>1427</v>
      </c>
      <c r="AD1427" s="51">
        <f t="shared" si="92"/>
        <v>1</v>
      </c>
      <c r="AE1427" s="25">
        <v>1</v>
      </c>
      <c r="AF1427" s="25">
        <v>1</v>
      </c>
      <c r="AG1427" s="25">
        <v>1</v>
      </c>
      <c r="AH1427" s="25">
        <v>1</v>
      </c>
      <c r="AI1427" s="25">
        <f>IF(OR(Apresentação!$E$3='Base de Dados e filtragem'!AI$2,Apresentação!$E$3='Base de Dados e filtragem'!E1427),1,0)</f>
        <v>1</v>
      </c>
      <c r="AJ1427" s="25">
        <f>IF(OR(Apresentação!$E$4='Base de Dados e filtragem'!AJ$2,Apresentação!$E$4='Base de Dados e filtragem'!F1427),1,0)</f>
        <v>1</v>
      </c>
      <c r="AK1427" s="25">
        <f>IF(OR(Apresentação!$E$5='Base de Dados e filtragem'!AK$2,Apresentação!$E$5='Base de Dados e filtragem'!G1427),1,0)</f>
        <v>1</v>
      </c>
      <c r="AL1427" s="25">
        <f>IF(OR(Apresentação!$E$6='Base de Dados e filtragem'!AL$2,Apresentação!$E$6='Base de Dados e filtragem'!H1427),1,0)</f>
        <v>1</v>
      </c>
      <c r="AM1427" s="25">
        <f>IF(OR(Apresentação!$I$2='Base de Dados e filtragem'!AM$2,Apresentação!$I$2='Base de Dados e filtragem'!I1427),1,0)</f>
        <v>1</v>
      </c>
      <c r="AN1427" s="25">
        <f>IF(OR(Apresentação!$I$3='Base de Dados e filtragem'!AN$2,Apresentação!$I$3='Base de Dados e filtragem'!J1427),1,0)</f>
        <v>1</v>
      </c>
      <c r="AO1427" s="25">
        <f>IF(OR(Apresentação!$I$4='Base de Dados e filtragem'!AO$2,Apresentação!$I$4='Base de Dados e filtragem'!K1427),1,0)</f>
        <v>1</v>
      </c>
      <c r="AP1427" s="25">
        <f>IF(OR(Apresentação!$I$5='Base de Dados e filtragem'!AP$2,Apresentação!$I$5='Base de Dados e filtragem'!L1427),1,0)</f>
        <v>1</v>
      </c>
      <c r="AQ1427" s="25">
        <f>IF(OR(Apresentação!$I$6='Base de Dados e filtragem'!AQ$2,Apresentação!$I$6='Base de Dados e filtragem'!M1427),1,0)</f>
        <v>1</v>
      </c>
      <c r="AR1427" s="25">
        <v>1</v>
      </c>
      <c r="AS1427" s="25">
        <v>1</v>
      </c>
      <c r="AT1427" s="25">
        <v>1</v>
      </c>
      <c r="AU1427" s="25">
        <v>1</v>
      </c>
      <c r="AV1427" s="25">
        <v>1</v>
      </c>
      <c r="AW1427" s="25">
        <v>1</v>
      </c>
      <c r="AX1427" s="25">
        <v>1</v>
      </c>
      <c r="AY1427" s="25">
        <v>1</v>
      </c>
      <c r="AZ1427" s="25">
        <v>1</v>
      </c>
      <c r="BA1427" s="25">
        <v>1</v>
      </c>
      <c r="BB1427" s="25">
        <v>1</v>
      </c>
      <c r="BC1427" s="25">
        <v>1</v>
      </c>
      <c r="BD1427" s="25">
        <v>1</v>
      </c>
    </row>
    <row r="1428" spans="27:56" x14ac:dyDescent="0.25">
      <c r="AA1428" s="68" t="str">
        <f t="shared" si="89"/>
        <v>Fotos\\.jpg</v>
      </c>
      <c r="AB1428" s="53">
        <f t="shared" si="90"/>
        <v>7.0028011204481793E-4</v>
      </c>
      <c r="AC1428" s="25">
        <f t="shared" si="91"/>
        <v>1428</v>
      </c>
      <c r="AD1428" s="51">
        <f t="shared" si="92"/>
        <v>1</v>
      </c>
      <c r="AE1428" s="25">
        <v>1</v>
      </c>
      <c r="AF1428" s="25">
        <v>1</v>
      </c>
      <c r="AG1428" s="25">
        <v>1</v>
      </c>
      <c r="AH1428" s="25">
        <v>1</v>
      </c>
      <c r="AI1428" s="25">
        <f>IF(OR(Apresentação!$E$3='Base de Dados e filtragem'!AI$2,Apresentação!$E$3='Base de Dados e filtragem'!E1428),1,0)</f>
        <v>1</v>
      </c>
      <c r="AJ1428" s="25">
        <f>IF(OR(Apresentação!$E$4='Base de Dados e filtragem'!AJ$2,Apresentação!$E$4='Base de Dados e filtragem'!F1428),1,0)</f>
        <v>1</v>
      </c>
      <c r="AK1428" s="25">
        <f>IF(OR(Apresentação!$E$5='Base de Dados e filtragem'!AK$2,Apresentação!$E$5='Base de Dados e filtragem'!G1428),1,0)</f>
        <v>1</v>
      </c>
      <c r="AL1428" s="25">
        <f>IF(OR(Apresentação!$E$6='Base de Dados e filtragem'!AL$2,Apresentação!$E$6='Base de Dados e filtragem'!H1428),1,0)</f>
        <v>1</v>
      </c>
      <c r="AM1428" s="25">
        <f>IF(OR(Apresentação!$I$2='Base de Dados e filtragem'!AM$2,Apresentação!$I$2='Base de Dados e filtragem'!I1428),1,0)</f>
        <v>1</v>
      </c>
      <c r="AN1428" s="25">
        <f>IF(OR(Apresentação!$I$3='Base de Dados e filtragem'!AN$2,Apresentação!$I$3='Base de Dados e filtragem'!J1428),1,0)</f>
        <v>1</v>
      </c>
      <c r="AO1428" s="25">
        <f>IF(OR(Apresentação!$I$4='Base de Dados e filtragem'!AO$2,Apresentação!$I$4='Base de Dados e filtragem'!K1428),1,0)</f>
        <v>1</v>
      </c>
      <c r="AP1428" s="25">
        <f>IF(OR(Apresentação!$I$5='Base de Dados e filtragem'!AP$2,Apresentação!$I$5='Base de Dados e filtragem'!L1428),1,0)</f>
        <v>1</v>
      </c>
      <c r="AQ1428" s="25">
        <f>IF(OR(Apresentação!$I$6='Base de Dados e filtragem'!AQ$2,Apresentação!$I$6='Base de Dados e filtragem'!M1428),1,0)</f>
        <v>1</v>
      </c>
      <c r="AR1428" s="25">
        <v>1</v>
      </c>
      <c r="AS1428" s="25">
        <v>1</v>
      </c>
      <c r="AT1428" s="25">
        <v>1</v>
      </c>
      <c r="AU1428" s="25">
        <v>1</v>
      </c>
      <c r="AV1428" s="25">
        <v>1</v>
      </c>
      <c r="AW1428" s="25">
        <v>1</v>
      </c>
      <c r="AX1428" s="25">
        <v>1</v>
      </c>
      <c r="AY1428" s="25">
        <v>1</v>
      </c>
      <c r="AZ1428" s="25">
        <v>1</v>
      </c>
      <c r="BA1428" s="25">
        <v>1</v>
      </c>
      <c r="BB1428" s="25">
        <v>1</v>
      </c>
      <c r="BC1428" s="25">
        <v>1</v>
      </c>
      <c r="BD1428" s="25">
        <v>1</v>
      </c>
    </row>
    <row r="1429" spans="27:56" x14ac:dyDescent="0.25">
      <c r="AA1429" s="68" t="str">
        <f t="shared" si="89"/>
        <v>Fotos\\.jpg</v>
      </c>
      <c r="AB1429" s="53">
        <f t="shared" si="90"/>
        <v>6.9979006298110562E-4</v>
      </c>
      <c r="AC1429" s="25">
        <f t="shared" si="91"/>
        <v>1429</v>
      </c>
      <c r="AD1429" s="51">
        <f t="shared" si="92"/>
        <v>1</v>
      </c>
      <c r="AE1429" s="25">
        <v>1</v>
      </c>
      <c r="AF1429" s="25">
        <v>1</v>
      </c>
      <c r="AG1429" s="25">
        <v>1</v>
      </c>
      <c r="AH1429" s="25">
        <v>1</v>
      </c>
      <c r="AI1429" s="25">
        <f>IF(OR(Apresentação!$E$3='Base de Dados e filtragem'!AI$2,Apresentação!$E$3='Base de Dados e filtragem'!E1429),1,0)</f>
        <v>1</v>
      </c>
      <c r="AJ1429" s="25">
        <f>IF(OR(Apresentação!$E$4='Base de Dados e filtragem'!AJ$2,Apresentação!$E$4='Base de Dados e filtragem'!F1429),1,0)</f>
        <v>1</v>
      </c>
      <c r="AK1429" s="25">
        <f>IF(OR(Apresentação!$E$5='Base de Dados e filtragem'!AK$2,Apresentação!$E$5='Base de Dados e filtragem'!G1429),1,0)</f>
        <v>1</v>
      </c>
      <c r="AL1429" s="25">
        <f>IF(OR(Apresentação!$E$6='Base de Dados e filtragem'!AL$2,Apresentação!$E$6='Base de Dados e filtragem'!H1429),1,0)</f>
        <v>1</v>
      </c>
      <c r="AM1429" s="25">
        <f>IF(OR(Apresentação!$I$2='Base de Dados e filtragem'!AM$2,Apresentação!$I$2='Base de Dados e filtragem'!I1429),1,0)</f>
        <v>1</v>
      </c>
      <c r="AN1429" s="25">
        <f>IF(OR(Apresentação!$I$3='Base de Dados e filtragem'!AN$2,Apresentação!$I$3='Base de Dados e filtragem'!J1429),1,0)</f>
        <v>1</v>
      </c>
      <c r="AO1429" s="25">
        <f>IF(OR(Apresentação!$I$4='Base de Dados e filtragem'!AO$2,Apresentação!$I$4='Base de Dados e filtragem'!K1429),1,0)</f>
        <v>1</v>
      </c>
      <c r="AP1429" s="25">
        <f>IF(OR(Apresentação!$I$5='Base de Dados e filtragem'!AP$2,Apresentação!$I$5='Base de Dados e filtragem'!L1429),1,0)</f>
        <v>1</v>
      </c>
      <c r="AQ1429" s="25">
        <f>IF(OR(Apresentação!$I$6='Base de Dados e filtragem'!AQ$2,Apresentação!$I$6='Base de Dados e filtragem'!M1429),1,0)</f>
        <v>1</v>
      </c>
      <c r="AR1429" s="25">
        <v>1</v>
      </c>
      <c r="AS1429" s="25">
        <v>1</v>
      </c>
      <c r="AT1429" s="25">
        <v>1</v>
      </c>
      <c r="AU1429" s="25">
        <v>1</v>
      </c>
      <c r="AV1429" s="25">
        <v>1</v>
      </c>
      <c r="AW1429" s="25">
        <v>1</v>
      </c>
      <c r="AX1429" s="25">
        <v>1</v>
      </c>
      <c r="AY1429" s="25">
        <v>1</v>
      </c>
      <c r="AZ1429" s="25">
        <v>1</v>
      </c>
      <c r="BA1429" s="25">
        <v>1</v>
      </c>
      <c r="BB1429" s="25">
        <v>1</v>
      </c>
      <c r="BC1429" s="25">
        <v>1</v>
      </c>
      <c r="BD1429" s="25">
        <v>1</v>
      </c>
    </row>
    <row r="1430" spans="27:56" x14ac:dyDescent="0.25">
      <c r="AA1430" s="68" t="str">
        <f t="shared" si="89"/>
        <v>Fotos\\.jpg</v>
      </c>
      <c r="AB1430" s="53">
        <f t="shared" si="90"/>
        <v>6.993006993006993E-4</v>
      </c>
      <c r="AC1430" s="25">
        <f t="shared" si="91"/>
        <v>1430</v>
      </c>
      <c r="AD1430" s="51">
        <f t="shared" si="92"/>
        <v>1</v>
      </c>
      <c r="AE1430" s="25">
        <v>1</v>
      </c>
      <c r="AF1430" s="25">
        <v>1</v>
      </c>
      <c r="AG1430" s="25">
        <v>1</v>
      </c>
      <c r="AH1430" s="25">
        <v>1</v>
      </c>
      <c r="AI1430" s="25">
        <f>IF(OR(Apresentação!$E$3='Base de Dados e filtragem'!AI$2,Apresentação!$E$3='Base de Dados e filtragem'!E1430),1,0)</f>
        <v>1</v>
      </c>
      <c r="AJ1430" s="25">
        <f>IF(OR(Apresentação!$E$4='Base de Dados e filtragem'!AJ$2,Apresentação!$E$4='Base de Dados e filtragem'!F1430),1,0)</f>
        <v>1</v>
      </c>
      <c r="AK1430" s="25">
        <f>IF(OR(Apresentação!$E$5='Base de Dados e filtragem'!AK$2,Apresentação!$E$5='Base de Dados e filtragem'!G1430),1,0)</f>
        <v>1</v>
      </c>
      <c r="AL1430" s="25">
        <f>IF(OR(Apresentação!$E$6='Base de Dados e filtragem'!AL$2,Apresentação!$E$6='Base de Dados e filtragem'!H1430),1,0)</f>
        <v>1</v>
      </c>
      <c r="AM1430" s="25">
        <f>IF(OR(Apresentação!$I$2='Base de Dados e filtragem'!AM$2,Apresentação!$I$2='Base de Dados e filtragem'!I1430),1,0)</f>
        <v>1</v>
      </c>
      <c r="AN1430" s="25">
        <f>IF(OR(Apresentação!$I$3='Base de Dados e filtragem'!AN$2,Apresentação!$I$3='Base de Dados e filtragem'!J1430),1,0)</f>
        <v>1</v>
      </c>
      <c r="AO1430" s="25">
        <f>IF(OR(Apresentação!$I$4='Base de Dados e filtragem'!AO$2,Apresentação!$I$4='Base de Dados e filtragem'!K1430),1,0)</f>
        <v>1</v>
      </c>
      <c r="AP1430" s="25">
        <f>IF(OR(Apresentação!$I$5='Base de Dados e filtragem'!AP$2,Apresentação!$I$5='Base de Dados e filtragem'!L1430),1,0)</f>
        <v>1</v>
      </c>
      <c r="AQ1430" s="25">
        <f>IF(OR(Apresentação!$I$6='Base de Dados e filtragem'!AQ$2,Apresentação!$I$6='Base de Dados e filtragem'!M1430),1,0)</f>
        <v>1</v>
      </c>
      <c r="AR1430" s="25">
        <v>1</v>
      </c>
      <c r="AS1430" s="25">
        <v>1</v>
      </c>
      <c r="AT1430" s="25">
        <v>1</v>
      </c>
      <c r="AU1430" s="25">
        <v>1</v>
      </c>
      <c r="AV1430" s="25">
        <v>1</v>
      </c>
      <c r="AW1430" s="25">
        <v>1</v>
      </c>
      <c r="AX1430" s="25">
        <v>1</v>
      </c>
      <c r="AY1430" s="25">
        <v>1</v>
      </c>
      <c r="AZ1430" s="25">
        <v>1</v>
      </c>
      <c r="BA1430" s="25">
        <v>1</v>
      </c>
      <c r="BB1430" s="25">
        <v>1</v>
      </c>
      <c r="BC1430" s="25">
        <v>1</v>
      </c>
      <c r="BD1430" s="25">
        <v>1</v>
      </c>
    </row>
    <row r="1431" spans="27:56" x14ac:dyDescent="0.25">
      <c r="AA1431" s="68" t="str">
        <f t="shared" si="89"/>
        <v>Fotos\\.jpg</v>
      </c>
      <c r="AB1431" s="53">
        <f t="shared" si="90"/>
        <v>6.9881201956673651E-4</v>
      </c>
      <c r="AC1431" s="25">
        <f t="shared" si="91"/>
        <v>1431</v>
      </c>
      <c r="AD1431" s="51">
        <f t="shared" si="92"/>
        <v>1</v>
      </c>
      <c r="AE1431" s="25">
        <v>1</v>
      </c>
      <c r="AF1431" s="25">
        <v>1</v>
      </c>
      <c r="AG1431" s="25">
        <v>1</v>
      </c>
      <c r="AH1431" s="25">
        <v>1</v>
      </c>
      <c r="AI1431" s="25">
        <f>IF(OR(Apresentação!$E$3='Base de Dados e filtragem'!AI$2,Apresentação!$E$3='Base de Dados e filtragem'!E1431),1,0)</f>
        <v>1</v>
      </c>
      <c r="AJ1431" s="25">
        <f>IF(OR(Apresentação!$E$4='Base de Dados e filtragem'!AJ$2,Apresentação!$E$4='Base de Dados e filtragem'!F1431),1,0)</f>
        <v>1</v>
      </c>
      <c r="AK1431" s="25">
        <f>IF(OR(Apresentação!$E$5='Base de Dados e filtragem'!AK$2,Apresentação!$E$5='Base de Dados e filtragem'!G1431),1,0)</f>
        <v>1</v>
      </c>
      <c r="AL1431" s="25">
        <f>IF(OR(Apresentação!$E$6='Base de Dados e filtragem'!AL$2,Apresentação!$E$6='Base de Dados e filtragem'!H1431),1,0)</f>
        <v>1</v>
      </c>
      <c r="AM1431" s="25">
        <f>IF(OR(Apresentação!$I$2='Base de Dados e filtragem'!AM$2,Apresentação!$I$2='Base de Dados e filtragem'!I1431),1,0)</f>
        <v>1</v>
      </c>
      <c r="AN1431" s="25">
        <f>IF(OR(Apresentação!$I$3='Base de Dados e filtragem'!AN$2,Apresentação!$I$3='Base de Dados e filtragem'!J1431),1,0)</f>
        <v>1</v>
      </c>
      <c r="AO1431" s="25">
        <f>IF(OR(Apresentação!$I$4='Base de Dados e filtragem'!AO$2,Apresentação!$I$4='Base de Dados e filtragem'!K1431),1,0)</f>
        <v>1</v>
      </c>
      <c r="AP1431" s="25">
        <f>IF(OR(Apresentação!$I$5='Base de Dados e filtragem'!AP$2,Apresentação!$I$5='Base de Dados e filtragem'!L1431),1,0)</f>
        <v>1</v>
      </c>
      <c r="AQ1431" s="25">
        <f>IF(OR(Apresentação!$I$6='Base de Dados e filtragem'!AQ$2,Apresentação!$I$6='Base de Dados e filtragem'!M1431),1,0)</f>
        <v>1</v>
      </c>
      <c r="AR1431" s="25">
        <v>1</v>
      </c>
      <c r="AS1431" s="25">
        <v>1</v>
      </c>
      <c r="AT1431" s="25">
        <v>1</v>
      </c>
      <c r="AU1431" s="25">
        <v>1</v>
      </c>
      <c r="AV1431" s="25">
        <v>1</v>
      </c>
      <c r="AW1431" s="25">
        <v>1</v>
      </c>
      <c r="AX1431" s="25">
        <v>1</v>
      </c>
      <c r="AY1431" s="25">
        <v>1</v>
      </c>
      <c r="AZ1431" s="25">
        <v>1</v>
      </c>
      <c r="BA1431" s="25">
        <v>1</v>
      </c>
      <c r="BB1431" s="25">
        <v>1</v>
      </c>
      <c r="BC1431" s="25">
        <v>1</v>
      </c>
      <c r="BD1431" s="25">
        <v>1</v>
      </c>
    </row>
    <row r="1432" spans="27:56" x14ac:dyDescent="0.25">
      <c r="AA1432" s="68" t="str">
        <f t="shared" si="89"/>
        <v>Fotos\\.jpg</v>
      </c>
      <c r="AB1432" s="53">
        <f t="shared" si="90"/>
        <v>6.9832402234636874E-4</v>
      </c>
      <c r="AC1432" s="25">
        <f t="shared" si="91"/>
        <v>1432</v>
      </c>
      <c r="AD1432" s="51">
        <f t="shared" si="92"/>
        <v>1</v>
      </c>
      <c r="AE1432" s="25">
        <v>1</v>
      </c>
      <c r="AF1432" s="25">
        <v>1</v>
      </c>
      <c r="AG1432" s="25">
        <v>1</v>
      </c>
      <c r="AH1432" s="25">
        <v>1</v>
      </c>
      <c r="AI1432" s="25">
        <f>IF(OR(Apresentação!$E$3='Base de Dados e filtragem'!AI$2,Apresentação!$E$3='Base de Dados e filtragem'!E1432),1,0)</f>
        <v>1</v>
      </c>
      <c r="AJ1432" s="25">
        <f>IF(OR(Apresentação!$E$4='Base de Dados e filtragem'!AJ$2,Apresentação!$E$4='Base de Dados e filtragem'!F1432),1,0)</f>
        <v>1</v>
      </c>
      <c r="AK1432" s="25">
        <f>IF(OR(Apresentação!$E$5='Base de Dados e filtragem'!AK$2,Apresentação!$E$5='Base de Dados e filtragem'!G1432),1,0)</f>
        <v>1</v>
      </c>
      <c r="AL1432" s="25">
        <f>IF(OR(Apresentação!$E$6='Base de Dados e filtragem'!AL$2,Apresentação!$E$6='Base de Dados e filtragem'!H1432),1,0)</f>
        <v>1</v>
      </c>
      <c r="AM1432" s="25">
        <f>IF(OR(Apresentação!$I$2='Base de Dados e filtragem'!AM$2,Apresentação!$I$2='Base de Dados e filtragem'!I1432),1,0)</f>
        <v>1</v>
      </c>
      <c r="AN1432" s="25">
        <f>IF(OR(Apresentação!$I$3='Base de Dados e filtragem'!AN$2,Apresentação!$I$3='Base de Dados e filtragem'!J1432),1,0)</f>
        <v>1</v>
      </c>
      <c r="AO1432" s="25">
        <f>IF(OR(Apresentação!$I$4='Base de Dados e filtragem'!AO$2,Apresentação!$I$4='Base de Dados e filtragem'!K1432),1,0)</f>
        <v>1</v>
      </c>
      <c r="AP1432" s="25">
        <f>IF(OR(Apresentação!$I$5='Base de Dados e filtragem'!AP$2,Apresentação!$I$5='Base de Dados e filtragem'!L1432),1,0)</f>
        <v>1</v>
      </c>
      <c r="AQ1432" s="25">
        <f>IF(OR(Apresentação!$I$6='Base de Dados e filtragem'!AQ$2,Apresentação!$I$6='Base de Dados e filtragem'!M1432),1,0)</f>
        <v>1</v>
      </c>
      <c r="AR1432" s="25">
        <v>1</v>
      </c>
      <c r="AS1432" s="25">
        <v>1</v>
      </c>
      <c r="AT1432" s="25">
        <v>1</v>
      </c>
      <c r="AU1432" s="25">
        <v>1</v>
      </c>
      <c r="AV1432" s="25">
        <v>1</v>
      </c>
      <c r="AW1432" s="25">
        <v>1</v>
      </c>
      <c r="AX1432" s="25">
        <v>1</v>
      </c>
      <c r="AY1432" s="25">
        <v>1</v>
      </c>
      <c r="AZ1432" s="25">
        <v>1</v>
      </c>
      <c r="BA1432" s="25">
        <v>1</v>
      </c>
      <c r="BB1432" s="25">
        <v>1</v>
      </c>
      <c r="BC1432" s="25">
        <v>1</v>
      </c>
      <c r="BD1432" s="25">
        <v>1</v>
      </c>
    </row>
    <row r="1433" spans="27:56" x14ac:dyDescent="0.25">
      <c r="AA1433" s="68" t="str">
        <f t="shared" si="89"/>
        <v>Fotos\\.jpg</v>
      </c>
      <c r="AB1433" s="53">
        <f t="shared" si="90"/>
        <v>6.9783670621074664E-4</v>
      </c>
      <c r="AC1433" s="25">
        <f t="shared" si="91"/>
        <v>1433</v>
      </c>
      <c r="AD1433" s="51">
        <f t="shared" si="92"/>
        <v>1</v>
      </c>
      <c r="AE1433" s="25">
        <v>1</v>
      </c>
      <c r="AF1433" s="25">
        <v>1</v>
      </c>
      <c r="AG1433" s="25">
        <v>1</v>
      </c>
      <c r="AH1433" s="25">
        <v>1</v>
      </c>
      <c r="AI1433" s="25">
        <f>IF(OR(Apresentação!$E$3='Base de Dados e filtragem'!AI$2,Apresentação!$E$3='Base de Dados e filtragem'!E1433),1,0)</f>
        <v>1</v>
      </c>
      <c r="AJ1433" s="25">
        <f>IF(OR(Apresentação!$E$4='Base de Dados e filtragem'!AJ$2,Apresentação!$E$4='Base de Dados e filtragem'!F1433),1,0)</f>
        <v>1</v>
      </c>
      <c r="AK1433" s="25">
        <f>IF(OR(Apresentação!$E$5='Base de Dados e filtragem'!AK$2,Apresentação!$E$5='Base de Dados e filtragem'!G1433),1,0)</f>
        <v>1</v>
      </c>
      <c r="AL1433" s="25">
        <f>IF(OR(Apresentação!$E$6='Base de Dados e filtragem'!AL$2,Apresentação!$E$6='Base de Dados e filtragem'!H1433),1,0)</f>
        <v>1</v>
      </c>
      <c r="AM1433" s="25">
        <f>IF(OR(Apresentação!$I$2='Base de Dados e filtragem'!AM$2,Apresentação!$I$2='Base de Dados e filtragem'!I1433),1,0)</f>
        <v>1</v>
      </c>
      <c r="AN1433" s="25">
        <f>IF(OR(Apresentação!$I$3='Base de Dados e filtragem'!AN$2,Apresentação!$I$3='Base de Dados e filtragem'!J1433),1,0)</f>
        <v>1</v>
      </c>
      <c r="AO1433" s="25">
        <f>IF(OR(Apresentação!$I$4='Base de Dados e filtragem'!AO$2,Apresentação!$I$4='Base de Dados e filtragem'!K1433),1,0)</f>
        <v>1</v>
      </c>
      <c r="AP1433" s="25">
        <f>IF(OR(Apresentação!$I$5='Base de Dados e filtragem'!AP$2,Apresentação!$I$5='Base de Dados e filtragem'!L1433),1,0)</f>
        <v>1</v>
      </c>
      <c r="AQ1433" s="25">
        <f>IF(OR(Apresentação!$I$6='Base de Dados e filtragem'!AQ$2,Apresentação!$I$6='Base de Dados e filtragem'!M1433),1,0)</f>
        <v>1</v>
      </c>
      <c r="AR1433" s="25">
        <v>1</v>
      </c>
      <c r="AS1433" s="25">
        <v>1</v>
      </c>
      <c r="AT1433" s="25">
        <v>1</v>
      </c>
      <c r="AU1433" s="25">
        <v>1</v>
      </c>
      <c r="AV1433" s="25">
        <v>1</v>
      </c>
      <c r="AW1433" s="25">
        <v>1</v>
      </c>
      <c r="AX1433" s="25">
        <v>1</v>
      </c>
      <c r="AY1433" s="25">
        <v>1</v>
      </c>
      <c r="AZ1433" s="25">
        <v>1</v>
      </c>
      <c r="BA1433" s="25">
        <v>1</v>
      </c>
      <c r="BB1433" s="25">
        <v>1</v>
      </c>
      <c r="BC1433" s="25">
        <v>1</v>
      </c>
      <c r="BD1433" s="25">
        <v>1</v>
      </c>
    </row>
    <row r="1434" spans="27:56" x14ac:dyDescent="0.25">
      <c r="AA1434" s="68" t="str">
        <f t="shared" si="89"/>
        <v>Fotos\\.jpg</v>
      </c>
      <c r="AB1434" s="53">
        <f t="shared" si="90"/>
        <v>6.9735006973500695E-4</v>
      </c>
      <c r="AC1434" s="25">
        <f t="shared" si="91"/>
        <v>1434</v>
      </c>
      <c r="AD1434" s="51">
        <f t="shared" si="92"/>
        <v>1</v>
      </c>
      <c r="AE1434" s="25">
        <v>1</v>
      </c>
      <c r="AF1434" s="25">
        <v>1</v>
      </c>
      <c r="AG1434" s="25">
        <v>1</v>
      </c>
      <c r="AH1434" s="25">
        <v>1</v>
      </c>
      <c r="AI1434" s="25">
        <f>IF(OR(Apresentação!$E$3='Base de Dados e filtragem'!AI$2,Apresentação!$E$3='Base de Dados e filtragem'!E1434),1,0)</f>
        <v>1</v>
      </c>
      <c r="AJ1434" s="25">
        <f>IF(OR(Apresentação!$E$4='Base de Dados e filtragem'!AJ$2,Apresentação!$E$4='Base de Dados e filtragem'!F1434),1,0)</f>
        <v>1</v>
      </c>
      <c r="AK1434" s="25">
        <f>IF(OR(Apresentação!$E$5='Base de Dados e filtragem'!AK$2,Apresentação!$E$5='Base de Dados e filtragem'!G1434),1,0)</f>
        <v>1</v>
      </c>
      <c r="AL1434" s="25">
        <f>IF(OR(Apresentação!$E$6='Base de Dados e filtragem'!AL$2,Apresentação!$E$6='Base de Dados e filtragem'!H1434),1,0)</f>
        <v>1</v>
      </c>
      <c r="AM1434" s="25">
        <f>IF(OR(Apresentação!$I$2='Base de Dados e filtragem'!AM$2,Apresentação!$I$2='Base de Dados e filtragem'!I1434),1,0)</f>
        <v>1</v>
      </c>
      <c r="AN1434" s="25">
        <f>IF(OR(Apresentação!$I$3='Base de Dados e filtragem'!AN$2,Apresentação!$I$3='Base de Dados e filtragem'!J1434),1,0)</f>
        <v>1</v>
      </c>
      <c r="AO1434" s="25">
        <f>IF(OR(Apresentação!$I$4='Base de Dados e filtragem'!AO$2,Apresentação!$I$4='Base de Dados e filtragem'!K1434),1,0)</f>
        <v>1</v>
      </c>
      <c r="AP1434" s="25">
        <f>IF(OR(Apresentação!$I$5='Base de Dados e filtragem'!AP$2,Apresentação!$I$5='Base de Dados e filtragem'!L1434),1,0)</f>
        <v>1</v>
      </c>
      <c r="AQ1434" s="25">
        <f>IF(OR(Apresentação!$I$6='Base de Dados e filtragem'!AQ$2,Apresentação!$I$6='Base de Dados e filtragem'!M1434),1,0)</f>
        <v>1</v>
      </c>
      <c r="AR1434" s="25">
        <v>1</v>
      </c>
      <c r="AS1434" s="25">
        <v>1</v>
      </c>
      <c r="AT1434" s="25">
        <v>1</v>
      </c>
      <c r="AU1434" s="25">
        <v>1</v>
      </c>
      <c r="AV1434" s="25">
        <v>1</v>
      </c>
      <c r="AW1434" s="25">
        <v>1</v>
      </c>
      <c r="AX1434" s="25">
        <v>1</v>
      </c>
      <c r="AY1434" s="25">
        <v>1</v>
      </c>
      <c r="AZ1434" s="25">
        <v>1</v>
      </c>
      <c r="BA1434" s="25">
        <v>1</v>
      </c>
      <c r="BB1434" s="25">
        <v>1</v>
      </c>
      <c r="BC1434" s="25">
        <v>1</v>
      </c>
      <c r="BD1434" s="25">
        <v>1</v>
      </c>
    </row>
    <row r="1435" spans="27:56" x14ac:dyDescent="0.25">
      <c r="AA1435" s="68" t="str">
        <f t="shared" si="89"/>
        <v>Fotos\\.jpg</v>
      </c>
      <c r="AB1435" s="53">
        <f t="shared" si="90"/>
        <v>6.9686411149825784E-4</v>
      </c>
      <c r="AC1435" s="25">
        <f t="shared" si="91"/>
        <v>1435</v>
      </c>
      <c r="AD1435" s="51">
        <f t="shared" si="92"/>
        <v>1</v>
      </c>
      <c r="AE1435" s="25">
        <v>1</v>
      </c>
      <c r="AF1435" s="25">
        <v>1</v>
      </c>
      <c r="AG1435" s="25">
        <v>1</v>
      </c>
      <c r="AH1435" s="25">
        <v>1</v>
      </c>
      <c r="AI1435" s="25">
        <f>IF(OR(Apresentação!$E$3='Base de Dados e filtragem'!AI$2,Apresentação!$E$3='Base de Dados e filtragem'!E1435),1,0)</f>
        <v>1</v>
      </c>
      <c r="AJ1435" s="25">
        <f>IF(OR(Apresentação!$E$4='Base de Dados e filtragem'!AJ$2,Apresentação!$E$4='Base de Dados e filtragem'!F1435),1,0)</f>
        <v>1</v>
      </c>
      <c r="AK1435" s="25">
        <f>IF(OR(Apresentação!$E$5='Base de Dados e filtragem'!AK$2,Apresentação!$E$5='Base de Dados e filtragem'!G1435),1,0)</f>
        <v>1</v>
      </c>
      <c r="AL1435" s="25">
        <f>IF(OR(Apresentação!$E$6='Base de Dados e filtragem'!AL$2,Apresentação!$E$6='Base de Dados e filtragem'!H1435),1,0)</f>
        <v>1</v>
      </c>
      <c r="AM1435" s="25">
        <f>IF(OR(Apresentação!$I$2='Base de Dados e filtragem'!AM$2,Apresentação!$I$2='Base de Dados e filtragem'!I1435),1,0)</f>
        <v>1</v>
      </c>
      <c r="AN1435" s="25">
        <f>IF(OR(Apresentação!$I$3='Base de Dados e filtragem'!AN$2,Apresentação!$I$3='Base de Dados e filtragem'!J1435),1,0)</f>
        <v>1</v>
      </c>
      <c r="AO1435" s="25">
        <f>IF(OR(Apresentação!$I$4='Base de Dados e filtragem'!AO$2,Apresentação!$I$4='Base de Dados e filtragem'!K1435),1,0)</f>
        <v>1</v>
      </c>
      <c r="AP1435" s="25">
        <f>IF(OR(Apresentação!$I$5='Base de Dados e filtragem'!AP$2,Apresentação!$I$5='Base de Dados e filtragem'!L1435),1,0)</f>
        <v>1</v>
      </c>
      <c r="AQ1435" s="25">
        <f>IF(OR(Apresentação!$I$6='Base de Dados e filtragem'!AQ$2,Apresentação!$I$6='Base de Dados e filtragem'!M1435),1,0)</f>
        <v>1</v>
      </c>
      <c r="AR1435" s="25">
        <v>1</v>
      </c>
      <c r="AS1435" s="25">
        <v>1</v>
      </c>
      <c r="AT1435" s="25">
        <v>1</v>
      </c>
      <c r="AU1435" s="25">
        <v>1</v>
      </c>
      <c r="AV1435" s="25">
        <v>1</v>
      </c>
      <c r="AW1435" s="25">
        <v>1</v>
      </c>
      <c r="AX1435" s="25">
        <v>1</v>
      </c>
      <c r="AY1435" s="25">
        <v>1</v>
      </c>
      <c r="AZ1435" s="25">
        <v>1</v>
      </c>
      <c r="BA1435" s="25">
        <v>1</v>
      </c>
      <c r="BB1435" s="25">
        <v>1</v>
      </c>
      <c r="BC1435" s="25">
        <v>1</v>
      </c>
      <c r="BD1435" s="25">
        <v>1</v>
      </c>
    </row>
    <row r="1436" spans="27:56" x14ac:dyDescent="0.25">
      <c r="AA1436" s="68" t="str">
        <f t="shared" si="89"/>
        <v>Fotos\\.jpg</v>
      </c>
      <c r="AB1436" s="53">
        <f t="shared" si="90"/>
        <v>6.9637883008356546E-4</v>
      </c>
      <c r="AC1436" s="25">
        <f t="shared" si="91"/>
        <v>1436</v>
      </c>
      <c r="AD1436" s="51">
        <f t="shared" si="92"/>
        <v>1</v>
      </c>
      <c r="AE1436" s="25">
        <v>1</v>
      </c>
      <c r="AF1436" s="25">
        <v>1</v>
      </c>
      <c r="AG1436" s="25">
        <v>1</v>
      </c>
      <c r="AH1436" s="25">
        <v>1</v>
      </c>
      <c r="AI1436" s="25">
        <f>IF(OR(Apresentação!$E$3='Base de Dados e filtragem'!AI$2,Apresentação!$E$3='Base de Dados e filtragem'!E1436),1,0)</f>
        <v>1</v>
      </c>
      <c r="AJ1436" s="25">
        <f>IF(OR(Apresentação!$E$4='Base de Dados e filtragem'!AJ$2,Apresentação!$E$4='Base de Dados e filtragem'!F1436),1,0)</f>
        <v>1</v>
      </c>
      <c r="AK1436" s="25">
        <f>IF(OR(Apresentação!$E$5='Base de Dados e filtragem'!AK$2,Apresentação!$E$5='Base de Dados e filtragem'!G1436),1,0)</f>
        <v>1</v>
      </c>
      <c r="AL1436" s="25">
        <f>IF(OR(Apresentação!$E$6='Base de Dados e filtragem'!AL$2,Apresentação!$E$6='Base de Dados e filtragem'!H1436),1,0)</f>
        <v>1</v>
      </c>
      <c r="AM1436" s="25">
        <f>IF(OR(Apresentação!$I$2='Base de Dados e filtragem'!AM$2,Apresentação!$I$2='Base de Dados e filtragem'!I1436),1,0)</f>
        <v>1</v>
      </c>
      <c r="AN1436" s="25">
        <f>IF(OR(Apresentação!$I$3='Base de Dados e filtragem'!AN$2,Apresentação!$I$3='Base de Dados e filtragem'!J1436),1,0)</f>
        <v>1</v>
      </c>
      <c r="AO1436" s="25">
        <f>IF(OR(Apresentação!$I$4='Base de Dados e filtragem'!AO$2,Apresentação!$I$4='Base de Dados e filtragem'!K1436),1,0)</f>
        <v>1</v>
      </c>
      <c r="AP1436" s="25">
        <f>IF(OR(Apresentação!$I$5='Base de Dados e filtragem'!AP$2,Apresentação!$I$5='Base de Dados e filtragem'!L1436),1,0)</f>
        <v>1</v>
      </c>
      <c r="AQ1436" s="25">
        <f>IF(OR(Apresentação!$I$6='Base de Dados e filtragem'!AQ$2,Apresentação!$I$6='Base de Dados e filtragem'!M1436),1,0)</f>
        <v>1</v>
      </c>
      <c r="AR1436" s="25">
        <v>1</v>
      </c>
      <c r="AS1436" s="25">
        <v>1</v>
      </c>
      <c r="AT1436" s="25">
        <v>1</v>
      </c>
      <c r="AU1436" s="25">
        <v>1</v>
      </c>
      <c r="AV1436" s="25">
        <v>1</v>
      </c>
      <c r="AW1436" s="25">
        <v>1</v>
      </c>
      <c r="AX1436" s="25">
        <v>1</v>
      </c>
      <c r="AY1436" s="25">
        <v>1</v>
      </c>
      <c r="AZ1436" s="25">
        <v>1</v>
      </c>
      <c r="BA1436" s="25">
        <v>1</v>
      </c>
      <c r="BB1436" s="25">
        <v>1</v>
      </c>
      <c r="BC1436" s="25">
        <v>1</v>
      </c>
      <c r="BD1436" s="25">
        <v>1</v>
      </c>
    </row>
    <row r="1437" spans="27:56" x14ac:dyDescent="0.25">
      <c r="AA1437" s="68" t="str">
        <f t="shared" si="89"/>
        <v>Fotos\\.jpg</v>
      </c>
      <c r="AB1437" s="53">
        <f t="shared" si="90"/>
        <v>6.9589422407794019E-4</v>
      </c>
      <c r="AC1437" s="25">
        <f t="shared" si="91"/>
        <v>1437</v>
      </c>
      <c r="AD1437" s="51">
        <f t="shared" si="92"/>
        <v>1</v>
      </c>
      <c r="AE1437" s="25">
        <v>1</v>
      </c>
      <c r="AF1437" s="25">
        <v>1</v>
      </c>
      <c r="AG1437" s="25">
        <v>1</v>
      </c>
      <c r="AH1437" s="25">
        <v>1</v>
      </c>
      <c r="AI1437" s="25">
        <f>IF(OR(Apresentação!$E$3='Base de Dados e filtragem'!AI$2,Apresentação!$E$3='Base de Dados e filtragem'!E1437),1,0)</f>
        <v>1</v>
      </c>
      <c r="AJ1437" s="25">
        <f>IF(OR(Apresentação!$E$4='Base de Dados e filtragem'!AJ$2,Apresentação!$E$4='Base de Dados e filtragem'!F1437),1,0)</f>
        <v>1</v>
      </c>
      <c r="AK1437" s="25">
        <f>IF(OR(Apresentação!$E$5='Base de Dados e filtragem'!AK$2,Apresentação!$E$5='Base de Dados e filtragem'!G1437),1,0)</f>
        <v>1</v>
      </c>
      <c r="AL1437" s="25">
        <f>IF(OR(Apresentação!$E$6='Base de Dados e filtragem'!AL$2,Apresentação!$E$6='Base de Dados e filtragem'!H1437),1,0)</f>
        <v>1</v>
      </c>
      <c r="AM1437" s="25">
        <f>IF(OR(Apresentação!$I$2='Base de Dados e filtragem'!AM$2,Apresentação!$I$2='Base de Dados e filtragem'!I1437),1,0)</f>
        <v>1</v>
      </c>
      <c r="AN1437" s="25">
        <f>IF(OR(Apresentação!$I$3='Base de Dados e filtragem'!AN$2,Apresentação!$I$3='Base de Dados e filtragem'!J1437),1,0)</f>
        <v>1</v>
      </c>
      <c r="AO1437" s="25">
        <f>IF(OR(Apresentação!$I$4='Base de Dados e filtragem'!AO$2,Apresentação!$I$4='Base de Dados e filtragem'!K1437),1,0)</f>
        <v>1</v>
      </c>
      <c r="AP1437" s="25">
        <f>IF(OR(Apresentação!$I$5='Base de Dados e filtragem'!AP$2,Apresentação!$I$5='Base de Dados e filtragem'!L1437),1,0)</f>
        <v>1</v>
      </c>
      <c r="AQ1437" s="25">
        <f>IF(OR(Apresentação!$I$6='Base de Dados e filtragem'!AQ$2,Apresentação!$I$6='Base de Dados e filtragem'!M1437),1,0)</f>
        <v>1</v>
      </c>
      <c r="AR1437" s="25">
        <v>1</v>
      </c>
      <c r="AS1437" s="25">
        <v>1</v>
      </c>
      <c r="AT1437" s="25">
        <v>1</v>
      </c>
      <c r="AU1437" s="25">
        <v>1</v>
      </c>
      <c r="AV1437" s="25">
        <v>1</v>
      </c>
      <c r="AW1437" s="25">
        <v>1</v>
      </c>
      <c r="AX1437" s="25">
        <v>1</v>
      </c>
      <c r="AY1437" s="25">
        <v>1</v>
      </c>
      <c r="AZ1437" s="25">
        <v>1</v>
      </c>
      <c r="BA1437" s="25">
        <v>1</v>
      </c>
      <c r="BB1437" s="25">
        <v>1</v>
      </c>
      <c r="BC1437" s="25">
        <v>1</v>
      </c>
      <c r="BD1437" s="25">
        <v>1</v>
      </c>
    </row>
    <row r="1438" spans="27:56" x14ac:dyDescent="0.25">
      <c r="AA1438" s="68" t="str">
        <f t="shared" si="89"/>
        <v>Fotos\\.jpg</v>
      </c>
      <c r="AB1438" s="53">
        <f t="shared" si="90"/>
        <v>6.9541029207232264E-4</v>
      </c>
      <c r="AC1438" s="25">
        <f t="shared" si="91"/>
        <v>1438</v>
      </c>
      <c r="AD1438" s="51">
        <f t="shared" si="92"/>
        <v>1</v>
      </c>
      <c r="AE1438" s="25">
        <v>1</v>
      </c>
      <c r="AF1438" s="25">
        <v>1</v>
      </c>
      <c r="AG1438" s="25">
        <v>1</v>
      </c>
      <c r="AH1438" s="25">
        <v>1</v>
      </c>
      <c r="AI1438" s="25">
        <f>IF(OR(Apresentação!$E$3='Base de Dados e filtragem'!AI$2,Apresentação!$E$3='Base de Dados e filtragem'!E1438),1,0)</f>
        <v>1</v>
      </c>
      <c r="AJ1438" s="25">
        <f>IF(OR(Apresentação!$E$4='Base de Dados e filtragem'!AJ$2,Apresentação!$E$4='Base de Dados e filtragem'!F1438),1,0)</f>
        <v>1</v>
      </c>
      <c r="AK1438" s="25">
        <f>IF(OR(Apresentação!$E$5='Base de Dados e filtragem'!AK$2,Apresentação!$E$5='Base de Dados e filtragem'!G1438),1,0)</f>
        <v>1</v>
      </c>
      <c r="AL1438" s="25">
        <f>IF(OR(Apresentação!$E$6='Base de Dados e filtragem'!AL$2,Apresentação!$E$6='Base de Dados e filtragem'!H1438),1,0)</f>
        <v>1</v>
      </c>
      <c r="AM1438" s="25">
        <f>IF(OR(Apresentação!$I$2='Base de Dados e filtragem'!AM$2,Apresentação!$I$2='Base de Dados e filtragem'!I1438),1,0)</f>
        <v>1</v>
      </c>
      <c r="AN1438" s="25">
        <f>IF(OR(Apresentação!$I$3='Base de Dados e filtragem'!AN$2,Apresentação!$I$3='Base de Dados e filtragem'!J1438),1,0)</f>
        <v>1</v>
      </c>
      <c r="AO1438" s="25">
        <f>IF(OR(Apresentação!$I$4='Base de Dados e filtragem'!AO$2,Apresentação!$I$4='Base de Dados e filtragem'!K1438),1,0)</f>
        <v>1</v>
      </c>
      <c r="AP1438" s="25">
        <f>IF(OR(Apresentação!$I$5='Base de Dados e filtragem'!AP$2,Apresentação!$I$5='Base de Dados e filtragem'!L1438),1,0)</f>
        <v>1</v>
      </c>
      <c r="AQ1438" s="25">
        <f>IF(OR(Apresentação!$I$6='Base de Dados e filtragem'!AQ$2,Apresentação!$I$6='Base de Dados e filtragem'!M1438),1,0)</f>
        <v>1</v>
      </c>
      <c r="AR1438" s="25">
        <v>1</v>
      </c>
      <c r="AS1438" s="25">
        <v>1</v>
      </c>
      <c r="AT1438" s="25">
        <v>1</v>
      </c>
      <c r="AU1438" s="25">
        <v>1</v>
      </c>
      <c r="AV1438" s="25">
        <v>1</v>
      </c>
      <c r="AW1438" s="25">
        <v>1</v>
      </c>
      <c r="AX1438" s="25">
        <v>1</v>
      </c>
      <c r="AY1438" s="25">
        <v>1</v>
      </c>
      <c r="AZ1438" s="25">
        <v>1</v>
      </c>
      <c r="BA1438" s="25">
        <v>1</v>
      </c>
      <c r="BB1438" s="25">
        <v>1</v>
      </c>
      <c r="BC1438" s="25">
        <v>1</v>
      </c>
      <c r="BD1438" s="25">
        <v>1</v>
      </c>
    </row>
    <row r="1439" spans="27:56" x14ac:dyDescent="0.25">
      <c r="AA1439" s="68" t="str">
        <f t="shared" si="89"/>
        <v>Fotos\\.jpg</v>
      </c>
      <c r="AB1439" s="53">
        <f t="shared" si="90"/>
        <v>6.9492703266157052E-4</v>
      </c>
      <c r="AC1439" s="25">
        <f t="shared" si="91"/>
        <v>1439</v>
      </c>
      <c r="AD1439" s="51">
        <f t="shared" si="92"/>
        <v>1</v>
      </c>
      <c r="AE1439" s="25">
        <v>1</v>
      </c>
      <c r="AF1439" s="25">
        <v>1</v>
      </c>
      <c r="AG1439" s="25">
        <v>1</v>
      </c>
      <c r="AH1439" s="25">
        <v>1</v>
      </c>
      <c r="AI1439" s="25">
        <f>IF(OR(Apresentação!$E$3='Base de Dados e filtragem'!AI$2,Apresentação!$E$3='Base de Dados e filtragem'!E1439),1,0)</f>
        <v>1</v>
      </c>
      <c r="AJ1439" s="25">
        <f>IF(OR(Apresentação!$E$4='Base de Dados e filtragem'!AJ$2,Apresentação!$E$4='Base de Dados e filtragem'!F1439),1,0)</f>
        <v>1</v>
      </c>
      <c r="AK1439" s="25">
        <f>IF(OR(Apresentação!$E$5='Base de Dados e filtragem'!AK$2,Apresentação!$E$5='Base de Dados e filtragem'!G1439),1,0)</f>
        <v>1</v>
      </c>
      <c r="AL1439" s="25">
        <f>IF(OR(Apresentação!$E$6='Base de Dados e filtragem'!AL$2,Apresentação!$E$6='Base de Dados e filtragem'!H1439),1,0)</f>
        <v>1</v>
      </c>
      <c r="AM1439" s="25">
        <f>IF(OR(Apresentação!$I$2='Base de Dados e filtragem'!AM$2,Apresentação!$I$2='Base de Dados e filtragem'!I1439),1,0)</f>
        <v>1</v>
      </c>
      <c r="AN1439" s="25">
        <f>IF(OR(Apresentação!$I$3='Base de Dados e filtragem'!AN$2,Apresentação!$I$3='Base de Dados e filtragem'!J1439),1,0)</f>
        <v>1</v>
      </c>
      <c r="AO1439" s="25">
        <f>IF(OR(Apresentação!$I$4='Base de Dados e filtragem'!AO$2,Apresentação!$I$4='Base de Dados e filtragem'!K1439),1,0)</f>
        <v>1</v>
      </c>
      <c r="AP1439" s="25">
        <f>IF(OR(Apresentação!$I$5='Base de Dados e filtragem'!AP$2,Apresentação!$I$5='Base de Dados e filtragem'!L1439),1,0)</f>
        <v>1</v>
      </c>
      <c r="AQ1439" s="25">
        <f>IF(OR(Apresentação!$I$6='Base de Dados e filtragem'!AQ$2,Apresentação!$I$6='Base de Dados e filtragem'!M1439),1,0)</f>
        <v>1</v>
      </c>
      <c r="AR1439" s="25">
        <v>1</v>
      </c>
      <c r="AS1439" s="25">
        <v>1</v>
      </c>
      <c r="AT1439" s="25">
        <v>1</v>
      </c>
      <c r="AU1439" s="25">
        <v>1</v>
      </c>
      <c r="AV1439" s="25">
        <v>1</v>
      </c>
      <c r="AW1439" s="25">
        <v>1</v>
      </c>
      <c r="AX1439" s="25">
        <v>1</v>
      </c>
      <c r="AY1439" s="25">
        <v>1</v>
      </c>
      <c r="AZ1439" s="25">
        <v>1</v>
      </c>
      <c r="BA1439" s="25">
        <v>1</v>
      </c>
      <c r="BB1439" s="25">
        <v>1</v>
      </c>
      <c r="BC1439" s="25">
        <v>1</v>
      </c>
      <c r="BD1439" s="25">
        <v>1</v>
      </c>
    </row>
    <row r="1440" spans="27:56" x14ac:dyDescent="0.25">
      <c r="AA1440" s="68" t="str">
        <f t="shared" si="89"/>
        <v>Fotos\\.jpg</v>
      </c>
      <c r="AB1440" s="53">
        <f t="shared" si="90"/>
        <v>6.9444444444444447E-4</v>
      </c>
      <c r="AC1440" s="25">
        <f t="shared" si="91"/>
        <v>1440</v>
      </c>
      <c r="AD1440" s="51">
        <f t="shared" si="92"/>
        <v>1</v>
      </c>
      <c r="AE1440" s="25">
        <v>1</v>
      </c>
      <c r="AF1440" s="25">
        <v>1</v>
      </c>
      <c r="AG1440" s="25">
        <v>1</v>
      </c>
      <c r="AH1440" s="25">
        <v>1</v>
      </c>
      <c r="AI1440" s="25">
        <f>IF(OR(Apresentação!$E$3='Base de Dados e filtragem'!AI$2,Apresentação!$E$3='Base de Dados e filtragem'!E1440),1,0)</f>
        <v>1</v>
      </c>
      <c r="AJ1440" s="25">
        <f>IF(OR(Apresentação!$E$4='Base de Dados e filtragem'!AJ$2,Apresentação!$E$4='Base de Dados e filtragem'!F1440),1,0)</f>
        <v>1</v>
      </c>
      <c r="AK1440" s="25">
        <f>IF(OR(Apresentação!$E$5='Base de Dados e filtragem'!AK$2,Apresentação!$E$5='Base de Dados e filtragem'!G1440),1,0)</f>
        <v>1</v>
      </c>
      <c r="AL1440" s="25">
        <f>IF(OR(Apresentação!$E$6='Base de Dados e filtragem'!AL$2,Apresentação!$E$6='Base de Dados e filtragem'!H1440),1,0)</f>
        <v>1</v>
      </c>
      <c r="AM1440" s="25">
        <f>IF(OR(Apresentação!$I$2='Base de Dados e filtragem'!AM$2,Apresentação!$I$2='Base de Dados e filtragem'!I1440),1,0)</f>
        <v>1</v>
      </c>
      <c r="AN1440" s="25">
        <f>IF(OR(Apresentação!$I$3='Base de Dados e filtragem'!AN$2,Apresentação!$I$3='Base de Dados e filtragem'!J1440),1,0)</f>
        <v>1</v>
      </c>
      <c r="AO1440" s="25">
        <f>IF(OR(Apresentação!$I$4='Base de Dados e filtragem'!AO$2,Apresentação!$I$4='Base de Dados e filtragem'!K1440),1,0)</f>
        <v>1</v>
      </c>
      <c r="AP1440" s="25">
        <f>IF(OR(Apresentação!$I$5='Base de Dados e filtragem'!AP$2,Apresentação!$I$5='Base de Dados e filtragem'!L1440),1,0)</f>
        <v>1</v>
      </c>
      <c r="AQ1440" s="25">
        <f>IF(OR(Apresentação!$I$6='Base de Dados e filtragem'!AQ$2,Apresentação!$I$6='Base de Dados e filtragem'!M1440),1,0)</f>
        <v>1</v>
      </c>
      <c r="AR1440" s="25">
        <v>1</v>
      </c>
      <c r="AS1440" s="25">
        <v>1</v>
      </c>
      <c r="AT1440" s="25">
        <v>1</v>
      </c>
      <c r="AU1440" s="25">
        <v>1</v>
      </c>
      <c r="AV1440" s="25">
        <v>1</v>
      </c>
      <c r="AW1440" s="25">
        <v>1</v>
      </c>
      <c r="AX1440" s="25">
        <v>1</v>
      </c>
      <c r="AY1440" s="25">
        <v>1</v>
      </c>
      <c r="AZ1440" s="25">
        <v>1</v>
      </c>
      <c r="BA1440" s="25">
        <v>1</v>
      </c>
      <c r="BB1440" s="25">
        <v>1</v>
      </c>
      <c r="BC1440" s="25">
        <v>1</v>
      </c>
      <c r="BD1440" s="25">
        <v>1</v>
      </c>
    </row>
    <row r="1441" spans="27:56" x14ac:dyDescent="0.25">
      <c r="AA1441" s="68" t="str">
        <f t="shared" si="89"/>
        <v>Fotos\\.jpg</v>
      </c>
      <c r="AB1441" s="53">
        <f t="shared" si="90"/>
        <v>6.939625260235947E-4</v>
      </c>
      <c r="AC1441" s="25">
        <f t="shared" si="91"/>
        <v>1441</v>
      </c>
      <c r="AD1441" s="51">
        <f t="shared" si="92"/>
        <v>1</v>
      </c>
      <c r="AE1441" s="25">
        <v>1</v>
      </c>
      <c r="AF1441" s="25">
        <v>1</v>
      </c>
      <c r="AG1441" s="25">
        <v>1</v>
      </c>
      <c r="AH1441" s="25">
        <v>1</v>
      </c>
      <c r="AI1441" s="25">
        <f>IF(OR(Apresentação!$E$3='Base de Dados e filtragem'!AI$2,Apresentação!$E$3='Base de Dados e filtragem'!E1441),1,0)</f>
        <v>1</v>
      </c>
      <c r="AJ1441" s="25">
        <f>IF(OR(Apresentação!$E$4='Base de Dados e filtragem'!AJ$2,Apresentação!$E$4='Base de Dados e filtragem'!F1441),1,0)</f>
        <v>1</v>
      </c>
      <c r="AK1441" s="25">
        <f>IF(OR(Apresentação!$E$5='Base de Dados e filtragem'!AK$2,Apresentação!$E$5='Base de Dados e filtragem'!G1441),1,0)</f>
        <v>1</v>
      </c>
      <c r="AL1441" s="25">
        <f>IF(OR(Apresentação!$E$6='Base de Dados e filtragem'!AL$2,Apresentação!$E$6='Base de Dados e filtragem'!H1441),1,0)</f>
        <v>1</v>
      </c>
      <c r="AM1441" s="25">
        <f>IF(OR(Apresentação!$I$2='Base de Dados e filtragem'!AM$2,Apresentação!$I$2='Base de Dados e filtragem'!I1441),1,0)</f>
        <v>1</v>
      </c>
      <c r="AN1441" s="25">
        <f>IF(OR(Apresentação!$I$3='Base de Dados e filtragem'!AN$2,Apresentação!$I$3='Base de Dados e filtragem'!J1441),1,0)</f>
        <v>1</v>
      </c>
      <c r="AO1441" s="25">
        <f>IF(OR(Apresentação!$I$4='Base de Dados e filtragem'!AO$2,Apresentação!$I$4='Base de Dados e filtragem'!K1441),1,0)</f>
        <v>1</v>
      </c>
      <c r="AP1441" s="25">
        <f>IF(OR(Apresentação!$I$5='Base de Dados e filtragem'!AP$2,Apresentação!$I$5='Base de Dados e filtragem'!L1441),1,0)</f>
        <v>1</v>
      </c>
      <c r="AQ1441" s="25">
        <f>IF(OR(Apresentação!$I$6='Base de Dados e filtragem'!AQ$2,Apresentação!$I$6='Base de Dados e filtragem'!M1441),1,0)</f>
        <v>1</v>
      </c>
      <c r="AR1441" s="25">
        <v>1</v>
      </c>
      <c r="AS1441" s="25">
        <v>1</v>
      </c>
      <c r="AT1441" s="25">
        <v>1</v>
      </c>
      <c r="AU1441" s="25">
        <v>1</v>
      </c>
      <c r="AV1441" s="25">
        <v>1</v>
      </c>
      <c r="AW1441" s="25">
        <v>1</v>
      </c>
      <c r="AX1441" s="25">
        <v>1</v>
      </c>
      <c r="AY1441" s="25">
        <v>1</v>
      </c>
      <c r="AZ1441" s="25">
        <v>1</v>
      </c>
      <c r="BA1441" s="25">
        <v>1</v>
      </c>
      <c r="BB1441" s="25">
        <v>1</v>
      </c>
      <c r="BC1441" s="25">
        <v>1</v>
      </c>
      <c r="BD1441" s="25">
        <v>1</v>
      </c>
    </row>
    <row r="1442" spans="27:56" x14ac:dyDescent="0.25">
      <c r="AA1442" s="68" t="str">
        <f t="shared" si="89"/>
        <v>Fotos\\.jpg</v>
      </c>
      <c r="AB1442" s="53">
        <f t="shared" si="90"/>
        <v>6.9348127600554787E-4</v>
      </c>
      <c r="AC1442" s="25">
        <f t="shared" si="91"/>
        <v>1442</v>
      </c>
      <c r="AD1442" s="51">
        <f t="shared" si="92"/>
        <v>1</v>
      </c>
      <c r="AE1442" s="25">
        <v>1</v>
      </c>
      <c r="AF1442" s="25">
        <v>1</v>
      </c>
      <c r="AG1442" s="25">
        <v>1</v>
      </c>
      <c r="AH1442" s="25">
        <v>1</v>
      </c>
      <c r="AI1442" s="25">
        <f>IF(OR(Apresentação!$E$3='Base de Dados e filtragem'!AI$2,Apresentação!$E$3='Base de Dados e filtragem'!E1442),1,0)</f>
        <v>1</v>
      </c>
      <c r="AJ1442" s="25">
        <f>IF(OR(Apresentação!$E$4='Base de Dados e filtragem'!AJ$2,Apresentação!$E$4='Base de Dados e filtragem'!F1442),1,0)</f>
        <v>1</v>
      </c>
      <c r="AK1442" s="25">
        <f>IF(OR(Apresentação!$E$5='Base de Dados e filtragem'!AK$2,Apresentação!$E$5='Base de Dados e filtragem'!G1442),1,0)</f>
        <v>1</v>
      </c>
      <c r="AL1442" s="25">
        <f>IF(OR(Apresentação!$E$6='Base de Dados e filtragem'!AL$2,Apresentação!$E$6='Base de Dados e filtragem'!H1442),1,0)</f>
        <v>1</v>
      </c>
      <c r="AM1442" s="25">
        <f>IF(OR(Apresentação!$I$2='Base de Dados e filtragem'!AM$2,Apresentação!$I$2='Base de Dados e filtragem'!I1442),1,0)</f>
        <v>1</v>
      </c>
      <c r="AN1442" s="25">
        <f>IF(OR(Apresentação!$I$3='Base de Dados e filtragem'!AN$2,Apresentação!$I$3='Base de Dados e filtragem'!J1442),1,0)</f>
        <v>1</v>
      </c>
      <c r="AO1442" s="25">
        <f>IF(OR(Apresentação!$I$4='Base de Dados e filtragem'!AO$2,Apresentação!$I$4='Base de Dados e filtragem'!K1442),1,0)</f>
        <v>1</v>
      </c>
      <c r="AP1442" s="25">
        <f>IF(OR(Apresentação!$I$5='Base de Dados e filtragem'!AP$2,Apresentação!$I$5='Base de Dados e filtragem'!L1442),1,0)</f>
        <v>1</v>
      </c>
      <c r="AQ1442" s="25">
        <f>IF(OR(Apresentação!$I$6='Base de Dados e filtragem'!AQ$2,Apresentação!$I$6='Base de Dados e filtragem'!M1442),1,0)</f>
        <v>1</v>
      </c>
      <c r="AR1442" s="25">
        <v>1</v>
      </c>
      <c r="AS1442" s="25">
        <v>1</v>
      </c>
      <c r="AT1442" s="25">
        <v>1</v>
      </c>
      <c r="AU1442" s="25">
        <v>1</v>
      </c>
      <c r="AV1442" s="25">
        <v>1</v>
      </c>
      <c r="AW1442" s="25">
        <v>1</v>
      </c>
      <c r="AX1442" s="25">
        <v>1</v>
      </c>
      <c r="AY1442" s="25">
        <v>1</v>
      </c>
      <c r="AZ1442" s="25">
        <v>1</v>
      </c>
      <c r="BA1442" s="25">
        <v>1</v>
      </c>
      <c r="BB1442" s="25">
        <v>1</v>
      </c>
      <c r="BC1442" s="25">
        <v>1</v>
      </c>
      <c r="BD1442" s="25">
        <v>1</v>
      </c>
    </row>
    <row r="1443" spans="27:56" x14ac:dyDescent="0.25">
      <c r="AA1443" s="68" t="str">
        <f t="shared" si="89"/>
        <v>Fotos\\.jpg</v>
      </c>
      <c r="AB1443" s="53">
        <f t="shared" si="90"/>
        <v>6.93000693000693E-4</v>
      </c>
      <c r="AC1443" s="25">
        <f t="shared" si="91"/>
        <v>1443</v>
      </c>
      <c r="AD1443" s="51">
        <f t="shared" si="92"/>
        <v>1</v>
      </c>
      <c r="AE1443" s="25">
        <v>1</v>
      </c>
      <c r="AF1443" s="25">
        <v>1</v>
      </c>
      <c r="AG1443" s="25">
        <v>1</v>
      </c>
      <c r="AH1443" s="25">
        <v>1</v>
      </c>
      <c r="AI1443" s="25">
        <f>IF(OR(Apresentação!$E$3='Base de Dados e filtragem'!AI$2,Apresentação!$E$3='Base de Dados e filtragem'!E1443),1,0)</f>
        <v>1</v>
      </c>
      <c r="AJ1443" s="25">
        <f>IF(OR(Apresentação!$E$4='Base de Dados e filtragem'!AJ$2,Apresentação!$E$4='Base de Dados e filtragem'!F1443),1,0)</f>
        <v>1</v>
      </c>
      <c r="AK1443" s="25">
        <f>IF(OR(Apresentação!$E$5='Base de Dados e filtragem'!AK$2,Apresentação!$E$5='Base de Dados e filtragem'!G1443),1,0)</f>
        <v>1</v>
      </c>
      <c r="AL1443" s="25">
        <f>IF(OR(Apresentação!$E$6='Base de Dados e filtragem'!AL$2,Apresentação!$E$6='Base de Dados e filtragem'!H1443),1,0)</f>
        <v>1</v>
      </c>
      <c r="AM1443" s="25">
        <f>IF(OR(Apresentação!$I$2='Base de Dados e filtragem'!AM$2,Apresentação!$I$2='Base de Dados e filtragem'!I1443),1,0)</f>
        <v>1</v>
      </c>
      <c r="AN1443" s="25">
        <f>IF(OR(Apresentação!$I$3='Base de Dados e filtragem'!AN$2,Apresentação!$I$3='Base de Dados e filtragem'!J1443),1,0)</f>
        <v>1</v>
      </c>
      <c r="AO1443" s="25">
        <f>IF(OR(Apresentação!$I$4='Base de Dados e filtragem'!AO$2,Apresentação!$I$4='Base de Dados e filtragem'!K1443),1,0)</f>
        <v>1</v>
      </c>
      <c r="AP1443" s="25">
        <f>IF(OR(Apresentação!$I$5='Base de Dados e filtragem'!AP$2,Apresentação!$I$5='Base de Dados e filtragem'!L1443),1,0)</f>
        <v>1</v>
      </c>
      <c r="AQ1443" s="25">
        <f>IF(OR(Apresentação!$I$6='Base de Dados e filtragem'!AQ$2,Apresentação!$I$6='Base de Dados e filtragem'!M1443),1,0)</f>
        <v>1</v>
      </c>
      <c r="AR1443" s="25">
        <v>1</v>
      </c>
      <c r="AS1443" s="25">
        <v>1</v>
      </c>
      <c r="AT1443" s="25">
        <v>1</v>
      </c>
      <c r="AU1443" s="25">
        <v>1</v>
      </c>
      <c r="AV1443" s="25">
        <v>1</v>
      </c>
      <c r="AW1443" s="25">
        <v>1</v>
      </c>
      <c r="AX1443" s="25">
        <v>1</v>
      </c>
      <c r="AY1443" s="25">
        <v>1</v>
      </c>
      <c r="AZ1443" s="25">
        <v>1</v>
      </c>
      <c r="BA1443" s="25">
        <v>1</v>
      </c>
      <c r="BB1443" s="25">
        <v>1</v>
      </c>
      <c r="BC1443" s="25">
        <v>1</v>
      </c>
      <c r="BD1443" s="25">
        <v>1</v>
      </c>
    </row>
    <row r="1444" spans="27:56" x14ac:dyDescent="0.25">
      <c r="AA1444" s="68" t="str">
        <f t="shared" si="89"/>
        <v>Fotos\\.jpg</v>
      </c>
      <c r="AB1444" s="53">
        <f t="shared" si="90"/>
        <v>6.925207756232687E-4</v>
      </c>
      <c r="AC1444" s="25">
        <f t="shared" si="91"/>
        <v>1444</v>
      </c>
      <c r="AD1444" s="51">
        <f t="shared" si="92"/>
        <v>1</v>
      </c>
      <c r="AE1444" s="25">
        <v>1</v>
      </c>
      <c r="AF1444" s="25">
        <v>1</v>
      </c>
      <c r="AG1444" s="25">
        <v>1</v>
      </c>
      <c r="AH1444" s="25">
        <v>1</v>
      </c>
      <c r="AI1444" s="25">
        <f>IF(OR(Apresentação!$E$3='Base de Dados e filtragem'!AI$2,Apresentação!$E$3='Base de Dados e filtragem'!E1444),1,0)</f>
        <v>1</v>
      </c>
      <c r="AJ1444" s="25">
        <f>IF(OR(Apresentação!$E$4='Base de Dados e filtragem'!AJ$2,Apresentação!$E$4='Base de Dados e filtragem'!F1444),1,0)</f>
        <v>1</v>
      </c>
      <c r="AK1444" s="25">
        <f>IF(OR(Apresentação!$E$5='Base de Dados e filtragem'!AK$2,Apresentação!$E$5='Base de Dados e filtragem'!G1444),1,0)</f>
        <v>1</v>
      </c>
      <c r="AL1444" s="25">
        <f>IF(OR(Apresentação!$E$6='Base de Dados e filtragem'!AL$2,Apresentação!$E$6='Base de Dados e filtragem'!H1444),1,0)</f>
        <v>1</v>
      </c>
      <c r="AM1444" s="25">
        <f>IF(OR(Apresentação!$I$2='Base de Dados e filtragem'!AM$2,Apresentação!$I$2='Base de Dados e filtragem'!I1444),1,0)</f>
        <v>1</v>
      </c>
      <c r="AN1444" s="25">
        <f>IF(OR(Apresentação!$I$3='Base de Dados e filtragem'!AN$2,Apresentação!$I$3='Base de Dados e filtragem'!J1444),1,0)</f>
        <v>1</v>
      </c>
      <c r="AO1444" s="25">
        <f>IF(OR(Apresentação!$I$4='Base de Dados e filtragem'!AO$2,Apresentação!$I$4='Base de Dados e filtragem'!K1444),1,0)</f>
        <v>1</v>
      </c>
      <c r="AP1444" s="25">
        <f>IF(OR(Apresentação!$I$5='Base de Dados e filtragem'!AP$2,Apresentação!$I$5='Base de Dados e filtragem'!L1444),1,0)</f>
        <v>1</v>
      </c>
      <c r="AQ1444" s="25">
        <f>IF(OR(Apresentação!$I$6='Base de Dados e filtragem'!AQ$2,Apresentação!$I$6='Base de Dados e filtragem'!M1444),1,0)</f>
        <v>1</v>
      </c>
      <c r="AR1444" s="25">
        <v>1</v>
      </c>
      <c r="AS1444" s="25">
        <v>1</v>
      </c>
      <c r="AT1444" s="25">
        <v>1</v>
      </c>
      <c r="AU1444" s="25">
        <v>1</v>
      </c>
      <c r="AV1444" s="25">
        <v>1</v>
      </c>
      <c r="AW1444" s="25">
        <v>1</v>
      </c>
      <c r="AX1444" s="25">
        <v>1</v>
      </c>
      <c r="AY1444" s="25">
        <v>1</v>
      </c>
      <c r="AZ1444" s="25">
        <v>1</v>
      </c>
      <c r="BA1444" s="25">
        <v>1</v>
      </c>
      <c r="BB1444" s="25">
        <v>1</v>
      </c>
      <c r="BC1444" s="25">
        <v>1</v>
      </c>
      <c r="BD1444" s="25">
        <v>1</v>
      </c>
    </row>
    <row r="1445" spans="27:56" x14ac:dyDescent="0.25">
      <c r="AA1445" s="68" t="str">
        <f t="shared" si="89"/>
        <v>Fotos\\.jpg</v>
      </c>
      <c r="AB1445" s="53">
        <f t="shared" si="90"/>
        <v>6.9204152249134946E-4</v>
      </c>
      <c r="AC1445" s="25">
        <f t="shared" si="91"/>
        <v>1445</v>
      </c>
      <c r="AD1445" s="51">
        <f t="shared" si="92"/>
        <v>1</v>
      </c>
      <c r="AE1445" s="25">
        <v>1</v>
      </c>
      <c r="AF1445" s="25">
        <v>1</v>
      </c>
      <c r="AG1445" s="25">
        <v>1</v>
      </c>
      <c r="AH1445" s="25">
        <v>1</v>
      </c>
      <c r="AI1445" s="25">
        <f>IF(OR(Apresentação!$E$3='Base de Dados e filtragem'!AI$2,Apresentação!$E$3='Base de Dados e filtragem'!E1445),1,0)</f>
        <v>1</v>
      </c>
      <c r="AJ1445" s="25">
        <f>IF(OR(Apresentação!$E$4='Base de Dados e filtragem'!AJ$2,Apresentação!$E$4='Base de Dados e filtragem'!F1445),1,0)</f>
        <v>1</v>
      </c>
      <c r="AK1445" s="25">
        <f>IF(OR(Apresentação!$E$5='Base de Dados e filtragem'!AK$2,Apresentação!$E$5='Base de Dados e filtragem'!G1445),1,0)</f>
        <v>1</v>
      </c>
      <c r="AL1445" s="25">
        <f>IF(OR(Apresentação!$E$6='Base de Dados e filtragem'!AL$2,Apresentação!$E$6='Base de Dados e filtragem'!H1445),1,0)</f>
        <v>1</v>
      </c>
      <c r="AM1445" s="25">
        <f>IF(OR(Apresentação!$I$2='Base de Dados e filtragem'!AM$2,Apresentação!$I$2='Base de Dados e filtragem'!I1445),1,0)</f>
        <v>1</v>
      </c>
      <c r="AN1445" s="25">
        <f>IF(OR(Apresentação!$I$3='Base de Dados e filtragem'!AN$2,Apresentação!$I$3='Base de Dados e filtragem'!J1445),1,0)</f>
        <v>1</v>
      </c>
      <c r="AO1445" s="25">
        <f>IF(OR(Apresentação!$I$4='Base de Dados e filtragem'!AO$2,Apresentação!$I$4='Base de Dados e filtragem'!K1445),1,0)</f>
        <v>1</v>
      </c>
      <c r="AP1445" s="25">
        <f>IF(OR(Apresentação!$I$5='Base de Dados e filtragem'!AP$2,Apresentação!$I$5='Base de Dados e filtragem'!L1445),1,0)</f>
        <v>1</v>
      </c>
      <c r="AQ1445" s="25">
        <f>IF(OR(Apresentação!$I$6='Base de Dados e filtragem'!AQ$2,Apresentação!$I$6='Base de Dados e filtragem'!M1445),1,0)</f>
        <v>1</v>
      </c>
      <c r="AR1445" s="25">
        <v>1</v>
      </c>
      <c r="AS1445" s="25">
        <v>1</v>
      </c>
      <c r="AT1445" s="25">
        <v>1</v>
      </c>
      <c r="AU1445" s="25">
        <v>1</v>
      </c>
      <c r="AV1445" s="25">
        <v>1</v>
      </c>
      <c r="AW1445" s="25">
        <v>1</v>
      </c>
      <c r="AX1445" s="25">
        <v>1</v>
      </c>
      <c r="AY1445" s="25">
        <v>1</v>
      </c>
      <c r="AZ1445" s="25">
        <v>1</v>
      </c>
      <c r="BA1445" s="25">
        <v>1</v>
      </c>
      <c r="BB1445" s="25">
        <v>1</v>
      </c>
      <c r="BC1445" s="25">
        <v>1</v>
      </c>
      <c r="BD1445" s="25">
        <v>1</v>
      </c>
    </row>
    <row r="1446" spans="27:56" x14ac:dyDescent="0.25">
      <c r="AA1446" s="68" t="str">
        <f t="shared" si="89"/>
        <v>Fotos\\.jpg</v>
      </c>
      <c r="AB1446" s="53">
        <f t="shared" si="90"/>
        <v>6.9156293222683268E-4</v>
      </c>
      <c r="AC1446" s="25">
        <f t="shared" si="91"/>
        <v>1446</v>
      </c>
      <c r="AD1446" s="51">
        <f t="shared" si="92"/>
        <v>1</v>
      </c>
      <c r="AE1446" s="25">
        <v>1</v>
      </c>
      <c r="AF1446" s="25">
        <v>1</v>
      </c>
      <c r="AG1446" s="25">
        <v>1</v>
      </c>
      <c r="AH1446" s="25">
        <v>1</v>
      </c>
      <c r="AI1446" s="25">
        <f>IF(OR(Apresentação!$E$3='Base de Dados e filtragem'!AI$2,Apresentação!$E$3='Base de Dados e filtragem'!E1446),1,0)</f>
        <v>1</v>
      </c>
      <c r="AJ1446" s="25">
        <f>IF(OR(Apresentação!$E$4='Base de Dados e filtragem'!AJ$2,Apresentação!$E$4='Base de Dados e filtragem'!F1446),1,0)</f>
        <v>1</v>
      </c>
      <c r="AK1446" s="25">
        <f>IF(OR(Apresentação!$E$5='Base de Dados e filtragem'!AK$2,Apresentação!$E$5='Base de Dados e filtragem'!G1446),1,0)</f>
        <v>1</v>
      </c>
      <c r="AL1446" s="25">
        <f>IF(OR(Apresentação!$E$6='Base de Dados e filtragem'!AL$2,Apresentação!$E$6='Base de Dados e filtragem'!H1446),1,0)</f>
        <v>1</v>
      </c>
      <c r="AM1446" s="25">
        <f>IF(OR(Apresentação!$I$2='Base de Dados e filtragem'!AM$2,Apresentação!$I$2='Base de Dados e filtragem'!I1446),1,0)</f>
        <v>1</v>
      </c>
      <c r="AN1446" s="25">
        <f>IF(OR(Apresentação!$I$3='Base de Dados e filtragem'!AN$2,Apresentação!$I$3='Base de Dados e filtragem'!J1446),1,0)</f>
        <v>1</v>
      </c>
      <c r="AO1446" s="25">
        <f>IF(OR(Apresentação!$I$4='Base de Dados e filtragem'!AO$2,Apresentação!$I$4='Base de Dados e filtragem'!K1446),1,0)</f>
        <v>1</v>
      </c>
      <c r="AP1446" s="25">
        <f>IF(OR(Apresentação!$I$5='Base de Dados e filtragem'!AP$2,Apresentação!$I$5='Base de Dados e filtragem'!L1446),1,0)</f>
        <v>1</v>
      </c>
      <c r="AQ1446" s="25">
        <f>IF(OR(Apresentação!$I$6='Base de Dados e filtragem'!AQ$2,Apresentação!$I$6='Base de Dados e filtragem'!M1446),1,0)</f>
        <v>1</v>
      </c>
      <c r="AR1446" s="25">
        <v>1</v>
      </c>
      <c r="AS1446" s="25">
        <v>1</v>
      </c>
      <c r="AT1446" s="25">
        <v>1</v>
      </c>
      <c r="AU1446" s="25">
        <v>1</v>
      </c>
      <c r="AV1446" s="25">
        <v>1</v>
      </c>
      <c r="AW1446" s="25">
        <v>1</v>
      </c>
      <c r="AX1446" s="25">
        <v>1</v>
      </c>
      <c r="AY1446" s="25">
        <v>1</v>
      </c>
      <c r="AZ1446" s="25">
        <v>1</v>
      </c>
      <c r="BA1446" s="25">
        <v>1</v>
      </c>
      <c r="BB1446" s="25">
        <v>1</v>
      </c>
      <c r="BC1446" s="25">
        <v>1</v>
      </c>
      <c r="BD1446" s="25">
        <v>1</v>
      </c>
    </row>
    <row r="1447" spans="27:56" x14ac:dyDescent="0.25">
      <c r="AA1447" s="68" t="str">
        <f t="shared" si="89"/>
        <v>Fotos\\.jpg</v>
      </c>
      <c r="AB1447" s="53">
        <f t="shared" si="90"/>
        <v>6.9108500345542499E-4</v>
      </c>
      <c r="AC1447" s="25">
        <f t="shared" si="91"/>
        <v>1447</v>
      </c>
      <c r="AD1447" s="51">
        <f t="shared" si="92"/>
        <v>1</v>
      </c>
      <c r="AE1447" s="25">
        <v>1</v>
      </c>
      <c r="AF1447" s="25">
        <v>1</v>
      </c>
      <c r="AG1447" s="25">
        <v>1</v>
      </c>
      <c r="AH1447" s="25">
        <v>1</v>
      </c>
      <c r="AI1447" s="25">
        <f>IF(OR(Apresentação!$E$3='Base de Dados e filtragem'!AI$2,Apresentação!$E$3='Base de Dados e filtragem'!E1447),1,0)</f>
        <v>1</v>
      </c>
      <c r="AJ1447" s="25">
        <f>IF(OR(Apresentação!$E$4='Base de Dados e filtragem'!AJ$2,Apresentação!$E$4='Base de Dados e filtragem'!F1447),1,0)</f>
        <v>1</v>
      </c>
      <c r="AK1447" s="25">
        <f>IF(OR(Apresentação!$E$5='Base de Dados e filtragem'!AK$2,Apresentação!$E$5='Base de Dados e filtragem'!G1447),1,0)</f>
        <v>1</v>
      </c>
      <c r="AL1447" s="25">
        <f>IF(OR(Apresentação!$E$6='Base de Dados e filtragem'!AL$2,Apresentação!$E$6='Base de Dados e filtragem'!H1447),1,0)</f>
        <v>1</v>
      </c>
      <c r="AM1447" s="25">
        <f>IF(OR(Apresentação!$I$2='Base de Dados e filtragem'!AM$2,Apresentação!$I$2='Base de Dados e filtragem'!I1447),1,0)</f>
        <v>1</v>
      </c>
      <c r="AN1447" s="25">
        <f>IF(OR(Apresentação!$I$3='Base de Dados e filtragem'!AN$2,Apresentação!$I$3='Base de Dados e filtragem'!J1447),1,0)</f>
        <v>1</v>
      </c>
      <c r="AO1447" s="25">
        <f>IF(OR(Apresentação!$I$4='Base de Dados e filtragem'!AO$2,Apresentação!$I$4='Base de Dados e filtragem'!K1447),1,0)</f>
        <v>1</v>
      </c>
      <c r="AP1447" s="25">
        <f>IF(OR(Apresentação!$I$5='Base de Dados e filtragem'!AP$2,Apresentação!$I$5='Base de Dados e filtragem'!L1447),1,0)</f>
        <v>1</v>
      </c>
      <c r="AQ1447" s="25">
        <f>IF(OR(Apresentação!$I$6='Base de Dados e filtragem'!AQ$2,Apresentação!$I$6='Base de Dados e filtragem'!M1447),1,0)</f>
        <v>1</v>
      </c>
      <c r="AR1447" s="25">
        <v>1</v>
      </c>
      <c r="AS1447" s="25">
        <v>1</v>
      </c>
      <c r="AT1447" s="25">
        <v>1</v>
      </c>
      <c r="AU1447" s="25">
        <v>1</v>
      </c>
      <c r="AV1447" s="25">
        <v>1</v>
      </c>
      <c r="AW1447" s="25">
        <v>1</v>
      </c>
      <c r="AX1447" s="25">
        <v>1</v>
      </c>
      <c r="AY1447" s="25">
        <v>1</v>
      </c>
      <c r="AZ1447" s="25">
        <v>1</v>
      </c>
      <c r="BA1447" s="25">
        <v>1</v>
      </c>
      <c r="BB1447" s="25">
        <v>1</v>
      </c>
      <c r="BC1447" s="25">
        <v>1</v>
      </c>
      <c r="BD1447" s="25">
        <v>1</v>
      </c>
    </row>
    <row r="1448" spans="27:56" x14ac:dyDescent="0.25">
      <c r="AA1448" s="68" t="str">
        <f t="shared" si="89"/>
        <v>Fotos\\.jpg</v>
      </c>
      <c r="AB1448" s="53">
        <f t="shared" si="90"/>
        <v>6.9060773480662981E-4</v>
      </c>
      <c r="AC1448" s="25">
        <f t="shared" si="91"/>
        <v>1448</v>
      </c>
      <c r="AD1448" s="51">
        <f t="shared" si="92"/>
        <v>1</v>
      </c>
      <c r="AE1448" s="25">
        <v>1</v>
      </c>
      <c r="AF1448" s="25">
        <v>1</v>
      </c>
      <c r="AG1448" s="25">
        <v>1</v>
      </c>
      <c r="AH1448" s="25">
        <v>1</v>
      </c>
      <c r="AI1448" s="25">
        <f>IF(OR(Apresentação!$E$3='Base de Dados e filtragem'!AI$2,Apresentação!$E$3='Base de Dados e filtragem'!E1448),1,0)</f>
        <v>1</v>
      </c>
      <c r="AJ1448" s="25">
        <f>IF(OR(Apresentação!$E$4='Base de Dados e filtragem'!AJ$2,Apresentação!$E$4='Base de Dados e filtragem'!F1448),1,0)</f>
        <v>1</v>
      </c>
      <c r="AK1448" s="25">
        <f>IF(OR(Apresentação!$E$5='Base de Dados e filtragem'!AK$2,Apresentação!$E$5='Base de Dados e filtragem'!G1448),1,0)</f>
        <v>1</v>
      </c>
      <c r="AL1448" s="25">
        <f>IF(OR(Apresentação!$E$6='Base de Dados e filtragem'!AL$2,Apresentação!$E$6='Base de Dados e filtragem'!H1448),1,0)</f>
        <v>1</v>
      </c>
      <c r="AM1448" s="25">
        <f>IF(OR(Apresentação!$I$2='Base de Dados e filtragem'!AM$2,Apresentação!$I$2='Base de Dados e filtragem'!I1448),1,0)</f>
        <v>1</v>
      </c>
      <c r="AN1448" s="25">
        <f>IF(OR(Apresentação!$I$3='Base de Dados e filtragem'!AN$2,Apresentação!$I$3='Base de Dados e filtragem'!J1448),1,0)</f>
        <v>1</v>
      </c>
      <c r="AO1448" s="25">
        <f>IF(OR(Apresentação!$I$4='Base de Dados e filtragem'!AO$2,Apresentação!$I$4='Base de Dados e filtragem'!K1448),1,0)</f>
        <v>1</v>
      </c>
      <c r="AP1448" s="25">
        <f>IF(OR(Apresentação!$I$5='Base de Dados e filtragem'!AP$2,Apresentação!$I$5='Base de Dados e filtragem'!L1448),1,0)</f>
        <v>1</v>
      </c>
      <c r="AQ1448" s="25">
        <f>IF(OR(Apresentação!$I$6='Base de Dados e filtragem'!AQ$2,Apresentação!$I$6='Base de Dados e filtragem'!M1448),1,0)</f>
        <v>1</v>
      </c>
      <c r="AR1448" s="25">
        <v>1</v>
      </c>
      <c r="AS1448" s="25">
        <v>1</v>
      </c>
      <c r="AT1448" s="25">
        <v>1</v>
      </c>
      <c r="AU1448" s="25">
        <v>1</v>
      </c>
      <c r="AV1448" s="25">
        <v>1</v>
      </c>
      <c r="AW1448" s="25">
        <v>1</v>
      </c>
      <c r="AX1448" s="25">
        <v>1</v>
      </c>
      <c r="AY1448" s="25">
        <v>1</v>
      </c>
      <c r="AZ1448" s="25">
        <v>1</v>
      </c>
      <c r="BA1448" s="25">
        <v>1</v>
      </c>
      <c r="BB1448" s="25">
        <v>1</v>
      </c>
      <c r="BC1448" s="25">
        <v>1</v>
      </c>
      <c r="BD1448" s="25">
        <v>1</v>
      </c>
    </row>
    <row r="1449" spans="27:56" x14ac:dyDescent="0.25">
      <c r="AA1449" s="68" t="str">
        <f t="shared" si="89"/>
        <v>Fotos\\.jpg</v>
      </c>
      <c r="AB1449" s="53">
        <f t="shared" si="90"/>
        <v>6.9013112491373362E-4</v>
      </c>
      <c r="AC1449" s="25">
        <f t="shared" si="91"/>
        <v>1449</v>
      </c>
      <c r="AD1449" s="51">
        <f t="shared" si="92"/>
        <v>1</v>
      </c>
      <c r="AE1449" s="25">
        <v>1</v>
      </c>
      <c r="AF1449" s="25">
        <v>1</v>
      </c>
      <c r="AG1449" s="25">
        <v>1</v>
      </c>
      <c r="AH1449" s="25">
        <v>1</v>
      </c>
      <c r="AI1449" s="25">
        <f>IF(OR(Apresentação!$E$3='Base de Dados e filtragem'!AI$2,Apresentação!$E$3='Base de Dados e filtragem'!E1449),1,0)</f>
        <v>1</v>
      </c>
      <c r="AJ1449" s="25">
        <f>IF(OR(Apresentação!$E$4='Base de Dados e filtragem'!AJ$2,Apresentação!$E$4='Base de Dados e filtragem'!F1449),1,0)</f>
        <v>1</v>
      </c>
      <c r="AK1449" s="25">
        <f>IF(OR(Apresentação!$E$5='Base de Dados e filtragem'!AK$2,Apresentação!$E$5='Base de Dados e filtragem'!G1449),1,0)</f>
        <v>1</v>
      </c>
      <c r="AL1449" s="25">
        <f>IF(OR(Apresentação!$E$6='Base de Dados e filtragem'!AL$2,Apresentação!$E$6='Base de Dados e filtragem'!H1449),1,0)</f>
        <v>1</v>
      </c>
      <c r="AM1449" s="25">
        <f>IF(OR(Apresentação!$I$2='Base de Dados e filtragem'!AM$2,Apresentação!$I$2='Base de Dados e filtragem'!I1449),1,0)</f>
        <v>1</v>
      </c>
      <c r="AN1449" s="25">
        <f>IF(OR(Apresentação!$I$3='Base de Dados e filtragem'!AN$2,Apresentação!$I$3='Base de Dados e filtragem'!J1449),1,0)</f>
        <v>1</v>
      </c>
      <c r="AO1449" s="25">
        <f>IF(OR(Apresentação!$I$4='Base de Dados e filtragem'!AO$2,Apresentação!$I$4='Base de Dados e filtragem'!K1449),1,0)</f>
        <v>1</v>
      </c>
      <c r="AP1449" s="25">
        <f>IF(OR(Apresentação!$I$5='Base de Dados e filtragem'!AP$2,Apresentação!$I$5='Base de Dados e filtragem'!L1449),1,0)</f>
        <v>1</v>
      </c>
      <c r="AQ1449" s="25">
        <f>IF(OR(Apresentação!$I$6='Base de Dados e filtragem'!AQ$2,Apresentação!$I$6='Base de Dados e filtragem'!M1449),1,0)</f>
        <v>1</v>
      </c>
      <c r="AR1449" s="25">
        <v>1</v>
      </c>
      <c r="AS1449" s="25">
        <v>1</v>
      </c>
      <c r="AT1449" s="25">
        <v>1</v>
      </c>
      <c r="AU1449" s="25">
        <v>1</v>
      </c>
      <c r="AV1449" s="25">
        <v>1</v>
      </c>
      <c r="AW1449" s="25">
        <v>1</v>
      </c>
      <c r="AX1449" s="25">
        <v>1</v>
      </c>
      <c r="AY1449" s="25">
        <v>1</v>
      </c>
      <c r="AZ1449" s="25">
        <v>1</v>
      </c>
      <c r="BA1449" s="25">
        <v>1</v>
      </c>
      <c r="BB1449" s="25">
        <v>1</v>
      </c>
      <c r="BC1449" s="25">
        <v>1</v>
      </c>
      <c r="BD1449" s="25">
        <v>1</v>
      </c>
    </row>
    <row r="1450" spans="27:56" x14ac:dyDescent="0.25">
      <c r="AA1450" s="68" t="str">
        <f t="shared" si="89"/>
        <v>Fotos\\.jpg</v>
      </c>
      <c r="AB1450" s="53">
        <f t="shared" si="90"/>
        <v>6.8965517241379305E-4</v>
      </c>
      <c r="AC1450" s="25">
        <f t="shared" si="91"/>
        <v>1450</v>
      </c>
      <c r="AD1450" s="51">
        <f t="shared" si="92"/>
        <v>1</v>
      </c>
      <c r="AE1450" s="25">
        <v>1</v>
      </c>
      <c r="AF1450" s="25">
        <v>1</v>
      </c>
      <c r="AG1450" s="25">
        <v>1</v>
      </c>
      <c r="AH1450" s="25">
        <v>1</v>
      </c>
      <c r="AI1450" s="25">
        <f>IF(OR(Apresentação!$E$3='Base de Dados e filtragem'!AI$2,Apresentação!$E$3='Base de Dados e filtragem'!E1450),1,0)</f>
        <v>1</v>
      </c>
      <c r="AJ1450" s="25">
        <f>IF(OR(Apresentação!$E$4='Base de Dados e filtragem'!AJ$2,Apresentação!$E$4='Base de Dados e filtragem'!F1450),1,0)</f>
        <v>1</v>
      </c>
      <c r="AK1450" s="25">
        <f>IF(OR(Apresentação!$E$5='Base de Dados e filtragem'!AK$2,Apresentação!$E$5='Base de Dados e filtragem'!G1450),1,0)</f>
        <v>1</v>
      </c>
      <c r="AL1450" s="25">
        <f>IF(OR(Apresentação!$E$6='Base de Dados e filtragem'!AL$2,Apresentação!$E$6='Base de Dados e filtragem'!H1450),1,0)</f>
        <v>1</v>
      </c>
      <c r="AM1450" s="25">
        <f>IF(OR(Apresentação!$I$2='Base de Dados e filtragem'!AM$2,Apresentação!$I$2='Base de Dados e filtragem'!I1450),1,0)</f>
        <v>1</v>
      </c>
      <c r="AN1450" s="25">
        <f>IF(OR(Apresentação!$I$3='Base de Dados e filtragem'!AN$2,Apresentação!$I$3='Base de Dados e filtragem'!J1450),1,0)</f>
        <v>1</v>
      </c>
      <c r="AO1450" s="25">
        <f>IF(OR(Apresentação!$I$4='Base de Dados e filtragem'!AO$2,Apresentação!$I$4='Base de Dados e filtragem'!K1450),1,0)</f>
        <v>1</v>
      </c>
      <c r="AP1450" s="25">
        <f>IF(OR(Apresentação!$I$5='Base de Dados e filtragem'!AP$2,Apresentação!$I$5='Base de Dados e filtragem'!L1450),1,0)</f>
        <v>1</v>
      </c>
      <c r="AQ1450" s="25">
        <f>IF(OR(Apresentação!$I$6='Base de Dados e filtragem'!AQ$2,Apresentação!$I$6='Base de Dados e filtragem'!M1450),1,0)</f>
        <v>1</v>
      </c>
      <c r="AR1450" s="25">
        <v>1</v>
      </c>
      <c r="AS1450" s="25">
        <v>1</v>
      </c>
      <c r="AT1450" s="25">
        <v>1</v>
      </c>
      <c r="AU1450" s="25">
        <v>1</v>
      </c>
      <c r="AV1450" s="25">
        <v>1</v>
      </c>
      <c r="AW1450" s="25">
        <v>1</v>
      </c>
      <c r="AX1450" s="25">
        <v>1</v>
      </c>
      <c r="AY1450" s="25">
        <v>1</v>
      </c>
      <c r="AZ1450" s="25">
        <v>1</v>
      </c>
      <c r="BA1450" s="25">
        <v>1</v>
      </c>
      <c r="BB1450" s="25">
        <v>1</v>
      </c>
      <c r="BC1450" s="25">
        <v>1</v>
      </c>
      <c r="BD1450" s="25">
        <v>1</v>
      </c>
    </row>
    <row r="1451" spans="27:56" x14ac:dyDescent="0.25">
      <c r="AA1451" s="68" t="str">
        <f t="shared" si="89"/>
        <v>Fotos\\.jpg</v>
      </c>
      <c r="AB1451" s="53">
        <f t="shared" si="90"/>
        <v>6.8917987594762232E-4</v>
      </c>
      <c r="AC1451" s="25">
        <f t="shared" si="91"/>
        <v>1451</v>
      </c>
      <c r="AD1451" s="51">
        <f t="shared" si="92"/>
        <v>1</v>
      </c>
      <c r="AE1451" s="25">
        <v>1</v>
      </c>
      <c r="AF1451" s="25">
        <v>1</v>
      </c>
      <c r="AG1451" s="25">
        <v>1</v>
      </c>
      <c r="AH1451" s="25">
        <v>1</v>
      </c>
      <c r="AI1451" s="25">
        <f>IF(OR(Apresentação!$E$3='Base de Dados e filtragem'!AI$2,Apresentação!$E$3='Base de Dados e filtragem'!E1451),1,0)</f>
        <v>1</v>
      </c>
      <c r="AJ1451" s="25">
        <f>IF(OR(Apresentação!$E$4='Base de Dados e filtragem'!AJ$2,Apresentação!$E$4='Base de Dados e filtragem'!F1451),1,0)</f>
        <v>1</v>
      </c>
      <c r="AK1451" s="25">
        <f>IF(OR(Apresentação!$E$5='Base de Dados e filtragem'!AK$2,Apresentação!$E$5='Base de Dados e filtragem'!G1451),1,0)</f>
        <v>1</v>
      </c>
      <c r="AL1451" s="25">
        <f>IF(OR(Apresentação!$E$6='Base de Dados e filtragem'!AL$2,Apresentação!$E$6='Base de Dados e filtragem'!H1451),1,0)</f>
        <v>1</v>
      </c>
      <c r="AM1451" s="25">
        <f>IF(OR(Apresentação!$I$2='Base de Dados e filtragem'!AM$2,Apresentação!$I$2='Base de Dados e filtragem'!I1451),1,0)</f>
        <v>1</v>
      </c>
      <c r="AN1451" s="25">
        <f>IF(OR(Apresentação!$I$3='Base de Dados e filtragem'!AN$2,Apresentação!$I$3='Base de Dados e filtragem'!J1451),1,0)</f>
        <v>1</v>
      </c>
      <c r="AO1451" s="25">
        <f>IF(OR(Apresentação!$I$4='Base de Dados e filtragem'!AO$2,Apresentação!$I$4='Base de Dados e filtragem'!K1451),1,0)</f>
        <v>1</v>
      </c>
      <c r="AP1451" s="25">
        <f>IF(OR(Apresentação!$I$5='Base de Dados e filtragem'!AP$2,Apresentação!$I$5='Base de Dados e filtragem'!L1451),1,0)</f>
        <v>1</v>
      </c>
      <c r="AQ1451" s="25">
        <f>IF(OR(Apresentação!$I$6='Base de Dados e filtragem'!AQ$2,Apresentação!$I$6='Base de Dados e filtragem'!M1451),1,0)</f>
        <v>1</v>
      </c>
      <c r="AR1451" s="25">
        <v>1</v>
      </c>
      <c r="AS1451" s="25">
        <v>1</v>
      </c>
      <c r="AT1451" s="25">
        <v>1</v>
      </c>
      <c r="AU1451" s="25">
        <v>1</v>
      </c>
      <c r="AV1451" s="25">
        <v>1</v>
      </c>
      <c r="AW1451" s="25">
        <v>1</v>
      </c>
      <c r="AX1451" s="25">
        <v>1</v>
      </c>
      <c r="AY1451" s="25">
        <v>1</v>
      </c>
      <c r="AZ1451" s="25">
        <v>1</v>
      </c>
      <c r="BA1451" s="25">
        <v>1</v>
      </c>
      <c r="BB1451" s="25">
        <v>1</v>
      </c>
      <c r="BC1451" s="25">
        <v>1</v>
      </c>
      <c r="BD1451" s="25">
        <v>1</v>
      </c>
    </row>
    <row r="1452" spans="27:56" x14ac:dyDescent="0.25">
      <c r="AA1452" s="68" t="str">
        <f t="shared" si="89"/>
        <v>Fotos\\.jpg</v>
      </c>
      <c r="AB1452" s="53">
        <f t="shared" si="90"/>
        <v>6.8870523415977963E-4</v>
      </c>
      <c r="AC1452" s="25">
        <f t="shared" si="91"/>
        <v>1452</v>
      </c>
      <c r="AD1452" s="51">
        <f t="shared" si="92"/>
        <v>1</v>
      </c>
      <c r="AE1452" s="25">
        <v>1</v>
      </c>
      <c r="AF1452" s="25">
        <v>1</v>
      </c>
      <c r="AG1452" s="25">
        <v>1</v>
      </c>
      <c r="AH1452" s="25">
        <v>1</v>
      </c>
      <c r="AI1452" s="25">
        <f>IF(OR(Apresentação!$E$3='Base de Dados e filtragem'!AI$2,Apresentação!$E$3='Base de Dados e filtragem'!E1452),1,0)</f>
        <v>1</v>
      </c>
      <c r="AJ1452" s="25">
        <f>IF(OR(Apresentação!$E$4='Base de Dados e filtragem'!AJ$2,Apresentação!$E$4='Base de Dados e filtragem'!F1452),1,0)</f>
        <v>1</v>
      </c>
      <c r="AK1452" s="25">
        <f>IF(OR(Apresentação!$E$5='Base de Dados e filtragem'!AK$2,Apresentação!$E$5='Base de Dados e filtragem'!G1452),1,0)</f>
        <v>1</v>
      </c>
      <c r="AL1452" s="25">
        <f>IF(OR(Apresentação!$E$6='Base de Dados e filtragem'!AL$2,Apresentação!$E$6='Base de Dados e filtragem'!H1452),1,0)</f>
        <v>1</v>
      </c>
      <c r="AM1452" s="25">
        <f>IF(OR(Apresentação!$I$2='Base de Dados e filtragem'!AM$2,Apresentação!$I$2='Base de Dados e filtragem'!I1452),1,0)</f>
        <v>1</v>
      </c>
      <c r="AN1452" s="25">
        <f>IF(OR(Apresentação!$I$3='Base de Dados e filtragem'!AN$2,Apresentação!$I$3='Base de Dados e filtragem'!J1452),1,0)</f>
        <v>1</v>
      </c>
      <c r="AO1452" s="25">
        <f>IF(OR(Apresentação!$I$4='Base de Dados e filtragem'!AO$2,Apresentação!$I$4='Base de Dados e filtragem'!K1452),1,0)</f>
        <v>1</v>
      </c>
      <c r="AP1452" s="25">
        <f>IF(OR(Apresentação!$I$5='Base de Dados e filtragem'!AP$2,Apresentação!$I$5='Base de Dados e filtragem'!L1452),1,0)</f>
        <v>1</v>
      </c>
      <c r="AQ1452" s="25">
        <f>IF(OR(Apresentação!$I$6='Base de Dados e filtragem'!AQ$2,Apresentação!$I$6='Base de Dados e filtragem'!M1452),1,0)</f>
        <v>1</v>
      </c>
      <c r="AR1452" s="25">
        <v>1</v>
      </c>
      <c r="AS1452" s="25">
        <v>1</v>
      </c>
      <c r="AT1452" s="25">
        <v>1</v>
      </c>
      <c r="AU1452" s="25">
        <v>1</v>
      </c>
      <c r="AV1452" s="25">
        <v>1</v>
      </c>
      <c r="AW1452" s="25">
        <v>1</v>
      </c>
      <c r="AX1452" s="25">
        <v>1</v>
      </c>
      <c r="AY1452" s="25">
        <v>1</v>
      </c>
      <c r="AZ1452" s="25">
        <v>1</v>
      </c>
      <c r="BA1452" s="25">
        <v>1</v>
      </c>
      <c r="BB1452" s="25">
        <v>1</v>
      </c>
      <c r="BC1452" s="25">
        <v>1</v>
      </c>
      <c r="BD1452" s="25">
        <v>1</v>
      </c>
    </row>
    <row r="1453" spans="27:56" x14ac:dyDescent="0.25">
      <c r="AA1453" s="68" t="str">
        <f t="shared" si="89"/>
        <v>Fotos\\.jpg</v>
      </c>
      <c r="AB1453" s="53">
        <f t="shared" si="90"/>
        <v>6.8823124569855469E-4</v>
      </c>
      <c r="AC1453" s="25">
        <f t="shared" si="91"/>
        <v>1453</v>
      </c>
      <c r="AD1453" s="51">
        <f t="shared" si="92"/>
        <v>1</v>
      </c>
      <c r="AE1453" s="25">
        <v>1</v>
      </c>
      <c r="AF1453" s="25">
        <v>1</v>
      </c>
      <c r="AG1453" s="25">
        <v>1</v>
      </c>
      <c r="AH1453" s="25">
        <v>1</v>
      </c>
      <c r="AI1453" s="25">
        <f>IF(OR(Apresentação!$E$3='Base de Dados e filtragem'!AI$2,Apresentação!$E$3='Base de Dados e filtragem'!E1453),1,0)</f>
        <v>1</v>
      </c>
      <c r="AJ1453" s="25">
        <f>IF(OR(Apresentação!$E$4='Base de Dados e filtragem'!AJ$2,Apresentação!$E$4='Base de Dados e filtragem'!F1453),1,0)</f>
        <v>1</v>
      </c>
      <c r="AK1453" s="25">
        <f>IF(OR(Apresentação!$E$5='Base de Dados e filtragem'!AK$2,Apresentação!$E$5='Base de Dados e filtragem'!G1453),1,0)</f>
        <v>1</v>
      </c>
      <c r="AL1453" s="25">
        <f>IF(OR(Apresentação!$E$6='Base de Dados e filtragem'!AL$2,Apresentação!$E$6='Base de Dados e filtragem'!H1453),1,0)</f>
        <v>1</v>
      </c>
      <c r="AM1453" s="25">
        <f>IF(OR(Apresentação!$I$2='Base de Dados e filtragem'!AM$2,Apresentação!$I$2='Base de Dados e filtragem'!I1453),1,0)</f>
        <v>1</v>
      </c>
      <c r="AN1453" s="25">
        <f>IF(OR(Apresentação!$I$3='Base de Dados e filtragem'!AN$2,Apresentação!$I$3='Base de Dados e filtragem'!J1453),1,0)</f>
        <v>1</v>
      </c>
      <c r="AO1453" s="25">
        <f>IF(OR(Apresentação!$I$4='Base de Dados e filtragem'!AO$2,Apresentação!$I$4='Base de Dados e filtragem'!K1453),1,0)</f>
        <v>1</v>
      </c>
      <c r="AP1453" s="25">
        <f>IF(OR(Apresentação!$I$5='Base de Dados e filtragem'!AP$2,Apresentação!$I$5='Base de Dados e filtragem'!L1453),1,0)</f>
        <v>1</v>
      </c>
      <c r="AQ1453" s="25">
        <f>IF(OR(Apresentação!$I$6='Base de Dados e filtragem'!AQ$2,Apresentação!$I$6='Base de Dados e filtragem'!M1453),1,0)</f>
        <v>1</v>
      </c>
      <c r="AR1453" s="25">
        <v>1</v>
      </c>
      <c r="AS1453" s="25">
        <v>1</v>
      </c>
      <c r="AT1453" s="25">
        <v>1</v>
      </c>
      <c r="AU1453" s="25">
        <v>1</v>
      </c>
      <c r="AV1453" s="25">
        <v>1</v>
      </c>
      <c r="AW1453" s="25">
        <v>1</v>
      </c>
      <c r="AX1453" s="25">
        <v>1</v>
      </c>
      <c r="AY1453" s="25">
        <v>1</v>
      </c>
      <c r="AZ1453" s="25">
        <v>1</v>
      </c>
      <c r="BA1453" s="25">
        <v>1</v>
      </c>
      <c r="BB1453" s="25">
        <v>1</v>
      </c>
      <c r="BC1453" s="25">
        <v>1</v>
      </c>
      <c r="BD1453" s="25">
        <v>1</v>
      </c>
    </row>
    <row r="1454" spans="27:56" x14ac:dyDescent="0.25">
      <c r="AA1454" s="68" t="str">
        <f t="shared" si="89"/>
        <v>Fotos\\.jpg</v>
      </c>
      <c r="AB1454" s="53">
        <f t="shared" si="90"/>
        <v>6.8775790921595599E-4</v>
      </c>
      <c r="AC1454" s="25">
        <f t="shared" si="91"/>
        <v>1454</v>
      </c>
      <c r="AD1454" s="51">
        <f t="shared" si="92"/>
        <v>1</v>
      </c>
      <c r="AE1454" s="25">
        <v>1</v>
      </c>
      <c r="AF1454" s="25">
        <v>1</v>
      </c>
      <c r="AG1454" s="25">
        <v>1</v>
      </c>
      <c r="AH1454" s="25">
        <v>1</v>
      </c>
      <c r="AI1454" s="25">
        <f>IF(OR(Apresentação!$E$3='Base de Dados e filtragem'!AI$2,Apresentação!$E$3='Base de Dados e filtragem'!E1454),1,0)</f>
        <v>1</v>
      </c>
      <c r="AJ1454" s="25">
        <f>IF(OR(Apresentação!$E$4='Base de Dados e filtragem'!AJ$2,Apresentação!$E$4='Base de Dados e filtragem'!F1454),1,0)</f>
        <v>1</v>
      </c>
      <c r="AK1454" s="25">
        <f>IF(OR(Apresentação!$E$5='Base de Dados e filtragem'!AK$2,Apresentação!$E$5='Base de Dados e filtragem'!G1454),1,0)</f>
        <v>1</v>
      </c>
      <c r="AL1454" s="25">
        <f>IF(OR(Apresentação!$E$6='Base de Dados e filtragem'!AL$2,Apresentação!$E$6='Base de Dados e filtragem'!H1454),1,0)</f>
        <v>1</v>
      </c>
      <c r="AM1454" s="25">
        <f>IF(OR(Apresentação!$I$2='Base de Dados e filtragem'!AM$2,Apresentação!$I$2='Base de Dados e filtragem'!I1454),1,0)</f>
        <v>1</v>
      </c>
      <c r="AN1454" s="25">
        <f>IF(OR(Apresentação!$I$3='Base de Dados e filtragem'!AN$2,Apresentação!$I$3='Base de Dados e filtragem'!J1454),1,0)</f>
        <v>1</v>
      </c>
      <c r="AO1454" s="25">
        <f>IF(OR(Apresentação!$I$4='Base de Dados e filtragem'!AO$2,Apresentação!$I$4='Base de Dados e filtragem'!K1454),1,0)</f>
        <v>1</v>
      </c>
      <c r="AP1454" s="25">
        <f>IF(OR(Apresentação!$I$5='Base de Dados e filtragem'!AP$2,Apresentação!$I$5='Base de Dados e filtragem'!L1454),1,0)</f>
        <v>1</v>
      </c>
      <c r="AQ1454" s="25">
        <f>IF(OR(Apresentação!$I$6='Base de Dados e filtragem'!AQ$2,Apresentação!$I$6='Base de Dados e filtragem'!M1454),1,0)</f>
        <v>1</v>
      </c>
      <c r="AR1454" s="25">
        <v>1</v>
      </c>
      <c r="AS1454" s="25">
        <v>1</v>
      </c>
      <c r="AT1454" s="25">
        <v>1</v>
      </c>
      <c r="AU1454" s="25">
        <v>1</v>
      </c>
      <c r="AV1454" s="25">
        <v>1</v>
      </c>
      <c r="AW1454" s="25">
        <v>1</v>
      </c>
      <c r="AX1454" s="25">
        <v>1</v>
      </c>
      <c r="AY1454" s="25">
        <v>1</v>
      </c>
      <c r="AZ1454" s="25">
        <v>1</v>
      </c>
      <c r="BA1454" s="25">
        <v>1</v>
      </c>
      <c r="BB1454" s="25">
        <v>1</v>
      </c>
      <c r="BC1454" s="25">
        <v>1</v>
      </c>
      <c r="BD1454" s="25">
        <v>1</v>
      </c>
    </row>
    <row r="1455" spans="27:56" x14ac:dyDescent="0.25">
      <c r="AA1455" s="68" t="str">
        <f t="shared" si="89"/>
        <v>Fotos\\.jpg</v>
      </c>
      <c r="AB1455" s="53">
        <f t="shared" si="90"/>
        <v>6.8728522336769765E-4</v>
      </c>
      <c r="AC1455" s="25">
        <f t="shared" si="91"/>
        <v>1455</v>
      </c>
      <c r="AD1455" s="51">
        <f t="shared" si="92"/>
        <v>1</v>
      </c>
      <c r="AE1455" s="25">
        <v>1</v>
      </c>
      <c r="AF1455" s="25">
        <v>1</v>
      </c>
      <c r="AG1455" s="25">
        <v>1</v>
      </c>
      <c r="AH1455" s="25">
        <v>1</v>
      </c>
      <c r="AI1455" s="25">
        <f>IF(OR(Apresentação!$E$3='Base de Dados e filtragem'!AI$2,Apresentação!$E$3='Base de Dados e filtragem'!E1455),1,0)</f>
        <v>1</v>
      </c>
      <c r="AJ1455" s="25">
        <f>IF(OR(Apresentação!$E$4='Base de Dados e filtragem'!AJ$2,Apresentação!$E$4='Base de Dados e filtragem'!F1455),1,0)</f>
        <v>1</v>
      </c>
      <c r="AK1455" s="25">
        <f>IF(OR(Apresentação!$E$5='Base de Dados e filtragem'!AK$2,Apresentação!$E$5='Base de Dados e filtragem'!G1455),1,0)</f>
        <v>1</v>
      </c>
      <c r="AL1455" s="25">
        <f>IF(OR(Apresentação!$E$6='Base de Dados e filtragem'!AL$2,Apresentação!$E$6='Base de Dados e filtragem'!H1455),1,0)</f>
        <v>1</v>
      </c>
      <c r="AM1455" s="25">
        <f>IF(OR(Apresentação!$I$2='Base de Dados e filtragem'!AM$2,Apresentação!$I$2='Base de Dados e filtragem'!I1455),1,0)</f>
        <v>1</v>
      </c>
      <c r="AN1455" s="25">
        <f>IF(OR(Apresentação!$I$3='Base de Dados e filtragem'!AN$2,Apresentação!$I$3='Base de Dados e filtragem'!J1455),1,0)</f>
        <v>1</v>
      </c>
      <c r="AO1455" s="25">
        <f>IF(OR(Apresentação!$I$4='Base de Dados e filtragem'!AO$2,Apresentação!$I$4='Base de Dados e filtragem'!K1455),1,0)</f>
        <v>1</v>
      </c>
      <c r="AP1455" s="25">
        <f>IF(OR(Apresentação!$I$5='Base de Dados e filtragem'!AP$2,Apresentação!$I$5='Base de Dados e filtragem'!L1455),1,0)</f>
        <v>1</v>
      </c>
      <c r="AQ1455" s="25">
        <f>IF(OR(Apresentação!$I$6='Base de Dados e filtragem'!AQ$2,Apresentação!$I$6='Base de Dados e filtragem'!M1455),1,0)</f>
        <v>1</v>
      </c>
      <c r="AR1455" s="25">
        <v>1</v>
      </c>
      <c r="AS1455" s="25">
        <v>1</v>
      </c>
      <c r="AT1455" s="25">
        <v>1</v>
      </c>
      <c r="AU1455" s="25">
        <v>1</v>
      </c>
      <c r="AV1455" s="25">
        <v>1</v>
      </c>
      <c r="AW1455" s="25">
        <v>1</v>
      </c>
      <c r="AX1455" s="25">
        <v>1</v>
      </c>
      <c r="AY1455" s="25">
        <v>1</v>
      </c>
      <c r="AZ1455" s="25">
        <v>1</v>
      </c>
      <c r="BA1455" s="25">
        <v>1</v>
      </c>
      <c r="BB1455" s="25">
        <v>1</v>
      </c>
      <c r="BC1455" s="25">
        <v>1</v>
      </c>
      <c r="BD1455" s="25">
        <v>1</v>
      </c>
    </row>
    <row r="1456" spans="27:56" x14ac:dyDescent="0.25">
      <c r="AA1456" s="68" t="str">
        <f t="shared" si="89"/>
        <v>Fotos\\.jpg</v>
      </c>
      <c r="AB1456" s="53">
        <f t="shared" si="90"/>
        <v>6.8681318681318687E-4</v>
      </c>
      <c r="AC1456" s="25">
        <f t="shared" si="91"/>
        <v>1456</v>
      </c>
      <c r="AD1456" s="51">
        <f t="shared" si="92"/>
        <v>1</v>
      </c>
      <c r="AE1456" s="25">
        <v>1</v>
      </c>
      <c r="AF1456" s="25">
        <v>1</v>
      </c>
      <c r="AG1456" s="25">
        <v>1</v>
      </c>
      <c r="AH1456" s="25">
        <v>1</v>
      </c>
      <c r="AI1456" s="25">
        <f>IF(OR(Apresentação!$E$3='Base de Dados e filtragem'!AI$2,Apresentação!$E$3='Base de Dados e filtragem'!E1456),1,0)</f>
        <v>1</v>
      </c>
      <c r="AJ1456" s="25">
        <f>IF(OR(Apresentação!$E$4='Base de Dados e filtragem'!AJ$2,Apresentação!$E$4='Base de Dados e filtragem'!F1456),1,0)</f>
        <v>1</v>
      </c>
      <c r="AK1456" s="25">
        <f>IF(OR(Apresentação!$E$5='Base de Dados e filtragem'!AK$2,Apresentação!$E$5='Base de Dados e filtragem'!G1456),1,0)</f>
        <v>1</v>
      </c>
      <c r="AL1456" s="25">
        <f>IF(OR(Apresentação!$E$6='Base de Dados e filtragem'!AL$2,Apresentação!$E$6='Base de Dados e filtragem'!H1456),1,0)</f>
        <v>1</v>
      </c>
      <c r="AM1456" s="25">
        <f>IF(OR(Apresentação!$I$2='Base de Dados e filtragem'!AM$2,Apresentação!$I$2='Base de Dados e filtragem'!I1456),1,0)</f>
        <v>1</v>
      </c>
      <c r="AN1456" s="25">
        <f>IF(OR(Apresentação!$I$3='Base de Dados e filtragem'!AN$2,Apresentação!$I$3='Base de Dados e filtragem'!J1456),1,0)</f>
        <v>1</v>
      </c>
      <c r="AO1456" s="25">
        <f>IF(OR(Apresentação!$I$4='Base de Dados e filtragem'!AO$2,Apresentação!$I$4='Base de Dados e filtragem'!K1456),1,0)</f>
        <v>1</v>
      </c>
      <c r="AP1456" s="25">
        <f>IF(OR(Apresentação!$I$5='Base de Dados e filtragem'!AP$2,Apresentação!$I$5='Base de Dados e filtragem'!L1456),1,0)</f>
        <v>1</v>
      </c>
      <c r="AQ1456" s="25">
        <f>IF(OR(Apresentação!$I$6='Base de Dados e filtragem'!AQ$2,Apresentação!$I$6='Base de Dados e filtragem'!M1456),1,0)</f>
        <v>1</v>
      </c>
      <c r="AR1456" s="25">
        <v>1</v>
      </c>
      <c r="AS1456" s="25">
        <v>1</v>
      </c>
      <c r="AT1456" s="25">
        <v>1</v>
      </c>
      <c r="AU1456" s="25">
        <v>1</v>
      </c>
      <c r="AV1456" s="25">
        <v>1</v>
      </c>
      <c r="AW1456" s="25">
        <v>1</v>
      </c>
      <c r="AX1456" s="25">
        <v>1</v>
      </c>
      <c r="AY1456" s="25">
        <v>1</v>
      </c>
      <c r="AZ1456" s="25">
        <v>1</v>
      </c>
      <c r="BA1456" s="25">
        <v>1</v>
      </c>
      <c r="BB1456" s="25">
        <v>1</v>
      </c>
      <c r="BC1456" s="25">
        <v>1</v>
      </c>
      <c r="BD1456" s="25">
        <v>1</v>
      </c>
    </row>
    <row r="1457" spans="27:56" x14ac:dyDescent="0.25">
      <c r="AA1457" s="68" t="str">
        <f t="shared" si="89"/>
        <v>Fotos\\.jpg</v>
      </c>
      <c r="AB1457" s="53">
        <f t="shared" si="90"/>
        <v>6.863417982155113E-4</v>
      </c>
      <c r="AC1457" s="25">
        <f t="shared" si="91"/>
        <v>1457</v>
      </c>
      <c r="AD1457" s="51">
        <f t="shared" si="92"/>
        <v>1</v>
      </c>
      <c r="AE1457" s="25">
        <v>1</v>
      </c>
      <c r="AF1457" s="25">
        <v>1</v>
      </c>
      <c r="AG1457" s="25">
        <v>1</v>
      </c>
      <c r="AH1457" s="25">
        <v>1</v>
      </c>
      <c r="AI1457" s="25">
        <f>IF(OR(Apresentação!$E$3='Base de Dados e filtragem'!AI$2,Apresentação!$E$3='Base de Dados e filtragem'!E1457),1,0)</f>
        <v>1</v>
      </c>
      <c r="AJ1457" s="25">
        <f>IF(OR(Apresentação!$E$4='Base de Dados e filtragem'!AJ$2,Apresentação!$E$4='Base de Dados e filtragem'!F1457),1,0)</f>
        <v>1</v>
      </c>
      <c r="AK1457" s="25">
        <f>IF(OR(Apresentação!$E$5='Base de Dados e filtragem'!AK$2,Apresentação!$E$5='Base de Dados e filtragem'!G1457),1,0)</f>
        <v>1</v>
      </c>
      <c r="AL1457" s="25">
        <f>IF(OR(Apresentação!$E$6='Base de Dados e filtragem'!AL$2,Apresentação!$E$6='Base de Dados e filtragem'!H1457),1,0)</f>
        <v>1</v>
      </c>
      <c r="AM1457" s="25">
        <f>IF(OR(Apresentação!$I$2='Base de Dados e filtragem'!AM$2,Apresentação!$I$2='Base de Dados e filtragem'!I1457),1,0)</f>
        <v>1</v>
      </c>
      <c r="AN1457" s="25">
        <f>IF(OR(Apresentação!$I$3='Base de Dados e filtragem'!AN$2,Apresentação!$I$3='Base de Dados e filtragem'!J1457),1,0)</f>
        <v>1</v>
      </c>
      <c r="AO1457" s="25">
        <f>IF(OR(Apresentação!$I$4='Base de Dados e filtragem'!AO$2,Apresentação!$I$4='Base de Dados e filtragem'!K1457),1,0)</f>
        <v>1</v>
      </c>
      <c r="AP1457" s="25">
        <f>IF(OR(Apresentação!$I$5='Base de Dados e filtragem'!AP$2,Apresentação!$I$5='Base de Dados e filtragem'!L1457),1,0)</f>
        <v>1</v>
      </c>
      <c r="AQ1457" s="25">
        <f>IF(OR(Apresentação!$I$6='Base de Dados e filtragem'!AQ$2,Apresentação!$I$6='Base de Dados e filtragem'!M1457),1,0)</f>
        <v>1</v>
      </c>
      <c r="AR1457" s="25">
        <v>1</v>
      </c>
      <c r="AS1457" s="25">
        <v>1</v>
      </c>
      <c r="AT1457" s="25">
        <v>1</v>
      </c>
      <c r="AU1457" s="25">
        <v>1</v>
      </c>
      <c r="AV1457" s="25">
        <v>1</v>
      </c>
      <c r="AW1457" s="25">
        <v>1</v>
      </c>
      <c r="AX1457" s="25">
        <v>1</v>
      </c>
      <c r="AY1457" s="25">
        <v>1</v>
      </c>
      <c r="AZ1457" s="25">
        <v>1</v>
      </c>
      <c r="BA1457" s="25">
        <v>1</v>
      </c>
      <c r="BB1457" s="25">
        <v>1</v>
      </c>
      <c r="BC1457" s="25">
        <v>1</v>
      </c>
      <c r="BD1457" s="25">
        <v>1</v>
      </c>
    </row>
    <row r="1458" spans="27:56" x14ac:dyDescent="0.25">
      <c r="AA1458" s="68" t="str">
        <f t="shared" si="89"/>
        <v>Fotos\\.jpg</v>
      </c>
      <c r="AB1458" s="53">
        <f t="shared" si="90"/>
        <v>6.8587105624142656E-4</v>
      </c>
      <c r="AC1458" s="25">
        <f t="shared" si="91"/>
        <v>1458</v>
      </c>
      <c r="AD1458" s="51">
        <f t="shared" si="92"/>
        <v>1</v>
      </c>
      <c r="AE1458" s="25">
        <v>1</v>
      </c>
      <c r="AF1458" s="25">
        <v>1</v>
      </c>
      <c r="AG1458" s="25">
        <v>1</v>
      </c>
      <c r="AH1458" s="25">
        <v>1</v>
      </c>
      <c r="AI1458" s="25">
        <f>IF(OR(Apresentação!$E$3='Base de Dados e filtragem'!AI$2,Apresentação!$E$3='Base de Dados e filtragem'!E1458),1,0)</f>
        <v>1</v>
      </c>
      <c r="AJ1458" s="25">
        <f>IF(OR(Apresentação!$E$4='Base de Dados e filtragem'!AJ$2,Apresentação!$E$4='Base de Dados e filtragem'!F1458),1,0)</f>
        <v>1</v>
      </c>
      <c r="AK1458" s="25">
        <f>IF(OR(Apresentação!$E$5='Base de Dados e filtragem'!AK$2,Apresentação!$E$5='Base de Dados e filtragem'!G1458),1,0)</f>
        <v>1</v>
      </c>
      <c r="AL1458" s="25">
        <f>IF(OR(Apresentação!$E$6='Base de Dados e filtragem'!AL$2,Apresentação!$E$6='Base de Dados e filtragem'!H1458),1,0)</f>
        <v>1</v>
      </c>
      <c r="AM1458" s="25">
        <f>IF(OR(Apresentação!$I$2='Base de Dados e filtragem'!AM$2,Apresentação!$I$2='Base de Dados e filtragem'!I1458),1,0)</f>
        <v>1</v>
      </c>
      <c r="AN1458" s="25">
        <f>IF(OR(Apresentação!$I$3='Base de Dados e filtragem'!AN$2,Apresentação!$I$3='Base de Dados e filtragem'!J1458),1,0)</f>
        <v>1</v>
      </c>
      <c r="AO1458" s="25">
        <f>IF(OR(Apresentação!$I$4='Base de Dados e filtragem'!AO$2,Apresentação!$I$4='Base de Dados e filtragem'!K1458),1,0)</f>
        <v>1</v>
      </c>
      <c r="AP1458" s="25">
        <f>IF(OR(Apresentação!$I$5='Base de Dados e filtragem'!AP$2,Apresentação!$I$5='Base de Dados e filtragem'!L1458),1,0)</f>
        <v>1</v>
      </c>
      <c r="AQ1458" s="25">
        <f>IF(OR(Apresentação!$I$6='Base de Dados e filtragem'!AQ$2,Apresentação!$I$6='Base de Dados e filtragem'!M1458),1,0)</f>
        <v>1</v>
      </c>
      <c r="AR1458" s="25">
        <v>1</v>
      </c>
      <c r="AS1458" s="25">
        <v>1</v>
      </c>
      <c r="AT1458" s="25">
        <v>1</v>
      </c>
      <c r="AU1458" s="25">
        <v>1</v>
      </c>
      <c r="AV1458" s="25">
        <v>1</v>
      </c>
      <c r="AW1458" s="25">
        <v>1</v>
      </c>
      <c r="AX1458" s="25">
        <v>1</v>
      </c>
      <c r="AY1458" s="25">
        <v>1</v>
      </c>
      <c r="AZ1458" s="25">
        <v>1</v>
      </c>
      <c r="BA1458" s="25">
        <v>1</v>
      </c>
      <c r="BB1458" s="25">
        <v>1</v>
      </c>
      <c r="BC1458" s="25">
        <v>1</v>
      </c>
      <c r="BD1458" s="25">
        <v>1</v>
      </c>
    </row>
    <row r="1459" spans="27:56" x14ac:dyDescent="0.25">
      <c r="AA1459" s="68" t="str">
        <f t="shared" si="89"/>
        <v>Fotos\\.jpg</v>
      </c>
      <c r="AB1459" s="53">
        <f t="shared" si="90"/>
        <v>6.8540095956134343E-4</v>
      </c>
      <c r="AC1459" s="25">
        <f t="shared" si="91"/>
        <v>1459</v>
      </c>
      <c r="AD1459" s="51">
        <f t="shared" si="92"/>
        <v>1</v>
      </c>
      <c r="AE1459" s="25">
        <v>1</v>
      </c>
      <c r="AF1459" s="25">
        <v>1</v>
      </c>
      <c r="AG1459" s="25">
        <v>1</v>
      </c>
      <c r="AH1459" s="25">
        <v>1</v>
      </c>
      <c r="AI1459" s="25">
        <f>IF(OR(Apresentação!$E$3='Base de Dados e filtragem'!AI$2,Apresentação!$E$3='Base de Dados e filtragem'!E1459),1,0)</f>
        <v>1</v>
      </c>
      <c r="AJ1459" s="25">
        <f>IF(OR(Apresentação!$E$4='Base de Dados e filtragem'!AJ$2,Apresentação!$E$4='Base de Dados e filtragem'!F1459),1,0)</f>
        <v>1</v>
      </c>
      <c r="AK1459" s="25">
        <f>IF(OR(Apresentação!$E$5='Base de Dados e filtragem'!AK$2,Apresentação!$E$5='Base de Dados e filtragem'!G1459),1,0)</f>
        <v>1</v>
      </c>
      <c r="AL1459" s="25">
        <f>IF(OR(Apresentação!$E$6='Base de Dados e filtragem'!AL$2,Apresentação!$E$6='Base de Dados e filtragem'!H1459),1,0)</f>
        <v>1</v>
      </c>
      <c r="AM1459" s="25">
        <f>IF(OR(Apresentação!$I$2='Base de Dados e filtragem'!AM$2,Apresentação!$I$2='Base de Dados e filtragem'!I1459),1,0)</f>
        <v>1</v>
      </c>
      <c r="AN1459" s="25">
        <f>IF(OR(Apresentação!$I$3='Base de Dados e filtragem'!AN$2,Apresentação!$I$3='Base de Dados e filtragem'!J1459),1,0)</f>
        <v>1</v>
      </c>
      <c r="AO1459" s="25">
        <f>IF(OR(Apresentação!$I$4='Base de Dados e filtragem'!AO$2,Apresentação!$I$4='Base de Dados e filtragem'!K1459),1,0)</f>
        <v>1</v>
      </c>
      <c r="AP1459" s="25">
        <f>IF(OR(Apresentação!$I$5='Base de Dados e filtragem'!AP$2,Apresentação!$I$5='Base de Dados e filtragem'!L1459),1,0)</f>
        <v>1</v>
      </c>
      <c r="AQ1459" s="25">
        <f>IF(OR(Apresentação!$I$6='Base de Dados e filtragem'!AQ$2,Apresentação!$I$6='Base de Dados e filtragem'!M1459),1,0)</f>
        <v>1</v>
      </c>
      <c r="AR1459" s="25">
        <v>1</v>
      </c>
      <c r="AS1459" s="25">
        <v>1</v>
      </c>
      <c r="AT1459" s="25">
        <v>1</v>
      </c>
      <c r="AU1459" s="25">
        <v>1</v>
      </c>
      <c r="AV1459" s="25">
        <v>1</v>
      </c>
      <c r="AW1459" s="25">
        <v>1</v>
      </c>
      <c r="AX1459" s="25">
        <v>1</v>
      </c>
      <c r="AY1459" s="25">
        <v>1</v>
      </c>
      <c r="AZ1459" s="25">
        <v>1</v>
      </c>
      <c r="BA1459" s="25">
        <v>1</v>
      </c>
      <c r="BB1459" s="25">
        <v>1</v>
      </c>
      <c r="BC1459" s="25">
        <v>1</v>
      </c>
      <c r="BD1459" s="25">
        <v>1</v>
      </c>
    </row>
    <row r="1460" spans="27:56" x14ac:dyDescent="0.25">
      <c r="AA1460" s="68" t="str">
        <f t="shared" si="89"/>
        <v>Fotos\\.jpg</v>
      </c>
      <c r="AB1460" s="53">
        <f t="shared" si="90"/>
        <v>6.8493150684931507E-4</v>
      </c>
      <c r="AC1460" s="25">
        <f t="shared" si="91"/>
        <v>1460</v>
      </c>
      <c r="AD1460" s="51">
        <f t="shared" si="92"/>
        <v>1</v>
      </c>
      <c r="AE1460" s="25">
        <v>1</v>
      </c>
      <c r="AF1460" s="25">
        <v>1</v>
      </c>
      <c r="AG1460" s="25">
        <v>1</v>
      </c>
      <c r="AH1460" s="25">
        <v>1</v>
      </c>
      <c r="AI1460" s="25">
        <f>IF(OR(Apresentação!$E$3='Base de Dados e filtragem'!AI$2,Apresentação!$E$3='Base de Dados e filtragem'!E1460),1,0)</f>
        <v>1</v>
      </c>
      <c r="AJ1460" s="25">
        <f>IF(OR(Apresentação!$E$4='Base de Dados e filtragem'!AJ$2,Apresentação!$E$4='Base de Dados e filtragem'!F1460),1,0)</f>
        <v>1</v>
      </c>
      <c r="AK1460" s="25">
        <f>IF(OR(Apresentação!$E$5='Base de Dados e filtragem'!AK$2,Apresentação!$E$5='Base de Dados e filtragem'!G1460),1,0)</f>
        <v>1</v>
      </c>
      <c r="AL1460" s="25">
        <f>IF(OR(Apresentação!$E$6='Base de Dados e filtragem'!AL$2,Apresentação!$E$6='Base de Dados e filtragem'!H1460),1,0)</f>
        <v>1</v>
      </c>
      <c r="AM1460" s="25">
        <f>IF(OR(Apresentação!$I$2='Base de Dados e filtragem'!AM$2,Apresentação!$I$2='Base de Dados e filtragem'!I1460),1,0)</f>
        <v>1</v>
      </c>
      <c r="AN1460" s="25">
        <f>IF(OR(Apresentação!$I$3='Base de Dados e filtragem'!AN$2,Apresentação!$I$3='Base de Dados e filtragem'!J1460),1,0)</f>
        <v>1</v>
      </c>
      <c r="AO1460" s="25">
        <f>IF(OR(Apresentação!$I$4='Base de Dados e filtragem'!AO$2,Apresentação!$I$4='Base de Dados e filtragem'!K1460),1,0)</f>
        <v>1</v>
      </c>
      <c r="AP1460" s="25">
        <f>IF(OR(Apresentação!$I$5='Base de Dados e filtragem'!AP$2,Apresentação!$I$5='Base de Dados e filtragem'!L1460),1,0)</f>
        <v>1</v>
      </c>
      <c r="AQ1460" s="25">
        <f>IF(OR(Apresentação!$I$6='Base de Dados e filtragem'!AQ$2,Apresentação!$I$6='Base de Dados e filtragem'!M1460),1,0)</f>
        <v>1</v>
      </c>
      <c r="AR1460" s="25">
        <v>1</v>
      </c>
      <c r="AS1460" s="25">
        <v>1</v>
      </c>
      <c r="AT1460" s="25">
        <v>1</v>
      </c>
      <c r="AU1460" s="25">
        <v>1</v>
      </c>
      <c r="AV1460" s="25">
        <v>1</v>
      </c>
      <c r="AW1460" s="25">
        <v>1</v>
      </c>
      <c r="AX1460" s="25">
        <v>1</v>
      </c>
      <c r="AY1460" s="25">
        <v>1</v>
      </c>
      <c r="AZ1460" s="25">
        <v>1</v>
      </c>
      <c r="BA1460" s="25">
        <v>1</v>
      </c>
      <c r="BB1460" s="25">
        <v>1</v>
      </c>
      <c r="BC1460" s="25">
        <v>1</v>
      </c>
      <c r="BD1460" s="25">
        <v>1</v>
      </c>
    </row>
    <row r="1461" spans="27:56" x14ac:dyDescent="0.25">
      <c r="AA1461" s="68" t="str">
        <f t="shared" si="89"/>
        <v>Fotos\\.jpg</v>
      </c>
      <c r="AB1461" s="53">
        <f t="shared" si="90"/>
        <v>6.8446269678302531E-4</v>
      </c>
      <c r="AC1461" s="25">
        <f t="shared" si="91"/>
        <v>1461</v>
      </c>
      <c r="AD1461" s="51">
        <f t="shared" si="92"/>
        <v>1</v>
      </c>
      <c r="AE1461" s="25">
        <v>1</v>
      </c>
      <c r="AF1461" s="25">
        <v>1</v>
      </c>
      <c r="AG1461" s="25">
        <v>1</v>
      </c>
      <c r="AH1461" s="25">
        <v>1</v>
      </c>
      <c r="AI1461" s="25">
        <f>IF(OR(Apresentação!$E$3='Base de Dados e filtragem'!AI$2,Apresentação!$E$3='Base de Dados e filtragem'!E1461),1,0)</f>
        <v>1</v>
      </c>
      <c r="AJ1461" s="25">
        <f>IF(OR(Apresentação!$E$4='Base de Dados e filtragem'!AJ$2,Apresentação!$E$4='Base de Dados e filtragem'!F1461),1,0)</f>
        <v>1</v>
      </c>
      <c r="AK1461" s="25">
        <f>IF(OR(Apresentação!$E$5='Base de Dados e filtragem'!AK$2,Apresentação!$E$5='Base de Dados e filtragem'!G1461),1,0)</f>
        <v>1</v>
      </c>
      <c r="AL1461" s="25">
        <f>IF(OR(Apresentação!$E$6='Base de Dados e filtragem'!AL$2,Apresentação!$E$6='Base de Dados e filtragem'!H1461),1,0)</f>
        <v>1</v>
      </c>
      <c r="AM1461" s="25">
        <f>IF(OR(Apresentação!$I$2='Base de Dados e filtragem'!AM$2,Apresentação!$I$2='Base de Dados e filtragem'!I1461),1,0)</f>
        <v>1</v>
      </c>
      <c r="AN1461" s="25">
        <f>IF(OR(Apresentação!$I$3='Base de Dados e filtragem'!AN$2,Apresentação!$I$3='Base de Dados e filtragem'!J1461),1,0)</f>
        <v>1</v>
      </c>
      <c r="AO1461" s="25">
        <f>IF(OR(Apresentação!$I$4='Base de Dados e filtragem'!AO$2,Apresentação!$I$4='Base de Dados e filtragem'!K1461),1,0)</f>
        <v>1</v>
      </c>
      <c r="AP1461" s="25">
        <f>IF(OR(Apresentação!$I$5='Base de Dados e filtragem'!AP$2,Apresentação!$I$5='Base de Dados e filtragem'!L1461),1,0)</f>
        <v>1</v>
      </c>
      <c r="AQ1461" s="25">
        <f>IF(OR(Apresentação!$I$6='Base de Dados e filtragem'!AQ$2,Apresentação!$I$6='Base de Dados e filtragem'!M1461),1,0)</f>
        <v>1</v>
      </c>
      <c r="AR1461" s="25">
        <v>1</v>
      </c>
      <c r="AS1461" s="25">
        <v>1</v>
      </c>
      <c r="AT1461" s="25">
        <v>1</v>
      </c>
      <c r="AU1461" s="25">
        <v>1</v>
      </c>
      <c r="AV1461" s="25">
        <v>1</v>
      </c>
      <c r="AW1461" s="25">
        <v>1</v>
      </c>
      <c r="AX1461" s="25">
        <v>1</v>
      </c>
      <c r="AY1461" s="25">
        <v>1</v>
      </c>
      <c r="AZ1461" s="25">
        <v>1</v>
      </c>
      <c r="BA1461" s="25">
        <v>1</v>
      </c>
      <c r="BB1461" s="25">
        <v>1</v>
      </c>
      <c r="BC1461" s="25">
        <v>1</v>
      </c>
      <c r="BD1461" s="25">
        <v>1</v>
      </c>
    </row>
    <row r="1462" spans="27:56" x14ac:dyDescent="0.25">
      <c r="AA1462" s="68" t="str">
        <f t="shared" si="89"/>
        <v>Fotos\\.jpg</v>
      </c>
      <c r="AB1462" s="53">
        <f t="shared" si="90"/>
        <v>6.8399452804377564E-4</v>
      </c>
      <c r="AC1462" s="25">
        <f t="shared" si="91"/>
        <v>1462</v>
      </c>
      <c r="AD1462" s="51">
        <f t="shared" si="92"/>
        <v>1</v>
      </c>
      <c r="AE1462" s="25">
        <v>1</v>
      </c>
      <c r="AF1462" s="25">
        <v>1</v>
      </c>
      <c r="AG1462" s="25">
        <v>1</v>
      </c>
      <c r="AH1462" s="25">
        <v>1</v>
      </c>
      <c r="AI1462" s="25">
        <f>IF(OR(Apresentação!$E$3='Base de Dados e filtragem'!AI$2,Apresentação!$E$3='Base de Dados e filtragem'!E1462),1,0)</f>
        <v>1</v>
      </c>
      <c r="AJ1462" s="25">
        <f>IF(OR(Apresentação!$E$4='Base de Dados e filtragem'!AJ$2,Apresentação!$E$4='Base de Dados e filtragem'!F1462),1,0)</f>
        <v>1</v>
      </c>
      <c r="AK1462" s="25">
        <f>IF(OR(Apresentação!$E$5='Base de Dados e filtragem'!AK$2,Apresentação!$E$5='Base de Dados e filtragem'!G1462),1,0)</f>
        <v>1</v>
      </c>
      <c r="AL1462" s="25">
        <f>IF(OR(Apresentação!$E$6='Base de Dados e filtragem'!AL$2,Apresentação!$E$6='Base de Dados e filtragem'!H1462),1,0)</f>
        <v>1</v>
      </c>
      <c r="AM1462" s="25">
        <f>IF(OR(Apresentação!$I$2='Base de Dados e filtragem'!AM$2,Apresentação!$I$2='Base de Dados e filtragem'!I1462),1,0)</f>
        <v>1</v>
      </c>
      <c r="AN1462" s="25">
        <f>IF(OR(Apresentação!$I$3='Base de Dados e filtragem'!AN$2,Apresentação!$I$3='Base de Dados e filtragem'!J1462),1,0)</f>
        <v>1</v>
      </c>
      <c r="AO1462" s="25">
        <f>IF(OR(Apresentação!$I$4='Base de Dados e filtragem'!AO$2,Apresentação!$I$4='Base de Dados e filtragem'!K1462),1,0)</f>
        <v>1</v>
      </c>
      <c r="AP1462" s="25">
        <f>IF(OR(Apresentação!$I$5='Base de Dados e filtragem'!AP$2,Apresentação!$I$5='Base de Dados e filtragem'!L1462),1,0)</f>
        <v>1</v>
      </c>
      <c r="AQ1462" s="25">
        <f>IF(OR(Apresentação!$I$6='Base de Dados e filtragem'!AQ$2,Apresentação!$I$6='Base de Dados e filtragem'!M1462),1,0)</f>
        <v>1</v>
      </c>
      <c r="AR1462" s="25">
        <v>1</v>
      </c>
      <c r="AS1462" s="25">
        <v>1</v>
      </c>
      <c r="AT1462" s="25">
        <v>1</v>
      </c>
      <c r="AU1462" s="25">
        <v>1</v>
      </c>
      <c r="AV1462" s="25">
        <v>1</v>
      </c>
      <c r="AW1462" s="25">
        <v>1</v>
      </c>
      <c r="AX1462" s="25">
        <v>1</v>
      </c>
      <c r="AY1462" s="25">
        <v>1</v>
      </c>
      <c r="AZ1462" s="25">
        <v>1</v>
      </c>
      <c r="BA1462" s="25">
        <v>1</v>
      </c>
      <c r="BB1462" s="25">
        <v>1</v>
      </c>
      <c r="BC1462" s="25">
        <v>1</v>
      </c>
      <c r="BD1462" s="25">
        <v>1</v>
      </c>
    </row>
    <row r="1463" spans="27:56" x14ac:dyDescent="0.25">
      <c r="AA1463" s="68" t="str">
        <f t="shared" si="89"/>
        <v>Fotos\\.jpg</v>
      </c>
      <c r="AB1463" s="53">
        <f t="shared" si="90"/>
        <v>6.8352699931647305E-4</v>
      </c>
      <c r="AC1463" s="25">
        <f t="shared" si="91"/>
        <v>1463</v>
      </c>
      <c r="AD1463" s="51">
        <f t="shared" si="92"/>
        <v>1</v>
      </c>
      <c r="AE1463" s="25">
        <v>1</v>
      </c>
      <c r="AF1463" s="25">
        <v>1</v>
      </c>
      <c r="AG1463" s="25">
        <v>1</v>
      </c>
      <c r="AH1463" s="25">
        <v>1</v>
      </c>
      <c r="AI1463" s="25">
        <f>IF(OR(Apresentação!$E$3='Base de Dados e filtragem'!AI$2,Apresentação!$E$3='Base de Dados e filtragem'!E1463),1,0)</f>
        <v>1</v>
      </c>
      <c r="AJ1463" s="25">
        <f>IF(OR(Apresentação!$E$4='Base de Dados e filtragem'!AJ$2,Apresentação!$E$4='Base de Dados e filtragem'!F1463),1,0)</f>
        <v>1</v>
      </c>
      <c r="AK1463" s="25">
        <f>IF(OR(Apresentação!$E$5='Base de Dados e filtragem'!AK$2,Apresentação!$E$5='Base de Dados e filtragem'!G1463),1,0)</f>
        <v>1</v>
      </c>
      <c r="AL1463" s="25">
        <f>IF(OR(Apresentação!$E$6='Base de Dados e filtragem'!AL$2,Apresentação!$E$6='Base de Dados e filtragem'!H1463),1,0)</f>
        <v>1</v>
      </c>
      <c r="AM1463" s="25">
        <f>IF(OR(Apresentação!$I$2='Base de Dados e filtragem'!AM$2,Apresentação!$I$2='Base de Dados e filtragem'!I1463),1,0)</f>
        <v>1</v>
      </c>
      <c r="AN1463" s="25">
        <f>IF(OR(Apresentação!$I$3='Base de Dados e filtragem'!AN$2,Apresentação!$I$3='Base de Dados e filtragem'!J1463),1,0)</f>
        <v>1</v>
      </c>
      <c r="AO1463" s="25">
        <f>IF(OR(Apresentação!$I$4='Base de Dados e filtragem'!AO$2,Apresentação!$I$4='Base de Dados e filtragem'!K1463),1,0)</f>
        <v>1</v>
      </c>
      <c r="AP1463" s="25">
        <f>IF(OR(Apresentação!$I$5='Base de Dados e filtragem'!AP$2,Apresentação!$I$5='Base de Dados e filtragem'!L1463),1,0)</f>
        <v>1</v>
      </c>
      <c r="AQ1463" s="25">
        <f>IF(OR(Apresentação!$I$6='Base de Dados e filtragem'!AQ$2,Apresentação!$I$6='Base de Dados e filtragem'!M1463),1,0)</f>
        <v>1</v>
      </c>
      <c r="AR1463" s="25">
        <v>1</v>
      </c>
      <c r="AS1463" s="25">
        <v>1</v>
      </c>
      <c r="AT1463" s="25">
        <v>1</v>
      </c>
      <c r="AU1463" s="25">
        <v>1</v>
      </c>
      <c r="AV1463" s="25">
        <v>1</v>
      </c>
      <c r="AW1463" s="25">
        <v>1</v>
      </c>
      <c r="AX1463" s="25">
        <v>1</v>
      </c>
      <c r="AY1463" s="25">
        <v>1</v>
      </c>
      <c r="AZ1463" s="25">
        <v>1</v>
      </c>
      <c r="BA1463" s="25">
        <v>1</v>
      </c>
      <c r="BB1463" s="25">
        <v>1</v>
      </c>
      <c r="BC1463" s="25">
        <v>1</v>
      </c>
      <c r="BD1463" s="25">
        <v>1</v>
      </c>
    </row>
    <row r="1464" spans="27:56" x14ac:dyDescent="0.25">
      <c r="AA1464" s="68" t="str">
        <f t="shared" si="89"/>
        <v>Fotos\\.jpg</v>
      </c>
      <c r="AB1464" s="53">
        <f t="shared" si="90"/>
        <v>6.8306010928961749E-4</v>
      </c>
      <c r="AC1464" s="25">
        <f t="shared" si="91"/>
        <v>1464</v>
      </c>
      <c r="AD1464" s="51">
        <f t="shared" si="92"/>
        <v>1</v>
      </c>
      <c r="AE1464" s="25">
        <v>1</v>
      </c>
      <c r="AF1464" s="25">
        <v>1</v>
      </c>
      <c r="AG1464" s="25">
        <v>1</v>
      </c>
      <c r="AH1464" s="25">
        <v>1</v>
      </c>
      <c r="AI1464" s="25">
        <f>IF(OR(Apresentação!$E$3='Base de Dados e filtragem'!AI$2,Apresentação!$E$3='Base de Dados e filtragem'!E1464),1,0)</f>
        <v>1</v>
      </c>
      <c r="AJ1464" s="25">
        <f>IF(OR(Apresentação!$E$4='Base de Dados e filtragem'!AJ$2,Apresentação!$E$4='Base de Dados e filtragem'!F1464),1,0)</f>
        <v>1</v>
      </c>
      <c r="AK1464" s="25">
        <f>IF(OR(Apresentação!$E$5='Base de Dados e filtragem'!AK$2,Apresentação!$E$5='Base de Dados e filtragem'!G1464),1,0)</f>
        <v>1</v>
      </c>
      <c r="AL1464" s="25">
        <f>IF(OR(Apresentação!$E$6='Base de Dados e filtragem'!AL$2,Apresentação!$E$6='Base de Dados e filtragem'!H1464),1,0)</f>
        <v>1</v>
      </c>
      <c r="AM1464" s="25">
        <f>IF(OR(Apresentação!$I$2='Base de Dados e filtragem'!AM$2,Apresentação!$I$2='Base de Dados e filtragem'!I1464),1,0)</f>
        <v>1</v>
      </c>
      <c r="AN1464" s="25">
        <f>IF(OR(Apresentação!$I$3='Base de Dados e filtragem'!AN$2,Apresentação!$I$3='Base de Dados e filtragem'!J1464),1,0)</f>
        <v>1</v>
      </c>
      <c r="AO1464" s="25">
        <f>IF(OR(Apresentação!$I$4='Base de Dados e filtragem'!AO$2,Apresentação!$I$4='Base de Dados e filtragem'!K1464),1,0)</f>
        <v>1</v>
      </c>
      <c r="AP1464" s="25">
        <f>IF(OR(Apresentação!$I$5='Base de Dados e filtragem'!AP$2,Apresentação!$I$5='Base de Dados e filtragem'!L1464),1,0)</f>
        <v>1</v>
      </c>
      <c r="AQ1464" s="25">
        <f>IF(OR(Apresentação!$I$6='Base de Dados e filtragem'!AQ$2,Apresentação!$I$6='Base de Dados e filtragem'!M1464),1,0)</f>
        <v>1</v>
      </c>
      <c r="AR1464" s="25">
        <v>1</v>
      </c>
      <c r="AS1464" s="25">
        <v>1</v>
      </c>
      <c r="AT1464" s="25">
        <v>1</v>
      </c>
      <c r="AU1464" s="25">
        <v>1</v>
      </c>
      <c r="AV1464" s="25">
        <v>1</v>
      </c>
      <c r="AW1464" s="25">
        <v>1</v>
      </c>
      <c r="AX1464" s="25">
        <v>1</v>
      </c>
      <c r="AY1464" s="25">
        <v>1</v>
      </c>
      <c r="AZ1464" s="25">
        <v>1</v>
      </c>
      <c r="BA1464" s="25">
        <v>1</v>
      </c>
      <c r="BB1464" s="25">
        <v>1</v>
      </c>
      <c r="BC1464" s="25">
        <v>1</v>
      </c>
      <c r="BD1464" s="25">
        <v>1</v>
      </c>
    </row>
    <row r="1465" spans="27:56" x14ac:dyDescent="0.25">
      <c r="AA1465" s="68" t="str">
        <f t="shared" si="89"/>
        <v>Fotos\\.jpg</v>
      </c>
      <c r="AB1465" s="53">
        <f t="shared" si="90"/>
        <v>6.8259385665529011E-4</v>
      </c>
      <c r="AC1465" s="25">
        <f t="shared" si="91"/>
        <v>1465</v>
      </c>
      <c r="AD1465" s="51">
        <f t="shared" si="92"/>
        <v>1</v>
      </c>
      <c r="AE1465" s="25">
        <v>1</v>
      </c>
      <c r="AF1465" s="25">
        <v>1</v>
      </c>
      <c r="AG1465" s="25">
        <v>1</v>
      </c>
      <c r="AH1465" s="25">
        <v>1</v>
      </c>
      <c r="AI1465" s="25">
        <f>IF(OR(Apresentação!$E$3='Base de Dados e filtragem'!AI$2,Apresentação!$E$3='Base de Dados e filtragem'!E1465),1,0)</f>
        <v>1</v>
      </c>
      <c r="AJ1465" s="25">
        <f>IF(OR(Apresentação!$E$4='Base de Dados e filtragem'!AJ$2,Apresentação!$E$4='Base de Dados e filtragem'!F1465),1,0)</f>
        <v>1</v>
      </c>
      <c r="AK1465" s="25">
        <f>IF(OR(Apresentação!$E$5='Base de Dados e filtragem'!AK$2,Apresentação!$E$5='Base de Dados e filtragem'!G1465),1,0)</f>
        <v>1</v>
      </c>
      <c r="AL1465" s="25">
        <f>IF(OR(Apresentação!$E$6='Base de Dados e filtragem'!AL$2,Apresentação!$E$6='Base de Dados e filtragem'!H1465),1,0)</f>
        <v>1</v>
      </c>
      <c r="AM1465" s="25">
        <f>IF(OR(Apresentação!$I$2='Base de Dados e filtragem'!AM$2,Apresentação!$I$2='Base de Dados e filtragem'!I1465),1,0)</f>
        <v>1</v>
      </c>
      <c r="AN1465" s="25">
        <f>IF(OR(Apresentação!$I$3='Base de Dados e filtragem'!AN$2,Apresentação!$I$3='Base de Dados e filtragem'!J1465),1,0)</f>
        <v>1</v>
      </c>
      <c r="AO1465" s="25">
        <f>IF(OR(Apresentação!$I$4='Base de Dados e filtragem'!AO$2,Apresentação!$I$4='Base de Dados e filtragem'!K1465),1,0)</f>
        <v>1</v>
      </c>
      <c r="AP1465" s="25">
        <f>IF(OR(Apresentação!$I$5='Base de Dados e filtragem'!AP$2,Apresentação!$I$5='Base de Dados e filtragem'!L1465),1,0)</f>
        <v>1</v>
      </c>
      <c r="AQ1465" s="25">
        <f>IF(OR(Apresentação!$I$6='Base de Dados e filtragem'!AQ$2,Apresentação!$I$6='Base de Dados e filtragem'!M1465),1,0)</f>
        <v>1</v>
      </c>
      <c r="AR1465" s="25">
        <v>1</v>
      </c>
      <c r="AS1465" s="25">
        <v>1</v>
      </c>
      <c r="AT1465" s="25">
        <v>1</v>
      </c>
      <c r="AU1465" s="25">
        <v>1</v>
      </c>
      <c r="AV1465" s="25">
        <v>1</v>
      </c>
      <c r="AW1465" s="25">
        <v>1</v>
      </c>
      <c r="AX1465" s="25">
        <v>1</v>
      </c>
      <c r="AY1465" s="25">
        <v>1</v>
      </c>
      <c r="AZ1465" s="25">
        <v>1</v>
      </c>
      <c r="BA1465" s="25">
        <v>1</v>
      </c>
      <c r="BB1465" s="25">
        <v>1</v>
      </c>
      <c r="BC1465" s="25">
        <v>1</v>
      </c>
      <c r="BD1465" s="25">
        <v>1</v>
      </c>
    </row>
    <row r="1466" spans="27:56" x14ac:dyDescent="0.25">
      <c r="AA1466" s="68" t="str">
        <f t="shared" si="89"/>
        <v>Fotos\\.jpg</v>
      </c>
      <c r="AB1466" s="53">
        <f t="shared" si="90"/>
        <v>6.8212824010914052E-4</v>
      </c>
      <c r="AC1466" s="25">
        <f t="shared" si="91"/>
        <v>1466</v>
      </c>
      <c r="AD1466" s="51">
        <f t="shared" si="92"/>
        <v>1</v>
      </c>
      <c r="AE1466" s="25">
        <v>1</v>
      </c>
      <c r="AF1466" s="25">
        <v>1</v>
      </c>
      <c r="AG1466" s="25">
        <v>1</v>
      </c>
      <c r="AH1466" s="25">
        <v>1</v>
      </c>
      <c r="AI1466" s="25">
        <f>IF(OR(Apresentação!$E$3='Base de Dados e filtragem'!AI$2,Apresentação!$E$3='Base de Dados e filtragem'!E1466),1,0)</f>
        <v>1</v>
      </c>
      <c r="AJ1466" s="25">
        <f>IF(OR(Apresentação!$E$4='Base de Dados e filtragem'!AJ$2,Apresentação!$E$4='Base de Dados e filtragem'!F1466),1,0)</f>
        <v>1</v>
      </c>
      <c r="AK1466" s="25">
        <f>IF(OR(Apresentação!$E$5='Base de Dados e filtragem'!AK$2,Apresentação!$E$5='Base de Dados e filtragem'!G1466),1,0)</f>
        <v>1</v>
      </c>
      <c r="AL1466" s="25">
        <f>IF(OR(Apresentação!$E$6='Base de Dados e filtragem'!AL$2,Apresentação!$E$6='Base de Dados e filtragem'!H1466),1,0)</f>
        <v>1</v>
      </c>
      <c r="AM1466" s="25">
        <f>IF(OR(Apresentação!$I$2='Base de Dados e filtragem'!AM$2,Apresentação!$I$2='Base de Dados e filtragem'!I1466),1,0)</f>
        <v>1</v>
      </c>
      <c r="AN1466" s="25">
        <f>IF(OR(Apresentação!$I$3='Base de Dados e filtragem'!AN$2,Apresentação!$I$3='Base de Dados e filtragem'!J1466),1,0)</f>
        <v>1</v>
      </c>
      <c r="AO1466" s="25">
        <f>IF(OR(Apresentação!$I$4='Base de Dados e filtragem'!AO$2,Apresentação!$I$4='Base de Dados e filtragem'!K1466),1,0)</f>
        <v>1</v>
      </c>
      <c r="AP1466" s="25">
        <f>IF(OR(Apresentação!$I$5='Base de Dados e filtragem'!AP$2,Apresentação!$I$5='Base de Dados e filtragem'!L1466),1,0)</f>
        <v>1</v>
      </c>
      <c r="AQ1466" s="25">
        <f>IF(OR(Apresentação!$I$6='Base de Dados e filtragem'!AQ$2,Apresentação!$I$6='Base de Dados e filtragem'!M1466),1,0)</f>
        <v>1</v>
      </c>
      <c r="AR1466" s="25">
        <v>1</v>
      </c>
      <c r="AS1466" s="25">
        <v>1</v>
      </c>
      <c r="AT1466" s="25">
        <v>1</v>
      </c>
      <c r="AU1466" s="25">
        <v>1</v>
      </c>
      <c r="AV1466" s="25">
        <v>1</v>
      </c>
      <c r="AW1466" s="25">
        <v>1</v>
      </c>
      <c r="AX1466" s="25">
        <v>1</v>
      </c>
      <c r="AY1466" s="25">
        <v>1</v>
      </c>
      <c r="AZ1466" s="25">
        <v>1</v>
      </c>
      <c r="BA1466" s="25">
        <v>1</v>
      </c>
      <c r="BB1466" s="25">
        <v>1</v>
      </c>
      <c r="BC1466" s="25">
        <v>1</v>
      </c>
      <c r="BD1466" s="25">
        <v>1</v>
      </c>
    </row>
    <row r="1467" spans="27:56" x14ac:dyDescent="0.25">
      <c r="AA1467" s="68" t="str">
        <f t="shared" si="89"/>
        <v>Fotos\\.jpg</v>
      </c>
      <c r="AB1467" s="53">
        <f t="shared" si="90"/>
        <v>6.8166325835037494E-4</v>
      </c>
      <c r="AC1467" s="25">
        <f t="shared" si="91"/>
        <v>1467</v>
      </c>
      <c r="AD1467" s="51">
        <f t="shared" si="92"/>
        <v>1</v>
      </c>
      <c r="AE1467" s="25">
        <v>1</v>
      </c>
      <c r="AF1467" s="25">
        <v>1</v>
      </c>
      <c r="AG1467" s="25">
        <v>1</v>
      </c>
      <c r="AH1467" s="25">
        <v>1</v>
      </c>
      <c r="AI1467" s="25">
        <f>IF(OR(Apresentação!$E$3='Base de Dados e filtragem'!AI$2,Apresentação!$E$3='Base de Dados e filtragem'!E1467),1,0)</f>
        <v>1</v>
      </c>
      <c r="AJ1467" s="25">
        <f>IF(OR(Apresentação!$E$4='Base de Dados e filtragem'!AJ$2,Apresentação!$E$4='Base de Dados e filtragem'!F1467),1,0)</f>
        <v>1</v>
      </c>
      <c r="AK1467" s="25">
        <f>IF(OR(Apresentação!$E$5='Base de Dados e filtragem'!AK$2,Apresentação!$E$5='Base de Dados e filtragem'!G1467),1,0)</f>
        <v>1</v>
      </c>
      <c r="AL1467" s="25">
        <f>IF(OR(Apresentação!$E$6='Base de Dados e filtragem'!AL$2,Apresentação!$E$6='Base de Dados e filtragem'!H1467),1,0)</f>
        <v>1</v>
      </c>
      <c r="AM1467" s="25">
        <f>IF(OR(Apresentação!$I$2='Base de Dados e filtragem'!AM$2,Apresentação!$I$2='Base de Dados e filtragem'!I1467),1,0)</f>
        <v>1</v>
      </c>
      <c r="AN1467" s="25">
        <f>IF(OR(Apresentação!$I$3='Base de Dados e filtragem'!AN$2,Apresentação!$I$3='Base de Dados e filtragem'!J1467),1,0)</f>
        <v>1</v>
      </c>
      <c r="AO1467" s="25">
        <f>IF(OR(Apresentação!$I$4='Base de Dados e filtragem'!AO$2,Apresentação!$I$4='Base de Dados e filtragem'!K1467),1,0)</f>
        <v>1</v>
      </c>
      <c r="AP1467" s="25">
        <f>IF(OR(Apresentação!$I$5='Base de Dados e filtragem'!AP$2,Apresentação!$I$5='Base de Dados e filtragem'!L1467),1,0)</f>
        <v>1</v>
      </c>
      <c r="AQ1467" s="25">
        <f>IF(OR(Apresentação!$I$6='Base de Dados e filtragem'!AQ$2,Apresentação!$I$6='Base de Dados e filtragem'!M1467),1,0)</f>
        <v>1</v>
      </c>
      <c r="AR1467" s="25">
        <v>1</v>
      </c>
      <c r="AS1467" s="25">
        <v>1</v>
      </c>
      <c r="AT1467" s="25">
        <v>1</v>
      </c>
      <c r="AU1467" s="25">
        <v>1</v>
      </c>
      <c r="AV1467" s="25">
        <v>1</v>
      </c>
      <c r="AW1467" s="25">
        <v>1</v>
      </c>
      <c r="AX1467" s="25">
        <v>1</v>
      </c>
      <c r="AY1467" s="25">
        <v>1</v>
      </c>
      <c r="AZ1467" s="25">
        <v>1</v>
      </c>
      <c r="BA1467" s="25">
        <v>1</v>
      </c>
      <c r="BB1467" s="25">
        <v>1</v>
      </c>
      <c r="BC1467" s="25">
        <v>1</v>
      </c>
      <c r="BD1467" s="25">
        <v>1</v>
      </c>
    </row>
    <row r="1468" spans="27:56" x14ac:dyDescent="0.25">
      <c r="AA1468" s="68" t="str">
        <f t="shared" si="89"/>
        <v>Fotos\\.jpg</v>
      </c>
      <c r="AB1468" s="53">
        <f t="shared" si="90"/>
        <v>6.8119891008174384E-4</v>
      </c>
      <c r="AC1468" s="25">
        <f t="shared" si="91"/>
        <v>1468</v>
      </c>
      <c r="AD1468" s="51">
        <f t="shared" si="92"/>
        <v>1</v>
      </c>
      <c r="AE1468" s="25">
        <v>1</v>
      </c>
      <c r="AF1468" s="25">
        <v>1</v>
      </c>
      <c r="AG1468" s="25">
        <v>1</v>
      </c>
      <c r="AH1468" s="25">
        <v>1</v>
      </c>
      <c r="AI1468" s="25">
        <f>IF(OR(Apresentação!$E$3='Base de Dados e filtragem'!AI$2,Apresentação!$E$3='Base de Dados e filtragem'!E1468),1,0)</f>
        <v>1</v>
      </c>
      <c r="AJ1468" s="25">
        <f>IF(OR(Apresentação!$E$4='Base de Dados e filtragem'!AJ$2,Apresentação!$E$4='Base de Dados e filtragem'!F1468),1,0)</f>
        <v>1</v>
      </c>
      <c r="AK1468" s="25">
        <f>IF(OR(Apresentação!$E$5='Base de Dados e filtragem'!AK$2,Apresentação!$E$5='Base de Dados e filtragem'!G1468),1,0)</f>
        <v>1</v>
      </c>
      <c r="AL1468" s="25">
        <f>IF(OR(Apresentação!$E$6='Base de Dados e filtragem'!AL$2,Apresentação!$E$6='Base de Dados e filtragem'!H1468),1,0)</f>
        <v>1</v>
      </c>
      <c r="AM1468" s="25">
        <f>IF(OR(Apresentação!$I$2='Base de Dados e filtragem'!AM$2,Apresentação!$I$2='Base de Dados e filtragem'!I1468),1,0)</f>
        <v>1</v>
      </c>
      <c r="AN1468" s="25">
        <f>IF(OR(Apresentação!$I$3='Base de Dados e filtragem'!AN$2,Apresentação!$I$3='Base de Dados e filtragem'!J1468),1,0)</f>
        <v>1</v>
      </c>
      <c r="AO1468" s="25">
        <f>IF(OR(Apresentação!$I$4='Base de Dados e filtragem'!AO$2,Apresentação!$I$4='Base de Dados e filtragem'!K1468),1,0)</f>
        <v>1</v>
      </c>
      <c r="AP1468" s="25">
        <f>IF(OR(Apresentação!$I$5='Base de Dados e filtragem'!AP$2,Apresentação!$I$5='Base de Dados e filtragem'!L1468),1,0)</f>
        <v>1</v>
      </c>
      <c r="AQ1468" s="25">
        <f>IF(OR(Apresentação!$I$6='Base de Dados e filtragem'!AQ$2,Apresentação!$I$6='Base de Dados e filtragem'!M1468),1,0)</f>
        <v>1</v>
      </c>
      <c r="AR1468" s="25">
        <v>1</v>
      </c>
      <c r="AS1468" s="25">
        <v>1</v>
      </c>
      <c r="AT1468" s="25">
        <v>1</v>
      </c>
      <c r="AU1468" s="25">
        <v>1</v>
      </c>
      <c r="AV1468" s="25">
        <v>1</v>
      </c>
      <c r="AW1468" s="25">
        <v>1</v>
      </c>
      <c r="AX1468" s="25">
        <v>1</v>
      </c>
      <c r="AY1468" s="25">
        <v>1</v>
      </c>
      <c r="AZ1468" s="25">
        <v>1</v>
      </c>
      <c r="BA1468" s="25">
        <v>1</v>
      </c>
      <c r="BB1468" s="25">
        <v>1</v>
      </c>
      <c r="BC1468" s="25">
        <v>1</v>
      </c>
      <c r="BD1468" s="25">
        <v>1</v>
      </c>
    </row>
    <row r="1469" spans="27:56" x14ac:dyDescent="0.25">
      <c r="AA1469" s="68" t="str">
        <f t="shared" si="89"/>
        <v>Fotos\\.jpg</v>
      </c>
      <c r="AB1469" s="53">
        <f t="shared" si="90"/>
        <v>6.8073519400953025E-4</v>
      </c>
      <c r="AC1469" s="25">
        <f t="shared" si="91"/>
        <v>1469</v>
      </c>
      <c r="AD1469" s="51">
        <f t="shared" si="92"/>
        <v>1</v>
      </c>
      <c r="AE1469" s="25">
        <v>1</v>
      </c>
      <c r="AF1469" s="25">
        <v>1</v>
      </c>
      <c r="AG1469" s="25">
        <v>1</v>
      </c>
      <c r="AH1469" s="25">
        <v>1</v>
      </c>
      <c r="AI1469" s="25">
        <f>IF(OR(Apresentação!$E$3='Base de Dados e filtragem'!AI$2,Apresentação!$E$3='Base de Dados e filtragem'!E1469),1,0)</f>
        <v>1</v>
      </c>
      <c r="AJ1469" s="25">
        <f>IF(OR(Apresentação!$E$4='Base de Dados e filtragem'!AJ$2,Apresentação!$E$4='Base de Dados e filtragem'!F1469),1,0)</f>
        <v>1</v>
      </c>
      <c r="AK1469" s="25">
        <f>IF(OR(Apresentação!$E$5='Base de Dados e filtragem'!AK$2,Apresentação!$E$5='Base de Dados e filtragem'!G1469),1,0)</f>
        <v>1</v>
      </c>
      <c r="AL1469" s="25">
        <f>IF(OR(Apresentação!$E$6='Base de Dados e filtragem'!AL$2,Apresentação!$E$6='Base de Dados e filtragem'!H1469),1,0)</f>
        <v>1</v>
      </c>
      <c r="AM1469" s="25">
        <f>IF(OR(Apresentação!$I$2='Base de Dados e filtragem'!AM$2,Apresentação!$I$2='Base de Dados e filtragem'!I1469),1,0)</f>
        <v>1</v>
      </c>
      <c r="AN1469" s="25">
        <f>IF(OR(Apresentação!$I$3='Base de Dados e filtragem'!AN$2,Apresentação!$I$3='Base de Dados e filtragem'!J1469),1,0)</f>
        <v>1</v>
      </c>
      <c r="AO1469" s="25">
        <f>IF(OR(Apresentação!$I$4='Base de Dados e filtragem'!AO$2,Apresentação!$I$4='Base de Dados e filtragem'!K1469),1,0)</f>
        <v>1</v>
      </c>
      <c r="AP1469" s="25">
        <f>IF(OR(Apresentação!$I$5='Base de Dados e filtragem'!AP$2,Apresentação!$I$5='Base de Dados e filtragem'!L1469),1,0)</f>
        <v>1</v>
      </c>
      <c r="AQ1469" s="25">
        <f>IF(OR(Apresentação!$I$6='Base de Dados e filtragem'!AQ$2,Apresentação!$I$6='Base de Dados e filtragem'!M1469),1,0)</f>
        <v>1</v>
      </c>
      <c r="AR1469" s="25">
        <v>1</v>
      </c>
      <c r="AS1469" s="25">
        <v>1</v>
      </c>
      <c r="AT1469" s="25">
        <v>1</v>
      </c>
      <c r="AU1469" s="25">
        <v>1</v>
      </c>
      <c r="AV1469" s="25">
        <v>1</v>
      </c>
      <c r="AW1469" s="25">
        <v>1</v>
      </c>
      <c r="AX1469" s="25">
        <v>1</v>
      </c>
      <c r="AY1469" s="25">
        <v>1</v>
      </c>
      <c r="AZ1469" s="25">
        <v>1</v>
      </c>
      <c r="BA1469" s="25">
        <v>1</v>
      </c>
      <c r="BB1469" s="25">
        <v>1</v>
      </c>
      <c r="BC1469" s="25">
        <v>1</v>
      </c>
      <c r="BD1469" s="25">
        <v>1</v>
      </c>
    </row>
    <row r="1470" spans="27:56" x14ac:dyDescent="0.25">
      <c r="AA1470" s="68" t="str">
        <f t="shared" si="89"/>
        <v>Fotos\\.jpg</v>
      </c>
      <c r="AB1470" s="53">
        <f t="shared" si="90"/>
        <v>6.8027210884353737E-4</v>
      </c>
      <c r="AC1470" s="25">
        <f t="shared" si="91"/>
        <v>1470</v>
      </c>
      <c r="AD1470" s="51">
        <f t="shared" si="92"/>
        <v>1</v>
      </c>
      <c r="AE1470" s="25">
        <v>1</v>
      </c>
      <c r="AF1470" s="25">
        <v>1</v>
      </c>
      <c r="AG1470" s="25">
        <v>1</v>
      </c>
      <c r="AH1470" s="25">
        <v>1</v>
      </c>
      <c r="AI1470" s="25">
        <f>IF(OR(Apresentação!$E$3='Base de Dados e filtragem'!AI$2,Apresentação!$E$3='Base de Dados e filtragem'!E1470),1,0)</f>
        <v>1</v>
      </c>
      <c r="AJ1470" s="25">
        <f>IF(OR(Apresentação!$E$4='Base de Dados e filtragem'!AJ$2,Apresentação!$E$4='Base de Dados e filtragem'!F1470),1,0)</f>
        <v>1</v>
      </c>
      <c r="AK1470" s="25">
        <f>IF(OR(Apresentação!$E$5='Base de Dados e filtragem'!AK$2,Apresentação!$E$5='Base de Dados e filtragem'!G1470),1,0)</f>
        <v>1</v>
      </c>
      <c r="AL1470" s="25">
        <f>IF(OR(Apresentação!$E$6='Base de Dados e filtragem'!AL$2,Apresentação!$E$6='Base de Dados e filtragem'!H1470),1,0)</f>
        <v>1</v>
      </c>
      <c r="AM1470" s="25">
        <f>IF(OR(Apresentação!$I$2='Base de Dados e filtragem'!AM$2,Apresentação!$I$2='Base de Dados e filtragem'!I1470),1,0)</f>
        <v>1</v>
      </c>
      <c r="AN1470" s="25">
        <f>IF(OR(Apresentação!$I$3='Base de Dados e filtragem'!AN$2,Apresentação!$I$3='Base de Dados e filtragem'!J1470),1,0)</f>
        <v>1</v>
      </c>
      <c r="AO1470" s="25">
        <f>IF(OR(Apresentação!$I$4='Base de Dados e filtragem'!AO$2,Apresentação!$I$4='Base de Dados e filtragem'!K1470),1,0)</f>
        <v>1</v>
      </c>
      <c r="AP1470" s="25">
        <f>IF(OR(Apresentação!$I$5='Base de Dados e filtragem'!AP$2,Apresentação!$I$5='Base de Dados e filtragem'!L1470),1,0)</f>
        <v>1</v>
      </c>
      <c r="AQ1470" s="25">
        <f>IF(OR(Apresentação!$I$6='Base de Dados e filtragem'!AQ$2,Apresentação!$I$6='Base de Dados e filtragem'!M1470),1,0)</f>
        <v>1</v>
      </c>
      <c r="AR1470" s="25">
        <v>1</v>
      </c>
      <c r="AS1470" s="25">
        <v>1</v>
      </c>
      <c r="AT1470" s="25">
        <v>1</v>
      </c>
      <c r="AU1470" s="25">
        <v>1</v>
      </c>
      <c r="AV1470" s="25">
        <v>1</v>
      </c>
      <c r="AW1470" s="25">
        <v>1</v>
      </c>
      <c r="AX1470" s="25">
        <v>1</v>
      </c>
      <c r="AY1470" s="25">
        <v>1</v>
      </c>
      <c r="AZ1470" s="25">
        <v>1</v>
      </c>
      <c r="BA1470" s="25">
        <v>1</v>
      </c>
      <c r="BB1470" s="25">
        <v>1</v>
      </c>
      <c r="BC1470" s="25">
        <v>1</v>
      </c>
      <c r="BD1470" s="25">
        <v>1</v>
      </c>
    </row>
    <row r="1471" spans="27:56" x14ac:dyDescent="0.25">
      <c r="AA1471" s="68" t="str">
        <f t="shared" si="89"/>
        <v>Fotos\\.jpg</v>
      </c>
      <c r="AB1471" s="53">
        <f t="shared" si="90"/>
        <v>6.7980965329707678E-4</v>
      </c>
      <c r="AC1471" s="25">
        <f t="shared" si="91"/>
        <v>1471</v>
      </c>
      <c r="AD1471" s="51">
        <f t="shared" si="92"/>
        <v>1</v>
      </c>
      <c r="AE1471" s="25">
        <v>1</v>
      </c>
      <c r="AF1471" s="25">
        <v>1</v>
      </c>
      <c r="AG1471" s="25">
        <v>1</v>
      </c>
      <c r="AH1471" s="25">
        <v>1</v>
      </c>
      <c r="AI1471" s="25">
        <f>IF(OR(Apresentação!$E$3='Base de Dados e filtragem'!AI$2,Apresentação!$E$3='Base de Dados e filtragem'!E1471),1,0)</f>
        <v>1</v>
      </c>
      <c r="AJ1471" s="25">
        <f>IF(OR(Apresentação!$E$4='Base de Dados e filtragem'!AJ$2,Apresentação!$E$4='Base de Dados e filtragem'!F1471),1,0)</f>
        <v>1</v>
      </c>
      <c r="AK1471" s="25">
        <f>IF(OR(Apresentação!$E$5='Base de Dados e filtragem'!AK$2,Apresentação!$E$5='Base de Dados e filtragem'!G1471),1,0)</f>
        <v>1</v>
      </c>
      <c r="AL1471" s="25">
        <f>IF(OR(Apresentação!$E$6='Base de Dados e filtragem'!AL$2,Apresentação!$E$6='Base de Dados e filtragem'!H1471),1,0)</f>
        <v>1</v>
      </c>
      <c r="AM1471" s="25">
        <f>IF(OR(Apresentação!$I$2='Base de Dados e filtragem'!AM$2,Apresentação!$I$2='Base de Dados e filtragem'!I1471),1,0)</f>
        <v>1</v>
      </c>
      <c r="AN1471" s="25">
        <f>IF(OR(Apresentação!$I$3='Base de Dados e filtragem'!AN$2,Apresentação!$I$3='Base de Dados e filtragem'!J1471),1,0)</f>
        <v>1</v>
      </c>
      <c r="AO1471" s="25">
        <f>IF(OR(Apresentação!$I$4='Base de Dados e filtragem'!AO$2,Apresentação!$I$4='Base de Dados e filtragem'!K1471),1,0)</f>
        <v>1</v>
      </c>
      <c r="AP1471" s="25">
        <f>IF(OR(Apresentação!$I$5='Base de Dados e filtragem'!AP$2,Apresentação!$I$5='Base de Dados e filtragem'!L1471),1,0)</f>
        <v>1</v>
      </c>
      <c r="AQ1471" s="25">
        <f>IF(OR(Apresentação!$I$6='Base de Dados e filtragem'!AQ$2,Apresentação!$I$6='Base de Dados e filtragem'!M1471),1,0)</f>
        <v>1</v>
      </c>
      <c r="AR1471" s="25">
        <v>1</v>
      </c>
      <c r="AS1471" s="25">
        <v>1</v>
      </c>
      <c r="AT1471" s="25">
        <v>1</v>
      </c>
      <c r="AU1471" s="25">
        <v>1</v>
      </c>
      <c r="AV1471" s="25">
        <v>1</v>
      </c>
      <c r="AW1471" s="25">
        <v>1</v>
      </c>
      <c r="AX1471" s="25">
        <v>1</v>
      </c>
      <c r="AY1471" s="25">
        <v>1</v>
      </c>
      <c r="AZ1471" s="25">
        <v>1</v>
      </c>
      <c r="BA1471" s="25">
        <v>1</v>
      </c>
      <c r="BB1471" s="25">
        <v>1</v>
      </c>
      <c r="BC1471" s="25">
        <v>1</v>
      </c>
      <c r="BD1471" s="25">
        <v>1</v>
      </c>
    </row>
    <row r="1472" spans="27:56" x14ac:dyDescent="0.25">
      <c r="AA1472" s="68" t="str">
        <f t="shared" si="89"/>
        <v>Fotos\\.jpg</v>
      </c>
      <c r="AB1472" s="53">
        <f t="shared" si="90"/>
        <v>6.793478260869565E-4</v>
      </c>
      <c r="AC1472" s="25">
        <f t="shared" si="91"/>
        <v>1472</v>
      </c>
      <c r="AD1472" s="51">
        <f t="shared" si="92"/>
        <v>1</v>
      </c>
      <c r="AE1472" s="25">
        <v>1</v>
      </c>
      <c r="AF1472" s="25">
        <v>1</v>
      </c>
      <c r="AG1472" s="25">
        <v>1</v>
      </c>
      <c r="AH1472" s="25">
        <v>1</v>
      </c>
      <c r="AI1472" s="25">
        <f>IF(OR(Apresentação!$E$3='Base de Dados e filtragem'!AI$2,Apresentação!$E$3='Base de Dados e filtragem'!E1472),1,0)</f>
        <v>1</v>
      </c>
      <c r="AJ1472" s="25">
        <f>IF(OR(Apresentação!$E$4='Base de Dados e filtragem'!AJ$2,Apresentação!$E$4='Base de Dados e filtragem'!F1472),1,0)</f>
        <v>1</v>
      </c>
      <c r="AK1472" s="25">
        <f>IF(OR(Apresentação!$E$5='Base de Dados e filtragem'!AK$2,Apresentação!$E$5='Base de Dados e filtragem'!G1472),1,0)</f>
        <v>1</v>
      </c>
      <c r="AL1472" s="25">
        <f>IF(OR(Apresentação!$E$6='Base de Dados e filtragem'!AL$2,Apresentação!$E$6='Base de Dados e filtragem'!H1472),1,0)</f>
        <v>1</v>
      </c>
      <c r="AM1472" s="25">
        <f>IF(OR(Apresentação!$I$2='Base de Dados e filtragem'!AM$2,Apresentação!$I$2='Base de Dados e filtragem'!I1472),1,0)</f>
        <v>1</v>
      </c>
      <c r="AN1472" s="25">
        <f>IF(OR(Apresentação!$I$3='Base de Dados e filtragem'!AN$2,Apresentação!$I$3='Base de Dados e filtragem'!J1472),1,0)</f>
        <v>1</v>
      </c>
      <c r="AO1472" s="25">
        <f>IF(OR(Apresentação!$I$4='Base de Dados e filtragem'!AO$2,Apresentação!$I$4='Base de Dados e filtragem'!K1472),1,0)</f>
        <v>1</v>
      </c>
      <c r="AP1472" s="25">
        <f>IF(OR(Apresentação!$I$5='Base de Dados e filtragem'!AP$2,Apresentação!$I$5='Base de Dados e filtragem'!L1472),1,0)</f>
        <v>1</v>
      </c>
      <c r="AQ1472" s="25">
        <f>IF(OR(Apresentação!$I$6='Base de Dados e filtragem'!AQ$2,Apresentação!$I$6='Base de Dados e filtragem'!M1472),1,0)</f>
        <v>1</v>
      </c>
      <c r="AR1472" s="25">
        <v>1</v>
      </c>
      <c r="AS1472" s="25">
        <v>1</v>
      </c>
      <c r="AT1472" s="25">
        <v>1</v>
      </c>
      <c r="AU1472" s="25">
        <v>1</v>
      </c>
      <c r="AV1472" s="25">
        <v>1</v>
      </c>
      <c r="AW1472" s="25">
        <v>1</v>
      </c>
      <c r="AX1472" s="25">
        <v>1</v>
      </c>
      <c r="AY1472" s="25">
        <v>1</v>
      </c>
      <c r="AZ1472" s="25">
        <v>1</v>
      </c>
      <c r="BA1472" s="25">
        <v>1</v>
      </c>
      <c r="BB1472" s="25">
        <v>1</v>
      </c>
      <c r="BC1472" s="25">
        <v>1</v>
      </c>
      <c r="BD1472" s="25">
        <v>1</v>
      </c>
    </row>
    <row r="1473" spans="27:56" x14ac:dyDescent="0.25">
      <c r="AA1473" s="68" t="str">
        <f t="shared" si="89"/>
        <v>Fotos\\.jpg</v>
      </c>
      <c r="AB1473" s="53">
        <f t="shared" si="90"/>
        <v>6.7888662593346908E-4</v>
      </c>
      <c r="AC1473" s="25">
        <f t="shared" si="91"/>
        <v>1473</v>
      </c>
      <c r="AD1473" s="51">
        <f t="shared" si="92"/>
        <v>1</v>
      </c>
      <c r="AE1473" s="25">
        <v>1</v>
      </c>
      <c r="AF1473" s="25">
        <v>1</v>
      </c>
      <c r="AG1473" s="25">
        <v>1</v>
      </c>
      <c r="AH1473" s="25">
        <v>1</v>
      </c>
      <c r="AI1473" s="25">
        <f>IF(OR(Apresentação!$E$3='Base de Dados e filtragem'!AI$2,Apresentação!$E$3='Base de Dados e filtragem'!E1473),1,0)</f>
        <v>1</v>
      </c>
      <c r="AJ1473" s="25">
        <f>IF(OR(Apresentação!$E$4='Base de Dados e filtragem'!AJ$2,Apresentação!$E$4='Base de Dados e filtragem'!F1473),1,0)</f>
        <v>1</v>
      </c>
      <c r="AK1473" s="25">
        <f>IF(OR(Apresentação!$E$5='Base de Dados e filtragem'!AK$2,Apresentação!$E$5='Base de Dados e filtragem'!G1473),1,0)</f>
        <v>1</v>
      </c>
      <c r="AL1473" s="25">
        <f>IF(OR(Apresentação!$E$6='Base de Dados e filtragem'!AL$2,Apresentação!$E$6='Base de Dados e filtragem'!H1473),1,0)</f>
        <v>1</v>
      </c>
      <c r="AM1473" s="25">
        <f>IF(OR(Apresentação!$I$2='Base de Dados e filtragem'!AM$2,Apresentação!$I$2='Base de Dados e filtragem'!I1473),1,0)</f>
        <v>1</v>
      </c>
      <c r="AN1473" s="25">
        <f>IF(OR(Apresentação!$I$3='Base de Dados e filtragem'!AN$2,Apresentação!$I$3='Base de Dados e filtragem'!J1473),1,0)</f>
        <v>1</v>
      </c>
      <c r="AO1473" s="25">
        <f>IF(OR(Apresentação!$I$4='Base de Dados e filtragem'!AO$2,Apresentação!$I$4='Base de Dados e filtragem'!K1473),1,0)</f>
        <v>1</v>
      </c>
      <c r="AP1473" s="25">
        <f>IF(OR(Apresentação!$I$5='Base de Dados e filtragem'!AP$2,Apresentação!$I$5='Base de Dados e filtragem'!L1473),1,0)</f>
        <v>1</v>
      </c>
      <c r="AQ1473" s="25">
        <f>IF(OR(Apresentação!$I$6='Base de Dados e filtragem'!AQ$2,Apresentação!$I$6='Base de Dados e filtragem'!M1473),1,0)</f>
        <v>1</v>
      </c>
      <c r="AR1473" s="25">
        <v>1</v>
      </c>
      <c r="AS1473" s="25">
        <v>1</v>
      </c>
      <c r="AT1473" s="25">
        <v>1</v>
      </c>
      <c r="AU1473" s="25">
        <v>1</v>
      </c>
      <c r="AV1473" s="25">
        <v>1</v>
      </c>
      <c r="AW1473" s="25">
        <v>1</v>
      </c>
      <c r="AX1473" s="25">
        <v>1</v>
      </c>
      <c r="AY1473" s="25">
        <v>1</v>
      </c>
      <c r="AZ1473" s="25">
        <v>1</v>
      </c>
      <c r="BA1473" s="25">
        <v>1</v>
      </c>
      <c r="BB1473" s="25">
        <v>1</v>
      </c>
      <c r="BC1473" s="25">
        <v>1</v>
      </c>
      <c r="BD1473" s="25">
        <v>1</v>
      </c>
    </row>
    <row r="1474" spans="27:56" x14ac:dyDescent="0.25">
      <c r="AA1474" s="68" t="str">
        <f t="shared" si="89"/>
        <v>Fotos\\.jpg</v>
      </c>
      <c r="AB1474" s="53">
        <f t="shared" si="90"/>
        <v>6.7842605156037987E-4</v>
      </c>
      <c r="AC1474" s="25">
        <f t="shared" si="91"/>
        <v>1474</v>
      </c>
      <c r="AD1474" s="51">
        <f t="shared" si="92"/>
        <v>1</v>
      </c>
      <c r="AE1474" s="25">
        <v>1</v>
      </c>
      <c r="AF1474" s="25">
        <v>1</v>
      </c>
      <c r="AG1474" s="25">
        <v>1</v>
      </c>
      <c r="AH1474" s="25">
        <v>1</v>
      </c>
      <c r="AI1474" s="25">
        <f>IF(OR(Apresentação!$E$3='Base de Dados e filtragem'!AI$2,Apresentação!$E$3='Base de Dados e filtragem'!E1474),1,0)</f>
        <v>1</v>
      </c>
      <c r="AJ1474" s="25">
        <f>IF(OR(Apresentação!$E$4='Base de Dados e filtragem'!AJ$2,Apresentação!$E$4='Base de Dados e filtragem'!F1474),1,0)</f>
        <v>1</v>
      </c>
      <c r="AK1474" s="25">
        <f>IF(OR(Apresentação!$E$5='Base de Dados e filtragem'!AK$2,Apresentação!$E$5='Base de Dados e filtragem'!G1474),1,0)</f>
        <v>1</v>
      </c>
      <c r="AL1474" s="25">
        <f>IF(OR(Apresentação!$E$6='Base de Dados e filtragem'!AL$2,Apresentação!$E$6='Base de Dados e filtragem'!H1474),1,0)</f>
        <v>1</v>
      </c>
      <c r="AM1474" s="25">
        <f>IF(OR(Apresentação!$I$2='Base de Dados e filtragem'!AM$2,Apresentação!$I$2='Base de Dados e filtragem'!I1474),1,0)</f>
        <v>1</v>
      </c>
      <c r="AN1474" s="25">
        <f>IF(OR(Apresentação!$I$3='Base de Dados e filtragem'!AN$2,Apresentação!$I$3='Base de Dados e filtragem'!J1474),1,0)</f>
        <v>1</v>
      </c>
      <c r="AO1474" s="25">
        <f>IF(OR(Apresentação!$I$4='Base de Dados e filtragem'!AO$2,Apresentação!$I$4='Base de Dados e filtragem'!K1474),1,0)</f>
        <v>1</v>
      </c>
      <c r="AP1474" s="25">
        <f>IF(OR(Apresentação!$I$5='Base de Dados e filtragem'!AP$2,Apresentação!$I$5='Base de Dados e filtragem'!L1474),1,0)</f>
        <v>1</v>
      </c>
      <c r="AQ1474" s="25">
        <f>IF(OR(Apresentação!$I$6='Base de Dados e filtragem'!AQ$2,Apresentação!$I$6='Base de Dados e filtragem'!M1474),1,0)</f>
        <v>1</v>
      </c>
      <c r="AR1474" s="25">
        <v>1</v>
      </c>
      <c r="AS1474" s="25">
        <v>1</v>
      </c>
      <c r="AT1474" s="25">
        <v>1</v>
      </c>
      <c r="AU1474" s="25">
        <v>1</v>
      </c>
      <c r="AV1474" s="25">
        <v>1</v>
      </c>
      <c r="AW1474" s="25">
        <v>1</v>
      </c>
      <c r="AX1474" s="25">
        <v>1</v>
      </c>
      <c r="AY1474" s="25">
        <v>1</v>
      </c>
      <c r="AZ1474" s="25">
        <v>1</v>
      </c>
      <c r="BA1474" s="25">
        <v>1</v>
      </c>
      <c r="BB1474" s="25">
        <v>1</v>
      </c>
      <c r="BC1474" s="25">
        <v>1</v>
      </c>
      <c r="BD1474" s="25">
        <v>1</v>
      </c>
    </row>
    <row r="1475" spans="27:56" x14ac:dyDescent="0.25">
      <c r="AA1475" s="68" t="str">
        <f t="shared" si="89"/>
        <v>Fotos\\.jpg</v>
      </c>
      <c r="AB1475" s="53">
        <f t="shared" si="90"/>
        <v>6.779661016949153E-4</v>
      </c>
      <c r="AC1475" s="25">
        <f t="shared" si="91"/>
        <v>1475</v>
      </c>
      <c r="AD1475" s="51">
        <f t="shared" si="92"/>
        <v>1</v>
      </c>
      <c r="AE1475" s="25">
        <v>1</v>
      </c>
      <c r="AF1475" s="25">
        <v>1</v>
      </c>
      <c r="AG1475" s="25">
        <v>1</v>
      </c>
      <c r="AH1475" s="25">
        <v>1</v>
      </c>
      <c r="AI1475" s="25">
        <f>IF(OR(Apresentação!$E$3='Base de Dados e filtragem'!AI$2,Apresentação!$E$3='Base de Dados e filtragem'!E1475),1,0)</f>
        <v>1</v>
      </c>
      <c r="AJ1475" s="25">
        <f>IF(OR(Apresentação!$E$4='Base de Dados e filtragem'!AJ$2,Apresentação!$E$4='Base de Dados e filtragem'!F1475),1,0)</f>
        <v>1</v>
      </c>
      <c r="AK1475" s="25">
        <f>IF(OR(Apresentação!$E$5='Base de Dados e filtragem'!AK$2,Apresentação!$E$5='Base de Dados e filtragem'!G1475),1,0)</f>
        <v>1</v>
      </c>
      <c r="AL1475" s="25">
        <f>IF(OR(Apresentação!$E$6='Base de Dados e filtragem'!AL$2,Apresentação!$E$6='Base de Dados e filtragem'!H1475),1,0)</f>
        <v>1</v>
      </c>
      <c r="AM1475" s="25">
        <f>IF(OR(Apresentação!$I$2='Base de Dados e filtragem'!AM$2,Apresentação!$I$2='Base de Dados e filtragem'!I1475),1,0)</f>
        <v>1</v>
      </c>
      <c r="AN1475" s="25">
        <f>IF(OR(Apresentação!$I$3='Base de Dados e filtragem'!AN$2,Apresentação!$I$3='Base de Dados e filtragem'!J1475),1,0)</f>
        <v>1</v>
      </c>
      <c r="AO1475" s="25">
        <f>IF(OR(Apresentação!$I$4='Base de Dados e filtragem'!AO$2,Apresentação!$I$4='Base de Dados e filtragem'!K1475),1,0)</f>
        <v>1</v>
      </c>
      <c r="AP1475" s="25">
        <f>IF(OR(Apresentação!$I$5='Base de Dados e filtragem'!AP$2,Apresentação!$I$5='Base de Dados e filtragem'!L1475),1,0)</f>
        <v>1</v>
      </c>
      <c r="AQ1475" s="25">
        <f>IF(OR(Apresentação!$I$6='Base de Dados e filtragem'!AQ$2,Apresentação!$I$6='Base de Dados e filtragem'!M1475),1,0)</f>
        <v>1</v>
      </c>
      <c r="AR1475" s="25">
        <v>1</v>
      </c>
      <c r="AS1475" s="25">
        <v>1</v>
      </c>
      <c r="AT1475" s="25">
        <v>1</v>
      </c>
      <c r="AU1475" s="25">
        <v>1</v>
      </c>
      <c r="AV1475" s="25">
        <v>1</v>
      </c>
      <c r="AW1475" s="25">
        <v>1</v>
      </c>
      <c r="AX1475" s="25">
        <v>1</v>
      </c>
      <c r="AY1475" s="25">
        <v>1</v>
      </c>
      <c r="AZ1475" s="25">
        <v>1</v>
      </c>
      <c r="BA1475" s="25">
        <v>1</v>
      </c>
      <c r="BB1475" s="25">
        <v>1</v>
      </c>
      <c r="BC1475" s="25">
        <v>1</v>
      </c>
      <c r="BD1475" s="25">
        <v>1</v>
      </c>
    </row>
    <row r="1476" spans="27:56" x14ac:dyDescent="0.25">
      <c r="AA1476" s="68" t="str">
        <f t="shared" ref="AA1476:AA1500" si="93">"Fotos\"&amp;I1476&amp;"\"&amp;A1476&amp;".jpg"</f>
        <v>Fotos\\.jpg</v>
      </c>
      <c r="AB1476" s="53">
        <f t="shared" ref="AB1476:AB1539" si="94">AD1476/AC1476</f>
        <v>6.7750677506775068E-4</v>
      </c>
      <c r="AC1476" s="25">
        <f t="shared" ref="AC1476:AC1500" si="95">AC1475+1</f>
        <v>1476</v>
      </c>
      <c r="AD1476" s="51">
        <f t="shared" ref="AD1476:AD1539" si="96">PRODUCT(AE1476:BD1476)</f>
        <v>1</v>
      </c>
      <c r="AE1476" s="25">
        <v>1</v>
      </c>
      <c r="AF1476" s="25">
        <v>1</v>
      </c>
      <c r="AG1476" s="25">
        <v>1</v>
      </c>
      <c r="AH1476" s="25">
        <v>1</v>
      </c>
      <c r="AI1476" s="25">
        <f>IF(OR(Apresentação!$E$3='Base de Dados e filtragem'!AI$2,Apresentação!$E$3='Base de Dados e filtragem'!E1476),1,0)</f>
        <v>1</v>
      </c>
      <c r="AJ1476" s="25">
        <f>IF(OR(Apresentação!$E$4='Base de Dados e filtragem'!AJ$2,Apresentação!$E$4='Base de Dados e filtragem'!F1476),1,0)</f>
        <v>1</v>
      </c>
      <c r="AK1476" s="25">
        <f>IF(OR(Apresentação!$E$5='Base de Dados e filtragem'!AK$2,Apresentação!$E$5='Base de Dados e filtragem'!G1476),1,0)</f>
        <v>1</v>
      </c>
      <c r="AL1476" s="25">
        <f>IF(OR(Apresentação!$E$6='Base de Dados e filtragem'!AL$2,Apresentação!$E$6='Base de Dados e filtragem'!H1476),1,0)</f>
        <v>1</v>
      </c>
      <c r="AM1476" s="25">
        <f>IF(OR(Apresentação!$I$2='Base de Dados e filtragem'!AM$2,Apresentação!$I$2='Base de Dados e filtragem'!I1476),1,0)</f>
        <v>1</v>
      </c>
      <c r="AN1476" s="25">
        <f>IF(OR(Apresentação!$I$3='Base de Dados e filtragem'!AN$2,Apresentação!$I$3='Base de Dados e filtragem'!J1476),1,0)</f>
        <v>1</v>
      </c>
      <c r="AO1476" s="25">
        <f>IF(OR(Apresentação!$I$4='Base de Dados e filtragem'!AO$2,Apresentação!$I$4='Base de Dados e filtragem'!K1476),1,0)</f>
        <v>1</v>
      </c>
      <c r="AP1476" s="25">
        <f>IF(OR(Apresentação!$I$5='Base de Dados e filtragem'!AP$2,Apresentação!$I$5='Base de Dados e filtragem'!L1476),1,0)</f>
        <v>1</v>
      </c>
      <c r="AQ1476" s="25">
        <f>IF(OR(Apresentação!$I$6='Base de Dados e filtragem'!AQ$2,Apresentação!$I$6='Base de Dados e filtragem'!M1476),1,0)</f>
        <v>1</v>
      </c>
      <c r="AR1476" s="25">
        <v>1</v>
      </c>
      <c r="AS1476" s="25">
        <v>1</v>
      </c>
      <c r="AT1476" s="25">
        <v>1</v>
      </c>
      <c r="AU1476" s="25">
        <v>1</v>
      </c>
      <c r="AV1476" s="25">
        <v>1</v>
      </c>
      <c r="AW1476" s="25">
        <v>1</v>
      </c>
      <c r="AX1476" s="25">
        <v>1</v>
      </c>
      <c r="AY1476" s="25">
        <v>1</v>
      </c>
      <c r="AZ1476" s="25">
        <v>1</v>
      </c>
      <c r="BA1476" s="25">
        <v>1</v>
      </c>
      <c r="BB1476" s="25">
        <v>1</v>
      </c>
      <c r="BC1476" s="25">
        <v>1</v>
      </c>
      <c r="BD1476" s="25">
        <v>1</v>
      </c>
    </row>
    <row r="1477" spans="27:56" x14ac:dyDescent="0.25">
      <c r="AA1477" s="68" t="str">
        <f t="shared" si="93"/>
        <v>Fotos\\.jpg</v>
      </c>
      <c r="AB1477" s="53">
        <f t="shared" si="94"/>
        <v>6.770480704129993E-4</v>
      </c>
      <c r="AC1477" s="25">
        <f t="shared" si="95"/>
        <v>1477</v>
      </c>
      <c r="AD1477" s="51">
        <f t="shared" si="96"/>
        <v>1</v>
      </c>
      <c r="AE1477" s="25">
        <v>1</v>
      </c>
      <c r="AF1477" s="25">
        <v>1</v>
      </c>
      <c r="AG1477" s="25">
        <v>1</v>
      </c>
      <c r="AH1477" s="25">
        <v>1</v>
      </c>
      <c r="AI1477" s="25">
        <f>IF(OR(Apresentação!$E$3='Base de Dados e filtragem'!AI$2,Apresentação!$E$3='Base de Dados e filtragem'!E1477),1,0)</f>
        <v>1</v>
      </c>
      <c r="AJ1477" s="25">
        <f>IF(OR(Apresentação!$E$4='Base de Dados e filtragem'!AJ$2,Apresentação!$E$4='Base de Dados e filtragem'!F1477),1,0)</f>
        <v>1</v>
      </c>
      <c r="AK1477" s="25">
        <f>IF(OR(Apresentação!$E$5='Base de Dados e filtragem'!AK$2,Apresentação!$E$5='Base de Dados e filtragem'!G1477),1,0)</f>
        <v>1</v>
      </c>
      <c r="AL1477" s="25">
        <f>IF(OR(Apresentação!$E$6='Base de Dados e filtragem'!AL$2,Apresentação!$E$6='Base de Dados e filtragem'!H1477),1,0)</f>
        <v>1</v>
      </c>
      <c r="AM1477" s="25">
        <f>IF(OR(Apresentação!$I$2='Base de Dados e filtragem'!AM$2,Apresentação!$I$2='Base de Dados e filtragem'!I1477),1,0)</f>
        <v>1</v>
      </c>
      <c r="AN1477" s="25">
        <f>IF(OR(Apresentação!$I$3='Base de Dados e filtragem'!AN$2,Apresentação!$I$3='Base de Dados e filtragem'!J1477),1,0)</f>
        <v>1</v>
      </c>
      <c r="AO1477" s="25">
        <f>IF(OR(Apresentação!$I$4='Base de Dados e filtragem'!AO$2,Apresentação!$I$4='Base de Dados e filtragem'!K1477),1,0)</f>
        <v>1</v>
      </c>
      <c r="AP1477" s="25">
        <f>IF(OR(Apresentação!$I$5='Base de Dados e filtragem'!AP$2,Apresentação!$I$5='Base de Dados e filtragem'!L1477),1,0)</f>
        <v>1</v>
      </c>
      <c r="AQ1477" s="25">
        <f>IF(OR(Apresentação!$I$6='Base de Dados e filtragem'!AQ$2,Apresentação!$I$6='Base de Dados e filtragem'!M1477),1,0)</f>
        <v>1</v>
      </c>
      <c r="AR1477" s="25">
        <v>1</v>
      </c>
      <c r="AS1477" s="25">
        <v>1</v>
      </c>
      <c r="AT1477" s="25">
        <v>1</v>
      </c>
      <c r="AU1477" s="25">
        <v>1</v>
      </c>
      <c r="AV1477" s="25">
        <v>1</v>
      </c>
      <c r="AW1477" s="25">
        <v>1</v>
      </c>
      <c r="AX1477" s="25">
        <v>1</v>
      </c>
      <c r="AY1477" s="25">
        <v>1</v>
      </c>
      <c r="AZ1477" s="25">
        <v>1</v>
      </c>
      <c r="BA1477" s="25">
        <v>1</v>
      </c>
      <c r="BB1477" s="25">
        <v>1</v>
      </c>
      <c r="BC1477" s="25">
        <v>1</v>
      </c>
      <c r="BD1477" s="25">
        <v>1</v>
      </c>
    </row>
    <row r="1478" spans="27:56" x14ac:dyDescent="0.25">
      <c r="AA1478" s="68" t="str">
        <f t="shared" si="93"/>
        <v>Fotos\\.jpg</v>
      </c>
      <c r="AB1478" s="53">
        <f t="shared" si="94"/>
        <v>6.7658998646820032E-4</v>
      </c>
      <c r="AC1478" s="25">
        <f t="shared" si="95"/>
        <v>1478</v>
      </c>
      <c r="AD1478" s="51">
        <f t="shared" si="96"/>
        <v>1</v>
      </c>
      <c r="AE1478" s="25">
        <v>1</v>
      </c>
      <c r="AF1478" s="25">
        <v>1</v>
      </c>
      <c r="AG1478" s="25">
        <v>1</v>
      </c>
      <c r="AH1478" s="25">
        <v>1</v>
      </c>
      <c r="AI1478" s="25">
        <f>IF(OR(Apresentação!$E$3='Base de Dados e filtragem'!AI$2,Apresentação!$E$3='Base de Dados e filtragem'!E1478),1,0)</f>
        <v>1</v>
      </c>
      <c r="AJ1478" s="25">
        <f>IF(OR(Apresentação!$E$4='Base de Dados e filtragem'!AJ$2,Apresentação!$E$4='Base de Dados e filtragem'!F1478),1,0)</f>
        <v>1</v>
      </c>
      <c r="AK1478" s="25">
        <f>IF(OR(Apresentação!$E$5='Base de Dados e filtragem'!AK$2,Apresentação!$E$5='Base de Dados e filtragem'!G1478),1,0)</f>
        <v>1</v>
      </c>
      <c r="AL1478" s="25">
        <f>IF(OR(Apresentação!$E$6='Base de Dados e filtragem'!AL$2,Apresentação!$E$6='Base de Dados e filtragem'!H1478),1,0)</f>
        <v>1</v>
      </c>
      <c r="AM1478" s="25">
        <f>IF(OR(Apresentação!$I$2='Base de Dados e filtragem'!AM$2,Apresentação!$I$2='Base de Dados e filtragem'!I1478),1,0)</f>
        <v>1</v>
      </c>
      <c r="AN1478" s="25">
        <f>IF(OR(Apresentação!$I$3='Base de Dados e filtragem'!AN$2,Apresentação!$I$3='Base de Dados e filtragem'!J1478),1,0)</f>
        <v>1</v>
      </c>
      <c r="AO1478" s="25">
        <f>IF(OR(Apresentação!$I$4='Base de Dados e filtragem'!AO$2,Apresentação!$I$4='Base de Dados e filtragem'!K1478),1,0)</f>
        <v>1</v>
      </c>
      <c r="AP1478" s="25">
        <f>IF(OR(Apresentação!$I$5='Base de Dados e filtragem'!AP$2,Apresentação!$I$5='Base de Dados e filtragem'!L1478),1,0)</f>
        <v>1</v>
      </c>
      <c r="AQ1478" s="25">
        <f>IF(OR(Apresentação!$I$6='Base de Dados e filtragem'!AQ$2,Apresentação!$I$6='Base de Dados e filtragem'!M1478),1,0)</f>
        <v>1</v>
      </c>
      <c r="AR1478" s="25">
        <v>1</v>
      </c>
      <c r="AS1478" s="25">
        <v>1</v>
      </c>
      <c r="AT1478" s="25">
        <v>1</v>
      </c>
      <c r="AU1478" s="25">
        <v>1</v>
      </c>
      <c r="AV1478" s="25">
        <v>1</v>
      </c>
      <c r="AW1478" s="25">
        <v>1</v>
      </c>
      <c r="AX1478" s="25">
        <v>1</v>
      </c>
      <c r="AY1478" s="25">
        <v>1</v>
      </c>
      <c r="AZ1478" s="25">
        <v>1</v>
      </c>
      <c r="BA1478" s="25">
        <v>1</v>
      </c>
      <c r="BB1478" s="25">
        <v>1</v>
      </c>
      <c r="BC1478" s="25">
        <v>1</v>
      </c>
      <c r="BD1478" s="25">
        <v>1</v>
      </c>
    </row>
    <row r="1479" spans="27:56" x14ac:dyDescent="0.25">
      <c r="AA1479" s="68" t="str">
        <f t="shared" si="93"/>
        <v>Fotos\\.jpg</v>
      </c>
      <c r="AB1479" s="53">
        <f t="shared" si="94"/>
        <v>6.7613252197430695E-4</v>
      </c>
      <c r="AC1479" s="25">
        <f t="shared" si="95"/>
        <v>1479</v>
      </c>
      <c r="AD1479" s="51">
        <f t="shared" si="96"/>
        <v>1</v>
      </c>
      <c r="AE1479" s="25">
        <v>1</v>
      </c>
      <c r="AF1479" s="25">
        <v>1</v>
      </c>
      <c r="AG1479" s="25">
        <v>1</v>
      </c>
      <c r="AH1479" s="25">
        <v>1</v>
      </c>
      <c r="AI1479" s="25">
        <f>IF(OR(Apresentação!$E$3='Base de Dados e filtragem'!AI$2,Apresentação!$E$3='Base de Dados e filtragem'!E1479),1,0)</f>
        <v>1</v>
      </c>
      <c r="AJ1479" s="25">
        <f>IF(OR(Apresentação!$E$4='Base de Dados e filtragem'!AJ$2,Apresentação!$E$4='Base de Dados e filtragem'!F1479),1,0)</f>
        <v>1</v>
      </c>
      <c r="AK1479" s="25">
        <f>IF(OR(Apresentação!$E$5='Base de Dados e filtragem'!AK$2,Apresentação!$E$5='Base de Dados e filtragem'!G1479),1,0)</f>
        <v>1</v>
      </c>
      <c r="AL1479" s="25">
        <f>IF(OR(Apresentação!$E$6='Base de Dados e filtragem'!AL$2,Apresentação!$E$6='Base de Dados e filtragem'!H1479),1,0)</f>
        <v>1</v>
      </c>
      <c r="AM1479" s="25">
        <f>IF(OR(Apresentação!$I$2='Base de Dados e filtragem'!AM$2,Apresentação!$I$2='Base de Dados e filtragem'!I1479),1,0)</f>
        <v>1</v>
      </c>
      <c r="AN1479" s="25">
        <f>IF(OR(Apresentação!$I$3='Base de Dados e filtragem'!AN$2,Apresentação!$I$3='Base de Dados e filtragem'!J1479),1,0)</f>
        <v>1</v>
      </c>
      <c r="AO1479" s="25">
        <f>IF(OR(Apresentação!$I$4='Base de Dados e filtragem'!AO$2,Apresentação!$I$4='Base de Dados e filtragem'!K1479),1,0)</f>
        <v>1</v>
      </c>
      <c r="AP1479" s="25">
        <f>IF(OR(Apresentação!$I$5='Base de Dados e filtragem'!AP$2,Apresentação!$I$5='Base de Dados e filtragem'!L1479),1,0)</f>
        <v>1</v>
      </c>
      <c r="AQ1479" s="25">
        <f>IF(OR(Apresentação!$I$6='Base de Dados e filtragem'!AQ$2,Apresentação!$I$6='Base de Dados e filtragem'!M1479),1,0)</f>
        <v>1</v>
      </c>
      <c r="AR1479" s="25">
        <v>1</v>
      </c>
      <c r="AS1479" s="25">
        <v>1</v>
      </c>
      <c r="AT1479" s="25">
        <v>1</v>
      </c>
      <c r="AU1479" s="25">
        <v>1</v>
      </c>
      <c r="AV1479" s="25">
        <v>1</v>
      </c>
      <c r="AW1479" s="25">
        <v>1</v>
      </c>
      <c r="AX1479" s="25">
        <v>1</v>
      </c>
      <c r="AY1479" s="25">
        <v>1</v>
      </c>
      <c r="AZ1479" s="25">
        <v>1</v>
      </c>
      <c r="BA1479" s="25">
        <v>1</v>
      </c>
      <c r="BB1479" s="25">
        <v>1</v>
      </c>
      <c r="BC1479" s="25">
        <v>1</v>
      </c>
      <c r="BD1479" s="25">
        <v>1</v>
      </c>
    </row>
    <row r="1480" spans="27:56" x14ac:dyDescent="0.25">
      <c r="AA1480" s="68" t="str">
        <f t="shared" si="93"/>
        <v>Fotos\\.jpg</v>
      </c>
      <c r="AB1480" s="53">
        <f t="shared" si="94"/>
        <v>6.7567567567567571E-4</v>
      </c>
      <c r="AC1480" s="25">
        <f t="shared" si="95"/>
        <v>1480</v>
      </c>
      <c r="AD1480" s="51">
        <f t="shared" si="96"/>
        <v>1</v>
      </c>
      <c r="AE1480" s="25">
        <v>1</v>
      </c>
      <c r="AF1480" s="25">
        <v>1</v>
      </c>
      <c r="AG1480" s="25">
        <v>1</v>
      </c>
      <c r="AH1480" s="25">
        <v>1</v>
      </c>
      <c r="AI1480" s="25">
        <f>IF(OR(Apresentação!$E$3='Base de Dados e filtragem'!AI$2,Apresentação!$E$3='Base de Dados e filtragem'!E1480),1,0)</f>
        <v>1</v>
      </c>
      <c r="AJ1480" s="25">
        <f>IF(OR(Apresentação!$E$4='Base de Dados e filtragem'!AJ$2,Apresentação!$E$4='Base de Dados e filtragem'!F1480),1,0)</f>
        <v>1</v>
      </c>
      <c r="AK1480" s="25">
        <f>IF(OR(Apresentação!$E$5='Base de Dados e filtragem'!AK$2,Apresentação!$E$5='Base de Dados e filtragem'!G1480),1,0)</f>
        <v>1</v>
      </c>
      <c r="AL1480" s="25">
        <f>IF(OR(Apresentação!$E$6='Base de Dados e filtragem'!AL$2,Apresentação!$E$6='Base de Dados e filtragem'!H1480),1,0)</f>
        <v>1</v>
      </c>
      <c r="AM1480" s="25">
        <f>IF(OR(Apresentação!$I$2='Base de Dados e filtragem'!AM$2,Apresentação!$I$2='Base de Dados e filtragem'!I1480),1,0)</f>
        <v>1</v>
      </c>
      <c r="AN1480" s="25">
        <f>IF(OR(Apresentação!$I$3='Base de Dados e filtragem'!AN$2,Apresentação!$I$3='Base de Dados e filtragem'!J1480),1,0)</f>
        <v>1</v>
      </c>
      <c r="AO1480" s="25">
        <f>IF(OR(Apresentação!$I$4='Base de Dados e filtragem'!AO$2,Apresentação!$I$4='Base de Dados e filtragem'!K1480),1,0)</f>
        <v>1</v>
      </c>
      <c r="AP1480" s="25">
        <f>IF(OR(Apresentação!$I$5='Base de Dados e filtragem'!AP$2,Apresentação!$I$5='Base de Dados e filtragem'!L1480),1,0)</f>
        <v>1</v>
      </c>
      <c r="AQ1480" s="25">
        <f>IF(OR(Apresentação!$I$6='Base de Dados e filtragem'!AQ$2,Apresentação!$I$6='Base de Dados e filtragem'!M1480),1,0)</f>
        <v>1</v>
      </c>
      <c r="AR1480" s="25">
        <v>1</v>
      </c>
      <c r="AS1480" s="25">
        <v>1</v>
      </c>
      <c r="AT1480" s="25">
        <v>1</v>
      </c>
      <c r="AU1480" s="25">
        <v>1</v>
      </c>
      <c r="AV1480" s="25">
        <v>1</v>
      </c>
      <c r="AW1480" s="25">
        <v>1</v>
      </c>
      <c r="AX1480" s="25">
        <v>1</v>
      </c>
      <c r="AY1480" s="25">
        <v>1</v>
      </c>
      <c r="AZ1480" s="25">
        <v>1</v>
      </c>
      <c r="BA1480" s="25">
        <v>1</v>
      </c>
      <c r="BB1480" s="25">
        <v>1</v>
      </c>
      <c r="BC1480" s="25">
        <v>1</v>
      </c>
      <c r="BD1480" s="25">
        <v>1</v>
      </c>
    </row>
    <row r="1481" spans="27:56" x14ac:dyDescent="0.25">
      <c r="AA1481" s="68" t="str">
        <f t="shared" si="93"/>
        <v>Fotos\\.jpg</v>
      </c>
      <c r="AB1481" s="53">
        <f t="shared" si="94"/>
        <v>6.7521944632005406E-4</v>
      </c>
      <c r="AC1481" s="25">
        <f t="shared" si="95"/>
        <v>1481</v>
      </c>
      <c r="AD1481" s="51">
        <f t="shared" si="96"/>
        <v>1</v>
      </c>
      <c r="AE1481" s="25">
        <v>1</v>
      </c>
      <c r="AF1481" s="25">
        <v>1</v>
      </c>
      <c r="AG1481" s="25">
        <v>1</v>
      </c>
      <c r="AH1481" s="25">
        <v>1</v>
      </c>
      <c r="AI1481" s="25">
        <f>IF(OR(Apresentação!$E$3='Base de Dados e filtragem'!AI$2,Apresentação!$E$3='Base de Dados e filtragem'!E1481),1,0)</f>
        <v>1</v>
      </c>
      <c r="AJ1481" s="25">
        <f>IF(OR(Apresentação!$E$4='Base de Dados e filtragem'!AJ$2,Apresentação!$E$4='Base de Dados e filtragem'!F1481),1,0)</f>
        <v>1</v>
      </c>
      <c r="AK1481" s="25">
        <f>IF(OR(Apresentação!$E$5='Base de Dados e filtragem'!AK$2,Apresentação!$E$5='Base de Dados e filtragem'!G1481),1,0)</f>
        <v>1</v>
      </c>
      <c r="AL1481" s="25">
        <f>IF(OR(Apresentação!$E$6='Base de Dados e filtragem'!AL$2,Apresentação!$E$6='Base de Dados e filtragem'!H1481),1,0)</f>
        <v>1</v>
      </c>
      <c r="AM1481" s="25">
        <f>IF(OR(Apresentação!$I$2='Base de Dados e filtragem'!AM$2,Apresentação!$I$2='Base de Dados e filtragem'!I1481),1,0)</f>
        <v>1</v>
      </c>
      <c r="AN1481" s="25">
        <f>IF(OR(Apresentação!$I$3='Base de Dados e filtragem'!AN$2,Apresentação!$I$3='Base de Dados e filtragem'!J1481),1,0)</f>
        <v>1</v>
      </c>
      <c r="AO1481" s="25">
        <f>IF(OR(Apresentação!$I$4='Base de Dados e filtragem'!AO$2,Apresentação!$I$4='Base de Dados e filtragem'!K1481),1,0)</f>
        <v>1</v>
      </c>
      <c r="AP1481" s="25">
        <f>IF(OR(Apresentação!$I$5='Base de Dados e filtragem'!AP$2,Apresentação!$I$5='Base de Dados e filtragem'!L1481),1,0)</f>
        <v>1</v>
      </c>
      <c r="AQ1481" s="25">
        <f>IF(OR(Apresentação!$I$6='Base de Dados e filtragem'!AQ$2,Apresentação!$I$6='Base de Dados e filtragem'!M1481),1,0)</f>
        <v>1</v>
      </c>
      <c r="AR1481" s="25">
        <v>1</v>
      </c>
      <c r="AS1481" s="25">
        <v>1</v>
      </c>
      <c r="AT1481" s="25">
        <v>1</v>
      </c>
      <c r="AU1481" s="25">
        <v>1</v>
      </c>
      <c r="AV1481" s="25">
        <v>1</v>
      </c>
      <c r="AW1481" s="25">
        <v>1</v>
      </c>
      <c r="AX1481" s="25">
        <v>1</v>
      </c>
      <c r="AY1481" s="25">
        <v>1</v>
      </c>
      <c r="AZ1481" s="25">
        <v>1</v>
      </c>
      <c r="BA1481" s="25">
        <v>1</v>
      </c>
      <c r="BB1481" s="25">
        <v>1</v>
      </c>
      <c r="BC1481" s="25">
        <v>1</v>
      </c>
      <c r="BD1481" s="25">
        <v>1</v>
      </c>
    </row>
    <row r="1482" spans="27:56" x14ac:dyDescent="0.25">
      <c r="AA1482" s="68" t="str">
        <f t="shared" si="93"/>
        <v>Fotos\\.jpg</v>
      </c>
      <c r="AB1482" s="53">
        <f t="shared" si="94"/>
        <v>6.7476383265856947E-4</v>
      </c>
      <c r="AC1482" s="25">
        <f t="shared" si="95"/>
        <v>1482</v>
      </c>
      <c r="AD1482" s="51">
        <f t="shared" si="96"/>
        <v>1</v>
      </c>
      <c r="AE1482" s="25">
        <v>1</v>
      </c>
      <c r="AF1482" s="25">
        <v>1</v>
      </c>
      <c r="AG1482" s="25">
        <v>1</v>
      </c>
      <c r="AH1482" s="25">
        <v>1</v>
      </c>
      <c r="AI1482" s="25">
        <f>IF(OR(Apresentação!$E$3='Base de Dados e filtragem'!AI$2,Apresentação!$E$3='Base de Dados e filtragem'!E1482),1,0)</f>
        <v>1</v>
      </c>
      <c r="AJ1482" s="25">
        <f>IF(OR(Apresentação!$E$4='Base de Dados e filtragem'!AJ$2,Apresentação!$E$4='Base de Dados e filtragem'!F1482),1,0)</f>
        <v>1</v>
      </c>
      <c r="AK1482" s="25">
        <f>IF(OR(Apresentação!$E$5='Base de Dados e filtragem'!AK$2,Apresentação!$E$5='Base de Dados e filtragem'!G1482),1,0)</f>
        <v>1</v>
      </c>
      <c r="AL1482" s="25">
        <f>IF(OR(Apresentação!$E$6='Base de Dados e filtragem'!AL$2,Apresentação!$E$6='Base de Dados e filtragem'!H1482),1,0)</f>
        <v>1</v>
      </c>
      <c r="AM1482" s="25">
        <f>IF(OR(Apresentação!$I$2='Base de Dados e filtragem'!AM$2,Apresentação!$I$2='Base de Dados e filtragem'!I1482),1,0)</f>
        <v>1</v>
      </c>
      <c r="AN1482" s="25">
        <f>IF(OR(Apresentação!$I$3='Base de Dados e filtragem'!AN$2,Apresentação!$I$3='Base de Dados e filtragem'!J1482),1,0)</f>
        <v>1</v>
      </c>
      <c r="AO1482" s="25">
        <f>IF(OR(Apresentação!$I$4='Base de Dados e filtragem'!AO$2,Apresentação!$I$4='Base de Dados e filtragem'!K1482),1,0)</f>
        <v>1</v>
      </c>
      <c r="AP1482" s="25">
        <f>IF(OR(Apresentação!$I$5='Base de Dados e filtragem'!AP$2,Apresentação!$I$5='Base de Dados e filtragem'!L1482),1,0)</f>
        <v>1</v>
      </c>
      <c r="AQ1482" s="25">
        <f>IF(OR(Apresentação!$I$6='Base de Dados e filtragem'!AQ$2,Apresentação!$I$6='Base de Dados e filtragem'!M1482),1,0)</f>
        <v>1</v>
      </c>
      <c r="AR1482" s="25">
        <v>1</v>
      </c>
      <c r="AS1482" s="25">
        <v>1</v>
      </c>
      <c r="AT1482" s="25">
        <v>1</v>
      </c>
      <c r="AU1482" s="25">
        <v>1</v>
      </c>
      <c r="AV1482" s="25">
        <v>1</v>
      </c>
      <c r="AW1482" s="25">
        <v>1</v>
      </c>
      <c r="AX1482" s="25">
        <v>1</v>
      </c>
      <c r="AY1482" s="25">
        <v>1</v>
      </c>
      <c r="AZ1482" s="25">
        <v>1</v>
      </c>
      <c r="BA1482" s="25">
        <v>1</v>
      </c>
      <c r="BB1482" s="25">
        <v>1</v>
      </c>
      <c r="BC1482" s="25">
        <v>1</v>
      </c>
      <c r="BD1482" s="25">
        <v>1</v>
      </c>
    </row>
    <row r="1483" spans="27:56" x14ac:dyDescent="0.25">
      <c r="AA1483" s="68" t="str">
        <f t="shared" si="93"/>
        <v>Fotos\\.jpg</v>
      </c>
      <c r="AB1483" s="53">
        <f t="shared" si="94"/>
        <v>6.7430883344571813E-4</v>
      </c>
      <c r="AC1483" s="25">
        <f t="shared" si="95"/>
        <v>1483</v>
      </c>
      <c r="AD1483" s="51">
        <f t="shared" si="96"/>
        <v>1</v>
      </c>
      <c r="AE1483" s="25">
        <v>1</v>
      </c>
      <c r="AF1483" s="25">
        <v>1</v>
      </c>
      <c r="AG1483" s="25">
        <v>1</v>
      </c>
      <c r="AH1483" s="25">
        <v>1</v>
      </c>
      <c r="AI1483" s="25">
        <f>IF(OR(Apresentação!$E$3='Base de Dados e filtragem'!AI$2,Apresentação!$E$3='Base de Dados e filtragem'!E1483),1,0)</f>
        <v>1</v>
      </c>
      <c r="AJ1483" s="25">
        <f>IF(OR(Apresentação!$E$4='Base de Dados e filtragem'!AJ$2,Apresentação!$E$4='Base de Dados e filtragem'!F1483),1,0)</f>
        <v>1</v>
      </c>
      <c r="AK1483" s="25">
        <f>IF(OR(Apresentação!$E$5='Base de Dados e filtragem'!AK$2,Apresentação!$E$5='Base de Dados e filtragem'!G1483),1,0)</f>
        <v>1</v>
      </c>
      <c r="AL1483" s="25">
        <f>IF(OR(Apresentação!$E$6='Base de Dados e filtragem'!AL$2,Apresentação!$E$6='Base de Dados e filtragem'!H1483),1,0)</f>
        <v>1</v>
      </c>
      <c r="AM1483" s="25">
        <f>IF(OR(Apresentação!$I$2='Base de Dados e filtragem'!AM$2,Apresentação!$I$2='Base de Dados e filtragem'!I1483),1,0)</f>
        <v>1</v>
      </c>
      <c r="AN1483" s="25">
        <f>IF(OR(Apresentação!$I$3='Base de Dados e filtragem'!AN$2,Apresentação!$I$3='Base de Dados e filtragem'!J1483),1,0)</f>
        <v>1</v>
      </c>
      <c r="AO1483" s="25">
        <f>IF(OR(Apresentação!$I$4='Base de Dados e filtragem'!AO$2,Apresentação!$I$4='Base de Dados e filtragem'!K1483),1,0)</f>
        <v>1</v>
      </c>
      <c r="AP1483" s="25">
        <f>IF(OR(Apresentação!$I$5='Base de Dados e filtragem'!AP$2,Apresentação!$I$5='Base de Dados e filtragem'!L1483),1,0)</f>
        <v>1</v>
      </c>
      <c r="AQ1483" s="25">
        <f>IF(OR(Apresentação!$I$6='Base de Dados e filtragem'!AQ$2,Apresentação!$I$6='Base de Dados e filtragem'!M1483),1,0)</f>
        <v>1</v>
      </c>
      <c r="AR1483" s="25">
        <v>1</v>
      </c>
      <c r="AS1483" s="25">
        <v>1</v>
      </c>
      <c r="AT1483" s="25">
        <v>1</v>
      </c>
      <c r="AU1483" s="25">
        <v>1</v>
      </c>
      <c r="AV1483" s="25">
        <v>1</v>
      </c>
      <c r="AW1483" s="25">
        <v>1</v>
      </c>
      <c r="AX1483" s="25">
        <v>1</v>
      </c>
      <c r="AY1483" s="25">
        <v>1</v>
      </c>
      <c r="AZ1483" s="25">
        <v>1</v>
      </c>
      <c r="BA1483" s="25">
        <v>1</v>
      </c>
      <c r="BB1483" s="25">
        <v>1</v>
      </c>
      <c r="BC1483" s="25">
        <v>1</v>
      </c>
      <c r="BD1483" s="25">
        <v>1</v>
      </c>
    </row>
    <row r="1484" spans="27:56" x14ac:dyDescent="0.25">
      <c r="AA1484" s="68" t="str">
        <f t="shared" si="93"/>
        <v>Fotos\\.jpg</v>
      </c>
      <c r="AB1484" s="53">
        <f t="shared" si="94"/>
        <v>6.7385444743935314E-4</v>
      </c>
      <c r="AC1484" s="25">
        <f t="shared" si="95"/>
        <v>1484</v>
      </c>
      <c r="AD1484" s="51">
        <f t="shared" si="96"/>
        <v>1</v>
      </c>
      <c r="AE1484" s="25">
        <v>1</v>
      </c>
      <c r="AF1484" s="25">
        <v>1</v>
      </c>
      <c r="AG1484" s="25">
        <v>1</v>
      </c>
      <c r="AH1484" s="25">
        <v>1</v>
      </c>
      <c r="AI1484" s="25">
        <f>IF(OR(Apresentação!$E$3='Base de Dados e filtragem'!AI$2,Apresentação!$E$3='Base de Dados e filtragem'!E1484),1,0)</f>
        <v>1</v>
      </c>
      <c r="AJ1484" s="25">
        <f>IF(OR(Apresentação!$E$4='Base de Dados e filtragem'!AJ$2,Apresentação!$E$4='Base de Dados e filtragem'!F1484),1,0)</f>
        <v>1</v>
      </c>
      <c r="AK1484" s="25">
        <f>IF(OR(Apresentação!$E$5='Base de Dados e filtragem'!AK$2,Apresentação!$E$5='Base de Dados e filtragem'!G1484),1,0)</f>
        <v>1</v>
      </c>
      <c r="AL1484" s="25">
        <f>IF(OR(Apresentação!$E$6='Base de Dados e filtragem'!AL$2,Apresentação!$E$6='Base de Dados e filtragem'!H1484),1,0)</f>
        <v>1</v>
      </c>
      <c r="AM1484" s="25">
        <f>IF(OR(Apresentação!$I$2='Base de Dados e filtragem'!AM$2,Apresentação!$I$2='Base de Dados e filtragem'!I1484),1,0)</f>
        <v>1</v>
      </c>
      <c r="AN1484" s="25">
        <f>IF(OR(Apresentação!$I$3='Base de Dados e filtragem'!AN$2,Apresentação!$I$3='Base de Dados e filtragem'!J1484),1,0)</f>
        <v>1</v>
      </c>
      <c r="AO1484" s="25">
        <f>IF(OR(Apresentação!$I$4='Base de Dados e filtragem'!AO$2,Apresentação!$I$4='Base de Dados e filtragem'!K1484),1,0)</f>
        <v>1</v>
      </c>
      <c r="AP1484" s="25">
        <f>IF(OR(Apresentação!$I$5='Base de Dados e filtragem'!AP$2,Apresentação!$I$5='Base de Dados e filtragem'!L1484),1,0)</f>
        <v>1</v>
      </c>
      <c r="AQ1484" s="25">
        <f>IF(OR(Apresentação!$I$6='Base de Dados e filtragem'!AQ$2,Apresentação!$I$6='Base de Dados e filtragem'!M1484),1,0)</f>
        <v>1</v>
      </c>
      <c r="AR1484" s="25">
        <v>1</v>
      </c>
      <c r="AS1484" s="25">
        <v>1</v>
      </c>
      <c r="AT1484" s="25">
        <v>1</v>
      </c>
      <c r="AU1484" s="25">
        <v>1</v>
      </c>
      <c r="AV1484" s="25">
        <v>1</v>
      </c>
      <c r="AW1484" s="25">
        <v>1</v>
      </c>
      <c r="AX1484" s="25">
        <v>1</v>
      </c>
      <c r="AY1484" s="25">
        <v>1</v>
      </c>
      <c r="AZ1484" s="25">
        <v>1</v>
      </c>
      <c r="BA1484" s="25">
        <v>1</v>
      </c>
      <c r="BB1484" s="25">
        <v>1</v>
      </c>
      <c r="BC1484" s="25">
        <v>1</v>
      </c>
      <c r="BD1484" s="25">
        <v>1</v>
      </c>
    </row>
    <row r="1485" spans="27:56" x14ac:dyDescent="0.25">
      <c r="AA1485" s="68" t="str">
        <f t="shared" si="93"/>
        <v>Fotos\\.jpg</v>
      </c>
      <c r="AB1485" s="53">
        <f t="shared" si="94"/>
        <v>6.7340067340067344E-4</v>
      </c>
      <c r="AC1485" s="25">
        <f t="shared" si="95"/>
        <v>1485</v>
      </c>
      <c r="AD1485" s="51">
        <f t="shared" si="96"/>
        <v>1</v>
      </c>
      <c r="AE1485" s="25">
        <v>1</v>
      </c>
      <c r="AF1485" s="25">
        <v>1</v>
      </c>
      <c r="AG1485" s="25">
        <v>1</v>
      </c>
      <c r="AH1485" s="25">
        <v>1</v>
      </c>
      <c r="AI1485" s="25">
        <f>IF(OR(Apresentação!$E$3='Base de Dados e filtragem'!AI$2,Apresentação!$E$3='Base de Dados e filtragem'!E1485),1,0)</f>
        <v>1</v>
      </c>
      <c r="AJ1485" s="25">
        <f>IF(OR(Apresentação!$E$4='Base de Dados e filtragem'!AJ$2,Apresentação!$E$4='Base de Dados e filtragem'!F1485),1,0)</f>
        <v>1</v>
      </c>
      <c r="AK1485" s="25">
        <f>IF(OR(Apresentação!$E$5='Base de Dados e filtragem'!AK$2,Apresentação!$E$5='Base de Dados e filtragem'!G1485),1,0)</f>
        <v>1</v>
      </c>
      <c r="AL1485" s="25">
        <f>IF(OR(Apresentação!$E$6='Base de Dados e filtragem'!AL$2,Apresentação!$E$6='Base de Dados e filtragem'!H1485),1,0)</f>
        <v>1</v>
      </c>
      <c r="AM1485" s="25">
        <f>IF(OR(Apresentação!$I$2='Base de Dados e filtragem'!AM$2,Apresentação!$I$2='Base de Dados e filtragem'!I1485),1,0)</f>
        <v>1</v>
      </c>
      <c r="AN1485" s="25">
        <f>IF(OR(Apresentação!$I$3='Base de Dados e filtragem'!AN$2,Apresentação!$I$3='Base de Dados e filtragem'!J1485),1,0)</f>
        <v>1</v>
      </c>
      <c r="AO1485" s="25">
        <f>IF(OR(Apresentação!$I$4='Base de Dados e filtragem'!AO$2,Apresentação!$I$4='Base de Dados e filtragem'!K1485),1,0)</f>
        <v>1</v>
      </c>
      <c r="AP1485" s="25">
        <f>IF(OR(Apresentação!$I$5='Base de Dados e filtragem'!AP$2,Apresentação!$I$5='Base de Dados e filtragem'!L1485),1,0)</f>
        <v>1</v>
      </c>
      <c r="AQ1485" s="25">
        <f>IF(OR(Apresentação!$I$6='Base de Dados e filtragem'!AQ$2,Apresentação!$I$6='Base de Dados e filtragem'!M1485),1,0)</f>
        <v>1</v>
      </c>
      <c r="AR1485" s="25">
        <v>1</v>
      </c>
      <c r="AS1485" s="25">
        <v>1</v>
      </c>
      <c r="AT1485" s="25">
        <v>1</v>
      </c>
      <c r="AU1485" s="25">
        <v>1</v>
      </c>
      <c r="AV1485" s="25">
        <v>1</v>
      </c>
      <c r="AW1485" s="25">
        <v>1</v>
      </c>
      <c r="AX1485" s="25">
        <v>1</v>
      </c>
      <c r="AY1485" s="25">
        <v>1</v>
      </c>
      <c r="AZ1485" s="25">
        <v>1</v>
      </c>
      <c r="BA1485" s="25">
        <v>1</v>
      </c>
      <c r="BB1485" s="25">
        <v>1</v>
      </c>
      <c r="BC1485" s="25">
        <v>1</v>
      </c>
      <c r="BD1485" s="25">
        <v>1</v>
      </c>
    </row>
    <row r="1486" spans="27:56" x14ac:dyDescent="0.25">
      <c r="AA1486" s="68" t="str">
        <f t="shared" si="93"/>
        <v>Fotos\\.jpg</v>
      </c>
      <c r="AB1486" s="53">
        <f t="shared" si="94"/>
        <v>6.7294751009421266E-4</v>
      </c>
      <c r="AC1486" s="25">
        <f t="shared" si="95"/>
        <v>1486</v>
      </c>
      <c r="AD1486" s="51">
        <f t="shared" si="96"/>
        <v>1</v>
      </c>
      <c r="AE1486" s="25">
        <v>1</v>
      </c>
      <c r="AF1486" s="25">
        <v>1</v>
      </c>
      <c r="AG1486" s="25">
        <v>1</v>
      </c>
      <c r="AH1486" s="25">
        <v>1</v>
      </c>
      <c r="AI1486" s="25">
        <f>IF(OR(Apresentação!$E$3='Base de Dados e filtragem'!AI$2,Apresentação!$E$3='Base de Dados e filtragem'!E1486),1,0)</f>
        <v>1</v>
      </c>
      <c r="AJ1486" s="25">
        <f>IF(OR(Apresentação!$E$4='Base de Dados e filtragem'!AJ$2,Apresentação!$E$4='Base de Dados e filtragem'!F1486),1,0)</f>
        <v>1</v>
      </c>
      <c r="AK1486" s="25">
        <f>IF(OR(Apresentação!$E$5='Base de Dados e filtragem'!AK$2,Apresentação!$E$5='Base de Dados e filtragem'!G1486),1,0)</f>
        <v>1</v>
      </c>
      <c r="AL1486" s="25">
        <f>IF(OR(Apresentação!$E$6='Base de Dados e filtragem'!AL$2,Apresentação!$E$6='Base de Dados e filtragem'!H1486),1,0)</f>
        <v>1</v>
      </c>
      <c r="AM1486" s="25">
        <f>IF(OR(Apresentação!$I$2='Base de Dados e filtragem'!AM$2,Apresentação!$I$2='Base de Dados e filtragem'!I1486),1,0)</f>
        <v>1</v>
      </c>
      <c r="AN1486" s="25">
        <f>IF(OR(Apresentação!$I$3='Base de Dados e filtragem'!AN$2,Apresentação!$I$3='Base de Dados e filtragem'!J1486),1,0)</f>
        <v>1</v>
      </c>
      <c r="AO1486" s="25">
        <f>IF(OR(Apresentação!$I$4='Base de Dados e filtragem'!AO$2,Apresentação!$I$4='Base de Dados e filtragem'!K1486),1,0)</f>
        <v>1</v>
      </c>
      <c r="AP1486" s="25">
        <f>IF(OR(Apresentação!$I$5='Base de Dados e filtragem'!AP$2,Apresentação!$I$5='Base de Dados e filtragem'!L1486),1,0)</f>
        <v>1</v>
      </c>
      <c r="AQ1486" s="25">
        <f>IF(OR(Apresentação!$I$6='Base de Dados e filtragem'!AQ$2,Apresentação!$I$6='Base de Dados e filtragem'!M1486),1,0)</f>
        <v>1</v>
      </c>
      <c r="AR1486" s="25">
        <v>1</v>
      </c>
      <c r="AS1486" s="25">
        <v>1</v>
      </c>
      <c r="AT1486" s="25">
        <v>1</v>
      </c>
      <c r="AU1486" s="25">
        <v>1</v>
      </c>
      <c r="AV1486" s="25">
        <v>1</v>
      </c>
      <c r="AW1486" s="25">
        <v>1</v>
      </c>
      <c r="AX1486" s="25">
        <v>1</v>
      </c>
      <c r="AY1486" s="25">
        <v>1</v>
      </c>
      <c r="AZ1486" s="25">
        <v>1</v>
      </c>
      <c r="BA1486" s="25">
        <v>1</v>
      </c>
      <c r="BB1486" s="25">
        <v>1</v>
      </c>
      <c r="BC1486" s="25">
        <v>1</v>
      </c>
      <c r="BD1486" s="25">
        <v>1</v>
      </c>
    </row>
    <row r="1487" spans="27:56" x14ac:dyDescent="0.25">
      <c r="AA1487" s="68" t="str">
        <f t="shared" si="93"/>
        <v>Fotos\\.jpg</v>
      </c>
      <c r="AB1487" s="53">
        <f t="shared" si="94"/>
        <v>6.7249495628782783E-4</v>
      </c>
      <c r="AC1487" s="25">
        <f t="shared" si="95"/>
        <v>1487</v>
      </c>
      <c r="AD1487" s="51">
        <f t="shared" si="96"/>
        <v>1</v>
      </c>
      <c r="AE1487" s="25">
        <v>1</v>
      </c>
      <c r="AF1487" s="25">
        <v>1</v>
      </c>
      <c r="AG1487" s="25">
        <v>1</v>
      </c>
      <c r="AH1487" s="25">
        <v>1</v>
      </c>
      <c r="AI1487" s="25">
        <f>IF(OR(Apresentação!$E$3='Base de Dados e filtragem'!AI$2,Apresentação!$E$3='Base de Dados e filtragem'!E1487),1,0)</f>
        <v>1</v>
      </c>
      <c r="AJ1487" s="25">
        <f>IF(OR(Apresentação!$E$4='Base de Dados e filtragem'!AJ$2,Apresentação!$E$4='Base de Dados e filtragem'!F1487),1,0)</f>
        <v>1</v>
      </c>
      <c r="AK1487" s="25">
        <f>IF(OR(Apresentação!$E$5='Base de Dados e filtragem'!AK$2,Apresentação!$E$5='Base de Dados e filtragem'!G1487),1,0)</f>
        <v>1</v>
      </c>
      <c r="AL1487" s="25">
        <f>IF(OR(Apresentação!$E$6='Base de Dados e filtragem'!AL$2,Apresentação!$E$6='Base de Dados e filtragem'!H1487),1,0)</f>
        <v>1</v>
      </c>
      <c r="AM1487" s="25">
        <f>IF(OR(Apresentação!$I$2='Base de Dados e filtragem'!AM$2,Apresentação!$I$2='Base de Dados e filtragem'!I1487),1,0)</f>
        <v>1</v>
      </c>
      <c r="AN1487" s="25">
        <f>IF(OR(Apresentação!$I$3='Base de Dados e filtragem'!AN$2,Apresentação!$I$3='Base de Dados e filtragem'!J1487),1,0)</f>
        <v>1</v>
      </c>
      <c r="AO1487" s="25">
        <f>IF(OR(Apresentação!$I$4='Base de Dados e filtragem'!AO$2,Apresentação!$I$4='Base de Dados e filtragem'!K1487),1,0)</f>
        <v>1</v>
      </c>
      <c r="AP1487" s="25">
        <f>IF(OR(Apresentação!$I$5='Base de Dados e filtragem'!AP$2,Apresentação!$I$5='Base de Dados e filtragem'!L1487),1,0)</f>
        <v>1</v>
      </c>
      <c r="AQ1487" s="25">
        <f>IF(OR(Apresentação!$I$6='Base de Dados e filtragem'!AQ$2,Apresentação!$I$6='Base de Dados e filtragem'!M1487),1,0)</f>
        <v>1</v>
      </c>
      <c r="AR1487" s="25">
        <v>1</v>
      </c>
      <c r="AS1487" s="25">
        <v>1</v>
      </c>
      <c r="AT1487" s="25">
        <v>1</v>
      </c>
      <c r="AU1487" s="25">
        <v>1</v>
      </c>
      <c r="AV1487" s="25">
        <v>1</v>
      </c>
      <c r="AW1487" s="25">
        <v>1</v>
      </c>
      <c r="AX1487" s="25">
        <v>1</v>
      </c>
      <c r="AY1487" s="25">
        <v>1</v>
      </c>
      <c r="AZ1487" s="25">
        <v>1</v>
      </c>
      <c r="BA1487" s="25">
        <v>1</v>
      </c>
      <c r="BB1487" s="25">
        <v>1</v>
      </c>
      <c r="BC1487" s="25">
        <v>1</v>
      </c>
      <c r="BD1487" s="25">
        <v>1</v>
      </c>
    </row>
    <row r="1488" spans="27:56" x14ac:dyDescent="0.25">
      <c r="AA1488" s="68" t="str">
        <f t="shared" si="93"/>
        <v>Fotos\\.jpg</v>
      </c>
      <c r="AB1488" s="53">
        <f t="shared" si="94"/>
        <v>6.7204301075268823E-4</v>
      </c>
      <c r="AC1488" s="25">
        <f t="shared" si="95"/>
        <v>1488</v>
      </c>
      <c r="AD1488" s="51">
        <f t="shared" si="96"/>
        <v>1</v>
      </c>
      <c r="AE1488" s="25">
        <v>1</v>
      </c>
      <c r="AF1488" s="25">
        <v>1</v>
      </c>
      <c r="AG1488" s="25">
        <v>1</v>
      </c>
      <c r="AH1488" s="25">
        <v>1</v>
      </c>
      <c r="AI1488" s="25">
        <f>IF(OR(Apresentação!$E$3='Base de Dados e filtragem'!AI$2,Apresentação!$E$3='Base de Dados e filtragem'!E1488),1,0)</f>
        <v>1</v>
      </c>
      <c r="AJ1488" s="25">
        <f>IF(OR(Apresentação!$E$4='Base de Dados e filtragem'!AJ$2,Apresentação!$E$4='Base de Dados e filtragem'!F1488),1,0)</f>
        <v>1</v>
      </c>
      <c r="AK1488" s="25">
        <f>IF(OR(Apresentação!$E$5='Base de Dados e filtragem'!AK$2,Apresentação!$E$5='Base de Dados e filtragem'!G1488),1,0)</f>
        <v>1</v>
      </c>
      <c r="AL1488" s="25">
        <f>IF(OR(Apresentação!$E$6='Base de Dados e filtragem'!AL$2,Apresentação!$E$6='Base de Dados e filtragem'!H1488),1,0)</f>
        <v>1</v>
      </c>
      <c r="AM1488" s="25">
        <f>IF(OR(Apresentação!$I$2='Base de Dados e filtragem'!AM$2,Apresentação!$I$2='Base de Dados e filtragem'!I1488),1,0)</f>
        <v>1</v>
      </c>
      <c r="AN1488" s="25">
        <f>IF(OR(Apresentação!$I$3='Base de Dados e filtragem'!AN$2,Apresentação!$I$3='Base de Dados e filtragem'!J1488),1,0)</f>
        <v>1</v>
      </c>
      <c r="AO1488" s="25">
        <f>IF(OR(Apresentação!$I$4='Base de Dados e filtragem'!AO$2,Apresentação!$I$4='Base de Dados e filtragem'!K1488),1,0)</f>
        <v>1</v>
      </c>
      <c r="AP1488" s="25">
        <f>IF(OR(Apresentação!$I$5='Base de Dados e filtragem'!AP$2,Apresentação!$I$5='Base de Dados e filtragem'!L1488),1,0)</f>
        <v>1</v>
      </c>
      <c r="AQ1488" s="25">
        <f>IF(OR(Apresentação!$I$6='Base de Dados e filtragem'!AQ$2,Apresentação!$I$6='Base de Dados e filtragem'!M1488),1,0)</f>
        <v>1</v>
      </c>
      <c r="AR1488" s="25">
        <v>1</v>
      </c>
      <c r="AS1488" s="25">
        <v>1</v>
      </c>
      <c r="AT1488" s="25">
        <v>1</v>
      </c>
      <c r="AU1488" s="25">
        <v>1</v>
      </c>
      <c r="AV1488" s="25">
        <v>1</v>
      </c>
      <c r="AW1488" s="25">
        <v>1</v>
      </c>
      <c r="AX1488" s="25">
        <v>1</v>
      </c>
      <c r="AY1488" s="25">
        <v>1</v>
      </c>
      <c r="AZ1488" s="25">
        <v>1</v>
      </c>
      <c r="BA1488" s="25">
        <v>1</v>
      </c>
      <c r="BB1488" s="25">
        <v>1</v>
      </c>
      <c r="BC1488" s="25">
        <v>1</v>
      </c>
      <c r="BD1488" s="25">
        <v>1</v>
      </c>
    </row>
    <row r="1489" spans="27:56" x14ac:dyDescent="0.25">
      <c r="AA1489" s="68" t="str">
        <f t="shared" si="93"/>
        <v>Fotos\\.jpg</v>
      </c>
      <c r="AB1489" s="53">
        <f t="shared" si="94"/>
        <v>6.7159167226326397E-4</v>
      </c>
      <c r="AC1489" s="25">
        <f t="shared" si="95"/>
        <v>1489</v>
      </c>
      <c r="AD1489" s="51">
        <f t="shared" si="96"/>
        <v>1</v>
      </c>
      <c r="AE1489" s="25">
        <v>1</v>
      </c>
      <c r="AF1489" s="25">
        <v>1</v>
      </c>
      <c r="AG1489" s="25">
        <v>1</v>
      </c>
      <c r="AH1489" s="25">
        <v>1</v>
      </c>
      <c r="AI1489" s="25">
        <f>IF(OR(Apresentação!$E$3='Base de Dados e filtragem'!AI$2,Apresentação!$E$3='Base de Dados e filtragem'!E1489),1,0)</f>
        <v>1</v>
      </c>
      <c r="AJ1489" s="25">
        <f>IF(OR(Apresentação!$E$4='Base de Dados e filtragem'!AJ$2,Apresentação!$E$4='Base de Dados e filtragem'!F1489),1,0)</f>
        <v>1</v>
      </c>
      <c r="AK1489" s="25">
        <f>IF(OR(Apresentação!$E$5='Base de Dados e filtragem'!AK$2,Apresentação!$E$5='Base de Dados e filtragem'!G1489),1,0)</f>
        <v>1</v>
      </c>
      <c r="AL1489" s="25">
        <f>IF(OR(Apresentação!$E$6='Base de Dados e filtragem'!AL$2,Apresentação!$E$6='Base de Dados e filtragem'!H1489),1,0)</f>
        <v>1</v>
      </c>
      <c r="AM1489" s="25">
        <f>IF(OR(Apresentação!$I$2='Base de Dados e filtragem'!AM$2,Apresentação!$I$2='Base de Dados e filtragem'!I1489),1,0)</f>
        <v>1</v>
      </c>
      <c r="AN1489" s="25">
        <f>IF(OR(Apresentação!$I$3='Base de Dados e filtragem'!AN$2,Apresentação!$I$3='Base de Dados e filtragem'!J1489),1,0)</f>
        <v>1</v>
      </c>
      <c r="AO1489" s="25">
        <f>IF(OR(Apresentação!$I$4='Base de Dados e filtragem'!AO$2,Apresentação!$I$4='Base de Dados e filtragem'!K1489),1,0)</f>
        <v>1</v>
      </c>
      <c r="AP1489" s="25">
        <f>IF(OR(Apresentação!$I$5='Base de Dados e filtragem'!AP$2,Apresentação!$I$5='Base de Dados e filtragem'!L1489),1,0)</f>
        <v>1</v>
      </c>
      <c r="AQ1489" s="25">
        <f>IF(OR(Apresentação!$I$6='Base de Dados e filtragem'!AQ$2,Apresentação!$I$6='Base de Dados e filtragem'!M1489),1,0)</f>
        <v>1</v>
      </c>
      <c r="AR1489" s="25">
        <v>1</v>
      </c>
      <c r="AS1489" s="25">
        <v>1</v>
      </c>
      <c r="AT1489" s="25">
        <v>1</v>
      </c>
      <c r="AU1489" s="25">
        <v>1</v>
      </c>
      <c r="AV1489" s="25">
        <v>1</v>
      </c>
      <c r="AW1489" s="25">
        <v>1</v>
      </c>
      <c r="AX1489" s="25">
        <v>1</v>
      </c>
      <c r="AY1489" s="25">
        <v>1</v>
      </c>
      <c r="AZ1489" s="25">
        <v>1</v>
      </c>
      <c r="BA1489" s="25">
        <v>1</v>
      </c>
      <c r="BB1489" s="25">
        <v>1</v>
      </c>
      <c r="BC1489" s="25">
        <v>1</v>
      </c>
      <c r="BD1489" s="25">
        <v>1</v>
      </c>
    </row>
    <row r="1490" spans="27:56" x14ac:dyDescent="0.25">
      <c r="AA1490" s="68" t="str">
        <f t="shared" si="93"/>
        <v>Fotos\\.jpg</v>
      </c>
      <c r="AB1490" s="53">
        <f t="shared" si="94"/>
        <v>6.711409395973154E-4</v>
      </c>
      <c r="AC1490" s="25">
        <f t="shared" si="95"/>
        <v>1490</v>
      </c>
      <c r="AD1490" s="51">
        <f t="shared" si="96"/>
        <v>1</v>
      </c>
      <c r="AE1490" s="25">
        <v>1</v>
      </c>
      <c r="AF1490" s="25">
        <v>1</v>
      </c>
      <c r="AG1490" s="25">
        <v>1</v>
      </c>
      <c r="AH1490" s="25">
        <v>1</v>
      </c>
      <c r="AI1490" s="25">
        <f>IF(OR(Apresentação!$E$3='Base de Dados e filtragem'!AI$2,Apresentação!$E$3='Base de Dados e filtragem'!E1490),1,0)</f>
        <v>1</v>
      </c>
      <c r="AJ1490" s="25">
        <f>IF(OR(Apresentação!$E$4='Base de Dados e filtragem'!AJ$2,Apresentação!$E$4='Base de Dados e filtragem'!F1490),1,0)</f>
        <v>1</v>
      </c>
      <c r="AK1490" s="25">
        <f>IF(OR(Apresentação!$E$5='Base de Dados e filtragem'!AK$2,Apresentação!$E$5='Base de Dados e filtragem'!G1490),1,0)</f>
        <v>1</v>
      </c>
      <c r="AL1490" s="25">
        <f>IF(OR(Apresentação!$E$6='Base de Dados e filtragem'!AL$2,Apresentação!$E$6='Base de Dados e filtragem'!H1490),1,0)</f>
        <v>1</v>
      </c>
      <c r="AM1490" s="25">
        <f>IF(OR(Apresentação!$I$2='Base de Dados e filtragem'!AM$2,Apresentação!$I$2='Base de Dados e filtragem'!I1490),1,0)</f>
        <v>1</v>
      </c>
      <c r="AN1490" s="25">
        <f>IF(OR(Apresentação!$I$3='Base de Dados e filtragem'!AN$2,Apresentação!$I$3='Base de Dados e filtragem'!J1490),1,0)</f>
        <v>1</v>
      </c>
      <c r="AO1490" s="25">
        <f>IF(OR(Apresentação!$I$4='Base de Dados e filtragem'!AO$2,Apresentação!$I$4='Base de Dados e filtragem'!K1490),1,0)</f>
        <v>1</v>
      </c>
      <c r="AP1490" s="25">
        <f>IF(OR(Apresentação!$I$5='Base de Dados e filtragem'!AP$2,Apresentação!$I$5='Base de Dados e filtragem'!L1490),1,0)</f>
        <v>1</v>
      </c>
      <c r="AQ1490" s="25">
        <f>IF(OR(Apresentação!$I$6='Base de Dados e filtragem'!AQ$2,Apresentação!$I$6='Base de Dados e filtragem'!M1490),1,0)</f>
        <v>1</v>
      </c>
      <c r="AR1490" s="25">
        <v>1</v>
      </c>
      <c r="AS1490" s="25">
        <v>1</v>
      </c>
      <c r="AT1490" s="25">
        <v>1</v>
      </c>
      <c r="AU1490" s="25">
        <v>1</v>
      </c>
      <c r="AV1490" s="25">
        <v>1</v>
      </c>
      <c r="AW1490" s="25">
        <v>1</v>
      </c>
      <c r="AX1490" s="25">
        <v>1</v>
      </c>
      <c r="AY1490" s="25">
        <v>1</v>
      </c>
      <c r="AZ1490" s="25">
        <v>1</v>
      </c>
      <c r="BA1490" s="25">
        <v>1</v>
      </c>
      <c r="BB1490" s="25">
        <v>1</v>
      </c>
      <c r="BC1490" s="25">
        <v>1</v>
      </c>
      <c r="BD1490" s="25">
        <v>1</v>
      </c>
    </row>
    <row r="1491" spans="27:56" x14ac:dyDescent="0.25">
      <c r="AA1491" s="68" t="str">
        <f t="shared" si="93"/>
        <v>Fotos\\.jpg</v>
      </c>
      <c r="AB1491" s="53">
        <f t="shared" si="94"/>
        <v>6.7069081153588194E-4</v>
      </c>
      <c r="AC1491" s="25">
        <f t="shared" si="95"/>
        <v>1491</v>
      </c>
      <c r="AD1491" s="51">
        <f t="shared" si="96"/>
        <v>1</v>
      </c>
      <c r="AE1491" s="25">
        <v>1</v>
      </c>
      <c r="AF1491" s="25">
        <v>1</v>
      </c>
      <c r="AG1491" s="25">
        <v>1</v>
      </c>
      <c r="AH1491" s="25">
        <v>1</v>
      </c>
      <c r="AI1491" s="25">
        <f>IF(OR(Apresentação!$E$3='Base de Dados e filtragem'!AI$2,Apresentação!$E$3='Base de Dados e filtragem'!E1491),1,0)</f>
        <v>1</v>
      </c>
      <c r="AJ1491" s="25">
        <f>IF(OR(Apresentação!$E$4='Base de Dados e filtragem'!AJ$2,Apresentação!$E$4='Base de Dados e filtragem'!F1491),1,0)</f>
        <v>1</v>
      </c>
      <c r="AK1491" s="25">
        <f>IF(OR(Apresentação!$E$5='Base de Dados e filtragem'!AK$2,Apresentação!$E$5='Base de Dados e filtragem'!G1491),1,0)</f>
        <v>1</v>
      </c>
      <c r="AL1491" s="25">
        <f>IF(OR(Apresentação!$E$6='Base de Dados e filtragem'!AL$2,Apresentação!$E$6='Base de Dados e filtragem'!H1491),1,0)</f>
        <v>1</v>
      </c>
      <c r="AM1491" s="25">
        <f>IF(OR(Apresentação!$I$2='Base de Dados e filtragem'!AM$2,Apresentação!$I$2='Base de Dados e filtragem'!I1491),1,0)</f>
        <v>1</v>
      </c>
      <c r="AN1491" s="25">
        <f>IF(OR(Apresentação!$I$3='Base de Dados e filtragem'!AN$2,Apresentação!$I$3='Base de Dados e filtragem'!J1491),1,0)</f>
        <v>1</v>
      </c>
      <c r="AO1491" s="25">
        <f>IF(OR(Apresentação!$I$4='Base de Dados e filtragem'!AO$2,Apresentação!$I$4='Base de Dados e filtragem'!K1491),1,0)</f>
        <v>1</v>
      </c>
      <c r="AP1491" s="25">
        <f>IF(OR(Apresentação!$I$5='Base de Dados e filtragem'!AP$2,Apresentação!$I$5='Base de Dados e filtragem'!L1491),1,0)</f>
        <v>1</v>
      </c>
      <c r="AQ1491" s="25">
        <f>IF(OR(Apresentação!$I$6='Base de Dados e filtragem'!AQ$2,Apresentação!$I$6='Base de Dados e filtragem'!M1491),1,0)</f>
        <v>1</v>
      </c>
      <c r="AR1491" s="25">
        <v>1</v>
      </c>
      <c r="AS1491" s="25">
        <v>1</v>
      </c>
      <c r="AT1491" s="25">
        <v>1</v>
      </c>
      <c r="AU1491" s="25">
        <v>1</v>
      </c>
      <c r="AV1491" s="25">
        <v>1</v>
      </c>
      <c r="AW1491" s="25">
        <v>1</v>
      </c>
      <c r="AX1491" s="25">
        <v>1</v>
      </c>
      <c r="AY1491" s="25">
        <v>1</v>
      </c>
      <c r="AZ1491" s="25">
        <v>1</v>
      </c>
      <c r="BA1491" s="25">
        <v>1</v>
      </c>
      <c r="BB1491" s="25">
        <v>1</v>
      </c>
      <c r="BC1491" s="25">
        <v>1</v>
      </c>
      <c r="BD1491" s="25">
        <v>1</v>
      </c>
    </row>
    <row r="1492" spans="27:56" x14ac:dyDescent="0.25">
      <c r="AA1492" s="68" t="str">
        <f t="shared" si="93"/>
        <v>Fotos\\.jpg</v>
      </c>
      <c r="AB1492" s="53">
        <f t="shared" si="94"/>
        <v>6.7024128686327079E-4</v>
      </c>
      <c r="AC1492" s="25">
        <f t="shared" si="95"/>
        <v>1492</v>
      </c>
      <c r="AD1492" s="51">
        <f t="shared" si="96"/>
        <v>1</v>
      </c>
      <c r="AE1492" s="25">
        <v>1</v>
      </c>
      <c r="AF1492" s="25">
        <v>1</v>
      </c>
      <c r="AG1492" s="25">
        <v>1</v>
      </c>
      <c r="AH1492" s="25">
        <v>1</v>
      </c>
      <c r="AI1492" s="25">
        <f>IF(OR(Apresentação!$E$3='Base de Dados e filtragem'!AI$2,Apresentação!$E$3='Base de Dados e filtragem'!E1492),1,0)</f>
        <v>1</v>
      </c>
      <c r="AJ1492" s="25">
        <f>IF(OR(Apresentação!$E$4='Base de Dados e filtragem'!AJ$2,Apresentação!$E$4='Base de Dados e filtragem'!F1492),1,0)</f>
        <v>1</v>
      </c>
      <c r="AK1492" s="25">
        <f>IF(OR(Apresentação!$E$5='Base de Dados e filtragem'!AK$2,Apresentação!$E$5='Base de Dados e filtragem'!G1492),1,0)</f>
        <v>1</v>
      </c>
      <c r="AL1492" s="25">
        <f>IF(OR(Apresentação!$E$6='Base de Dados e filtragem'!AL$2,Apresentação!$E$6='Base de Dados e filtragem'!H1492),1,0)</f>
        <v>1</v>
      </c>
      <c r="AM1492" s="25">
        <f>IF(OR(Apresentação!$I$2='Base de Dados e filtragem'!AM$2,Apresentação!$I$2='Base de Dados e filtragem'!I1492),1,0)</f>
        <v>1</v>
      </c>
      <c r="AN1492" s="25">
        <f>IF(OR(Apresentação!$I$3='Base de Dados e filtragem'!AN$2,Apresentação!$I$3='Base de Dados e filtragem'!J1492),1,0)</f>
        <v>1</v>
      </c>
      <c r="AO1492" s="25">
        <f>IF(OR(Apresentação!$I$4='Base de Dados e filtragem'!AO$2,Apresentação!$I$4='Base de Dados e filtragem'!K1492),1,0)</f>
        <v>1</v>
      </c>
      <c r="AP1492" s="25">
        <f>IF(OR(Apresentação!$I$5='Base de Dados e filtragem'!AP$2,Apresentação!$I$5='Base de Dados e filtragem'!L1492),1,0)</f>
        <v>1</v>
      </c>
      <c r="AQ1492" s="25">
        <f>IF(OR(Apresentação!$I$6='Base de Dados e filtragem'!AQ$2,Apresentação!$I$6='Base de Dados e filtragem'!M1492),1,0)</f>
        <v>1</v>
      </c>
      <c r="AR1492" s="25">
        <v>1</v>
      </c>
      <c r="AS1492" s="25">
        <v>1</v>
      </c>
      <c r="AT1492" s="25">
        <v>1</v>
      </c>
      <c r="AU1492" s="25">
        <v>1</v>
      </c>
      <c r="AV1492" s="25">
        <v>1</v>
      </c>
      <c r="AW1492" s="25">
        <v>1</v>
      </c>
      <c r="AX1492" s="25">
        <v>1</v>
      </c>
      <c r="AY1492" s="25">
        <v>1</v>
      </c>
      <c r="AZ1492" s="25">
        <v>1</v>
      </c>
      <c r="BA1492" s="25">
        <v>1</v>
      </c>
      <c r="BB1492" s="25">
        <v>1</v>
      </c>
      <c r="BC1492" s="25">
        <v>1</v>
      </c>
      <c r="BD1492" s="25">
        <v>1</v>
      </c>
    </row>
    <row r="1493" spans="27:56" x14ac:dyDescent="0.25">
      <c r="AA1493" s="68" t="str">
        <f t="shared" si="93"/>
        <v>Fotos\\.jpg</v>
      </c>
      <c r="AB1493" s="53">
        <f t="shared" si="94"/>
        <v>6.6979236436704619E-4</v>
      </c>
      <c r="AC1493" s="25">
        <f t="shared" si="95"/>
        <v>1493</v>
      </c>
      <c r="AD1493" s="51">
        <f t="shared" si="96"/>
        <v>1</v>
      </c>
      <c r="AE1493" s="25">
        <v>1</v>
      </c>
      <c r="AF1493" s="25">
        <v>1</v>
      </c>
      <c r="AG1493" s="25">
        <v>1</v>
      </c>
      <c r="AH1493" s="25">
        <v>1</v>
      </c>
      <c r="AI1493" s="25">
        <f>IF(OR(Apresentação!$E$3='Base de Dados e filtragem'!AI$2,Apresentação!$E$3='Base de Dados e filtragem'!E1493),1,0)</f>
        <v>1</v>
      </c>
      <c r="AJ1493" s="25">
        <f>IF(OR(Apresentação!$E$4='Base de Dados e filtragem'!AJ$2,Apresentação!$E$4='Base de Dados e filtragem'!F1493),1,0)</f>
        <v>1</v>
      </c>
      <c r="AK1493" s="25">
        <f>IF(OR(Apresentação!$E$5='Base de Dados e filtragem'!AK$2,Apresentação!$E$5='Base de Dados e filtragem'!G1493),1,0)</f>
        <v>1</v>
      </c>
      <c r="AL1493" s="25">
        <f>IF(OR(Apresentação!$E$6='Base de Dados e filtragem'!AL$2,Apresentação!$E$6='Base de Dados e filtragem'!H1493),1,0)</f>
        <v>1</v>
      </c>
      <c r="AM1493" s="25">
        <f>IF(OR(Apresentação!$I$2='Base de Dados e filtragem'!AM$2,Apresentação!$I$2='Base de Dados e filtragem'!I1493),1,0)</f>
        <v>1</v>
      </c>
      <c r="AN1493" s="25">
        <f>IF(OR(Apresentação!$I$3='Base de Dados e filtragem'!AN$2,Apresentação!$I$3='Base de Dados e filtragem'!J1493),1,0)</f>
        <v>1</v>
      </c>
      <c r="AO1493" s="25">
        <f>IF(OR(Apresentação!$I$4='Base de Dados e filtragem'!AO$2,Apresentação!$I$4='Base de Dados e filtragem'!K1493),1,0)</f>
        <v>1</v>
      </c>
      <c r="AP1493" s="25">
        <f>IF(OR(Apresentação!$I$5='Base de Dados e filtragem'!AP$2,Apresentação!$I$5='Base de Dados e filtragem'!L1493),1,0)</f>
        <v>1</v>
      </c>
      <c r="AQ1493" s="25">
        <f>IF(OR(Apresentação!$I$6='Base de Dados e filtragem'!AQ$2,Apresentação!$I$6='Base de Dados e filtragem'!M1493),1,0)</f>
        <v>1</v>
      </c>
      <c r="AR1493" s="25">
        <v>1</v>
      </c>
      <c r="AS1493" s="25">
        <v>1</v>
      </c>
      <c r="AT1493" s="25">
        <v>1</v>
      </c>
      <c r="AU1493" s="25">
        <v>1</v>
      </c>
      <c r="AV1493" s="25">
        <v>1</v>
      </c>
      <c r="AW1493" s="25">
        <v>1</v>
      </c>
      <c r="AX1493" s="25">
        <v>1</v>
      </c>
      <c r="AY1493" s="25">
        <v>1</v>
      </c>
      <c r="AZ1493" s="25">
        <v>1</v>
      </c>
      <c r="BA1493" s="25">
        <v>1</v>
      </c>
      <c r="BB1493" s="25">
        <v>1</v>
      </c>
      <c r="BC1493" s="25">
        <v>1</v>
      </c>
      <c r="BD1493" s="25">
        <v>1</v>
      </c>
    </row>
    <row r="1494" spans="27:56" x14ac:dyDescent="0.25">
      <c r="AA1494" s="68" t="str">
        <f t="shared" si="93"/>
        <v>Fotos\\.jpg</v>
      </c>
      <c r="AB1494" s="53">
        <f t="shared" si="94"/>
        <v>6.6934404283801872E-4</v>
      </c>
      <c r="AC1494" s="25">
        <f t="shared" si="95"/>
        <v>1494</v>
      </c>
      <c r="AD1494" s="51">
        <f t="shared" si="96"/>
        <v>1</v>
      </c>
      <c r="AE1494" s="25">
        <v>1</v>
      </c>
      <c r="AF1494" s="25">
        <v>1</v>
      </c>
      <c r="AG1494" s="25">
        <v>1</v>
      </c>
      <c r="AH1494" s="25">
        <v>1</v>
      </c>
      <c r="AI1494" s="25">
        <f>IF(OR(Apresentação!$E$3='Base de Dados e filtragem'!AI$2,Apresentação!$E$3='Base de Dados e filtragem'!E1494),1,0)</f>
        <v>1</v>
      </c>
      <c r="AJ1494" s="25">
        <f>IF(OR(Apresentação!$E$4='Base de Dados e filtragem'!AJ$2,Apresentação!$E$4='Base de Dados e filtragem'!F1494),1,0)</f>
        <v>1</v>
      </c>
      <c r="AK1494" s="25">
        <f>IF(OR(Apresentação!$E$5='Base de Dados e filtragem'!AK$2,Apresentação!$E$5='Base de Dados e filtragem'!G1494),1,0)</f>
        <v>1</v>
      </c>
      <c r="AL1494" s="25">
        <f>IF(OR(Apresentação!$E$6='Base de Dados e filtragem'!AL$2,Apresentação!$E$6='Base de Dados e filtragem'!H1494),1,0)</f>
        <v>1</v>
      </c>
      <c r="AM1494" s="25">
        <f>IF(OR(Apresentação!$I$2='Base de Dados e filtragem'!AM$2,Apresentação!$I$2='Base de Dados e filtragem'!I1494),1,0)</f>
        <v>1</v>
      </c>
      <c r="AN1494" s="25">
        <f>IF(OR(Apresentação!$I$3='Base de Dados e filtragem'!AN$2,Apresentação!$I$3='Base de Dados e filtragem'!J1494),1,0)</f>
        <v>1</v>
      </c>
      <c r="AO1494" s="25">
        <f>IF(OR(Apresentação!$I$4='Base de Dados e filtragem'!AO$2,Apresentação!$I$4='Base de Dados e filtragem'!K1494),1,0)</f>
        <v>1</v>
      </c>
      <c r="AP1494" s="25">
        <f>IF(OR(Apresentação!$I$5='Base de Dados e filtragem'!AP$2,Apresentação!$I$5='Base de Dados e filtragem'!L1494),1,0)</f>
        <v>1</v>
      </c>
      <c r="AQ1494" s="25">
        <f>IF(OR(Apresentação!$I$6='Base de Dados e filtragem'!AQ$2,Apresentação!$I$6='Base de Dados e filtragem'!M1494),1,0)</f>
        <v>1</v>
      </c>
      <c r="AR1494" s="25">
        <v>1</v>
      </c>
      <c r="AS1494" s="25">
        <v>1</v>
      </c>
      <c r="AT1494" s="25">
        <v>1</v>
      </c>
      <c r="AU1494" s="25">
        <v>1</v>
      </c>
      <c r="AV1494" s="25">
        <v>1</v>
      </c>
      <c r="AW1494" s="25">
        <v>1</v>
      </c>
      <c r="AX1494" s="25">
        <v>1</v>
      </c>
      <c r="AY1494" s="25">
        <v>1</v>
      </c>
      <c r="AZ1494" s="25">
        <v>1</v>
      </c>
      <c r="BA1494" s="25">
        <v>1</v>
      </c>
      <c r="BB1494" s="25">
        <v>1</v>
      </c>
      <c r="BC1494" s="25">
        <v>1</v>
      </c>
      <c r="BD1494" s="25">
        <v>1</v>
      </c>
    </row>
    <row r="1495" spans="27:56" x14ac:dyDescent="0.25">
      <c r="AA1495" s="68" t="str">
        <f t="shared" si="93"/>
        <v>Fotos\\.jpg</v>
      </c>
      <c r="AB1495" s="53">
        <f t="shared" si="94"/>
        <v>6.6889632107023408E-4</v>
      </c>
      <c r="AC1495" s="25">
        <f t="shared" si="95"/>
        <v>1495</v>
      </c>
      <c r="AD1495" s="51">
        <f t="shared" si="96"/>
        <v>1</v>
      </c>
      <c r="AE1495" s="25">
        <v>1</v>
      </c>
      <c r="AF1495" s="25">
        <v>1</v>
      </c>
      <c r="AG1495" s="25">
        <v>1</v>
      </c>
      <c r="AH1495" s="25">
        <v>1</v>
      </c>
      <c r="AI1495" s="25">
        <f>IF(OR(Apresentação!$E$3='Base de Dados e filtragem'!AI$2,Apresentação!$E$3='Base de Dados e filtragem'!E1495),1,0)</f>
        <v>1</v>
      </c>
      <c r="AJ1495" s="25">
        <f>IF(OR(Apresentação!$E$4='Base de Dados e filtragem'!AJ$2,Apresentação!$E$4='Base de Dados e filtragem'!F1495),1,0)</f>
        <v>1</v>
      </c>
      <c r="AK1495" s="25">
        <f>IF(OR(Apresentação!$E$5='Base de Dados e filtragem'!AK$2,Apresentação!$E$5='Base de Dados e filtragem'!G1495),1,0)</f>
        <v>1</v>
      </c>
      <c r="AL1495" s="25">
        <f>IF(OR(Apresentação!$E$6='Base de Dados e filtragem'!AL$2,Apresentação!$E$6='Base de Dados e filtragem'!H1495),1,0)</f>
        <v>1</v>
      </c>
      <c r="AM1495" s="25">
        <f>IF(OR(Apresentação!$I$2='Base de Dados e filtragem'!AM$2,Apresentação!$I$2='Base de Dados e filtragem'!I1495),1,0)</f>
        <v>1</v>
      </c>
      <c r="AN1495" s="25">
        <f>IF(OR(Apresentação!$I$3='Base de Dados e filtragem'!AN$2,Apresentação!$I$3='Base de Dados e filtragem'!J1495),1,0)</f>
        <v>1</v>
      </c>
      <c r="AO1495" s="25">
        <f>IF(OR(Apresentação!$I$4='Base de Dados e filtragem'!AO$2,Apresentação!$I$4='Base de Dados e filtragem'!K1495),1,0)</f>
        <v>1</v>
      </c>
      <c r="AP1495" s="25">
        <f>IF(OR(Apresentação!$I$5='Base de Dados e filtragem'!AP$2,Apresentação!$I$5='Base de Dados e filtragem'!L1495),1,0)</f>
        <v>1</v>
      </c>
      <c r="AQ1495" s="25">
        <f>IF(OR(Apresentação!$I$6='Base de Dados e filtragem'!AQ$2,Apresentação!$I$6='Base de Dados e filtragem'!M1495),1,0)</f>
        <v>1</v>
      </c>
      <c r="AR1495" s="25">
        <v>1</v>
      </c>
      <c r="AS1495" s="25">
        <v>1</v>
      </c>
      <c r="AT1495" s="25">
        <v>1</v>
      </c>
      <c r="AU1495" s="25">
        <v>1</v>
      </c>
      <c r="AV1495" s="25">
        <v>1</v>
      </c>
      <c r="AW1495" s="25">
        <v>1</v>
      </c>
      <c r="AX1495" s="25">
        <v>1</v>
      </c>
      <c r="AY1495" s="25">
        <v>1</v>
      </c>
      <c r="AZ1495" s="25">
        <v>1</v>
      </c>
      <c r="BA1495" s="25">
        <v>1</v>
      </c>
      <c r="BB1495" s="25">
        <v>1</v>
      </c>
      <c r="BC1495" s="25">
        <v>1</v>
      </c>
      <c r="BD1495" s="25">
        <v>1</v>
      </c>
    </row>
    <row r="1496" spans="27:56" x14ac:dyDescent="0.25">
      <c r="AA1496" s="68" t="str">
        <f t="shared" si="93"/>
        <v>Fotos\\.jpg</v>
      </c>
      <c r="AB1496" s="53">
        <f t="shared" si="94"/>
        <v>6.6844919786096253E-4</v>
      </c>
      <c r="AC1496" s="25">
        <f t="shared" si="95"/>
        <v>1496</v>
      </c>
      <c r="AD1496" s="51">
        <f t="shared" si="96"/>
        <v>1</v>
      </c>
      <c r="AE1496" s="25">
        <v>1</v>
      </c>
      <c r="AF1496" s="25">
        <v>1</v>
      </c>
      <c r="AG1496" s="25">
        <v>1</v>
      </c>
      <c r="AH1496" s="25">
        <v>1</v>
      </c>
      <c r="AI1496" s="25">
        <f>IF(OR(Apresentação!$E$3='Base de Dados e filtragem'!AI$2,Apresentação!$E$3='Base de Dados e filtragem'!E1496),1,0)</f>
        <v>1</v>
      </c>
      <c r="AJ1496" s="25">
        <f>IF(OR(Apresentação!$E$4='Base de Dados e filtragem'!AJ$2,Apresentação!$E$4='Base de Dados e filtragem'!F1496),1,0)</f>
        <v>1</v>
      </c>
      <c r="AK1496" s="25">
        <f>IF(OR(Apresentação!$E$5='Base de Dados e filtragem'!AK$2,Apresentação!$E$5='Base de Dados e filtragem'!G1496),1,0)</f>
        <v>1</v>
      </c>
      <c r="AL1496" s="25">
        <f>IF(OR(Apresentação!$E$6='Base de Dados e filtragem'!AL$2,Apresentação!$E$6='Base de Dados e filtragem'!H1496),1,0)</f>
        <v>1</v>
      </c>
      <c r="AM1496" s="25">
        <f>IF(OR(Apresentação!$I$2='Base de Dados e filtragem'!AM$2,Apresentação!$I$2='Base de Dados e filtragem'!I1496),1,0)</f>
        <v>1</v>
      </c>
      <c r="AN1496" s="25">
        <f>IF(OR(Apresentação!$I$3='Base de Dados e filtragem'!AN$2,Apresentação!$I$3='Base de Dados e filtragem'!J1496),1,0)</f>
        <v>1</v>
      </c>
      <c r="AO1496" s="25">
        <f>IF(OR(Apresentação!$I$4='Base de Dados e filtragem'!AO$2,Apresentação!$I$4='Base de Dados e filtragem'!K1496),1,0)</f>
        <v>1</v>
      </c>
      <c r="AP1496" s="25">
        <f>IF(OR(Apresentação!$I$5='Base de Dados e filtragem'!AP$2,Apresentação!$I$5='Base de Dados e filtragem'!L1496),1,0)</f>
        <v>1</v>
      </c>
      <c r="AQ1496" s="25">
        <f>IF(OR(Apresentação!$I$6='Base de Dados e filtragem'!AQ$2,Apresentação!$I$6='Base de Dados e filtragem'!M1496),1,0)</f>
        <v>1</v>
      </c>
      <c r="AR1496" s="25">
        <v>1</v>
      </c>
      <c r="AS1496" s="25">
        <v>1</v>
      </c>
      <c r="AT1496" s="25">
        <v>1</v>
      </c>
      <c r="AU1496" s="25">
        <v>1</v>
      </c>
      <c r="AV1496" s="25">
        <v>1</v>
      </c>
      <c r="AW1496" s="25">
        <v>1</v>
      </c>
      <c r="AX1496" s="25">
        <v>1</v>
      </c>
      <c r="AY1496" s="25">
        <v>1</v>
      </c>
      <c r="AZ1496" s="25">
        <v>1</v>
      </c>
      <c r="BA1496" s="25">
        <v>1</v>
      </c>
      <c r="BB1496" s="25">
        <v>1</v>
      </c>
      <c r="BC1496" s="25">
        <v>1</v>
      </c>
      <c r="BD1496" s="25">
        <v>1</v>
      </c>
    </row>
    <row r="1497" spans="27:56" x14ac:dyDescent="0.25">
      <c r="AA1497" s="68" t="str">
        <f t="shared" si="93"/>
        <v>Fotos\\.jpg</v>
      </c>
      <c r="AB1497" s="53">
        <f t="shared" si="94"/>
        <v>6.680026720106881E-4</v>
      </c>
      <c r="AC1497" s="25">
        <f t="shared" si="95"/>
        <v>1497</v>
      </c>
      <c r="AD1497" s="51">
        <f t="shared" si="96"/>
        <v>1</v>
      </c>
      <c r="AE1497" s="25">
        <v>1</v>
      </c>
      <c r="AF1497" s="25">
        <v>1</v>
      </c>
      <c r="AG1497" s="25">
        <v>1</v>
      </c>
      <c r="AH1497" s="25">
        <v>1</v>
      </c>
      <c r="AI1497" s="25">
        <f>IF(OR(Apresentação!$E$3='Base de Dados e filtragem'!AI$2,Apresentação!$E$3='Base de Dados e filtragem'!E1497),1,0)</f>
        <v>1</v>
      </c>
      <c r="AJ1497" s="25">
        <f>IF(OR(Apresentação!$E$4='Base de Dados e filtragem'!AJ$2,Apresentação!$E$4='Base de Dados e filtragem'!F1497),1,0)</f>
        <v>1</v>
      </c>
      <c r="AK1497" s="25">
        <f>IF(OR(Apresentação!$E$5='Base de Dados e filtragem'!AK$2,Apresentação!$E$5='Base de Dados e filtragem'!G1497),1,0)</f>
        <v>1</v>
      </c>
      <c r="AL1497" s="25">
        <f>IF(OR(Apresentação!$E$6='Base de Dados e filtragem'!AL$2,Apresentação!$E$6='Base de Dados e filtragem'!H1497),1,0)</f>
        <v>1</v>
      </c>
      <c r="AM1497" s="25">
        <f>IF(OR(Apresentação!$I$2='Base de Dados e filtragem'!AM$2,Apresentação!$I$2='Base de Dados e filtragem'!I1497),1,0)</f>
        <v>1</v>
      </c>
      <c r="AN1497" s="25">
        <f>IF(OR(Apresentação!$I$3='Base de Dados e filtragem'!AN$2,Apresentação!$I$3='Base de Dados e filtragem'!J1497),1,0)</f>
        <v>1</v>
      </c>
      <c r="AO1497" s="25">
        <f>IF(OR(Apresentação!$I$4='Base de Dados e filtragem'!AO$2,Apresentação!$I$4='Base de Dados e filtragem'!K1497),1,0)</f>
        <v>1</v>
      </c>
      <c r="AP1497" s="25">
        <f>IF(OR(Apresentação!$I$5='Base de Dados e filtragem'!AP$2,Apresentação!$I$5='Base de Dados e filtragem'!L1497),1,0)</f>
        <v>1</v>
      </c>
      <c r="AQ1497" s="25">
        <f>IF(OR(Apresentação!$I$6='Base de Dados e filtragem'!AQ$2,Apresentação!$I$6='Base de Dados e filtragem'!M1497),1,0)</f>
        <v>1</v>
      </c>
      <c r="AR1497" s="25">
        <v>1</v>
      </c>
      <c r="AS1497" s="25">
        <v>1</v>
      </c>
      <c r="AT1497" s="25">
        <v>1</v>
      </c>
      <c r="AU1497" s="25">
        <v>1</v>
      </c>
      <c r="AV1497" s="25">
        <v>1</v>
      </c>
      <c r="AW1497" s="25">
        <v>1</v>
      </c>
      <c r="AX1497" s="25">
        <v>1</v>
      </c>
      <c r="AY1497" s="25">
        <v>1</v>
      </c>
      <c r="AZ1497" s="25">
        <v>1</v>
      </c>
      <c r="BA1497" s="25">
        <v>1</v>
      </c>
      <c r="BB1497" s="25">
        <v>1</v>
      </c>
      <c r="BC1497" s="25">
        <v>1</v>
      </c>
      <c r="BD1497" s="25">
        <v>1</v>
      </c>
    </row>
    <row r="1498" spans="27:56" x14ac:dyDescent="0.25">
      <c r="AA1498" s="68" t="str">
        <f t="shared" si="93"/>
        <v>Fotos\\.jpg</v>
      </c>
      <c r="AB1498" s="53">
        <f t="shared" si="94"/>
        <v>6.6755674232309744E-4</v>
      </c>
      <c r="AC1498" s="25">
        <f t="shared" si="95"/>
        <v>1498</v>
      </c>
      <c r="AD1498" s="51">
        <f t="shared" si="96"/>
        <v>1</v>
      </c>
      <c r="AE1498" s="25">
        <v>1</v>
      </c>
      <c r="AF1498" s="25">
        <v>1</v>
      </c>
      <c r="AG1498" s="25">
        <v>1</v>
      </c>
      <c r="AH1498" s="25">
        <v>1</v>
      </c>
      <c r="AI1498" s="25">
        <f>IF(OR(Apresentação!$E$3='Base de Dados e filtragem'!AI$2,Apresentação!$E$3='Base de Dados e filtragem'!E1498),1,0)</f>
        <v>1</v>
      </c>
      <c r="AJ1498" s="25">
        <f>IF(OR(Apresentação!$E$4='Base de Dados e filtragem'!AJ$2,Apresentação!$E$4='Base de Dados e filtragem'!F1498),1,0)</f>
        <v>1</v>
      </c>
      <c r="AK1498" s="25">
        <f>IF(OR(Apresentação!$E$5='Base de Dados e filtragem'!AK$2,Apresentação!$E$5='Base de Dados e filtragem'!G1498),1,0)</f>
        <v>1</v>
      </c>
      <c r="AL1498" s="25">
        <f>IF(OR(Apresentação!$E$6='Base de Dados e filtragem'!AL$2,Apresentação!$E$6='Base de Dados e filtragem'!H1498),1,0)</f>
        <v>1</v>
      </c>
      <c r="AM1498" s="25">
        <f>IF(OR(Apresentação!$I$2='Base de Dados e filtragem'!AM$2,Apresentação!$I$2='Base de Dados e filtragem'!I1498),1,0)</f>
        <v>1</v>
      </c>
      <c r="AN1498" s="25">
        <f>IF(OR(Apresentação!$I$3='Base de Dados e filtragem'!AN$2,Apresentação!$I$3='Base de Dados e filtragem'!J1498),1,0)</f>
        <v>1</v>
      </c>
      <c r="AO1498" s="25">
        <f>IF(OR(Apresentação!$I$4='Base de Dados e filtragem'!AO$2,Apresentação!$I$4='Base de Dados e filtragem'!K1498),1,0)</f>
        <v>1</v>
      </c>
      <c r="AP1498" s="25">
        <f>IF(OR(Apresentação!$I$5='Base de Dados e filtragem'!AP$2,Apresentação!$I$5='Base de Dados e filtragem'!L1498),1,0)</f>
        <v>1</v>
      </c>
      <c r="AQ1498" s="25">
        <f>IF(OR(Apresentação!$I$6='Base de Dados e filtragem'!AQ$2,Apresentação!$I$6='Base de Dados e filtragem'!M1498),1,0)</f>
        <v>1</v>
      </c>
      <c r="AR1498" s="25">
        <v>1</v>
      </c>
      <c r="AS1498" s="25">
        <v>1</v>
      </c>
      <c r="AT1498" s="25">
        <v>1</v>
      </c>
      <c r="AU1498" s="25">
        <v>1</v>
      </c>
      <c r="AV1498" s="25">
        <v>1</v>
      </c>
      <c r="AW1498" s="25">
        <v>1</v>
      </c>
      <c r="AX1498" s="25">
        <v>1</v>
      </c>
      <c r="AY1498" s="25">
        <v>1</v>
      </c>
      <c r="AZ1498" s="25">
        <v>1</v>
      </c>
      <c r="BA1498" s="25">
        <v>1</v>
      </c>
      <c r="BB1498" s="25">
        <v>1</v>
      </c>
      <c r="BC1498" s="25">
        <v>1</v>
      </c>
      <c r="BD1498" s="25">
        <v>1</v>
      </c>
    </row>
    <row r="1499" spans="27:56" x14ac:dyDescent="0.25">
      <c r="AA1499" s="68" t="str">
        <f t="shared" si="93"/>
        <v>Fotos\\.jpg</v>
      </c>
      <c r="AB1499" s="53">
        <f t="shared" si="94"/>
        <v>6.6711140760506999E-4</v>
      </c>
      <c r="AC1499" s="25">
        <f t="shared" si="95"/>
        <v>1499</v>
      </c>
      <c r="AD1499" s="51">
        <f t="shared" si="96"/>
        <v>1</v>
      </c>
      <c r="AE1499" s="25">
        <v>1</v>
      </c>
      <c r="AF1499" s="25">
        <v>1</v>
      </c>
      <c r="AG1499" s="25">
        <v>1</v>
      </c>
      <c r="AH1499" s="25">
        <v>1</v>
      </c>
      <c r="AI1499" s="25">
        <f>IF(OR(Apresentação!$E$3='Base de Dados e filtragem'!AI$2,Apresentação!$E$3='Base de Dados e filtragem'!E1499),1,0)</f>
        <v>1</v>
      </c>
      <c r="AJ1499" s="25">
        <f>IF(OR(Apresentação!$E$4='Base de Dados e filtragem'!AJ$2,Apresentação!$E$4='Base de Dados e filtragem'!F1499),1,0)</f>
        <v>1</v>
      </c>
      <c r="AK1499" s="25">
        <f>IF(OR(Apresentação!$E$5='Base de Dados e filtragem'!AK$2,Apresentação!$E$5='Base de Dados e filtragem'!G1499),1,0)</f>
        <v>1</v>
      </c>
      <c r="AL1499" s="25">
        <f>IF(OR(Apresentação!$E$6='Base de Dados e filtragem'!AL$2,Apresentação!$E$6='Base de Dados e filtragem'!H1499),1,0)</f>
        <v>1</v>
      </c>
      <c r="AM1499" s="25">
        <f>IF(OR(Apresentação!$I$2='Base de Dados e filtragem'!AM$2,Apresentação!$I$2='Base de Dados e filtragem'!I1499),1,0)</f>
        <v>1</v>
      </c>
      <c r="AN1499" s="25">
        <f>IF(OR(Apresentação!$I$3='Base de Dados e filtragem'!AN$2,Apresentação!$I$3='Base de Dados e filtragem'!J1499),1,0)</f>
        <v>1</v>
      </c>
      <c r="AO1499" s="25">
        <f>IF(OR(Apresentação!$I$4='Base de Dados e filtragem'!AO$2,Apresentação!$I$4='Base de Dados e filtragem'!K1499),1,0)</f>
        <v>1</v>
      </c>
      <c r="AP1499" s="25">
        <f>IF(OR(Apresentação!$I$5='Base de Dados e filtragem'!AP$2,Apresentação!$I$5='Base de Dados e filtragem'!L1499),1,0)</f>
        <v>1</v>
      </c>
      <c r="AQ1499" s="25">
        <f>IF(OR(Apresentação!$I$6='Base de Dados e filtragem'!AQ$2,Apresentação!$I$6='Base de Dados e filtragem'!M1499),1,0)</f>
        <v>1</v>
      </c>
      <c r="AR1499" s="25">
        <v>1</v>
      </c>
      <c r="AS1499" s="25">
        <v>1</v>
      </c>
      <c r="AT1499" s="25">
        <v>1</v>
      </c>
      <c r="AU1499" s="25">
        <v>1</v>
      </c>
      <c r="AV1499" s="25">
        <v>1</v>
      </c>
      <c r="AW1499" s="25">
        <v>1</v>
      </c>
      <c r="AX1499" s="25">
        <v>1</v>
      </c>
      <c r="AY1499" s="25">
        <v>1</v>
      </c>
      <c r="AZ1499" s="25">
        <v>1</v>
      </c>
      <c r="BA1499" s="25">
        <v>1</v>
      </c>
      <c r="BB1499" s="25">
        <v>1</v>
      </c>
      <c r="BC1499" s="25">
        <v>1</v>
      </c>
      <c r="BD1499" s="25">
        <v>1</v>
      </c>
    </row>
    <row r="1500" spans="27:56" s="58" customFormat="1" ht="12.6" thickBot="1" x14ac:dyDescent="0.3">
      <c r="AA1500" s="68" t="str">
        <f t="shared" si="93"/>
        <v>Fotos\\.jpg</v>
      </c>
      <c r="AB1500" s="53">
        <f t="shared" si="94"/>
        <v>6.6666666666666664E-4</v>
      </c>
      <c r="AC1500" s="56">
        <f t="shared" si="95"/>
        <v>1500</v>
      </c>
      <c r="AD1500" s="57">
        <f t="shared" si="96"/>
        <v>1</v>
      </c>
      <c r="AE1500" s="25">
        <v>1</v>
      </c>
      <c r="AF1500" s="25">
        <v>1</v>
      </c>
      <c r="AG1500" s="25">
        <v>1</v>
      </c>
      <c r="AH1500" s="25">
        <v>1</v>
      </c>
      <c r="AI1500" s="25">
        <f>IF(OR(Apresentação!$E$3='Base de Dados e filtragem'!AI$2,Apresentação!$E$3='Base de Dados e filtragem'!E1500),1,0)</f>
        <v>1</v>
      </c>
      <c r="AJ1500" s="25">
        <f>IF(OR(Apresentação!$E$4='Base de Dados e filtragem'!AJ$2,Apresentação!$E$4='Base de Dados e filtragem'!F1500),1,0)</f>
        <v>1</v>
      </c>
      <c r="AK1500" s="25">
        <f>IF(OR(Apresentação!$E$5='Base de Dados e filtragem'!AK$2,Apresentação!$E$5='Base de Dados e filtragem'!G1500),1,0)</f>
        <v>1</v>
      </c>
      <c r="AL1500" s="25">
        <f>IF(OR(Apresentação!$E$6='Base de Dados e filtragem'!AL$2,Apresentação!$E$6='Base de Dados e filtragem'!H1500),1,0)</f>
        <v>1</v>
      </c>
      <c r="AM1500" s="25">
        <f>IF(OR(Apresentação!$I$2='Base de Dados e filtragem'!AM$2,Apresentação!$I$2='Base de Dados e filtragem'!I1500),1,0)</f>
        <v>1</v>
      </c>
      <c r="AN1500" s="25">
        <f>IF(OR(Apresentação!$I$3='Base de Dados e filtragem'!AN$2,Apresentação!$I$3='Base de Dados e filtragem'!J1500),1,0)</f>
        <v>1</v>
      </c>
      <c r="AO1500" s="25">
        <f>IF(OR(Apresentação!$I$4='Base de Dados e filtragem'!AO$2,Apresentação!$I$4='Base de Dados e filtragem'!K1500),1,0)</f>
        <v>1</v>
      </c>
      <c r="AP1500" s="25">
        <f>IF(OR(Apresentação!$I$5='Base de Dados e filtragem'!AP$2,Apresentação!$I$5='Base de Dados e filtragem'!L1500),1,0)</f>
        <v>1</v>
      </c>
      <c r="AQ1500" s="25">
        <f>IF(OR(Apresentação!$I$6='Base de Dados e filtragem'!AQ$2,Apresentação!$I$6='Base de Dados e filtragem'!M1500),1,0)</f>
        <v>1</v>
      </c>
      <c r="AR1500" s="25">
        <v>1</v>
      </c>
      <c r="AS1500" s="25">
        <v>1</v>
      </c>
      <c r="AT1500" s="25">
        <v>1</v>
      </c>
      <c r="AU1500" s="25">
        <v>1</v>
      </c>
      <c r="AV1500" s="25">
        <v>1</v>
      </c>
      <c r="AW1500" s="25">
        <v>1</v>
      </c>
      <c r="AX1500" s="25">
        <v>1</v>
      </c>
      <c r="AY1500" s="25">
        <v>1</v>
      </c>
      <c r="AZ1500" s="25">
        <v>1</v>
      </c>
      <c r="BA1500" s="25">
        <v>1</v>
      </c>
      <c r="BB1500" s="25">
        <v>1</v>
      </c>
      <c r="BC1500" s="25">
        <v>1</v>
      </c>
      <c r="BD1500" s="25">
        <v>1</v>
      </c>
    </row>
    <row r="1501" spans="27:56" ht="13.2" thickTop="1" thickBot="1" x14ac:dyDescent="0.3"/>
    <row r="1502" spans="27:56" s="64" customFormat="1" ht="12.6" thickTop="1" x14ac:dyDescent="0.25">
      <c r="AA1502" s="70"/>
      <c r="AB1502" s="61"/>
      <c r="AC1502" s="62"/>
      <c r="AD1502" s="63"/>
      <c r="AE1502" s="62"/>
      <c r="AF1502" s="62"/>
      <c r="AG1502" s="62"/>
      <c r="AH1502" s="62"/>
      <c r="AI1502" s="62"/>
      <c r="AJ1502" s="62"/>
      <c r="AK1502" s="62"/>
      <c r="AL1502" s="62"/>
      <c r="AM1502" s="62"/>
      <c r="AN1502" s="62"/>
      <c r="AO1502" s="62"/>
      <c r="AP1502" s="62"/>
      <c r="AQ1502" s="62"/>
      <c r="AR1502" s="62"/>
      <c r="AS1502" s="62"/>
      <c r="AT1502" s="62"/>
      <c r="AU1502" s="62"/>
      <c r="AV1502" s="62"/>
      <c r="AW1502" s="62"/>
      <c r="AX1502" s="62"/>
      <c r="AY1502" s="62"/>
      <c r="AZ1502" s="62"/>
      <c r="BA1502" s="62"/>
      <c r="BB1502" s="62"/>
      <c r="BC1502" s="62"/>
      <c r="BD1502" s="62"/>
    </row>
  </sheetData>
  <autoFilter ref="A3:BD1500" xr:uid="{2EB4D0F0-5D2E-4E10-BB5F-6B54421E1097}">
    <sortState xmlns:xlrd2="http://schemas.microsoft.com/office/spreadsheetml/2017/richdata2" ref="A4:BD1500">
      <sortCondition ref="B3:B150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1D24-0607-442D-9F0C-2E1B1C81931A}">
  <sheetPr codeName="Planilha5">
    <tabColor rgb="FF92D050"/>
  </sheetPr>
  <dimension ref="A1:AA5"/>
  <sheetViews>
    <sheetView workbookViewId="0">
      <selection activeCell="J26" sqref="J26"/>
    </sheetView>
  </sheetViews>
  <sheetFormatPr defaultColWidth="8.77734375" defaultRowHeight="12" x14ac:dyDescent="0.25"/>
  <cols>
    <col min="1" max="1" width="15.21875" style="1" customWidth="1"/>
    <col min="2" max="2" width="6.33203125" style="1" bestFit="1" customWidth="1"/>
    <col min="3" max="3" width="7.6640625" style="1" bestFit="1" customWidth="1"/>
    <col min="4" max="4" width="9.77734375" style="1" bestFit="1" customWidth="1"/>
    <col min="5" max="5" width="5" style="1" bestFit="1" customWidth="1"/>
    <col min="6" max="6" width="9.21875" style="1" bestFit="1" customWidth="1"/>
    <col min="7" max="7" width="4.6640625" style="1" bestFit="1" customWidth="1"/>
    <col min="8" max="8" width="6.88671875" style="1" bestFit="1" customWidth="1"/>
    <col min="9" max="9" width="4" style="1" bestFit="1" customWidth="1"/>
    <col min="10" max="10" width="6.109375" style="1" bestFit="1" customWidth="1"/>
    <col min="11" max="11" width="12.77734375" style="1" bestFit="1" customWidth="1"/>
    <col min="12" max="12" width="12.77734375" style="1" customWidth="1"/>
    <col min="13" max="14" width="12.109375" style="1" customWidth="1"/>
    <col min="15" max="15" width="12.109375" style="1" bestFit="1" customWidth="1"/>
    <col min="16" max="16" width="8.6640625" style="1" bestFit="1" customWidth="1"/>
    <col min="17" max="17" width="8.109375" style="1" bestFit="1" customWidth="1"/>
    <col min="18" max="18" width="3.6640625" style="1" bestFit="1" customWidth="1"/>
    <col min="19" max="19" width="4.44140625" style="1" bestFit="1" customWidth="1"/>
    <col min="20" max="20" width="13.88671875" style="1" bestFit="1" customWidth="1"/>
    <col min="21" max="21" width="9.44140625" style="1" bestFit="1" customWidth="1"/>
    <col min="22" max="22" width="8.5546875" style="1" bestFit="1" customWidth="1"/>
    <col min="23" max="23" width="10.109375" style="1" bestFit="1" customWidth="1"/>
    <col min="24" max="24" width="8.33203125" style="1" bestFit="1" customWidth="1"/>
    <col min="25" max="25" width="12.44140625" style="1" bestFit="1" customWidth="1"/>
    <col min="26" max="26" width="7.109375" style="1" bestFit="1" customWidth="1"/>
    <col min="27" max="27" width="11" style="1" bestFit="1" customWidth="1"/>
    <col min="28" max="16384" width="8.77734375" style="1"/>
  </cols>
  <sheetData>
    <row r="1" spans="1:27" s="2" customFormat="1" ht="28.5" customHeight="1" x14ac:dyDescent="0.3">
      <c r="A1" s="8" t="s">
        <v>1</v>
      </c>
      <c r="B1" s="4" t="s">
        <v>22</v>
      </c>
      <c r="C1" s="4" t="s">
        <v>2</v>
      </c>
      <c r="D1" s="4" t="s">
        <v>3</v>
      </c>
      <c r="E1" s="4" t="s">
        <v>23</v>
      </c>
      <c r="F1" s="4" t="s">
        <v>19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20</v>
      </c>
      <c r="L1" s="4" t="s">
        <v>28</v>
      </c>
      <c r="M1" s="4" t="s">
        <v>21</v>
      </c>
      <c r="N1" s="24" t="s">
        <v>24</v>
      </c>
      <c r="O1" s="4" t="s">
        <v>8</v>
      </c>
      <c r="P1" s="4" t="s">
        <v>9</v>
      </c>
      <c r="Q1" s="4" t="s">
        <v>10</v>
      </c>
      <c r="R1" s="4" t="s">
        <v>25</v>
      </c>
      <c r="S1" s="4" t="s">
        <v>27</v>
      </c>
      <c r="T1" s="4" t="s">
        <v>11</v>
      </c>
      <c r="U1" s="4" t="s">
        <v>26</v>
      </c>
      <c r="V1" s="4" t="s">
        <v>12</v>
      </c>
      <c r="W1" s="4" t="s">
        <v>13</v>
      </c>
      <c r="X1" s="4" t="s">
        <v>14</v>
      </c>
      <c r="Y1" s="4" t="s">
        <v>16</v>
      </c>
      <c r="Z1" s="4" t="s">
        <v>15</v>
      </c>
      <c r="AA1" s="4" t="s">
        <v>17</v>
      </c>
    </row>
    <row r="2" spans="1:27" x14ac:dyDescent="0.25">
      <c r="A2" s="9" t="s">
        <v>31</v>
      </c>
      <c r="B2" s="14" t="s">
        <v>30</v>
      </c>
      <c r="C2" s="14" t="s">
        <v>30</v>
      </c>
      <c r="D2" s="14" t="s">
        <v>30</v>
      </c>
      <c r="E2" s="14" t="s">
        <v>30</v>
      </c>
      <c r="F2" s="14" t="s">
        <v>30</v>
      </c>
      <c r="G2" s="14" t="s">
        <v>30</v>
      </c>
      <c r="H2" s="14" t="s">
        <v>30</v>
      </c>
      <c r="I2" s="14" t="s">
        <v>30</v>
      </c>
      <c r="J2" s="14" t="s">
        <v>30</v>
      </c>
      <c r="K2" s="14" t="s">
        <v>30</v>
      </c>
      <c r="L2" s="14" t="s">
        <v>30</v>
      </c>
      <c r="M2" s="14" t="s">
        <v>30</v>
      </c>
      <c r="N2" s="14" t="s">
        <v>30</v>
      </c>
      <c r="O2" s="11">
        <v>43891</v>
      </c>
      <c r="P2" s="12">
        <v>100</v>
      </c>
      <c r="Q2" s="12">
        <v>100</v>
      </c>
      <c r="R2" s="5">
        <v>4.5</v>
      </c>
      <c r="S2" s="5">
        <v>0.5</v>
      </c>
      <c r="T2" s="12">
        <v>100</v>
      </c>
      <c r="U2" s="5">
        <v>3.5</v>
      </c>
      <c r="V2" s="5">
        <v>200</v>
      </c>
      <c r="W2" s="5">
        <v>350</v>
      </c>
      <c r="X2" s="13">
        <v>0.27</v>
      </c>
      <c r="Y2" s="13">
        <v>0.65</v>
      </c>
      <c r="Z2" s="13">
        <v>0.34</v>
      </c>
      <c r="AA2" s="11">
        <v>44018</v>
      </c>
    </row>
    <row r="3" spans="1:27" x14ac:dyDescent="0.25">
      <c r="A3" s="9" t="s">
        <v>0</v>
      </c>
      <c r="B3" s="5"/>
      <c r="C3" s="5"/>
      <c r="D3" s="5"/>
      <c r="E3" s="5"/>
      <c r="F3" s="6" t="s">
        <v>18</v>
      </c>
      <c r="G3" s="6" t="s">
        <v>18</v>
      </c>
      <c r="H3" s="6" t="s">
        <v>18</v>
      </c>
      <c r="I3" s="6" t="s">
        <v>18</v>
      </c>
      <c r="J3" s="6" t="s">
        <v>18</v>
      </c>
      <c r="K3" s="6" t="s">
        <v>18</v>
      </c>
      <c r="L3" s="6" t="s">
        <v>18</v>
      </c>
      <c r="M3" s="6" t="s">
        <v>18</v>
      </c>
      <c r="N3" s="6" t="s">
        <v>18</v>
      </c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x14ac:dyDescent="0.25">
      <c r="A4" s="10" t="s">
        <v>29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7" t="s">
        <v>18</v>
      </c>
      <c r="Q4" s="5"/>
      <c r="R4" s="5"/>
      <c r="S4" s="5"/>
      <c r="T4" s="5"/>
      <c r="U4" s="5"/>
      <c r="V4" s="7" t="s">
        <v>18</v>
      </c>
      <c r="W4" s="5"/>
      <c r="X4" s="7" t="s">
        <v>18</v>
      </c>
      <c r="Y4" s="7" t="s">
        <v>18</v>
      </c>
      <c r="Z4" s="7" t="s">
        <v>18</v>
      </c>
      <c r="AA4" s="5"/>
    </row>
    <row r="5" spans="1:27" x14ac:dyDescent="0.25">
      <c r="A5" s="3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5BC29-26DA-4663-AABC-B040957174DB}">
  <sheetPr codeName="Plan4"/>
  <dimension ref="B2:BQ87"/>
  <sheetViews>
    <sheetView zoomScale="110" zoomScaleNormal="110" workbookViewId="0">
      <selection activeCell="BH61" sqref="BH61"/>
    </sheetView>
  </sheetViews>
  <sheetFormatPr defaultRowHeight="14.4" x14ac:dyDescent="0.3"/>
  <cols>
    <col min="1" max="1" width="5.109375" customWidth="1"/>
    <col min="2" max="3" width="8.88671875" hidden="1" customWidth="1"/>
    <col min="4" max="4" width="28.77734375" customWidth="1"/>
    <col min="5" max="16" width="8.88671875" hidden="1" customWidth="1"/>
    <col min="17" max="17" width="5.44140625" hidden="1" customWidth="1"/>
    <col min="18" max="29" width="8.88671875" hidden="1" customWidth="1"/>
    <col min="30" max="30" width="5" hidden="1" customWidth="1"/>
    <col min="31" max="42" width="8.88671875" hidden="1" customWidth="1"/>
    <col min="43" max="43" width="5.109375" hidden="1" customWidth="1"/>
    <col min="44" max="55" width="8.88671875" hidden="1" customWidth="1"/>
    <col min="56" max="56" width="12.88671875" hidden="1" customWidth="1"/>
    <col min="57" max="57" width="0" hidden="1" customWidth="1"/>
    <col min="62" max="62" width="12.88671875" bestFit="1" customWidth="1"/>
    <col min="63" max="63" width="14.6640625" customWidth="1"/>
    <col min="67" max="67" width="17.44140625" bestFit="1" customWidth="1"/>
    <col min="68" max="68" width="17.6640625" bestFit="1" customWidth="1"/>
    <col min="69" max="69" width="11.6640625" bestFit="1" customWidth="1"/>
  </cols>
  <sheetData>
    <row r="2" spans="4:4" hidden="1" x14ac:dyDescent="0.3"/>
    <row r="3" spans="4:4" hidden="1" x14ac:dyDescent="0.3"/>
    <row r="4" spans="4:4" hidden="1" x14ac:dyDescent="0.3"/>
    <row r="5" spans="4:4" hidden="1" x14ac:dyDescent="0.3"/>
    <row r="6" spans="4:4" hidden="1" x14ac:dyDescent="0.3"/>
    <row r="7" spans="4:4" hidden="1" x14ac:dyDescent="0.3"/>
    <row r="8" spans="4:4" hidden="1" x14ac:dyDescent="0.3"/>
    <row r="9" spans="4:4" hidden="1" x14ac:dyDescent="0.3"/>
    <row r="10" spans="4:4" hidden="1" x14ac:dyDescent="0.3"/>
    <row r="11" spans="4:4" hidden="1" x14ac:dyDescent="0.3"/>
    <row r="12" spans="4:4" hidden="1" x14ac:dyDescent="0.3"/>
    <row r="13" spans="4:4" hidden="1" x14ac:dyDescent="0.3"/>
    <row r="14" spans="4:4" hidden="1" x14ac:dyDescent="0.3">
      <c r="D14" s="15"/>
    </row>
    <row r="15" spans="4:4" ht="57.6" x14ac:dyDescent="0.3">
      <c r="D15" s="16" t="s">
        <v>33</v>
      </c>
    </row>
    <row r="16" spans="4:4" ht="15.6" hidden="1" customHeight="1" x14ac:dyDescent="0.3"/>
    <row r="17" ht="15.6" hidden="1" customHeight="1" x14ac:dyDescent="0.3"/>
    <row r="18" ht="15.6" hidden="1" customHeight="1" x14ac:dyDescent="0.3"/>
    <row r="19" ht="15.6" hidden="1" customHeight="1" x14ac:dyDescent="0.3"/>
    <row r="20" ht="15.6" hidden="1" customHeight="1" x14ac:dyDescent="0.3"/>
    <row r="21" ht="15.6" hidden="1" customHeight="1" x14ac:dyDescent="0.3"/>
    <row r="22" ht="15.6" hidden="1" customHeight="1" x14ac:dyDescent="0.3"/>
    <row r="23" ht="15.6" hidden="1" customHeight="1" x14ac:dyDescent="0.3"/>
    <row r="24" ht="15.6" hidden="1" customHeight="1" x14ac:dyDescent="0.3"/>
    <row r="25" ht="15.6" hidden="1" customHeight="1" x14ac:dyDescent="0.3"/>
    <row r="26" ht="15.6" hidden="1" customHeight="1" x14ac:dyDescent="0.3"/>
    <row r="27" ht="15.6" hidden="1" customHeight="1" x14ac:dyDescent="0.3"/>
    <row r="28" ht="15.6" hidden="1" customHeight="1" x14ac:dyDescent="0.3"/>
    <row r="29" ht="15.6" hidden="1" customHeight="1" x14ac:dyDescent="0.3"/>
    <row r="30" ht="15.6" hidden="1" customHeight="1" x14ac:dyDescent="0.3"/>
    <row r="31" ht="15.6" hidden="1" customHeight="1" x14ac:dyDescent="0.3"/>
    <row r="32" ht="15.6" hidden="1" customHeight="1" x14ac:dyDescent="0.3"/>
    <row r="33" spans="60:60" ht="15.6" hidden="1" customHeight="1" x14ac:dyDescent="0.3"/>
    <row r="34" spans="60:60" ht="15.6" hidden="1" customHeight="1" x14ac:dyDescent="0.3"/>
    <row r="35" spans="60:60" ht="15.6" hidden="1" customHeight="1" x14ac:dyDescent="0.3">
      <c r="BH35" t="s">
        <v>34</v>
      </c>
    </row>
    <row r="36" spans="60:60" ht="15.6" hidden="1" customHeight="1" x14ac:dyDescent="0.3"/>
    <row r="37" spans="60:60" ht="15.6" hidden="1" customHeight="1" x14ac:dyDescent="0.3"/>
    <row r="38" spans="60:60" ht="15.6" hidden="1" customHeight="1" x14ac:dyDescent="0.3"/>
    <row r="39" spans="60:60" ht="15.6" hidden="1" customHeight="1" x14ac:dyDescent="0.3"/>
    <row r="40" spans="60:60" ht="15.6" hidden="1" customHeight="1" x14ac:dyDescent="0.3"/>
    <row r="41" spans="60:60" ht="15.6" hidden="1" customHeight="1" x14ac:dyDescent="0.3"/>
    <row r="42" spans="60:60" ht="15.6" hidden="1" customHeight="1" x14ac:dyDescent="0.3"/>
    <row r="43" spans="60:60" ht="15.6" hidden="1" customHeight="1" x14ac:dyDescent="0.3"/>
    <row r="44" spans="60:60" ht="15.6" hidden="1" customHeight="1" x14ac:dyDescent="0.3"/>
    <row r="45" spans="60:60" ht="15.6" hidden="1" customHeight="1" x14ac:dyDescent="0.3"/>
    <row r="46" spans="60:60" ht="15.6" hidden="1" customHeight="1" x14ac:dyDescent="0.3"/>
    <row r="47" spans="60:60" ht="15.6" hidden="1" customHeight="1" x14ac:dyDescent="0.3"/>
    <row r="48" spans="60:60" ht="15.6" hidden="1" customHeight="1" x14ac:dyDescent="0.3"/>
    <row r="49" spans="58:69" ht="15.6" hidden="1" customHeight="1" x14ac:dyDescent="0.3"/>
    <row r="50" spans="58:69" ht="15.6" hidden="1" customHeight="1" x14ac:dyDescent="0.3"/>
    <row r="51" spans="58:69" ht="15.6" hidden="1" customHeight="1" x14ac:dyDescent="0.3"/>
    <row r="52" spans="58:69" ht="15.6" hidden="1" customHeight="1" x14ac:dyDescent="0.3"/>
    <row r="53" spans="58:69" ht="15.6" hidden="1" customHeight="1" x14ac:dyDescent="0.3"/>
    <row r="54" spans="58:69" ht="15.6" hidden="1" customHeight="1" x14ac:dyDescent="0.3"/>
    <row r="55" spans="58:69" ht="15.6" hidden="1" customHeight="1" x14ac:dyDescent="0.3"/>
    <row r="56" spans="58:69" s="17" customFormat="1" x14ac:dyDescent="0.3"/>
    <row r="57" spans="58:69" x14ac:dyDescent="0.3">
      <c r="BG57" s="109" t="s">
        <v>35</v>
      </c>
      <c r="BH57" s="109"/>
      <c r="BJ57" s="110" t="s">
        <v>36</v>
      </c>
      <c r="BK57" s="110"/>
      <c r="BM57" s="18" t="s">
        <v>37</v>
      </c>
      <c r="BN57" s="18" t="s">
        <v>38</v>
      </c>
      <c r="BO57" s="18" t="s">
        <v>39</v>
      </c>
      <c r="BP57" s="18"/>
    </row>
    <row r="58" spans="58:69" x14ac:dyDescent="0.3">
      <c r="BG58" t="s">
        <v>40</v>
      </c>
      <c r="BH58" t="s">
        <v>41</v>
      </c>
      <c r="BJ58" t="s">
        <v>42</v>
      </c>
      <c r="BK58">
        <v>160</v>
      </c>
      <c r="BM58" s="19">
        <v>1</v>
      </c>
      <c r="BN58" s="19">
        <v>109.8</v>
      </c>
      <c r="BO58" s="19">
        <v>29.4</v>
      </c>
      <c r="BQ58" s="20" t="s">
        <v>43</v>
      </c>
    </row>
    <row r="59" spans="58:69" x14ac:dyDescent="0.3">
      <c r="BF59" s="21" t="s">
        <v>44</v>
      </c>
      <c r="BG59" s="20">
        <v>9</v>
      </c>
      <c r="BH59" s="20">
        <v>3</v>
      </c>
      <c r="BJ59" t="s">
        <v>45</v>
      </c>
      <c r="BK59">
        <v>120</v>
      </c>
      <c r="BM59">
        <f>BM58+1</f>
        <v>2</v>
      </c>
      <c r="BN59">
        <f>BN58</f>
        <v>109.8</v>
      </c>
      <c r="BO59">
        <f>BO58+$BK$62</f>
        <v>289.79999999999995</v>
      </c>
    </row>
    <row r="60" spans="58:69" x14ac:dyDescent="0.3">
      <c r="BG60">
        <f>BG59+25</f>
        <v>34</v>
      </c>
      <c r="BH60">
        <f>BH59+7</f>
        <v>10</v>
      </c>
      <c r="BM60">
        <f t="shared" ref="BM60:BM77" si="0">BM59+1</f>
        <v>3</v>
      </c>
      <c r="BN60">
        <f t="shared" ref="BN60:BN61" si="1">BN59</f>
        <v>109.8</v>
      </c>
      <c r="BO60">
        <f t="shared" ref="BO60:BO61" si="2">BO59+$BK$62</f>
        <v>550.19999999999993</v>
      </c>
    </row>
    <row r="61" spans="58:69" x14ac:dyDescent="0.3">
      <c r="BG61">
        <f t="shared" ref="BG61:BG63" si="3">BG60+25</f>
        <v>59</v>
      </c>
      <c r="BH61">
        <f>BH60+7</f>
        <v>17</v>
      </c>
      <c r="BJ61" s="109" t="s">
        <v>46</v>
      </c>
      <c r="BK61" s="109"/>
      <c r="BM61">
        <f t="shared" si="0"/>
        <v>4</v>
      </c>
      <c r="BN61">
        <f t="shared" si="1"/>
        <v>109.8</v>
      </c>
      <c r="BO61">
        <f t="shared" si="2"/>
        <v>810.59999999999991</v>
      </c>
    </row>
    <row r="62" spans="58:69" x14ac:dyDescent="0.3">
      <c r="BG62">
        <f t="shared" si="3"/>
        <v>84</v>
      </c>
      <c r="BH62">
        <f>BH61+7</f>
        <v>24</v>
      </c>
      <c r="BJ62" s="22" t="s">
        <v>47</v>
      </c>
      <c r="BK62">
        <v>260.39999999999998</v>
      </c>
      <c r="BM62">
        <f t="shared" si="0"/>
        <v>5</v>
      </c>
      <c r="BN62">
        <f>BN58+$BK$63</f>
        <v>409.8</v>
      </c>
      <c r="BO62">
        <f>BO58</f>
        <v>29.4</v>
      </c>
    </row>
    <row r="63" spans="58:69" x14ac:dyDescent="0.3">
      <c r="BG63">
        <f t="shared" si="3"/>
        <v>109</v>
      </c>
      <c r="BJ63" s="22" t="s">
        <v>48</v>
      </c>
      <c r="BK63">
        <v>300</v>
      </c>
      <c r="BM63">
        <f t="shared" si="0"/>
        <v>6</v>
      </c>
      <c r="BN63">
        <f t="shared" ref="BN63:BN77" si="4">BN59+$BK$63</f>
        <v>409.8</v>
      </c>
      <c r="BO63">
        <f t="shared" ref="BO63:BO77" si="5">BO59</f>
        <v>289.79999999999995</v>
      </c>
    </row>
    <row r="64" spans="58:69" x14ac:dyDescent="0.3">
      <c r="BM64">
        <f t="shared" si="0"/>
        <v>7</v>
      </c>
      <c r="BN64">
        <f t="shared" si="4"/>
        <v>409.8</v>
      </c>
      <c r="BO64">
        <f t="shared" si="5"/>
        <v>550.19999999999993</v>
      </c>
    </row>
    <row r="65" spans="60:67" x14ac:dyDescent="0.3">
      <c r="BM65">
        <f t="shared" si="0"/>
        <v>8</v>
      </c>
      <c r="BN65">
        <f t="shared" si="4"/>
        <v>409.8</v>
      </c>
      <c r="BO65">
        <f t="shared" si="5"/>
        <v>810.59999999999991</v>
      </c>
    </row>
    <row r="66" spans="60:67" x14ac:dyDescent="0.3">
      <c r="BM66">
        <f t="shared" si="0"/>
        <v>9</v>
      </c>
      <c r="BN66">
        <f t="shared" si="4"/>
        <v>709.8</v>
      </c>
      <c r="BO66">
        <f t="shared" si="5"/>
        <v>29.4</v>
      </c>
    </row>
    <row r="67" spans="60:67" x14ac:dyDescent="0.3">
      <c r="BM67">
        <f t="shared" si="0"/>
        <v>10</v>
      </c>
      <c r="BN67">
        <f t="shared" si="4"/>
        <v>709.8</v>
      </c>
      <c r="BO67">
        <f t="shared" si="5"/>
        <v>289.79999999999995</v>
      </c>
    </row>
    <row r="68" spans="60:67" x14ac:dyDescent="0.3">
      <c r="BH68" s="1"/>
      <c r="BM68">
        <f>BM67+1</f>
        <v>11</v>
      </c>
      <c r="BN68">
        <f t="shared" si="4"/>
        <v>709.8</v>
      </c>
      <c r="BO68">
        <f t="shared" si="5"/>
        <v>550.19999999999993</v>
      </c>
    </row>
    <row r="69" spans="60:67" x14ac:dyDescent="0.3">
      <c r="BM69">
        <f t="shared" si="0"/>
        <v>12</v>
      </c>
      <c r="BN69">
        <f t="shared" si="4"/>
        <v>709.8</v>
      </c>
      <c r="BO69">
        <f t="shared" si="5"/>
        <v>810.59999999999991</v>
      </c>
    </row>
    <row r="70" spans="60:67" x14ac:dyDescent="0.3">
      <c r="BM70">
        <f t="shared" si="0"/>
        <v>13</v>
      </c>
      <c r="BN70">
        <f t="shared" si="4"/>
        <v>1009.8</v>
      </c>
      <c r="BO70">
        <f t="shared" si="5"/>
        <v>29.4</v>
      </c>
    </row>
    <row r="71" spans="60:67" x14ac:dyDescent="0.3">
      <c r="BM71">
        <f t="shared" si="0"/>
        <v>14</v>
      </c>
      <c r="BN71">
        <f t="shared" si="4"/>
        <v>1009.8</v>
      </c>
      <c r="BO71">
        <f t="shared" si="5"/>
        <v>289.79999999999995</v>
      </c>
    </row>
    <row r="72" spans="60:67" x14ac:dyDescent="0.3">
      <c r="BM72">
        <f t="shared" si="0"/>
        <v>15</v>
      </c>
      <c r="BN72">
        <f t="shared" si="4"/>
        <v>1009.8</v>
      </c>
      <c r="BO72">
        <f t="shared" si="5"/>
        <v>550.19999999999993</v>
      </c>
    </row>
    <row r="73" spans="60:67" x14ac:dyDescent="0.3">
      <c r="BM73">
        <f t="shared" si="0"/>
        <v>16</v>
      </c>
      <c r="BN73">
        <f t="shared" si="4"/>
        <v>1009.8</v>
      </c>
      <c r="BO73">
        <f t="shared" si="5"/>
        <v>810.59999999999991</v>
      </c>
    </row>
    <row r="74" spans="60:67" x14ac:dyDescent="0.3">
      <c r="BM74">
        <f t="shared" si="0"/>
        <v>17</v>
      </c>
      <c r="BN74">
        <f t="shared" si="4"/>
        <v>1309.8</v>
      </c>
      <c r="BO74">
        <f t="shared" si="5"/>
        <v>29.4</v>
      </c>
    </row>
    <row r="75" spans="60:67" x14ac:dyDescent="0.3">
      <c r="BM75">
        <f t="shared" si="0"/>
        <v>18</v>
      </c>
      <c r="BN75">
        <f t="shared" si="4"/>
        <v>1309.8</v>
      </c>
      <c r="BO75">
        <f t="shared" si="5"/>
        <v>289.79999999999995</v>
      </c>
    </row>
    <row r="76" spans="60:67" x14ac:dyDescent="0.3">
      <c r="BM76">
        <f>BM75+1</f>
        <v>19</v>
      </c>
      <c r="BN76">
        <f t="shared" si="4"/>
        <v>1309.8</v>
      </c>
      <c r="BO76">
        <f t="shared" si="5"/>
        <v>550.19999999999993</v>
      </c>
    </row>
    <row r="77" spans="60:67" x14ac:dyDescent="0.3">
      <c r="BM77">
        <f t="shared" si="0"/>
        <v>20</v>
      </c>
      <c r="BN77">
        <f t="shared" si="4"/>
        <v>1309.8</v>
      </c>
      <c r="BO77">
        <f t="shared" si="5"/>
        <v>810.59999999999991</v>
      </c>
    </row>
    <row r="87" spans="65:68" x14ac:dyDescent="0.3">
      <c r="BM87" s="17"/>
      <c r="BO87" s="17"/>
      <c r="BP87" s="17"/>
    </row>
  </sheetData>
  <mergeCells count="3">
    <mergeCell ref="BG57:BH57"/>
    <mergeCell ref="BJ57:BK57"/>
    <mergeCell ref="BJ61:BK61"/>
  </mergeCells>
  <conditionalFormatting sqref="BM58:BP77">
    <cfRule type="expression" dxfId="2" priority="1">
      <formula>MOD($BM58,4)=2</formula>
    </cfRule>
    <cfRule type="expression" dxfId="1" priority="2">
      <formula>MOD($BM58,4)=3</formula>
    </cfRule>
    <cfRule type="expression" dxfId="0" priority="3">
      <formula>MOD($BM58,4)=1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HOME</vt:lpstr>
      <vt:lpstr>Apresentação</vt:lpstr>
      <vt:lpstr>Base de Dados e filtragem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</dc:creator>
  <cp:lastModifiedBy>Rodrigo Schneider</cp:lastModifiedBy>
  <dcterms:created xsi:type="dcterms:W3CDTF">2020-10-16T12:30:46Z</dcterms:created>
  <dcterms:modified xsi:type="dcterms:W3CDTF">2020-11-28T23:23:28Z</dcterms:modified>
</cp:coreProperties>
</file>