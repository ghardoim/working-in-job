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abriel Hardoim\Downloads\working-in-job\influir\_bases_\"/>
    </mc:Choice>
  </mc:AlternateContent>
  <xr:revisionPtr revIDLastSave="0" documentId="13_ncr:1_{51F0D3E8-2F62-4A78-9969-8215A149FA60}" xr6:coauthVersionLast="47" xr6:coauthVersionMax="47" xr10:uidLastSave="{00000000-0000-0000-0000-000000000000}"/>
  <bookViews>
    <workbookView xWindow="20370" yWindow="-120" windowWidth="20730" windowHeight="11160" xr2:uid="{F00BE4E3-DEB4-4F00-9E22-4AA0C0FE69F7}"/>
  </bookViews>
  <sheets>
    <sheet name="BASE_PRODUTOS" sheetId="1" r:id="rId1"/>
    <sheet name="BASE_APOIO" sheetId="4" r:id="rId2"/>
    <sheet name="BASE_VENDAS" sheetId="2" r:id="rId3"/>
    <sheet name="BASE_GIRO" sheetId="5" r:id="rId4"/>
    <sheet name="BASE_RESUMO" sheetId="3" r:id="rId5"/>
  </sheets>
  <functionGroups builtInGroupCount="19"/>
  <definedNames>
    <definedName name="_xlnm._FilterDatabase" localSheetId="3" hidden="1">BASE_GIRO!$A$5:$J$5</definedName>
    <definedName name="_xlnm._FilterDatabase" localSheetId="0" hidden="1">BASE_PRODUTOS!$A$5:$A$1697</definedName>
    <definedName name="_xlnm._FilterDatabase" localSheetId="4" hidden="1">BASE_RESUMO!#REF!</definedName>
    <definedName name="_xlnm._FilterDatabase" localSheetId="2" hidden="1">BASE_VENDAS!$A$2:$X$5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4" i="2" l="1"/>
  <c r="W4" i="2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1656" i="4"/>
  <c r="B1657" i="4"/>
  <c r="B1658" i="4"/>
  <c r="B1659" i="4"/>
  <c r="B1660" i="4"/>
  <c r="B1661" i="4"/>
  <c r="B1662" i="4"/>
  <c r="B1663" i="4"/>
  <c r="B1664" i="4"/>
  <c r="B1665" i="4"/>
  <c r="B1666" i="4"/>
  <c r="B1667" i="4"/>
  <c r="B1668" i="4"/>
  <c r="B1669" i="4"/>
  <c r="B1670" i="4"/>
  <c r="B1671" i="4"/>
  <c r="B1672" i="4"/>
  <c r="B1673" i="4"/>
  <c r="B1674" i="4"/>
  <c r="B1675" i="4"/>
  <c r="B1676" i="4"/>
  <c r="B1677" i="4"/>
  <c r="B1678" i="4"/>
  <c r="B1679" i="4"/>
  <c r="B1680" i="4"/>
  <c r="B1681" i="4"/>
  <c r="B1682" i="4"/>
  <c r="B1683" i="4"/>
  <c r="B1684" i="4"/>
  <c r="B1685" i="4"/>
  <c r="B1686" i="4"/>
  <c r="B1687" i="4"/>
  <c r="B1688" i="4"/>
  <c r="B1689" i="4"/>
  <c r="B1690" i="4"/>
  <c r="B1691" i="4"/>
  <c r="B1692" i="4"/>
  <c r="B1693" i="4"/>
  <c r="B1694" i="4"/>
  <c r="B1695" i="4"/>
  <c r="B1696" i="4"/>
  <c r="B1697" i="4"/>
  <c r="B1698" i="4"/>
  <c r="B1699" i="4"/>
  <c r="B1700" i="4"/>
  <c r="B1701" i="4"/>
  <c r="B1702" i="4"/>
  <c r="B1703" i="4"/>
  <c r="B1704" i="4"/>
  <c r="B1705" i="4"/>
  <c r="B1706" i="4"/>
  <c r="B1707" i="4"/>
  <c r="B1708" i="4"/>
  <c r="B1709" i="4"/>
  <c r="B1710" i="4"/>
  <c r="B1711" i="4"/>
  <c r="B1712" i="4"/>
  <c r="B1713" i="4"/>
  <c r="B1714" i="4"/>
  <c r="B1715" i="4"/>
  <c r="B1716" i="4"/>
  <c r="B1717" i="4"/>
  <c r="B1718" i="4"/>
  <c r="B1719" i="4"/>
  <c r="B1720" i="4"/>
  <c r="B1721" i="4"/>
  <c r="B1722" i="4"/>
  <c r="B1723" i="4"/>
  <c r="B1724" i="4"/>
  <c r="B1725" i="4"/>
  <c r="B1726" i="4"/>
  <c r="B1727" i="4"/>
  <c r="B1728" i="4"/>
  <c r="B1729" i="4"/>
  <c r="B1730" i="4"/>
  <c r="B1731" i="4"/>
  <c r="B1732" i="4"/>
  <c r="B1733" i="4"/>
  <c r="B1734" i="4"/>
  <c r="B1735" i="4"/>
  <c r="B1736" i="4"/>
  <c r="B1737" i="4"/>
  <c r="B1738" i="4"/>
  <c r="B1739" i="4"/>
  <c r="B1740" i="4"/>
  <c r="B1741" i="4"/>
  <c r="B1742" i="4"/>
  <c r="B1743" i="4"/>
  <c r="B1744" i="4"/>
  <c r="B1745" i="4"/>
  <c r="B1746" i="4"/>
  <c r="B1747" i="4"/>
  <c r="B1748" i="4"/>
  <c r="B1749" i="4"/>
  <c r="B1750" i="4"/>
  <c r="B1751" i="4"/>
  <c r="B1752" i="4"/>
  <c r="B1753" i="4"/>
  <c r="B1754" i="4"/>
  <c r="B1755" i="4"/>
  <c r="B1756" i="4"/>
  <c r="B1757" i="4"/>
  <c r="B1758" i="4"/>
  <c r="B1759" i="4"/>
  <c r="B1760" i="4"/>
  <c r="B1761" i="4"/>
  <c r="B1762" i="4"/>
  <c r="B1763" i="4"/>
  <c r="B1764" i="4"/>
  <c r="B1765" i="4"/>
  <c r="B1766" i="4"/>
  <c r="B1767" i="4"/>
  <c r="B1768" i="4"/>
  <c r="B1769" i="4"/>
  <c r="B1770" i="4"/>
  <c r="B1771" i="4"/>
  <c r="B1772" i="4"/>
  <c r="B1773" i="4"/>
  <c r="B1774" i="4"/>
  <c r="B1775" i="4"/>
  <c r="B1776" i="4"/>
  <c r="B1777" i="4"/>
  <c r="B1778" i="4"/>
  <c r="B1779" i="4"/>
  <c r="B1780" i="4"/>
  <c r="B1781" i="4"/>
  <c r="B1782" i="4"/>
  <c r="B1783" i="4"/>
  <c r="B1784" i="4"/>
  <c r="B1785" i="4"/>
  <c r="B1786" i="4"/>
  <c r="B1787" i="4"/>
  <c r="B1788" i="4"/>
  <c r="B1789" i="4"/>
  <c r="B1790" i="4"/>
  <c r="B1791" i="4"/>
  <c r="B1792" i="4"/>
  <c r="B1793" i="4"/>
  <c r="B1794" i="4"/>
  <c r="B1795" i="4"/>
  <c r="B1796" i="4"/>
  <c r="B1797" i="4"/>
  <c r="B1798" i="4"/>
  <c r="B1799" i="4"/>
  <c r="B1800" i="4"/>
  <c r="B1801" i="4"/>
  <c r="B1802" i="4"/>
  <c r="B1803" i="4"/>
  <c r="B1804" i="4"/>
  <c r="B1805" i="4"/>
  <c r="B1806" i="4"/>
  <c r="B1807" i="4"/>
  <c r="B1808" i="4"/>
  <c r="B1809" i="4"/>
  <c r="B1810" i="4"/>
  <c r="B1811" i="4"/>
  <c r="B1812" i="4"/>
  <c r="B1813" i="4"/>
  <c r="B1814" i="4"/>
  <c r="B1815" i="4"/>
  <c r="B1816" i="4"/>
  <c r="B1817" i="4"/>
  <c r="B1818" i="4"/>
  <c r="B1819" i="4"/>
  <c r="B1820" i="4"/>
  <c r="B1821" i="4"/>
  <c r="B1822" i="4"/>
  <c r="B1823" i="4"/>
  <c r="B1824" i="4"/>
  <c r="B1825" i="4"/>
  <c r="B1826" i="4"/>
  <c r="B1827" i="4"/>
  <c r="B1828" i="4"/>
  <c r="B1829" i="4"/>
  <c r="B1830" i="4"/>
  <c r="B1831" i="4"/>
  <c r="B1832" i="4"/>
  <c r="B1833" i="4"/>
  <c r="B1834" i="4"/>
  <c r="B1835" i="4"/>
  <c r="B1836" i="4"/>
  <c r="B1837" i="4"/>
  <c r="B1838" i="4"/>
  <c r="B1839" i="4"/>
  <c r="B1840" i="4"/>
  <c r="B1841" i="4"/>
  <c r="B1842" i="4"/>
  <c r="B1843" i="4"/>
  <c r="B1844" i="4"/>
  <c r="B1845" i="4"/>
  <c r="B1846" i="4"/>
  <c r="B1847" i="4"/>
  <c r="B1848" i="4"/>
  <c r="B1849" i="4"/>
  <c r="B1850" i="4"/>
  <c r="B1851" i="4"/>
  <c r="B1852" i="4"/>
  <c r="B1853" i="4"/>
  <c r="B1854" i="4"/>
  <c r="B1855" i="4"/>
  <c r="B1856" i="4"/>
  <c r="B1857" i="4"/>
  <c r="B1858" i="4"/>
  <c r="B1859" i="4"/>
  <c r="B1860" i="4"/>
  <c r="B1861" i="4"/>
  <c r="B1862" i="4"/>
  <c r="B1863" i="4"/>
  <c r="B1864" i="4"/>
  <c r="B1865" i="4"/>
  <c r="B1866" i="4"/>
  <c r="B1867" i="4"/>
  <c r="B1868" i="4"/>
  <c r="B1869" i="4"/>
  <c r="B1870" i="4"/>
  <c r="B1871" i="4"/>
  <c r="B1872" i="4"/>
  <c r="B1873" i="4"/>
  <c r="B1874" i="4"/>
  <c r="B1875" i="4"/>
  <c r="B1876" i="4"/>
  <c r="B1877" i="4"/>
  <c r="B1878" i="4"/>
  <c r="B1879" i="4"/>
  <c r="B1880" i="4"/>
  <c r="B1881" i="4"/>
  <c r="B1882" i="4"/>
  <c r="B1883" i="4"/>
  <c r="B1884" i="4"/>
  <c r="B1885" i="4"/>
  <c r="B1886" i="4"/>
  <c r="B1887" i="4"/>
  <c r="B1888" i="4"/>
  <c r="B1889" i="4"/>
  <c r="B1890" i="4"/>
  <c r="B1891" i="4"/>
  <c r="B1892" i="4"/>
  <c r="B1893" i="4"/>
  <c r="B1894" i="4"/>
  <c r="B1895" i="4"/>
  <c r="B1896" i="4"/>
  <c r="B1897" i="4"/>
  <c r="B1898" i="4"/>
  <c r="B1899" i="4"/>
  <c r="B1900" i="4"/>
  <c r="B1901" i="4"/>
  <c r="B1902" i="4"/>
  <c r="B1903" i="4"/>
  <c r="B1904" i="4"/>
  <c r="B1905" i="4"/>
  <c r="B1906" i="4"/>
  <c r="B1907" i="4"/>
  <c r="B1908" i="4"/>
  <c r="B1909" i="4"/>
  <c r="B1910" i="4"/>
  <c r="B1911" i="4"/>
  <c r="B1912" i="4"/>
  <c r="B1913" i="4"/>
  <c r="B1914" i="4"/>
  <c r="B1915" i="4"/>
  <c r="B1916" i="4"/>
  <c r="B1917" i="4"/>
  <c r="B1918" i="4"/>
  <c r="B1919" i="4"/>
  <c r="B1920" i="4"/>
  <c r="B1921" i="4"/>
  <c r="B1922" i="4"/>
  <c r="B1923" i="4"/>
  <c r="B1924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Gabriel Hardoim</author>
  </authors>
  <commentList>
    <comment ref="F5" authorId="0" shapeId="0" xr:uid="{665E146E-1623-4586-BAAC-92F4D4440338}">
      <text>
        <r>
          <rPr>
            <b/>
            <sz val="9"/>
            <color indexed="81"/>
            <rFont val="Segoe UI"/>
            <charset val="1"/>
          </rPr>
          <t>Gabriel Hardoim:</t>
        </r>
        <r>
          <rPr>
            <sz val="9"/>
            <color indexed="81"/>
            <rFont val="Segoe UI"/>
            <charset val="1"/>
          </rPr>
          <t xml:space="preserve">
preço unitário
base_produtos - col: I</t>
        </r>
      </text>
    </comment>
    <comment ref="H5" authorId="0" shapeId="0" xr:uid="{DEFD2070-37ED-4D0B-8908-CE7C6C9B1402}">
      <text>
        <r>
          <rPr>
            <b/>
            <sz val="9"/>
            <color indexed="81"/>
            <rFont val="Segoe UI"/>
            <charset val="1"/>
          </rPr>
          <t>Gabriel Hardoim:</t>
        </r>
        <r>
          <rPr>
            <sz val="9"/>
            <color indexed="81"/>
            <rFont val="Segoe UI"/>
            <charset val="1"/>
          </rPr>
          <t xml:space="preserve">
cmc unitário
base_produtos - col: k</t>
        </r>
      </text>
    </comment>
  </commentList>
</comments>
</file>

<file path=xl/sharedStrings.xml><?xml version="1.0" encoding="utf-8"?>
<sst xmlns="http://schemas.openxmlformats.org/spreadsheetml/2006/main" count="19405" uniqueCount="2999">
  <si>
    <t>NERI COPO PRAIA PAR</t>
  </si>
  <si>
    <t>BOTAO PY080 TAM.38 COR.26289</t>
  </si>
  <si>
    <t>BOTAO PY158 TAM.44 COR.25800</t>
  </si>
  <si>
    <t>BOTAO PY158 TAM.44 COR.26347</t>
  </si>
  <si>
    <t>100 % VISCOSE</t>
  </si>
  <si>
    <t>Descrição (completa)</t>
  </si>
  <si>
    <t>Marca</t>
  </si>
  <si>
    <t>Modelo</t>
  </si>
  <si>
    <t>Quantidade</t>
  </si>
  <si>
    <t>CMC Unitário</t>
  </si>
  <si>
    <t>CMC Total</t>
  </si>
  <si>
    <t>Descrição</t>
  </si>
  <si>
    <t>Família</t>
  </si>
  <si>
    <t>Estoque (Código)</t>
  </si>
  <si>
    <t>Estoque (Descrição)</t>
  </si>
  <si>
    <t>Estoque (Tipo)</t>
  </si>
  <si>
    <t>Preço Unitário</t>
  </si>
  <si>
    <t>Classificação</t>
  </si>
  <si>
    <t>Cor</t>
  </si>
  <si>
    <t>Produto (Código)</t>
  </si>
  <si>
    <t>Tamanho</t>
  </si>
  <si>
    <t>PP</t>
  </si>
  <si>
    <t>P</t>
  </si>
  <si>
    <t>M</t>
  </si>
  <si>
    <t>G</t>
  </si>
  <si>
    <t>GG</t>
  </si>
  <si>
    <t>U</t>
  </si>
  <si>
    <t>Cliente (Razão Social)</t>
  </si>
  <si>
    <t>CNPJ/CPF</t>
  </si>
  <si>
    <t>Telefone</t>
  </si>
  <si>
    <t>Estado</t>
  </si>
  <si>
    <t>Cidade</t>
  </si>
  <si>
    <t>Operação</t>
  </si>
  <si>
    <t>Situação</t>
  </si>
  <si>
    <t>Categoria</t>
  </si>
  <si>
    <t>Tipo de Pagamento</t>
  </si>
  <si>
    <t>Nota Fiscal</t>
  </si>
  <si>
    <t>Desconto</t>
  </si>
  <si>
    <t>Frete</t>
  </si>
  <si>
    <t>E-mail</t>
  </si>
  <si>
    <t>Data Venda</t>
  </si>
  <si>
    <t>Código Produto</t>
  </si>
  <si>
    <t>Nota Fiscal Devolução</t>
  </si>
  <si>
    <t>Total Nota Fiscal</t>
  </si>
  <si>
    <t>Total Mercadoria</t>
  </si>
  <si>
    <t>Produto - Cor</t>
  </si>
  <si>
    <t>Produto</t>
  </si>
  <si>
    <t>CASACO GARIBALDI VERMELHO</t>
  </si>
  <si>
    <t>CASACO GARIBALDI DOURADO</t>
  </si>
  <si>
    <t>CHEMISE GARIBALDI DOURADO</t>
  </si>
  <si>
    <t>JAQUETA GARIBALDI VERMELHO</t>
  </si>
  <si>
    <t>JAQUETA GARIBALDI DOURADO</t>
  </si>
  <si>
    <t>SAIA GARIBALDI PRETO</t>
  </si>
  <si>
    <t>SAIA GARIBALDI DOURADO</t>
  </si>
  <si>
    <t>SAIA GARIBALDI VERMELHO</t>
  </si>
  <si>
    <t>CHEMISE INHAPIM OFF</t>
  </si>
  <si>
    <t>CHEMISE INHAPIM CINZA</t>
  </si>
  <si>
    <t>JAQUETA JOAO DE BARRO PRETO</t>
  </si>
  <si>
    <t>JAQUETA JOAO DE BARRO OFF</t>
  </si>
  <si>
    <t>JAQUETA JOAO DE BARRO CARAMELO</t>
  </si>
  <si>
    <t>TOP PETRIM ESTP VERMELHO</t>
  </si>
  <si>
    <t>VESTIDO PETRIM VERMELHO</t>
  </si>
  <si>
    <t>VESTIDO PETRIM ESTAMPA VERMELHO</t>
  </si>
  <si>
    <t>VESTIDO PETRIM ESTAMPA CINZA</t>
  </si>
  <si>
    <t>CAMISA PITIGUARI OFF</t>
  </si>
  <si>
    <t>CAMISA PITIGUARI CINZA</t>
  </si>
  <si>
    <t>KIMONO TUIM OFF</t>
  </si>
  <si>
    <t>KIMONO TUIM PRETO</t>
  </si>
  <si>
    <t>TSHIRT TUIM PRETO</t>
  </si>
  <si>
    <t>BLUSA CARDEAL VERMELHO</t>
  </si>
  <si>
    <t>CALCA TRICO - NERI ESSENCIAL PRETO</t>
  </si>
  <si>
    <t>CHEMISE MAPA AZUL</t>
  </si>
  <si>
    <t>CALCA TRICO - NERI ESSENCIAL BEGE</t>
  </si>
  <si>
    <t>CASACO PITIGUARI OFF</t>
  </si>
  <si>
    <t>CASACO PITIGUARI PRETO</t>
  </si>
  <si>
    <t>Data Lançamento</t>
  </si>
  <si>
    <t>Preço Cheio</t>
  </si>
  <si>
    <t>Preço Promocional</t>
  </si>
  <si>
    <t>CALCA TRICO - NERI ESSENCIAL OFF WHITE</t>
  </si>
  <si>
    <t>BLAZER JOAO DE BARRO CINZA</t>
  </si>
  <si>
    <t>BLAZER JOAO DE BARRO CARAMELO</t>
  </si>
  <si>
    <t>CASACO JOAO DE BARRO CARAMELO</t>
  </si>
  <si>
    <t>CASACO JOAO DE BARRO OFF</t>
  </si>
  <si>
    <t>SAIA PLISSADA JOAO DE BARRO CINZA</t>
  </si>
  <si>
    <t>SAIA PLISSADA JOAO DE BARRO CARAMELO</t>
  </si>
  <si>
    <t>TOP JOAO DE BARRO OFF</t>
  </si>
  <si>
    <t>TOP JOAO DE BARRO PRETO</t>
  </si>
  <si>
    <t>TOP JOAO DE BARRO DOURADO</t>
  </si>
  <si>
    <t>TOP JOAO DE BARRO VERMELHO</t>
  </si>
  <si>
    <t>TOP JOAO DE BARRO CINZA</t>
  </si>
  <si>
    <t>TOP JOAO DE BARRO CARAMELO</t>
  </si>
  <si>
    <t>BLUSAO TUIM VERMELHO</t>
  </si>
  <si>
    <t>CASACO JAPUACU PRETO</t>
  </si>
  <si>
    <t>CALCA JOAO DE BARRO CINZA</t>
  </si>
  <si>
    <t>CALCA JOAO DE BARRO CARAMELO</t>
  </si>
  <si>
    <t>CALCA PITIGUARI OFF</t>
  </si>
  <si>
    <t>CALCA PITIGUARI PRETO</t>
  </si>
  <si>
    <t>CALCA PITIGUARI CARAMELO</t>
  </si>
  <si>
    <t>CALCA CARDEAL CARAMELO</t>
  </si>
  <si>
    <t>BLAZER MAU PRETO</t>
  </si>
  <si>
    <t>BLAZER MAU OFF</t>
  </si>
  <si>
    <t>BLAZER MAU VERMELHO</t>
  </si>
  <si>
    <t>CAMISA MAU PRETO</t>
  </si>
  <si>
    <t>CAMISA MAU OFF</t>
  </si>
  <si>
    <t>CAMISA MAU VERMELHO</t>
  </si>
  <si>
    <t>VESTIDO MAU PRETO</t>
  </si>
  <si>
    <t>VESTIDO MAU OFF</t>
  </si>
  <si>
    <t>VESTIDO MAU VERMELHO</t>
  </si>
  <si>
    <t>CALCA MAU PRETO</t>
  </si>
  <si>
    <t>CALCA MAU OFF</t>
  </si>
  <si>
    <t>CALCA MAU VERMELHO</t>
  </si>
  <si>
    <t>VESTIDO PETRIM ROSE</t>
  </si>
  <si>
    <t>ÚNICO</t>
  </si>
  <si>
    <t>CASACO JAIPU PRETO</t>
  </si>
  <si>
    <t>Ref (Produto - Cor)</t>
  </si>
  <si>
    <t>Estoque Atual</t>
  </si>
  <si>
    <t>Vendas 10 dias</t>
  </si>
  <si>
    <t>Vendas 15 dias</t>
  </si>
  <si>
    <t>Vendas 30 dias</t>
  </si>
  <si>
    <t>Vendas 60 dias</t>
  </si>
  <si>
    <t>???</t>
  </si>
  <si>
    <t>Primeira Venda</t>
  </si>
  <si>
    <t>Última Venda</t>
  </si>
  <si>
    <t>Giro 10 dias</t>
  </si>
  <si>
    <t>Giro 15 dias</t>
  </si>
  <si>
    <t>Giro 30 dias</t>
  </si>
  <si>
    <t>Giro 60 dias</t>
  </si>
  <si>
    <t>Custo</t>
  </si>
  <si>
    <t>Estoque Inicial</t>
  </si>
  <si>
    <t>Vendas 7 dias</t>
  </si>
  <si>
    <t>Vendas 20 dias</t>
  </si>
  <si>
    <t>Vendas 40 dias</t>
  </si>
  <si>
    <t>Vendas 45 dias</t>
  </si>
  <si>
    <t>Giro 7 dias</t>
  </si>
  <si>
    <t>Giro 20 dias</t>
  </si>
  <si>
    <t>Giro 40 dias</t>
  </si>
  <si>
    <t>Giro 45 dias</t>
  </si>
  <si>
    <t>Vendas 90 dias</t>
  </si>
  <si>
    <t>Giro 90 dias</t>
  </si>
  <si>
    <t>Dias Lançamento</t>
  </si>
  <si>
    <t>Total Vendas Geral</t>
  </si>
  <si>
    <t>CHEMISE GARIBALDI VER. PC UNICA</t>
  </si>
  <si>
    <t>CALCA PINTASSILGO CAR. PC UNICA</t>
  </si>
  <si>
    <t>LENCO - ESTAMPA VERMELHA</t>
  </si>
  <si>
    <t>LENCO - ESTAMPA CINZA</t>
  </si>
  <si>
    <t>CALCA PETRIM ESTAMPA VERMELHO</t>
  </si>
  <si>
    <t>BLUSAO TUIM CINZA</t>
  </si>
  <si>
    <t>CALCA PETRIM VERMELHO</t>
  </si>
  <si>
    <t>CAMISETA FLAUTIM BASICA PRETO</t>
  </si>
  <si>
    <t>CAMISETA FLAUTIM BASICA VERMELHO</t>
  </si>
  <si>
    <t>CAMISETA FLAUTIM BASICA AREIA</t>
  </si>
  <si>
    <t>CAMISETA FLAUTIM BASICA ROSE</t>
  </si>
  <si>
    <t>CHEMISE GARIBALDI PRETO</t>
  </si>
  <si>
    <t>CHEMISE GARIBALDI OFF</t>
  </si>
  <si>
    <t>TOP PETRIM VERMELHO</t>
  </si>
  <si>
    <t>TOP PETRIM OFF</t>
  </si>
  <si>
    <t>VESTIDO PETRIM OFF</t>
  </si>
  <si>
    <t>VESTIDO PETRIM PRETO</t>
  </si>
  <si>
    <t>VESTIDO CANARIO PRETO</t>
  </si>
  <si>
    <t>VESTIDO CANARIO OFF</t>
  </si>
  <si>
    <t>BLUSA CANARIO OFF</t>
  </si>
  <si>
    <t>BLUSA CANARIO VERMELHO</t>
  </si>
  <si>
    <t>BLUSA CANARIO PRETO</t>
  </si>
  <si>
    <t>VESTIDO ROUXINOL ROSE</t>
  </si>
  <si>
    <t>VESTIDO ROUXINOL PRETO</t>
  </si>
  <si>
    <t>VESTIDO ROUXINOL OFF</t>
  </si>
  <si>
    <t>BLUSA ANAMBE OFF</t>
  </si>
  <si>
    <t>BLUSA ANAMBE PRETO</t>
  </si>
  <si>
    <t>CASACO JAIPU CINZA</t>
  </si>
  <si>
    <t>CASACO JAPUACU VERMELHO</t>
  </si>
  <si>
    <t>SAIA GARIBALDI OFF</t>
  </si>
  <si>
    <t>CALCA JOAO DE BARRO PRETO</t>
  </si>
  <si>
    <t>SAIA PLISSADA JOAO DE BARRO PRETO</t>
  </si>
  <si>
    <t>VESTIDO ALBATROZ BEGE</t>
  </si>
  <si>
    <t>VESTIDO ALBATROZ PRETO</t>
  </si>
  <si>
    <t>TOP PINTASSILGO CARAMELO</t>
  </si>
  <si>
    <t>TOP PINTASSILGO OFF</t>
  </si>
  <si>
    <t>CALCA PINTASSILGO OFF</t>
  </si>
  <si>
    <t>CAMISETA FLAUTIM BASICA OFF</t>
  </si>
  <si>
    <t>TOP PETRIM ROSE</t>
  </si>
  <si>
    <t>MISCI</t>
  </si>
  <si>
    <t>TECIDO WERNER - SEDA PURA 100% - NECTAR (564)</t>
  </si>
  <si>
    <t>TECIDO WERNER - SEDA PURA 100% - LAMA (703)</t>
  </si>
  <si>
    <t>TECIDO WERNER - SEDA PURA 100% - ORGANZA -PANTANAL (254)</t>
  </si>
  <si>
    <t>TECIDO WERNER - SEDA PURA 100%  - CREPE DE CHINA LEVE - GIARDINO (284)</t>
  </si>
  <si>
    <t>TECIDO WERNER - SEDA PURA 100% - CREPE DE CHINE LEVE - CERAMICA (427)</t>
  </si>
  <si>
    <t>TECIDO GVALLONE - CHRISTIE TABACO  - 49% MODAL + 30% ALGODAO + 21% LINHO</t>
  </si>
  <si>
    <t>GRAOS OFF</t>
  </si>
  <si>
    <t>TECIDO WERNER - CREPE FLORA-  68% ACETATO 20% MODAL 12% LIOCEL  - CERAMICA COR 357</t>
  </si>
  <si>
    <t>TECIDO WERNER - ESSENCE -  63%ACETATO 34%POLIAMIDA 3%ELASTANO - CREME 5000</t>
  </si>
  <si>
    <t>TECIDO CASTANHAL - 70% JUTA 30% ALGODAO - CRU</t>
  </si>
  <si>
    <t>TECIDO WERNER - 100% LINHO - MOSTARDA  - FILTRO DE BARRO</t>
  </si>
  <si>
    <t>TECIDO WERNER - 100% LINHO - TABACO (748)</t>
  </si>
  <si>
    <t>TECIDO EVOLVE - COTTONADE SEMOLINA - CRU - 87% VISCOSE + 12% ALGODAO</t>
  </si>
  <si>
    <t>FERRAGENS - CURSOR 5 METAL S/TRAVA RM! NIQUEL C C/VZ - CYKK5-MDFNT2 - CURSO DO ZIPER</t>
  </si>
  <si>
    <t>TECIDO WERNER - TRICOLINE MODAL STRETCH -  85%MODAL 11%POLIAMIDA 4%ELASTANO - CERAMICA COR 357</t>
  </si>
  <si>
    <t>TECIDO WERNER - CUPRO 57% MODAL 43% - AVA - TERRACOTA (357)</t>
  </si>
  <si>
    <t>TECIDO BUDI - MOLETON FLEECE GD-100%ALGODAO</t>
  </si>
  <si>
    <t>TECIDO BUDI - CANELADO PUNHO 2X1  COR MESCLA COTTON - 86% ALGODAO 2% ELASTANO12% POLIESTER</t>
  </si>
  <si>
    <t>TECIDO BUDI - CANELADO RIB 2X1 C/ELAST COR PRETA -  98% ALGODAO 2% ELASTANO</t>
  </si>
  <si>
    <t>FERRAGENS - MOSQUETAO INJETADO #NIQUEL BC/VZ - 104T16-1 - PRENDEDOR COM MOLA</t>
  </si>
  <si>
    <t>TECIDO DI GRECCO - ESTAMPA FUXICO LANCHES - 100% ALGODAO</t>
  </si>
  <si>
    <t>TECIDO DI GRECCO - ESTAMPA KAMA SUTRA - 100% ALGODAO</t>
  </si>
  <si>
    <t>TECIDO GVALLONE - MAXICOTTON - 67% VISCOSE 33% ALGODAO - GOIABA</t>
  </si>
  <si>
    <t>FERRAGENS - PIGENTE INJETADO #NIQUEL B C/VZ - GI6020-13 - GRANDE</t>
  </si>
  <si>
    <t>FERRAGENS - PIGENTE INJETADO #NIQUEL B C/VZ - GI6020-14 - PEQUENO</t>
  </si>
  <si>
    <t>FERRAGENS - ENFEITE INJETADO SILVER FROST - EI5021/32% - BOTAO 23MM</t>
  </si>
  <si>
    <t>TECIDO JB - COTTON FLAME PT (PR. P/TINGIR LISO) - LISTRA CRU</t>
  </si>
  <si>
    <t>Rolo de etiquetas tag adesiva com serrilha 35mm x 50mm x 33 colunas - 36 Metros (1440 etiquetas)</t>
  </si>
  <si>
    <t>CARRINHO BAR CARRIOLA</t>
  </si>
  <si>
    <t>TECIDO GV - MADONNA 100% ALGODAO PRETO</t>
  </si>
  <si>
    <t>BOTAO 90326 TAM.36 RP - COR.523</t>
  </si>
  <si>
    <t>BOTAO 90326 TAM.24 RP - COR.515</t>
  </si>
  <si>
    <t>BOTAO 90326 TAM.24 RP - COR.523</t>
  </si>
  <si>
    <t>BOTAO 90326 TAM.36 RP - COR.520</t>
  </si>
  <si>
    <t>TECIDO GVALLONE - NUSA - CASTOR- 100% ALGODAO</t>
  </si>
  <si>
    <t>TECIDO GVALLONE - COLLINE MARRON AMOSTRA</t>
  </si>
  <si>
    <t>TECIDO ISTAMBUL - ACINZENTADO</t>
  </si>
  <si>
    <t>ARGOLA ABERTURA PUBI GRANDE - BANHO  OURO 18K - PAR</t>
  </si>
  <si>
    <t>ARGOLA ABERTURA PUBI PEQUENA - BANHO  OURO 18K - PAR</t>
  </si>
  <si>
    <t>ARGOLA SONALY GRANDE - BANHO  OURO 18K - PAR</t>
  </si>
  <si>
    <t>BANQUETA MISCI01 COURO WHISKY - "G"</t>
  </si>
  <si>
    <t>BANQUETA MISCI01 COURO WHISKY - "P"</t>
  </si>
  <si>
    <t>BAR CARRIOLA COM MADEIRA JEQUITIBA</t>
  </si>
  <si>
    <t>BERMUDA VICOSE CONHAQUE BROTO - "G"</t>
  </si>
  <si>
    <t>BERMUDA VICOSE CONHAQUE BROTO - "GG"</t>
  </si>
  <si>
    <t>BERMUDA VICOSE CONHAQUE BROTO - "M"</t>
  </si>
  <si>
    <t>BERMUDA VICOSE CONHAQUE BROTO - "P"</t>
  </si>
  <si>
    <t>BERMUDA ALGODAO LISTRA CRU LAI - "G"</t>
  </si>
  <si>
    <t>BERMUDA ALGODAO LISTRA CRU LAI - "M"</t>
  </si>
  <si>
    <t>BERMUDA ALGODAO LISTRA CRU LAI - "P"</t>
  </si>
  <si>
    <t>BIQUINI MISCI + ESC - CERAMICA - "G"</t>
  </si>
  <si>
    <t>BIQUINI MISCI + ESC - CERAMICA - "GG"</t>
  </si>
  <si>
    <t>BIQUINI MISCI + ESC - CERAMICA - "M"</t>
  </si>
  <si>
    <t>BIQUINI MISCI + ESC - CERAMICA - "P"</t>
  </si>
  <si>
    <t>BLUSA MANGA CURTA ELLE PRETA - "G"</t>
  </si>
  <si>
    <t>BLUSA MANGA CURTA ELLE PRETA - "GG"</t>
  </si>
  <si>
    <t>BLUSA MANGA CURTA ELLE PRETA - "P"</t>
  </si>
  <si>
    <t>BLUSA MANGA CURTA ELLE PRETA - "PP"</t>
  </si>
  <si>
    <t>BLUSA MANGA CURTA ELLE PRETA - "M"</t>
  </si>
  <si>
    <t>BLAZER ALFAIATARIA PANTU CHAMPAGNE - "G"</t>
  </si>
  <si>
    <t>BLAZER ALFAIATARIA PANTU CHAMPAGNE - "M"</t>
  </si>
  <si>
    <t>BLAZER ALFAIATARIA PANTU CHAMPAGNE - "P"</t>
  </si>
  <si>
    <t>BLAZER ALFAIATARIA PANTU CHAMPAGNE - "PP"</t>
  </si>
  <si>
    <t>BOLSA COURO BAMBOLE AZUL</t>
  </si>
  <si>
    <t>BOLSA COURO BAMBOLE OFF</t>
  </si>
  <si>
    <t>BOLSA COURO BAMBOLE VERDE</t>
  </si>
  <si>
    <t>BOLSA COURO BAMBOLE COR X</t>
  </si>
  <si>
    <t>BOLSA JAUM DE JUTA</t>
  </si>
  <si>
    <t>BOLSA PALHA E COURO WHISKY GRANDE JAUM  - ''G"</t>
  </si>
  <si>
    <t>BOLSA COURO GRANDE BRANCA NINE  - ''G"</t>
  </si>
  <si>
    <t>BOLSA COURO GRANDE PRETA NINE  - ''G''</t>
  </si>
  <si>
    <t>BOLSA COURO PEQUENA PRETA NINE  - ''P'</t>
  </si>
  <si>
    <t>BOLSA COURO GRANDE WHISKY NINE  - ''G"</t>
  </si>
  <si>
    <t>BOLSA COURO PEQUENA WHISKY NINE - ''P'</t>
  </si>
  <si>
    <t>BRACELETE PUBI - BANHO  OURO 18K - "TU"</t>
  </si>
  <si>
    <t>CADEIRA MISCI01 COURO WHISKY - TU</t>
  </si>
  <si>
    <t>CAMISETA LILAS ESTAMPA BAURU - "G"</t>
  </si>
  <si>
    <t>CAMISETA LILAS ESTAMPA BAURU - "GG"</t>
  </si>
  <si>
    <t>CAMISETA LILAS ESTAMPA BAURU - "M"</t>
  </si>
  <si>
    <t>CAMISETA LILAS ESTAMPA BAURU - "P"</t>
  </si>
  <si>
    <t>CAMISETA LILAS ESTAMPA BAURU - "PP"</t>
  </si>
  <si>
    <t>CAMISETA LILAS ESTAMPA BAURU - "XG"</t>
  </si>
  <si>
    <t>CAMISETA BASICA ALGODAO BRANCA LISA - "M"</t>
  </si>
  <si>
    <t>CAMISETA BRANCA ESTAMPA UNI - "G"</t>
  </si>
  <si>
    <t>CAMISETA BRANCA ESTAMPA UNI - "GG"</t>
  </si>
  <si>
    <t>CAMISETA BRANCA ESTAMPA UNI - "M"</t>
  </si>
  <si>
    <t>CAMISETA BRANCA ESTAMPA UNI - "P"</t>
  </si>
  <si>
    <t>CAMISETA BRANCA ESTAMPA UNI - "PP"</t>
  </si>
  <si>
    <t>CAMISETA BRANCA ESTAMPA UNI - "XG"</t>
  </si>
  <si>
    <t>CHINELO BITA DE COURO WHISKY - "35"</t>
  </si>
  <si>
    <t>CHINELO BITA DE COURO WHISKY - "36"</t>
  </si>
  <si>
    <t>CHINELO BITA DE COURO WHISKY - "37"</t>
  </si>
  <si>
    <t>CHINELO BITA DE COURO WHISKY - "38"</t>
  </si>
  <si>
    <t>CHINELO BITA DE COURO WHISKY - "39"</t>
  </si>
  <si>
    <t>CHINELO BITA DE COURO WHISKY - "40"</t>
  </si>
  <si>
    <t>CHINELO BITA DE COURO WHISKY - "41"</t>
  </si>
  <si>
    <t>CHINELO BITA DE COURO WHISKY - "42"</t>
  </si>
  <si>
    <t>CHINELO BITA DE COURO WHISKY - "43"</t>
  </si>
  <si>
    <t>CHINELO BITA DE COURO WHISKY - "44"</t>
  </si>
  <si>
    <t>CAMISA MANGA CURTA CROCHE LISTRADA AMARELA ATAFONA -  "TU"</t>
  </si>
  <si>
    <t>CAMISA MANGA CURTA MISCI ALGODAO LISTRADA AMARELA CHICO  "G"</t>
  </si>
  <si>
    <t>CAMISA MANGA CURTA MISCI ALGODAO LISTRADA AMARELA CHICO  "GG"</t>
  </si>
  <si>
    <t>CAMISA MANGA CURTA MISCI ALGODAO LISTRADA AMARELA CHICO  "M"</t>
  </si>
  <si>
    <t>CAMISA MANGA CURTA MISCI ALGODAO LISTRADA AMARELA CHICO  "P"</t>
  </si>
  <si>
    <t>CAMISA MANGA CURTA MISCI ALGODAO CHUMBO CHICO -  "G"</t>
  </si>
  <si>
    <t>CAMISA MANGA CURTA MISCI ALGODAO CHUMBO CHICO -  "GG"</t>
  </si>
  <si>
    <t>CAMISA MANGA CURTA MISCI ALGODAO CHUMBO CHICO -  "M"</t>
  </si>
  <si>
    <t>CAMISA MANGA CURTA MISCI ALGODAO CHUMBO CHICO -  "P"</t>
  </si>
  <si>
    <t>CAMISA MANGA CURTA LISTRADADA COLORIDA DEDE - "G"</t>
  </si>
  <si>
    <t>CAMISA MANGA CURTA LISTRADADA COLORIDA DEDE - "GG"</t>
  </si>
  <si>
    <t>CAMISA MANGA CURTA LISTRADADA COLORIDA DEDE - "M"</t>
  </si>
  <si>
    <t>CAMISA MANGA CURTA LISTRADADA COLORIDA DEDE - "P"</t>
  </si>
  <si>
    <t>CAMISA MANGA CURTA MENTA BORDADA FACHADA - "M"</t>
  </si>
  <si>
    <t>CAMISA MANGA CURTA CONHAQUE BORDADA FACHADA - "G"</t>
  </si>
  <si>
    <t>CAMISA MANGA CURTA ALGODAO FILTRO DE BARRO - "G"</t>
  </si>
  <si>
    <t>CAMISA MANGA CURTA ALGODAO FILTRO DE BARRO - "GG"</t>
  </si>
  <si>
    <t>CAMISA MANGA CURTA ALGODAO FILTRO DE BARRO - "M"</t>
  </si>
  <si>
    <t>CAMISA MANGA CURTA ALGODAO FILTRO DE BARRO - "P"</t>
  </si>
  <si>
    <t>CAMISA MANGA CURTA ALGODAO FILTRO DE BARRO - "PP"</t>
  </si>
  <si>
    <t>CAMISA MANGA CURTA JACQUARD ALGODAO NOIS CAPOTA MAS NAO BRECA - "G"</t>
  </si>
  <si>
    <t>CAMISA MANGA CURTA JACQUARD ALGODAO NOIS CAPOTA MAS NAO BRECA - "GG"</t>
  </si>
  <si>
    <t>CAMISA MANGA CURTA JACQUARD ALGODAO NOIS CAPOTA MAS NAO BRECA - "M"</t>
  </si>
  <si>
    <t>CAMISA MANGA CURTA JACQUARD ALGODAO NOIS CAPOTA MAS NAO BRECA - "P"</t>
  </si>
  <si>
    <t>CAMISA MANGA CURTA JACQUARD ALGODAO NOIS CAPOTA MAS NAO BRECA - "PP"</t>
  </si>
  <si>
    <t>CAMISA MANGA CURTA JACQUARD ALGODAO EXISTO PORQUE INSISTO - "G"</t>
  </si>
  <si>
    <t>CAMISA MANGA CURTA JACQUARD ALGODAO EXISTO PORQUE INSISTO - "GG"</t>
  </si>
  <si>
    <t>CAMISA MANGA CURTA JACQUARD ALGODAO EXISTO PORQUE INSISTO - "M"</t>
  </si>
  <si>
    <t>CAMISA MANGA CURTA JACQUARD ALGODAO EXISTO PORQUE INSISTO - "P"</t>
  </si>
  <si>
    <t>CAMISA MANGA CURTA JACQUARD ALGODAO EXISTO PORQUE INSISTO - "PP"</t>
  </si>
  <si>
    <t>CAMISA MANGA CURTA ALGODAO LISTRADA COLORIDO LINO - "G"</t>
  </si>
  <si>
    <t>CAMISA MANGA CURTA ALGODAO LISTRADA COLORIDO LINO - "GG"</t>
  </si>
  <si>
    <t>CAMISA MANGA CURTA ALGODAO LISTRADA COLORIDO LINO - "M"</t>
  </si>
  <si>
    <t>CAMISA MANGA CURTA ALGODAO LISTRADA COLORIDO LINO - "P"</t>
  </si>
  <si>
    <t>CAMISA MANGA CURTA MOQUECA DIJANELA  - "TU (M)"</t>
  </si>
  <si>
    <t>CAMISA MANGA CURTA CETIM DE SEDA ESTAMPADA PRECIADO - "M"</t>
  </si>
  <si>
    <t>CAMISA MANGA CURTA LINHO PEROLA PONTO PICADO REGINALDO - "G"</t>
  </si>
  <si>
    <t>CAMISA MANGA CURTA LINHO PEROLA PONTO PICADO REGINALDO - "GG"</t>
  </si>
  <si>
    <t>CAMISA MANGA CURTA LINHO PEROLA PONTO PICADO REGINALDO - "M"</t>
  </si>
  <si>
    <t>CAMISA MANGA CURTA LINHO PEROLA PONTO PICADO REGINALDO - "P"</t>
  </si>
  <si>
    <t>CAMISA MANGA CURTA LINHO TELHA PONTO PICADO REGINALDO - "M"</t>
  </si>
  <si>
    <t>CAMISA MANGA CURTA SEDA MOSTARDA  - "G"</t>
  </si>
  <si>
    <t>CAMISA MANGA CURTA SEDA MOSTARDA  - "GG"</t>
  </si>
  <si>
    <t>CAMISA MANGA CURTA SEDA MOSTARDA  - "M"</t>
  </si>
  <si>
    <t>CAMISA MANGA CURTA SEDA MOSTARDA  - "P"</t>
  </si>
  <si>
    <t>CAMISA JEANS INDIGO ARI - "G"</t>
  </si>
  <si>
    <t>CAMISA JEANS INDIGO ARI - "GG"</t>
  </si>
  <si>
    <t>CAMISA JEANS INDIGO ARI - "M"</t>
  </si>
  <si>
    <t>CAMISA JEANS INDIGO ARI - "P"</t>
  </si>
  <si>
    <t>CAMISA MANGA LONGA COM PREGAS PRETA PRELA - "G"</t>
  </si>
  <si>
    <t>CAMISA MANGA LONGA COM PREGAS PRETA PRELA - "GG"</t>
  </si>
  <si>
    <t>CAMISA MANGA LONGA COM PREGAS PRETA PRELA - "M"</t>
  </si>
  <si>
    <t>CAMISA MANGA LONGA COM PREGAS PRETA PRELA - "P"</t>
  </si>
  <si>
    <t>CAMISA MANGA LONGA SEDA ESTAMPADA PRECIADO - "M"</t>
  </si>
  <si>
    <t>CAMISA MANGA LONGA LISTRADA VRM/PRE/BCO PUBI - "G"</t>
  </si>
  <si>
    <t>CAMISA MANGA LONGA LISTRADA VRM/PRE/BCO PUBI - "GG"</t>
  </si>
  <si>
    <t>CAMISA MANGA LONGA LISTRADA VRM/PRE/BCO PUBI - "M"</t>
  </si>
  <si>
    <t>CAMISA MANGA LONGA LISTRADA VRM/PRE/BCO PUBI - "P"</t>
  </si>
  <si>
    <t>CAMISA MANGA LONGA LISTRADA PESPONTO VRM/BCO PUBI- "G"</t>
  </si>
  <si>
    <t>CAMISA MANGA LONGA LISTRADA PESPONTO VRM/BCO PUBI- "GG"</t>
  </si>
  <si>
    <t>CAMISA MANGA LONGA LISTRADA PESPONTO VRM/BCO PUBI- "M"</t>
  </si>
  <si>
    <t>CAMISA MANGA LONGA LISTRADA PESPONTO VRM/BCO PUBI- "P"</t>
  </si>
  <si>
    <t>BLAZER ALFAIATARIA PAULA SCAVAZZINI - "M"</t>
  </si>
  <si>
    <t>COLETE D-20 - EXISTO PORQUE INSISTO - "G"</t>
  </si>
  <si>
    <t>COLETE D-20 - EXISTO PORQUE INSISTO - "GG"</t>
  </si>
  <si>
    <t>COLETE D-20 - EXISTO PORQUE INSISTO - "M"</t>
  </si>
  <si>
    <t>COLETE D-20 - EXISTO PORQUE INSISTO - "P"</t>
  </si>
  <si>
    <t>COLETE D-20 - EXISTO PORQUE INSISTO - "PP"</t>
  </si>
  <si>
    <t>COLETE D-20 - EXISTO PORQUE INSISTO - "XG"</t>
  </si>
  <si>
    <t>FERRAGENS - ENFEITE INJETADO #NIQUEL B C/VZ - EI6021-64 - BOTAO LARERAL</t>
  </si>
  <si>
    <t>FERRAGENS - ENFEITE INJETADO #OURO MILANO B C/VZ - EI6021-64 - BOTAO PRESSAO</t>
  </si>
  <si>
    <t>ETIQUETA - bordada premium na cor 1901 - 40 x 65mm fundo Silk Damask Premiun sem dobras - Haco Etiquetas Ltda.</t>
  </si>
  <si>
    <t>ETIQUETA  - GRADE - PP/ S -  4 X 2 MM - HACO</t>
  </si>
  <si>
    <t>ETIQUETA  - GRADE - P/ S -  4 X 2 MM - HACO</t>
  </si>
  <si>
    <t>ETIQUETA  - GRADE - M / M -  4 X 2 MM - HACO</t>
  </si>
  <si>
    <t>ETIQUETA  - GRADE - G / L -  4 X 2 MM - HACO</t>
  </si>
  <si>
    <t>ETIQUETA  - GRADE - GG / XL -  4 X 2 MM - HACO</t>
  </si>
  <si>
    <t>ETIQUETA  - GRADE - 36 -  4 X 2 MM - HACO</t>
  </si>
  <si>
    <t>ETIQUETA  - GRADE - 38 -  4 X 2 MM - HACO</t>
  </si>
  <si>
    <t>ETIQUETA  - GRADE - 40 -  4 X 2 MM - HACO</t>
  </si>
  <si>
    <t>ETIQUETA  - GRADE - 42 -  4 X 2 MM - HACO</t>
  </si>
  <si>
    <t>ETIQUETA  - GRADE - 44 -  4 X 2 MM - HACO</t>
  </si>
  <si>
    <t>ETIQUETA  - GRADE - 46 -  4 X 2 MM - HACO</t>
  </si>
  <si>
    <t>ZIPER YKK 15CM MARINHO</t>
  </si>
  <si>
    <t>CX. PAP.OND.REF.:01 963x998x</t>
  </si>
  <si>
    <t>JAQUETA CRU PRATIGI - "M"</t>
  </si>
  <si>
    <t>JAQUETA MASCAVO INGA - "G"</t>
  </si>
  <si>
    <t>JAQUETA MASCAVO INGA - "GG"</t>
  </si>
  <si>
    <t>JAQUETA MASCAVO INGA - "M"</t>
  </si>
  <si>
    <t>JAQUETA MASCAVO INGA - "P"</t>
  </si>
  <si>
    <t>JAQUETA OLIVA INGA - "G"</t>
  </si>
  <si>
    <t>JAQUETA OLIVA INGA - "GG"</t>
  </si>
  <si>
    <t>JAQUETA OLIVA INGA - "M"</t>
  </si>
  <si>
    <t>JAQUETA OLIVA INGA - "P"</t>
  </si>
  <si>
    <t>LIVRO INFATIL BRASILIDADES MISCI</t>
  </si>
  <si>
    <t>MAIO MISCI + ESC - CERAMICA - "G"</t>
  </si>
  <si>
    <t>MAIO MISCI + ESC - CERAMICA - "GG"</t>
  </si>
  <si>
    <t>MAIO MISCI + ESC - CERAMICA - "M"</t>
  </si>
  <si>
    <t>MAIO MISCI + ESC - CERAMICA - "P"</t>
  </si>
  <si>
    <t>MEIAS LISTRADA COLORIDA COM LOGO MISCI - PAR -"TU (37-42)"</t>
  </si>
  <si>
    <t>OCULOS BOLEIA X VENTURURA - TARTUGA BICOLOR - TAM UNICO</t>
  </si>
  <si>
    <t>PANNEOUX PRECIADO MISCI + ESC - U</t>
  </si>
  <si>
    <t>PERFUME DE AMBIENTE MISCI 250 ml - O BOTO</t>
  </si>
  <si>
    <t>POLO TRICOT - "M"</t>
  </si>
  <si>
    <t>POLO CANELADA VISCOSE CERAMICA TRICOT - "G"</t>
  </si>
  <si>
    <t>POLO CANELADA VISCOSE CERAMICA TRICOT - "GG"</t>
  </si>
  <si>
    <t>POLO CANELADA VISCOSE CERAMICA TRICOT - "M"</t>
  </si>
  <si>
    <t>POLO CANELADA VISCOSE CERAMICA TRICOT - "P"</t>
  </si>
  <si>
    <t>ZIPER</t>
  </si>
  <si>
    <t>PLACA RATAN 1M X 1,20 LARGURA - COR CREME</t>
  </si>
  <si>
    <t>TECIDO CATAGUASES - BIARRITZ AMACIADO - TECIDO ALGODAO-TAFETA - TF034011 - PEROLA COM LISTRAS BRANCAS</t>
  </si>
  <si>
    <t>RASTEIRA COURO WHISKY CHINELAO - "35"</t>
  </si>
  <si>
    <t>RASTEIRA COURO WHISKY CHINELAO - "36"</t>
  </si>
  <si>
    <t>RASTEIRA COURO WHISKY CHINELAO - "37"</t>
  </si>
  <si>
    <t>RASTEIRA COURO WHISKY CHINELAO - "38"</t>
  </si>
  <si>
    <t>RASTEIRA COURO WHISKY CHINELAO - "39"</t>
  </si>
  <si>
    <t>RASTEIRA COURO WHISKY CHINELAO - "40"</t>
  </si>
  <si>
    <t>RASTEIRA COURO WHISKY CHINELAO - "41"</t>
  </si>
  <si>
    <t>RASTEIRA COURO WHISKY CHINELAO - "42"</t>
  </si>
  <si>
    <t>RASTEIRA COURO WHISKY CHINELAO - "43"</t>
  </si>
  <si>
    <t>RASTEIRA COURO WHISKY CHINELAO - "44"</t>
  </si>
  <si>
    <t>REGATAO CASULO SEDA - "PECA UNICA"</t>
  </si>
  <si>
    <t>SAIA ELLE PRETA - "G"</t>
  </si>
  <si>
    <t>SAIA ELLE PRETA - "M"</t>
  </si>
  <si>
    <t>SAIA ELLE PRETA - "P"</t>
  </si>
  <si>
    <t>SAIA ELLE PRETA - "PP"</t>
  </si>
  <si>
    <t>SAIA FENDA PANTU CHAMPAGNE - "G"</t>
  </si>
  <si>
    <t>SAIA FENDA PANTU CHAMPAGNE - "M"</t>
  </si>
  <si>
    <t>SAIA FENDA PANTU CHAMPAGNE - "P"</t>
  </si>
  <si>
    <t>SAIA FENDA PANTU CHAMPAGNE - "PP"</t>
  </si>
  <si>
    <t>SANDALIA DE COURO JESUS WHISKY - "34"</t>
  </si>
  <si>
    <t>SANDALIA DE COURO JESUS WHISKY - "35"</t>
  </si>
  <si>
    <t>SANDALIA DE COURO JESUS WHISKY - "36"</t>
  </si>
  <si>
    <t>SANDALIA DE COURO JESUS WHISKY - "37"</t>
  </si>
  <si>
    <t>SANDALIA DE COURO JESUS WHISKY - "38"</t>
  </si>
  <si>
    <t>SANDALIA DE COURO JESUS WHISKY - "39"</t>
  </si>
  <si>
    <t>SANDALIA DE COURO JESUS WHISKY - "40"</t>
  </si>
  <si>
    <t>SANDALIA DE COURO JESUS WHISKY - "41"</t>
  </si>
  <si>
    <t>SANDALIA DE COURO JESUS WHISKY - "42"</t>
  </si>
  <si>
    <t>SANDALIA DE COURO JESUS WHISKY - "43"</t>
  </si>
  <si>
    <t>SANDALIA DE COURO JESUS WHISKY - "44"</t>
  </si>
  <si>
    <t>SANDALIA DE COURO JESUS WHISKY - "PRODUCAO"</t>
  </si>
  <si>
    <t>SANDALIA BAROA PALHA DE SEDA CREME - "PRODUCAO"</t>
  </si>
  <si>
    <t>SAPATO MULE MISCI COURO WHISKY / PLATAFORMA CONHAQUE MI - "35"</t>
  </si>
  <si>
    <t>SAPATO MULE MISCI COURO WHISKY / PLATAFORMA CONHAQUE MI - "36"</t>
  </si>
  <si>
    <t>SAPATO MULE MISCI COURO WHISKY / PLATAFORMA CONHAQUE MI - "37"</t>
  </si>
  <si>
    <t>SAPATO MULE MISCI COURO WHISKY / PLATAFORMA CONHAQUE MI - "38"</t>
  </si>
  <si>
    <t>SAPATO MULE MISCI COURO WHISKY / PLATAFORMA CONHAQUE MI - "39"</t>
  </si>
  <si>
    <t>SAPATO MULE MISCI COURO WHISKY / PLATAFORMA CONHAQUE MI - "40"</t>
  </si>
  <si>
    <t>SAPATO MULE MISCI COURO WHISKY / PLATAFORMA CONHAQUE MI - "41"</t>
  </si>
  <si>
    <t>SAPATO MULE MISCI COURO WHISKY / PLATAFORMA CONHAQUE MI - "42"</t>
  </si>
  <si>
    <t>SAPATO MULE MISCI COURO WHISKY / PLATAFORMA CONHAQUE MI - "43"</t>
  </si>
  <si>
    <t>SAPATO MULE MISCI COURO WHISKY / PLATAFORMA CONHAQUE MI - "44"</t>
  </si>
  <si>
    <t>SHORTINHOS DOSE - CERAMICA - "36"</t>
  </si>
  <si>
    <t>SHORTINHOS DOSE - CERAMICA - "38"</t>
  </si>
  <si>
    <t>SHORTINHOS DOSE - CERAMICA - "40"</t>
  </si>
  <si>
    <t>SHORTINHOS DOSE - CERAMICA - "42"</t>
  </si>
  <si>
    <t>SHORTINHOS DOSE - CERAMICA - "44"</t>
  </si>
  <si>
    <t>SHORTINHOS DOSE - CERAMICA - "46"</t>
  </si>
  <si>
    <t>SHORTS EXISTO PORQUE INSISTO - "36"</t>
  </si>
  <si>
    <t>SHORTS EXISTO PORQUE INSISTO - "38"</t>
  </si>
  <si>
    <t>SHORTS EXISTO PORQUE INSISTO - "40"</t>
  </si>
  <si>
    <t>SHORTS EXISTO PORQUE INSISTO - "42"</t>
  </si>
  <si>
    <t>SHORTS EXISTO PORQUE INSISTO - "44"</t>
  </si>
  <si>
    <t>SHORTS EXISTO PORQUE INSISTO - "46"</t>
  </si>
  <si>
    <t>SHORTS FILTRO DE BARRO - "36"</t>
  </si>
  <si>
    <t>SHORTS FILTRO DE BARRO - "38"</t>
  </si>
  <si>
    <t>SHORTS FILTRO DE BARRO - "40"</t>
  </si>
  <si>
    <t>SHORTS FILTRO DE BARRO - "42"</t>
  </si>
  <si>
    <t>SHORTS FILTRO DE BARRO - "44"</t>
  </si>
  <si>
    <t>SHORTS FILTRO DE BARRO - "46"</t>
  </si>
  <si>
    <t>SUNGA MISCI + ESC - TELHA - "G"</t>
  </si>
  <si>
    <t>SUNGA MISCI + ESC - TELHA - "GG"</t>
  </si>
  <si>
    <t>SUNGA MISCI + ESC - TELHA - "M"</t>
  </si>
  <si>
    <t>SUNGA MISCI + ESC - TELHA - "P"</t>
  </si>
  <si>
    <t>TECIDO VICUNHA - AMSTERDAM TECIDO CETIM 56% ALGODAO 43% MODAL 1% ELASTANO LAR G 1,48 METROS OFF</t>
  </si>
  <si>
    <t>TECIDO VICUNHA - BRADLEY - INDIGO ALGODAO 100% - JEANS LARG 1,66 METROS</t>
  </si>
  <si>
    <t>TAPETE PUBI 100% ECONYL</t>
  </si>
  <si>
    <t>TECIDO INNOVATIV - TECIDO PARA SACOLAS</t>
  </si>
  <si>
    <t>TOP MAMI GOIABA  - "G"</t>
  </si>
  <si>
    <t>TOP MAMI GOIABA  - "M"</t>
  </si>
  <si>
    <t>TOP MAMI GOIABA  - "P"</t>
  </si>
  <si>
    <t>VESTIDO ALFAIATARIA PHILO MOSTARDA - "G"</t>
  </si>
  <si>
    <t>VESTIDO ALFAIATARIA PHILO MOSTARDA - "M"</t>
  </si>
  <si>
    <t>VESTIDO ALFAIATARIA PHILO MOSTARDA - "P"</t>
  </si>
  <si>
    <t>VESTIDO D-20 - CUPRO - FERRUGEM - "G"</t>
  </si>
  <si>
    <t>VESTIDO D-20 - CUPRO - FERRUGEM - "GG"</t>
  </si>
  <si>
    <t>VESTIDO D-20 - CUPRO - FERRUGEM - "M"</t>
  </si>
  <si>
    <t>VESTIDO D-20 - CUPRO - FERRUGEM - "P"</t>
  </si>
  <si>
    <t>VESTIDO D-20 - CUPRO - FERRUGEM - "PP"</t>
  </si>
  <si>
    <t>VESTIDO CAMELO RETO - TU</t>
  </si>
  <si>
    <t>VESTIDO TRICOT SAUVA CRU - "G"</t>
  </si>
  <si>
    <t>VESTIDO TRICOT SAUVA CRU - "M"</t>
  </si>
  <si>
    <t>VESTIDO TRICOT SAUVA CRU - "P"</t>
  </si>
  <si>
    <t>TECIDO INNOVATIV - 100% ALGODAO - FREVO 550</t>
  </si>
  <si>
    <t>TECIDO INNOVATIV - 100% ALGODAO - FREVO 162</t>
  </si>
  <si>
    <t>TECIDO PARAMOUNT - TWILL FLANEL - A1293 - C7365 - 100% LA - VINHO</t>
  </si>
  <si>
    <t>TECIDO INNOVATIV - 100% ALGODAO - OTTO 152</t>
  </si>
  <si>
    <t>TECIDO INNOVATIV - 100% ALGODAO - EXISTO PORQUE INSISTO  243</t>
  </si>
  <si>
    <t>TECIDO INNOVATIV - 100% ALGODAO - NOS CAPOTA MAS NAO BRECA - COR 275</t>
  </si>
  <si>
    <t>TECIDO INNOVATIV - 100% ALGODAO - ZIGZAG  IRREGULAR COLORIDO - COR 447</t>
  </si>
  <si>
    <t>TECIDO HJ - ANIMALE 100% ALOGDAO - REND 3,6 - PETER MARROM</t>
  </si>
  <si>
    <t>TECIDO FIOBOM - LISO CHUMBO- TEC. 4528 LISO 80/2 - 100% ALGODAO - LARG 150</t>
  </si>
  <si>
    <t>TECIDO FIOBOM - LISO CREME - 5634 LISO 120/2 - LARG 150 - 100% ALGODAO</t>
  </si>
  <si>
    <t>TECIDO HJ - ANIMALE 100% ALGODAO -REND 3,6 -  CALDAS BRANCO</t>
  </si>
  <si>
    <t>CAMISETA ALGODAO BRANCA CANA - "G"</t>
  </si>
  <si>
    <t>CAMISETA ALGODAO BRANCA CANA - "GG"</t>
  </si>
  <si>
    <t>CAMISETA ALGODAO BRANCA CANA - "M"</t>
  </si>
  <si>
    <t>CAMISETA ALGODAO BRANCA CANA - "P"</t>
  </si>
  <si>
    <t>CAMISETA ALGODAO BRANCA CANA - "PP"</t>
  </si>
  <si>
    <t>CAMISETA ALGODAO BRANCA CANA - "XG"</t>
  </si>
  <si>
    <t>CAMISETA ALGODAO MESCLA CANA - "G"</t>
  </si>
  <si>
    <t>CAMISETA ALGODAO MESCLA CANA - "GG"</t>
  </si>
  <si>
    <t>CAMISETA ALGODAO MESCLA CANA - "M"</t>
  </si>
  <si>
    <t>CAMISETA ALGODAO MESCLA CANA - "P"</t>
  </si>
  <si>
    <t>CAMISETA ALGODAO MESCLA CANA - "PP"</t>
  </si>
  <si>
    <t>CAMISETA ALGODAO MESCLA CANA - "XG"</t>
  </si>
  <si>
    <t>CAMISETA ALGODAO PRETA CANA - "G"</t>
  </si>
  <si>
    <t>CAMISETA ALGODAO PRETA CANA - "GG</t>
  </si>
  <si>
    <t>CAMISETA ALGODAO PRETA CANA - "M"</t>
  </si>
  <si>
    <t>CAMISETA ALGODAO PRETA CANA - "P"</t>
  </si>
  <si>
    <t>CAMISETA ALGODAO PRETA CANA - "PP"</t>
  </si>
  <si>
    <t>CAMISETA ALGODAO PRETA CANA - "XG"</t>
  </si>
  <si>
    <t>CAMISETA ALGODAO TAMARA CANA - "G"</t>
  </si>
  <si>
    <t>CAMISETA ALGODAO TAMARA CANA - "GG"</t>
  </si>
  <si>
    <t>CAMISETA ALGODAO TAMARA CANA - "M"</t>
  </si>
  <si>
    <t>CAMISETA ALGODAO TAMARA CANA - "P"</t>
  </si>
  <si>
    <t>CAMISETA BASICA ALGODAO BRANCA LISA - "G"</t>
  </si>
  <si>
    <t>CAMISETA BASICA ALGODAO BRANCA LISA - "GG"</t>
  </si>
  <si>
    <t>CAMISETA BASICA ALGODAO BRANCA LISA - "P"</t>
  </si>
  <si>
    <t>CAMISETA BASICA ALGODAO PRETA LISA - "G"</t>
  </si>
  <si>
    <t>CAMISETA BASICA ALGODAO PRETA LISA - "GG"</t>
  </si>
  <si>
    <t>CAMISETA BASICA ALGODAO PRETA LISA - "M"</t>
  </si>
  <si>
    <t>CAMISETA BASICA ALGODAO PRETA LISA - "P"</t>
  </si>
  <si>
    <t>CAMISETA BASICA ALGODAO PRETA LISA - "PP"</t>
  </si>
  <si>
    <t>CAMISETA BASICA ALGODAO PRETA LISA - "XG"</t>
  </si>
  <si>
    <t>CAMISETA ALGODAO BRANCA LOGO MISCI - "G"</t>
  </si>
  <si>
    <t>CAMISETA ALGODAO BRANCA LOGO MISCI - "GG"</t>
  </si>
  <si>
    <t>CAMISETA ALGODAO BRANCA LOGO MISCI - "M"</t>
  </si>
  <si>
    <t>CAMISETA ALGODAO BRANCA LOGO MISCI - "P"</t>
  </si>
  <si>
    <t>CAMISETA ALGODAO PRETA LOGO MISCI - "G"</t>
  </si>
  <si>
    <t>CAMISETA ALGODAO PRETA LOGO MISCI - "GG"</t>
  </si>
  <si>
    <t>CAMISETA ALGODAO PRETA LOGO MISCI - "M"</t>
  </si>
  <si>
    <t>CAMISETA ALGODAO PRETA LOGO MISCI - "P"</t>
  </si>
  <si>
    <t>CAMISETA ALGODAO PRETA LOGO MISCI - "PP"</t>
  </si>
  <si>
    <t>CAMISETA ALGODAO PRETA LOGO MISCI - "XG"</t>
  </si>
  <si>
    <t>CAMISA MANGA LONGA COM BOLSO ALGODAO PESPONTO BRANCA ROBERTAO - "G"</t>
  </si>
  <si>
    <t>CAMISA MANGA LONGA COM BOLSO ALGODAO PESPONTO BRANCA ROBERTAO - "GG"</t>
  </si>
  <si>
    <t>CAMISA MANGA LONGA COM BOLSO ALGODAO PESPONTO BRANCA ROBERTAO - "M"</t>
  </si>
  <si>
    <t>CAMISA MANGA LONGA COM BOLSO ALGODAO PESPONTO BRANCA ROBERTAO - "P"</t>
  </si>
  <si>
    <t>BOTAO UREIA</t>
  </si>
  <si>
    <t>BOTAO PAPEL</t>
  </si>
  <si>
    <t>TECIDO CATAGUASES - FORRO CAPITU CALANDRADO - CREME - 100% ALGODAO</t>
  </si>
  <si>
    <t>TECIDO CATAGUASES - OXFORD CALANDRADO 100% ALGODAO  - FIO TINTO MARROM</t>
  </si>
  <si>
    <t>TECIDO CATAGUASES - FORRO CAPITU CALANDRADO - 100% ALGODAO</t>
  </si>
  <si>
    <t>VESTIDO ALGODA PALHA CHE - "G"</t>
  </si>
  <si>
    <t>VESTIDO ALGODA PALHA CHE - "M"</t>
  </si>
  <si>
    <t>VESTIDO ALGODA PALHA CHE - "P"</t>
  </si>
  <si>
    <t>VESTIDO REGATA RETO ALGODAO OCRE PINGA - "G/42"</t>
  </si>
  <si>
    <t>VESTIDO REGATA RETO ALGODAO OCRE PINGA - "GG/44"</t>
  </si>
  <si>
    <t>VESTIDO REGATA RETO ALGODAO OCRE PINGA - "M/40"</t>
  </si>
  <si>
    <t>VESTIDO REGATA RETO ALGODAO OCRE PINGA - "P/38"</t>
  </si>
  <si>
    <t>VESTIDO REGATA RETO ALGODAO OCRE PINGA - "PP/36"</t>
  </si>
  <si>
    <t>TECIDO PARAMOUNT -  PRUNEL LEVE SUPER 120'S - 100% LA - CERAMICA - 733</t>
  </si>
  <si>
    <t>TECIDO WERNER - 80% ACETATO 20% VISCOSE - CREPE LEGERE - CAFE (745)</t>
  </si>
  <si>
    <t>TECIDO PARAMOUNT - TWILL FLANEL - A1292 - C742 - 100% LA - CAFE</t>
  </si>
  <si>
    <t>FERRAGENS - ENFEITE INJETADO #NIQUEL B C/VZ - EI6020-71.2 - PE DA BOLSA</t>
  </si>
  <si>
    <t>SUETER TRICOT IRRE CERAMICA - "G"</t>
  </si>
  <si>
    <t>SUETER TRICOT IRRE CERAMICA - "M"</t>
  </si>
  <si>
    <t>SUETER TRICOT IRRE CERAMICA - "P"</t>
  </si>
  <si>
    <t>SUETER TRICOT IRRE CRU - "G"</t>
  </si>
  <si>
    <t>SUETER TRICOT IRRE CRU - "M"</t>
  </si>
  <si>
    <t>SUETER TRICOT IRRE CRU - "P"</t>
  </si>
  <si>
    <t>ETIQUETA - cOs externo em PU pinhAo com queima 40 x 65mm -</t>
  </si>
  <si>
    <t>VESTIDO  SERU  - TU</t>
  </si>
  <si>
    <t>FERRAGENS - REBITE / 0,5 CABECA BOCA LAT NIQUEL C C/VZ - R05CBAL2 - CABECA DE ENCAIXE DO PE DA BOLSA</t>
  </si>
  <si>
    <t>FERRAGENS - ARGOLA DE ACO ACABADO! NIQUEL C - AR1640-1N - 1 /2 ARGOLA GRANDE</t>
  </si>
  <si>
    <t>CACHACA PRATA MISCI + TIE - 500 ML - 42% - GRANDE</t>
  </si>
  <si>
    <t>CACHACA PRATA MISCI + TIE - 140 ML - 42% - PEQUENA</t>
  </si>
  <si>
    <t>CALCA ALFAIATARIA PRETA ALFA - "G"</t>
  </si>
  <si>
    <t>CALCA ALFAIATARIA PRETA ALFA - GG</t>
  </si>
  <si>
    <t>CALCA ALFAIATARIA PRETA ALFA - M</t>
  </si>
  <si>
    <t>CALCA ALFAIATARIA PRETA ALFA - P</t>
  </si>
  <si>
    <t>CALCA JEANS INDIGO ARI - "36/PP"</t>
  </si>
  <si>
    <t>CALCA JEANS INDIGO ARI - "38/P"</t>
  </si>
  <si>
    <t>CALCA JEANS INDIGO ARI - "40/M"</t>
  </si>
  <si>
    <t>CALCA JEANS INDIGO ARI - "42/G"</t>
  </si>
  <si>
    <t>CALCA JEANS INDIGO ARI - "44/GG"</t>
  </si>
  <si>
    <t>CALCA JEANS INDIGO ARI - "46/GGG"</t>
  </si>
  <si>
    <t>CALCA SARJA OCRE ARI - "36/PP"</t>
  </si>
  <si>
    <t>CALCA SARJA OCRE ARI - "38/P"</t>
  </si>
  <si>
    <t>CALCA SARJA OCRE ARI - "40/M"</t>
  </si>
  <si>
    <t>CALCA SARJA OCRE ARI - "42/G"</t>
  </si>
  <si>
    <t>CALCA SARJA OCRE ARI - "44/GG"</t>
  </si>
  <si>
    <t>CALCA SARJA OCRE ARI - "46/GGG"</t>
  </si>
  <si>
    <t>CALCA CUPUACU ELLE  - "G"</t>
  </si>
  <si>
    <t>CALCA CUPUACU ELLE  - "M"</t>
  </si>
  <si>
    <t>CALCA CUPUACU ELLE  - "P"</t>
  </si>
  <si>
    <t>CALCA ALGODAO VELUDO  MASCAVO INGA - "G/42"</t>
  </si>
  <si>
    <t>CALCA ALGODAO VELUDO MASCAVO INGA - "GG/44"</t>
  </si>
  <si>
    <t>CALCA ALGODAO VELUDO MASCAVO INGA - "M/40"</t>
  </si>
  <si>
    <t>CALCA ALGODAO VELUDO MASCAVO INGA - "P/38"</t>
  </si>
  <si>
    <t>CALCA ALGODAO LISTRA CRU LAI - "G/42"</t>
  </si>
  <si>
    <t>CALCA ALGODAO LISTRA CRU LAI - "M/40"</t>
  </si>
  <si>
    <t>CALCA ALGODAO LISTRA CRU LAI - "P/38"</t>
  </si>
  <si>
    <t>CALCA MAMI FLAIRE GOIABA - "G"</t>
  </si>
  <si>
    <t>CALCA MAMI FLAIRE GOIABA - "M"</t>
  </si>
  <si>
    <t>CALCA MAMI FLAIRE GOIABA - "P"</t>
  </si>
  <si>
    <t>CALCA LIESTRA PERU - "M/40"</t>
  </si>
  <si>
    <t>CAMISA MANGA CURTA LINHO - CABACA - TABACO - "G"</t>
  </si>
  <si>
    <t>CAMISA MANGA CURTA LINHO - CABACA - TABACO - "GG"</t>
  </si>
  <si>
    <t>CAMISA MANGA CURTA LINHO - CABACA - TABACO - "M"</t>
  </si>
  <si>
    <t>CAMISA MANGA CURTA LINHO - CABACA - TABACO - "P"</t>
  </si>
  <si>
    <t>CAMISA MANGA CURTA LINHO - CABACA - TABACO - "PP"</t>
  </si>
  <si>
    <t>COLHER CACHACA PRATA MISCI + TIE</t>
  </si>
  <si>
    <t>TAPECARIA LUIZA CALDARI + MISCI</t>
  </si>
  <si>
    <t>MOLETOM CUPUACU ELLE - "G"</t>
  </si>
  <si>
    <t>MOLETOM CUPUACU ELLE - "M"</t>
  </si>
  <si>
    <t>MOLETOM CUPUACU ELLE - "P"</t>
  </si>
  <si>
    <t>ALCA DA BOLSA NINE</t>
  </si>
  <si>
    <t>FERRAGENS - ARGOLA DE ACO ACABADO! NIQUEL C - AI1335-1 - 1/2 ARGOLA BOLSA PEQUENA</t>
  </si>
  <si>
    <t>Fita gomada papel Kraft 80g/m2  - 1 cor Sem reforCo  - 60mm x 180 metros peso rolo: 1,242 kg</t>
  </si>
  <si>
    <t>RASTEIRA COURO WHISKY CHINELAO - "PRODUCAO"</t>
  </si>
  <si>
    <t>SAPATO MULE MISCI COURO WHISKY / PLATAFORMA CONHAQUE MI - "PRODUCAO"</t>
  </si>
  <si>
    <t>TECIDO DESIREE - LINHO BLUE FA -  COR PALHA ( OFF</t>
  </si>
  <si>
    <t>TECIDO WERNER - SEDA PURA 100% - SUDAO CARAMELO</t>
  </si>
  <si>
    <t>TECIDO WERNER - SEDA PURA 100% - GRUTA AZUL</t>
  </si>
  <si>
    <t>TECIDO WERNER - SEDA PURA 100% ROSA</t>
  </si>
  <si>
    <t>TECIDO WERNER - SEDA PURA 100%  - SATIN SILK PREMIUM ROSA</t>
  </si>
  <si>
    <t>TECIDO WERNER - SEDA PURA 100% - GIARDINO  - SATIN  SILK PREMIUM VERDE</t>
  </si>
  <si>
    <t>TECIDO WERNER - SEDA PURA 100% - CREPE DE CHINE LEVE BEGE</t>
  </si>
  <si>
    <t>TECIDO WERNER - SEDA PURA 100% -  SATIN SILK PREMIUM MARROM</t>
  </si>
  <si>
    <t>TECIDO WERNER - SEDA PURA 100% - CREPE DE CHINE LEVE AZUL</t>
  </si>
  <si>
    <t>TECIDO DESIREE - LINHO BLUE FA - COR BEGE</t>
  </si>
  <si>
    <t>TECIDO DESIREE - LINHO BLUE FA - COR NUDE ( ROSA</t>
  </si>
  <si>
    <t>TECIDO STROBEL - 100% ACETATO LISTRADO</t>
  </si>
  <si>
    <t>TECIDO WERNER - 80% ACETATO 20% VISCOSE - CREPE LEGERE AZUL</t>
  </si>
  <si>
    <t>TECIDO WERNER - 80% ACETATO 20% VISCOSE - CREPE LEGERE VERDE</t>
  </si>
  <si>
    <t>TECIDO WERNER - 80% ACETATO 20% VISCOSE - CREPE LEGERE VERMELHO</t>
  </si>
  <si>
    <t>TECIDO WERNER - 80% ACETATO 20% VISCOSE - CREPE LEGERE MARROM</t>
  </si>
  <si>
    <t>TECIDO WERNER - CREPE FLORA-  68% ACETATO 20% MODAL 12% LIOCEL VERDE</t>
  </si>
  <si>
    <t>TECIDO WERNER - CREPE FLORA-  68% ACETATO 20% MODAL 12% LIOCEL MARROM</t>
  </si>
  <si>
    <t>TECIDO WERNER - ESSENCE -  63%ACETATO 34%POLIAMIDA 3%ELASTANO VERDE</t>
  </si>
  <si>
    <t>TECIDO WERNER - ESSENCE-  63% ACETATO 34% POLIAMIDA 34% ELASTANO VERMELHO</t>
  </si>
  <si>
    <t>TECIDO WERNER - ESSENCE-  63% ACETATO 34% POLIAMIDA 34% ELASTANO AZUL</t>
  </si>
  <si>
    <t>TECIDO WERNER - ESSENCE -  63%ACETATO 34%POLIAMIDA 3%ELASTANO MARROM</t>
  </si>
  <si>
    <t>TECIDO WERNER - ESSENCE -  63%ACETATO 34%POLIAMIDA 3%ELASTANO BEGE</t>
  </si>
  <si>
    <t>TECIDO WERNER - ESSENCE-  63% ACETATO 34% POLIAMIDA 34% ELASTANO LARANJA</t>
  </si>
  <si>
    <t>TECIDO WERNER - CREPE PATOU-  71%ACETATO 29% VISCOSE AZUL</t>
  </si>
  <si>
    <t>TECIDO WERNER - CREPE PATOU-  71%ACETATO 29% VISCOSE MARROM</t>
  </si>
  <si>
    <t>TECIDO WERNER - CREPE PATOU-  71%ACETATO 29% VISCOSE BEGE</t>
  </si>
  <si>
    <t>TECIDO INNOVATIV - 100% ALGODAO - AGRESTE BEGE</t>
  </si>
  <si>
    <t>TECIDO INNOVATIV - 100% ALGODAO LISTRADO</t>
  </si>
  <si>
    <t>TECIDO INNOVATIV - 100% ALGODAO -  RELEVO (COSTURA) BEGE</t>
  </si>
  <si>
    <t>TECIDO INNOVATIV - 100% ALGODAO - MOQUECA AZUL</t>
  </si>
  <si>
    <t>TECIDO INNOVATIV - 100% ALGODAO - MOQUECA LARANJA</t>
  </si>
  <si>
    <t>TECIDO GVALLONE - MAXICOTTON -  67% VISCOSE 33% ALGODAO VERDE</t>
  </si>
  <si>
    <t>TECIDO PARAMOUNT - TWILL FLANEL - 1293 MARROM</t>
  </si>
  <si>
    <t>TECIDO INNOVATIV - 100% ALGODAO - MATELASSE LOGO MISCI MARROM</t>
  </si>
  <si>
    <t>TECIDO INNOVATIV - 100% ALGODAO - FAVA MARROM</t>
  </si>
  <si>
    <t>TECIDO WERNER - 100% LINHO OFF</t>
  </si>
  <si>
    <t>TECIDO WERNER - 100% LINHO AZUL</t>
  </si>
  <si>
    <t>TECIDO WERNER - 100% LINHO VERDE</t>
  </si>
  <si>
    <t>TECIDO INNOVATIV - GURU - 100% ALGODAO 00129 VERDE</t>
  </si>
  <si>
    <t>TECIDO INNOVATIV - 100% ALGODAO - SHIVA (IGUAL AMBROSIA) BEGE</t>
  </si>
  <si>
    <t>TECIDO INNOVATIV - 100% ALGODAO - AMBROSIA (IGUAL AO SHIVA) BEGE</t>
  </si>
  <si>
    <t>TECIDO INNOVATIV - 100% ALGODAO - MATELASSE LOGO MISCI OFF</t>
  </si>
  <si>
    <t>TECIDO INNOVATIV - 100% ALGODAO - MATELASSE FUXICO OFF</t>
  </si>
  <si>
    <t>TECIDO INNOVATIV - 100% ALGODAO - FRAJAS CINZA</t>
  </si>
  <si>
    <t>TECIDO INNOVATIV - 100% ALGODAO -  QUADRICULADO/DESFIADO VERMELHO</t>
  </si>
  <si>
    <t>TECIDO INNOVATIV - 100% ALGODAO -  QUADRICULADO/DESFIADO AZUL</t>
  </si>
  <si>
    <t>TECIDO GVALLONE - CHRISTIE AZUL</t>
  </si>
  <si>
    <t>TECIDO WERNER - ALGODAO 52% VISCOSE 45% ELASTANO 3% - COTTON  STRETCH NATE VERMELHO</t>
  </si>
  <si>
    <t>TECIDO WERNER - ALGODAO 52% VISCOSE 45% ELASTANO 3% - COTTON  STRETCH NATE AZUL</t>
  </si>
  <si>
    <t>TECIDO WERNER - ALGODAO 52% VISCOSE 45% ELASTANO 3% - COTTON  STRETCH NATE VERDE</t>
  </si>
  <si>
    <t>TECIDO WERNER - 100% MODAL - BELLA MODAL AZUL</t>
  </si>
  <si>
    <t>TECIDO WERNER - 100% MODAL - BELLA MODAL BRANCO</t>
  </si>
  <si>
    <t>TECIDO WERNER - CUPRO 57% MODAL 43% - AVA VERDE</t>
  </si>
  <si>
    <t>TECIDO STROBEL - SARJA S/D 131 - 100% ACETATO VERMELHO</t>
  </si>
  <si>
    <t>TECIDO HJ - ANIMALE 100% ALGODAO -REND 3,6 - DEMI ROSA</t>
  </si>
  <si>
    <t>TECIDO FIOBOM - MINI-QUADRICULADO BEGE</t>
  </si>
  <si>
    <t>TECIDO GVALLONE - NASSAU 10995 VERDE</t>
  </si>
  <si>
    <t>TECIDO BUDI - RIB 2X1 C/ELAST-98%ALGODAO2%ELASTANO-GD COR OFF</t>
  </si>
  <si>
    <t>TECIDO BUDI - CANELADO RIB 2X1 C/ELAST COR BRANCO</t>
  </si>
  <si>
    <t>TECIDO BUDI - CANELADO RIB 2X1 C/ELAST COR OFF WHITE</t>
  </si>
  <si>
    <t>TECIDO JB - ANTUERPIA (V) BRANCO</t>
  </si>
  <si>
    <t>TECIDO GVALLONE - MARION 10838 100% ALGODAO AZUL</t>
  </si>
  <si>
    <t>TECIDO HJ - ANIMALE 100% ALGODAO -REND 3,6 - PORSHE AZUL</t>
  </si>
  <si>
    <t>TECIDO GVALLONE - KUMARI W299 VERDE</t>
  </si>
  <si>
    <t>TECIDO PARAMOUNT - SUPER TROPICAL- 3453 MARROM</t>
  </si>
  <si>
    <t>TECIDO DI GRECCO - SILK LIGHT ESTAMPADO ROSA</t>
  </si>
  <si>
    <t>TECIDO DI GRECCO - ESTAMPA ROSA</t>
  </si>
  <si>
    <t>TECIDO PARAMOUNT - TROPICAL LEVE - 4009 MARROM</t>
  </si>
  <si>
    <t>TECIDO PARAMOUNT - GABARDINE SUPER 120 S - 4157 MARROM</t>
  </si>
  <si>
    <t>TECIDO PARAMOUNT - GABARDINE SUPER 120 S - 4157 AZUL</t>
  </si>
  <si>
    <t>TECIDO PARAMOUNT - PRUNEL FLANNEL S 120 - A4167 - C707- 100% LA MARROM</t>
  </si>
  <si>
    <t>TECIDO GVALLONE - KUMARI AZUL</t>
  </si>
  <si>
    <t>TECIDO FIOBOM - LISO BRANCO</t>
  </si>
  <si>
    <t>TECIDO FIOBOM - LISO VERMELHO</t>
  </si>
  <si>
    <t>TECIDO FIOBOM - LISO AZUL</t>
  </si>
  <si>
    <t>TECIDO FIOBOM LISTRADO</t>
  </si>
  <si>
    <t>TECIDO FIOBOM - LISO VERDE</t>
  </si>
  <si>
    <t>TECIDO GVALLONE - MARION 8134 100% ALGODAO VERDE</t>
  </si>
  <si>
    <t>TECIDO JB - C.ST.BOTONE (FL)  PT (PR. P/TINGIR LISO) LISTRADO</t>
  </si>
  <si>
    <t>TECIDO JB - C.S.BLACK (MR/TB/PE)  PT (PR. P/TINGIR LISO) PRETO</t>
  </si>
  <si>
    <t>TECIDO JB - C.S.LINEN (V/FM)  PT (PR. P/TINGIR LISO) - CRU COM LISTRAS ROSA</t>
  </si>
  <si>
    <t>TECIDO GVALLONE - MAXICOTTON -  67% VISCOSE 33% ALGODAO OFF WHITE</t>
  </si>
  <si>
    <t>TECIDO GVALLONE - COCONUT LISTRA MISCI HORT/BORDO/ PRETO</t>
  </si>
  <si>
    <t>TECIDO GVALLONE - KUMARI AMARELO</t>
  </si>
  <si>
    <t>TECIDO GVALLONE - COCONUT MESCLA OFF</t>
  </si>
  <si>
    <t>TECIDO GVALLONE - MAXINE ALFAIATARIA - 100% VISVOSE MARROM</t>
  </si>
  <si>
    <t>TECIDO GVALLONE - KUMARI NATURAL</t>
  </si>
  <si>
    <t>TECIDO GVALLONE - ALMA 100% ALGODAO OFF</t>
  </si>
  <si>
    <t>TECIDO GVALLONE DIJON</t>
  </si>
  <si>
    <t>TECIDO GVALLONE - CHRISTIE 10881 VERDE</t>
  </si>
  <si>
    <t>TECIDO GVALLONE - NUSA VERMELHO</t>
  </si>
  <si>
    <t>TECIDO JB - BOTONE BLACK (ML)  PT (PR. P/TINGIR LISO) PRETO</t>
  </si>
  <si>
    <t>TECIDO GVALLONE - MAXINE ALFAIATARIA - 100% VISCOSE OFF</t>
  </si>
  <si>
    <t>TECIDO PARAMOUNT - PRUNEL SUPER LEVE 120 S  - 100% LA CINZA</t>
  </si>
  <si>
    <t>TECIDO PARAMOUNT - PRUNEL S 100 - 100% LA MARROM</t>
  </si>
  <si>
    <t>TECIDO JB - P.F.MESCLA (V/FM)  PT (PR. P/TINGIR LISO) LISTRADO</t>
  </si>
  <si>
    <t>TECIDO PARAMOUNT -  FLANEL LEVE -  A7112 - C502 - 100% LA AZUL</t>
  </si>
  <si>
    <t>TECIDO PARAMOUNT -  PRUNEL LEVE SUPER 120'S - 100% LA VERMELHO</t>
  </si>
  <si>
    <t>TECIDO PARAMOUNT -  PRUNEL LEVE SUPER 120'S - 100% LA AZUL</t>
  </si>
  <si>
    <t>TECIDO EVOLVE - COZY HERB VERDE</t>
  </si>
  <si>
    <t>TECIDO PARAMOUNT - GABARDINE S'120 OFF</t>
  </si>
  <si>
    <t>TECIDO JB - N.S.BOTONE  PT (PR. P/TINGIR LISO) OFF</t>
  </si>
  <si>
    <t>TECIDO JB - NATURE SOFT LISTRADO</t>
  </si>
  <si>
    <t>TECIDO JB - N.S.BOTONE (TB)  PT (PR. P/TINGIR LISO) - NUDE A VERMELHA</t>
  </si>
  <si>
    <t>TECIDO JB - N.S.BOTONE (J)  PT (PR. P/TINGIR LISO) VERDE</t>
  </si>
  <si>
    <t>TECIDO JB -  NATURE SOFT  PT (PR. P/TINGIR LISO) OFF</t>
  </si>
  <si>
    <t>TECIDO PARAMOUNT - PRUNEL BI-STRETCH - 8412 -ESCURO COM RISCA DE GIZ</t>
  </si>
  <si>
    <t>TECIDO PARAMOUNT - RUNEL NATURAL</t>
  </si>
  <si>
    <t>TECIDO PARAMOUNT - TWILL BISTRETCH - 8589 CINZA</t>
  </si>
  <si>
    <t>TECIDO PARAMOUNT - PALETO TWEED LA -  A8634 - C610 - 100% LA AZUL</t>
  </si>
  <si>
    <t>TECIDO PARAMOUNT - JACKET LEVE WOOL SILK -  A8765 - C801 - 52% SEDA + 48% LA BRANCO</t>
  </si>
  <si>
    <t>TECIDO GVALLONE - NUSA BEGE</t>
  </si>
  <si>
    <t>TECIDO PANAMERICANA - IPANEMA VERDE</t>
  </si>
  <si>
    <t>TECIDO PANAMARICANA - VENEZA LISTRADO</t>
  </si>
  <si>
    <t>TECIDO ISTAMBUL BRANCO</t>
  </si>
  <si>
    <t>BANQUETA MISCI01 PALHA NATURAL</t>
  </si>
  <si>
    <t>BANQUETA SEM APOIO MISCI01 PALHA NATURAL</t>
  </si>
  <si>
    <t>BERMUDAO D-20 BEGE</t>
  </si>
  <si>
    <t>BERMUDA ALFAIATARIA FEMININA OFF</t>
  </si>
  <si>
    <t>BERMUDA BROTO LINHO QUADRICULADA BEGE</t>
  </si>
  <si>
    <t>BERMUDA VICOSE OFF</t>
  </si>
  <si>
    <t>BERMUDA VICOSE VERDE</t>
  </si>
  <si>
    <t>BERMUDA PET VERDE</t>
  </si>
  <si>
    <t>BERMUDA MARROM</t>
  </si>
  <si>
    <t>BERMUDA VERDE</t>
  </si>
  <si>
    <t>BERMUDAO D-20 AZUL</t>
  </si>
  <si>
    <t>BERMUDA FLA LISTRADA - "</t>
  </si>
  <si>
    <t>BERMUDA FLA VERDE</t>
  </si>
  <si>
    <t>BERMUDA CINZA</t>
  </si>
  <si>
    <t>BERMUDA SARJA OFF</t>
  </si>
  <si>
    <t>BERMUDA ALGODAO LISTRA ROSA</t>
  </si>
  <si>
    <t>BERMUDAO MAMI AZUL</t>
  </si>
  <si>
    <t>BERMUDAO MAMI - GOIABA - "</t>
  </si>
  <si>
    <t>BERMUDAO MAMI VERDE</t>
  </si>
  <si>
    <t>BERMUDA MISCI + ESC AZUL</t>
  </si>
  <si>
    <t>BERMUDA MISCI + ESC VERDE</t>
  </si>
  <si>
    <t>BERMUDA AZUL</t>
  </si>
  <si>
    <t>BERMUDA ALFAIATARIA PEQUI AZUL</t>
  </si>
  <si>
    <t>BERMUDA ALFAIATARIA PEQUI VERDE</t>
  </si>
  <si>
    <t>BERMUDA LINHO MARROM</t>
  </si>
  <si>
    <t>BERMUDA PET OFF</t>
  </si>
  <si>
    <t>BERMUDA ALGODAO VERDE</t>
  </si>
  <si>
    <t>BERMUDA PET MARROM</t>
  </si>
  <si>
    <t>BLAZER ALFAIATARIA PHILO - 100% LA AZUL</t>
  </si>
  <si>
    <t>BLAZER ALFAIATARIA PHILO - 100% LA OFF</t>
  </si>
  <si>
    <t>BLUSA MANGA CURTA ELLE OFF</t>
  </si>
  <si>
    <t>BLUSA OFF</t>
  </si>
  <si>
    <t>BLUSAO RALADOR LISTRADO</t>
  </si>
  <si>
    <t>BLAZER ALFAIATARIA PANTU CHAMPAGNE -  "</t>
  </si>
  <si>
    <t>BLAZER ALFAIATARIA PANTU MARROM</t>
  </si>
  <si>
    <t>BLAZER ALFAIATARIA PEQUI AZUL</t>
  </si>
  <si>
    <t>BLAZER ALFAIATARIA PEQUI VERDE</t>
  </si>
  <si>
    <t>BLAZER ALFAIATARIA PHILO AZUL</t>
  </si>
  <si>
    <t>BLAZER ALFAIATARIA PHILO MARROM</t>
  </si>
  <si>
    <t>BLAZER ALFAIATARIA PHILO OFF</t>
  </si>
  <si>
    <t>BLAZER ALFAIATARIA PHILO - 100% LA VERMELHO</t>
  </si>
  <si>
    <t>BOLSA COURO BAMBOLE VERMELHA</t>
  </si>
  <si>
    <t>BOLSA COURO PEQUENA AZUL</t>
  </si>
  <si>
    <t>BOLSA COURO PEQUENA OFF</t>
  </si>
  <si>
    <t>BOLSA COURO PEQUENA JAMBO / VERMELHA</t>
  </si>
  <si>
    <t>CADEIRA UNI / MISCI01 COURO PRETO</t>
  </si>
  <si>
    <t>CADEIRA MISCI01 PALHA NATURAL</t>
  </si>
  <si>
    <t>CALCA ALFAIATARIA CLASSICA  FEMININA MARROM</t>
  </si>
  <si>
    <t>CALCA DE ALFAIATARIA CREPE OFF</t>
  </si>
  <si>
    <t>CALCA ALFAIATE MARROM</t>
  </si>
  <si>
    <t>CALCA ALFAIATARIA CLASSICA FEMININA BEGE</t>
  </si>
  <si>
    <t>CALCA ALFAIATARIA BEGE</t>
  </si>
  <si>
    <t>CALCA ALGODAO TREVO LISTRADA OFF</t>
  </si>
  <si>
    <t>CALCA SARJA AZUL</t>
  </si>
  <si>
    <t>CALCA JEANS AZUL</t>
  </si>
  <si>
    <t>CALCA JEANS INDIGO ARI - "</t>
  </si>
  <si>
    <t>CALCA SARJA OFF</t>
  </si>
  <si>
    <t>CALCA JEANS VERDE</t>
  </si>
  <si>
    <t>CALCA ALFAIATARIA BOIA CINZA</t>
  </si>
  <si>
    <t>CALCA VERDE</t>
  </si>
  <si>
    <t>CALCA AZUL</t>
  </si>
  <si>
    <t>CALCA MARROM</t>
  </si>
  <si>
    <t>CALCA OFF</t>
  </si>
  <si>
    <t>CALCA TWEED LISTRADA MARROM</t>
  </si>
  <si>
    <t>CALCA TWEED VERDE</t>
  </si>
  <si>
    <t>CALCA TWEED MESCLA MARINHO</t>
  </si>
  <si>
    <t>CALCA CINZA</t>
  </si>
  <si>
    <t>CALCA ALGODAO LISTRA ROSA</t>
  </si>
  <si>
    <t>CALCA VISCOSE MARROM</t>
  </si>
  <si>
    <t>CALCA VISCOSE VERDE</t>
  </si>
  <si>
    <t>CALCA MAMI FLAIRE GOIABA - "</t>
  </si>
  <si>
    <t>CALCA MAMI FLAIRE VERDE</t>
  </si>
  <si>
    <t>CALCA MOLETOM MINHOCAO AZUL</t>
  </si>
  <si>
    <t>CALCA MOLETOM MINHOCAO OFF</t>
  </si>
  <si>
    <t>CALCA MOLETOM MINHOCAO VERDE</t>
  </si>
  <si>
    <t>CALCA TERNO PHYLO AZUL</t>
  </si>
  <si>
    <t>CALCA TERNO PHYLO OFF</t>
  </si>
  <si>
    <t>CALCA RITA ALFAIATARIA FEMININA MARROM</t>
  </si>
  <si>
    <t>CALCA RITA ALFAIATARIA FEMININA OFF</t>
  </si>
  <si>
    <t>CALCA ALGODAO TREVO VERDE</t>
  </si>
  <si>
    <t>CAMISETA LISTRADA BEGE</t>
  </si>
  <si>
    <t>CAMISETA ALGODAO ROSA</t>
  </si>
  <si>
    <t>CAMISETA ALGODAO VERDE</t>
  </si>
  <si>
    <t>CAMISETA LISTRADA VERDE</t>
  </si>
  <si>
    <t>CAMISETA CARAMELO</t>
  </si>
  <si>
    <t>CAMISETA ALGODAO OFF</t>
  </si>
  <si>
    <t>CAMISETA BRANCA ESTAMPA LOGO MISCI DOURADO</t>
  </si>
  <si>
    <t>CAMISETA MOSSORO MARROM</t>
  </si>
  <si>
    <t>CAMISETA MOSSORO ROSA</t>
  </si>
  <si>
    <t>CAMISETA MOSSORO CORAL</t>
  </si>
  <si>
    <t>CAMISETA AZUL</t>
  </si>
  <si>
    <t>JAQUETA / CASACO ALFAIATARIA AZUL</t>
  </si>
  <si>
    <t>JAQUETA / CASACO ALFAIATARIA CINZA</t>
  </si>
  <si>
    <t>JAQUETA / CASACO ALFAIATARIA BOIA - "REF 06042" MARROM</t>
  </si>
  <si>
    <t>JAQUETA / CASACO ALFAIATARIA MARROM</t>
  </si>
  <si>
    <t>CHEMISE MODAL AZUL</t>
  </si>
  <si>
    <t>CHEMISE MODAL VERDE</t>
  </si>
  <si>
    <t>CHEMISE COM MANGA ALGODAO ROSA</t>
  </si>
  <si>
    <t>CHEMISE COM MANGA LINHO ROSA</t>
  </si>
  <si>
    <t>CHEMISE COM MANGA LINHO OFF</t>
  </si>
  <si>
    <t>CHEMISE SEM MANGA LINHO OFF</t>
  </si>
  <si>
    <t>CHEMISE COM MANGA ALGODAO AZUL</t>
  </si>
  <si>
    <t>CHINELO BITA DE COURO OFF</t>
  </si>
  <si>
    <t>CHINELO MISCIANE - MISCI + THERPOLL - FILTRO DE BARRO - TIRA SEM PO DE MADEIRA OFF</t>
  </si>
  <si>
    <t>CHINELO MISCIANE - MISCI + THERPOLL - ESTAMPA FILTRO AZUL</t>
  </si>
  <si>
    <t>CHINELO MISCIANE - MISCI + THERPOLL - FILTRO DE BARRO - TIRA COM PO DE MADEIRA MARROM</t>
  </si>
  <si>
    <t>CHINELO MISCIANE COM TIRA MARROM</t>
  </si>
  <si>
    <t>CHINELO MISCIANE COM TIRA VERDE</t>
  </si>
  <si>
    <t>CHINELO MISCIANE - MISCI + THERPOLL - ESTAMPA MISCI - TIRA COM PO DE MADEIRA MARROM</t>
  </si>
  <si>
    <t>CAMISA MANGA CURTA BRANCA PONTOS AZUIS AREIA</t>
  </si>
  <si>
    <t>CAMISA MANGA CURTA ALGODAO PIABA LISTRADA AZUL</t>
  </si>
  <si>
    <t>CAMISA MANGA CURTA ALGODAO PIABA LISTRADA VERMELHA</t>
  </si>
  <si>
    <t>CAMISA MANGA CURTA ALGA ORGANZA 100% SEDA ROSA</t>
  </si>
  <si>
    <t>CAMISA MANGA CURTA ALGA ORGANZA 100% SEDA VERDE</t>
  </si>
  <si>
    <t>CAMISA MANGA CURTA AMPLA AZUL</t>
  </si>
  <si>
    <t>CAMISA MANGA CURTA AMPLA BRANCO</t>
  </si>
  <si>
    <t>CAMISA MANGA CURTA BEGE</t>
  </si>
  <si>
    <t>CAMISA MANGA CURTA ALGODAO LISTRADO</t>
  </si>
  <si>
    <t>CAMISA MANGA CURTA BICOLOR AZUL</t>
  </si>
  <si>
    <t>CAMISA MANGA CURTA BICOLOR MARROM</t>
  </si>
  <si>
    <t>CAMISA MANGA CURTA LINHO CINZA</t>
  </si>
  <si>
    <t>CAMISA MANGA CURTA MARROM</t>
  </si>
  <si>
    <t>CAMISA MANGA CURTA VERDE</t>
  </si>
  <si>
    <t>CAMISA MANGA CURTA NATURAL</t>
  </si>
  <si>
    <t>CAMISA MANGA CURTA CINZA</t>
  </si>
  <si>
    <t>CAMISA MANGA CURTA XADREZ</t>
  </si>
  <si>
    <t>CAMISA MANGA CURTA MISCI ALGODAO AZUL</t>
  </si>
  <si>
    <t>CAMISA MANGA CURTA MISCI ALGODAO LISTRADA VERDE</t>
  </si>
  <si>
    <t>CAMISA MANGA CURTA MISCI ALGODAO VERMELHA</t>
  </si>
  <si>
    <t>CAMISA MANGA CURTA ORGANZA SEDA DANI ROSA</t>
  </si>
  <si>
    <t>CAMISA MANGA CURTA FEMININA - JAQUARD ALGODAO - NOIS CAPOTA MAS NAO BRECA - "</t>
  </si>
  <si>
    <t>CAMISA MANGA CURTA ALGODAO FILTRO DE BARRO FUNDO AZUL</t>
  </si>
  <si>
    <t>CAMISA MANGA CURTA PURO LINHO LADY CINZA</t>
  </si>
  <si>
    <t>CAMISA MANGA CURTA VISCOSE LISTRADA AZUL</t>
  </si>
  <si>
    <t>CAMISA MANGA CURTA MISCI LISTRADA MARROM</t>
  </si>
  <si>
    <t>CAMISA MANGA CURTA SEDA VERMELHO</t>
  </si>
  <si>
    <t>CAMISA MANGA CURTA ALGODAO AZUL</t>
  </si>
  <si>
    <t>CAMISA MANGA CURTA ALGODAO BEGE</t>
  </si>
  <si>
    <t>CAMISA MANGA CURTA ALGODAO MARROM</t>
  </si>
  <si>
    <t>CAMISA MANGA CURTA ALGODAO VERDE</t>
  </si>
  <si>
    <t>CAMISA MANGA CURTA LINHO - CABACA - BORDADA OFF</t>
  </si>
  <si>
    <t>CAMISA MANGA CURTA LINHO - CABACA OFF</t>
  </si>
  <si>
    <t>CAMISA MANGA CURTA LINHO - CABACA VERDE</t>
  </si>
  <si>
    <t>CAMISA MANGA CURTA LISA LINHO VERDE</t>
  </si>
  <si>
    <t>CAMISA MANGA CURTA ALGODAO LISTRADA CINZA</t>
  </si>
  <si>
    <t>CAMISA MANGA CURTA AZUL</t>
  </si>
  <si>
    <t>CAMISA MANGA CURTA MONOCOLOR VERDE</t>
  </si>
  <si>
    <t>CAMISA MANGA CURTA - MOQUECA AZUL</t>
  </si>
  <si>
    <t>CAMISA MANGA CURTA - MOQUECA LARANJA</t>
  </si>
  <si>
    <t>CAMISA MANGA CURTA LISTRADA VERDE</t>
  </si>
  <si>
    <t>CAMISA MANGA CURTA MISCI OFF</t>
  </si>
  <si>
    <t>CAMISA MANGA CURTA PET OFF</t>
  </si>
  <si>
    <t>CAMISA MANGA CURTA LINHO OFF</t>
  </si>
  <si>
    <t>CAMISA MANGA CURTA LISTRADA AZUL</t>
  </si>
  <si>
    <t>CAMISA MANGA CURTA VISCOSE BRANCA PONTOS VERMELHO</t>
  </si>
  <si>
    <t>CAMISA MANGA LONGA MISCI ALGODAO PIMA AZUL</t>
  </si>
  <si>
    <t>CAMISA MANGA CURTA OFF</t>
  </si>
  <si>
    <t>CAMISA MANGA LONGA BEGE</t>
  </si>
  <si>
    <t>CAMISA MANGA LONGA SEDA ROSA</t>
  </si>
  <si>
    <t>CAMISA MANGA LONGA SEDA VERDE</t>
  </si>
  <si>
    <t>CAMISA MANGA LONGA MISCI ALGODAO PIMA BRANCO</t>
  </si>
  <si>
    <t>CAMISA MANGA LONGA MISCI COM LAPELA VERDE</t>
  </si>
  <si>
    <t>CAMISA MANGA LONGA VISCOSE LISTRADA AZUL</t>
  </si>
  <si>
    <t>CAMISA MANGA LONGA LINHO - CABACA AZUL</t>
  </si>
  <si>
    <t>CAMISA MANGA LONGA LINHO - CABACA OFF</t>
  </si>
  <si>
    <t>CAMISA MANGA LONGA  LINHO OFF</t>
  </si>
  <si>
    <t>CAMISA MANGA LONGA BORDADA LINHO OFF</t>
  </si>
  <si>
    <t>CAMISA MANGA LONGA COM PREGAS AZUL</t>
  </si>
  <si>
    <t>CAMISA MANGA LONGA COM PREGAS VERDE</t>
  </si>
  <si>
    <t>CAMISA MANGA LONGA MISCI LISTRADA AZUL</t>
  </si>
  <si>
    <t>CAMISA MANGA LONGA MISCI AZUL</t>
  </si>
  <si>
    <t>CAMISA MANGA LONGA MISCI PESPONTO QUADRICULADA VERMELHO</t>
  </si>
  <si>
    <t>CAMISA MANGA LONGA LISTRADA ROSA</t>
  </si>
  <si>
    <t>CAMISA MANGA LONGA MISCI SEM LAPELA VERDE</t>
  </si>
  <si>
    <t>CAMISA MANGA LONGA ALGODAO CINZA</t>
  </si>
  <si>
    <t>CAMISA MANGA LONGA ALGODAO VERDE</t>
  </si>
  <si>
    <t>CAMISETA REGATA ALGODAO CINZA</t>
  </si>
  <si>
    <t>CAMISETA REGATA ALGODAO VERDE</t>
  </si>
  <si>
    <t>CAMISETA REGATA ALGODAO TELADO OFF</t>
  </si>
  <si>
    <t>COLETE D-20 AZUL</t>
  </si>
  <si>
    <t>COLETE D-20 BEGE</t>
  </si>
  <si>
    <t>DUST BAG MAINHAS OFF</t>
  </si>
  <si>
    <t>DUST BAG MAINHAS VERMELHA</t>
  </si>
  <si>
    <t>TAG - ETIQUETA DE ROUPA EM PAPEL CORTA E SILK BEGE</t>
  </si>
  <si>
    <t>TAG - ETIQUETA DE ROUPA EM PAPEL CORTA E SILK PRETO</t>
  </si>
  <si>
    <t>JAQUETA AZUL</t>
  </si>
  <si>
    <t>JAQUETA OFF</t>
  </si>
  <si>
    <t>JAQUETA VERDE</t>
  </si>
  <si>
    <t>JAQUETA ALFAIATARIA BEGE</t>
  </si>
  <si>
    <t>JAQUETA ALFAIATARIA VERDE</t>
  </si>
  <si>
    <t>MOCHILA COURO PRETO</t>
  </si>
  <si>
    <t>MEIAS VERMELHA</t>
  </si>
  <si>
    <t>MOLETOM OFF</t>
  </si>
  <si>
    <t>MOLETOM LOGO MISCI PRETO</t>
  </si>
  <si>
    <t>MOLETOM MINHOCAO AZUL</t>
  </si>
  <si>
    <t>MOLETOM MINHOCAO OFF</t>
  </si>
  <si>
    <t>MOLETOM MINHOCAO VERDE</t>
  </si>
  <si>
    <t>OCULOS BOLEIA X VENTURURA PRETO</t>
  </si>
  <si>
    <t>OCULOS BOLEIA X VENTURURA - TARTUGA MARROM</t>
  </si>
  <si>
    <t>POLO CANELADA VISCOSE AZUL</t>
  </si>
  <si>
    <t>POLO CANELADA VISCOSE OFF</t>
  </si>
  <si>
    <t>POLO CANELADA VISCOSE PRETO</t>
  </si>
  <si>
    <t>POLO CANELADA VISCOSE VERDE</t>
  </si>
  <si>
    <t>TECIDO PARAMOUNT AZUL</t>
  </si>
  <si>
    <t>TAMANCO PALHA NATURAL</t>
  </si>
  <si>
    <t>TECIDO CATAGUASES - CHAMBRAY CALANDRADO - TECIDO ALGODAO-TAFETA TF0157 - 100% ALGODAO BEGE</t>
  </si>
  <si>
    <t>TECIDO CATAGUASES - GALLES MERCERIZADO 100% ALGODAO  TAFETA BRANCO</t>
  </si>
  <si>
    <t>TECIDO CATAGUASES - GALLES MERCERIZADO - ALGODAO-TAFETA - TP015301 - 100% ALGODAO VERDE</t>
  </si>
  <si>
    <t>TECIDO CATAGUASES - BIARRITZ AMACIADO - ALGODAO-TAFETA - TF034011 - 100% ALGODAO AZUL</t>
  </si>
  <si>
    <t>SAIA ELLE OFF</t>
  </si>
  <si>
    <t>SAIA FENDA PANTU CHAMPAGNE -   "</t>
  </si>
  <si>
    <t>SAIA FENDA PANTU MARROM</t>
  </si>
  <si>
    <t>SAIA JACQUARD NOIS CAPOTA MAS NAO BRECA - "</t>
  </si>
  <si>
    <t>SAIA BEGE</t>
  </si>
  <si>
    <t>SAPATO MULE MISCI COURO OFF</t>
  </si>
  <si>
    <t>SAPATO MULE MISCI COURO PRETO</t>
  </si>
  <si>
    <t>SHORTINHOS DOSE AZUL</t>
  </si>
  <si>
    <t>SHORTINHOS DOSE VERDE</t>
  </si>
  <si>
    <t>SHORTS A FIO PEQUI AZUL</t>
  </si>
  <si>
    <t>SHORTS A FIO PEQUI VERDE</t>
  </si>
  <si>
    <t>SUETER TRICOT IRRE VERDE</t>
  </si>
  <si>
    <t>SUETER TRICOT IRRE BRANCO</t>
  </si>
  <si>
    <t>SUNGA MISCI + ESC VERDE</t>
  </si>
  <si>
    <t>TECIDO VICUNHA - WHITE OFF</t>
  </si>
  <si>
    <t>TECIDO VICUNHA - AMSTERDAM TECIDO CETIM 56% ALGODAO 43% MODAL 1% ELASTANO LAR G 1,46 METROS BEGE</t>
  </si>
  <si>
    <t>TECIDO BD - CANELADO - ARTIGO 70090.11 RIB 2 X 1 NA COR OFF WHITE</t>
  </si>
  <si>
    <t>TOP MAMI GOIABA - "</t>
  </si>
  <si>
    <t>TOP MAMI VERDE</t>
  </si>
  <si>
    <t>TOP MAMI TWEED DE SEDA - "</t>
  </si>
  <si>
    <t>TOP A FIO UNO AZUL</t>
  </si>
  <si>
    <t>TOP A FIO UNO VERDE</t>
  </si>
  <si>
    <t>TECIDO SANTA COSTANCIA -  RADIOSA PLUS (LD) - PRODUTOS ELLE - 81%VISCOSE 15%POLIAMIDA 4%ELASTANO OFF</t>
  </si>
  <si>
    <t>VESTIDO ALFAIATARIA PHILO MOSTARDA - "</t>
  </si>
  <si>
    <t>VESTIDO ALFAIATARIA PHILO GOIABA - "</t>
  </si>
  <si>
    <t>VESTIDO ALFAIATARIA PHILO MARROM</t>
  </si>
  <si>
    <t>VESTIDO ALFAIATARIA PHILO VERDE</t>
  </si>
  <si>
    <t>VESTIDO VERMELHO</t>
  </si>
  <si>
    <t>VESTIDO CUPRO VERDE</t>
  </si>
  <si>
    <t>VESTIDO AZUL</t>
  </si>
  <si>
    <t>VESTIDO ALGODA AZUL</t>
  </si>
  <si>
    <t>VESTIDO ALGODA OFF</t>
  </si>
  <si>
    <t>VESTIDO ALGODA PALHA CHE - "</t>
  </si>
  <si>
    <t>VESTIDO D-20 - ALGODAO - PALHA / OFF</t>
  </si>
  <si>
    <t>VESTIDO D-20 ALGODAO OFF</t>
  </si>
  <si>
    <t>VESTIDO D-20 - CUPRO VERDE</t>
  </si>
  <si>
    <t>VESTIDO REGATA TRICOT LISTRADO</t>
  </si>
  <si>
    <t>VESTIDO REGATA RETO ALGODAO AZUL</t>
  </si>
  <si>
    <t>VESTIDO TRICOT SAUVA VERMELHO</t>
  </si>
  <si>
    <t>VESTIDO TRICOT MARROM</t>
  </si>
  <si>
    <t>VESTIDO TRICOT VERDE</t>
  </si>
  <si>
    <t>VESTIDO MARROM</t>
  </si>
  <si>
    <t>000000000140160 - TECIDO SANTA CONSTANCIA - BOUCLE PLUS (CO2) - 57% POLIAMIDA 38% VISCOSE 5% VISCOSE - CHANTILLY (KG)</t>
  </si>
  <si>
    <t>TECIDO SANTA CONSTANCIA - BOUCLE PLUS (CO2) - 57% POLIAMIDA 38% VISCOSE 5% VISCOSE - CHANTILLY</t>
  </si>
  <si>
    <t>TECIDOS</t>
  </si>
  <si>
    <t>Misci - Mateus Grou</t>
  </si>
  <si>
    <t>Estoque próprio da empresa</t>
  </si>
  <si>
    <t>N/D</t>
  </si>
  <si>
    <t>00000000023450 - TECIDO SANTA  CONSTACIA - MODAL PLUS (CO2) 5577 - 83% MODAL + 12% POLIAMIDA + 5% ELASTANO - PRETO (KG)</t>
  </si>
  <si>
    <t>SANTACONSTANCIA</t>
  </si>
  <si>
    <t>000000000239135 - TECIDO SANTA CONSTANCIA - WAY BI STRETCH - 92% POLIAMIDA 8% ELASTANO - BRANCO (M)</t>
  </si>
  <si>
    <t>000000000240014 - TECIDO SANTA CONSTANCIA - FLUITY (CO2) A.O.P  - 87% POLIAMIDA 13% ELASTANO - OCRE VERME (KG)</t>
  </si>
  <si>
    <t>TECIDO SANTA CONSTANCIA - FLUITY (CO2) A.O.P  - 87% POLIAMIDA 13% ELASTANO - OCRE VERME</t>
  </si>
  <si>
    <t>00000000239541 - TECIDO SANTA CONSTANCIA - UP (CO2) SOFT A.O.P - 88% POLIAMIDA 12% ELASTANO - EXERCITO (KG)</t>
  </si>
  <si>
    <t>TECIDO SANTA CONSTANCIA - UP (CO2) SOFT A.O.P - 88% POLIAMIDA 12% ELASTANO - EXERCITO</t>
  </si>
  <si>
    <t>0000000235480 - TECIDO SANTA  CONSTACIA - MODAL PLUS (CO2) 5577 - 83% MODAL + 12% POLIAMIDA + 5% ELASTANO - OFF (KG)</t>
  </si>
  <si>
    <t>DI GRECCO</t>
  </si>
  <si>
    <t>000184 - TECIDO DI GRECCO - NUSA DG NOVA - ESTAMPADO FILTRO DE BARRO 02 - AZUL / BARRO (MT)</t>
  </si>
  <si>
    <t>00018400310133184OW001 - TECIDO DI GRECCO - NUSA DG ESTAMPADO 33184 - FILTRO DE BARRO - BERMUDA - 97% ALGODAO 3% ELASTANO (MT)</t>
  </si>
  <si>
    <t>TECIDO DI GRECCO - NUSA DG ESTAMPADO 33184 - FILTRO DE BARRO - BERMUDA - 97% ALGODAO 3% ELASTANO</t>
  </si>
  <si>
    <t>DI GRECOO</t>
  </si>
  <si>
    <t>0002005 - TAPETE BRASIL IMPUBERE - NIVEL 5 - 1 A 6 CORES BARRA DOBRADA - ESPECIAL - 3,00 X 1,50 M 1.5 X 3 A BARRA DOBRADA (M2)</t>
  </si>
  <si>
    <t>TAPETE BRASIL IMPUBERE - NIVEL 5 - 1 A 6 CORES BARRA DOBRADA - ESPECIAL - 3,00 X 1,50 M 1.5 X 3 A BARRA DOBRADA</t>
  </si>
  <si>
    <t>00024 - TECIDO GILDO - TEC W 10935 - 60% LINHO 40% ALGODAO - CASTANHO OURO (M)</t>
  </si>
  <si>
    <t>TECIDO GILDO - TEC W 10935 - 60% LINHO 40% ALGODAO - CASTANHO OURO</t>
  </si>
  <si>
    <t>0009J - TECIDO VEVETEX- CETIM LIGHT (100% SEDA)  - ESTAMPA IMPUBERE (M)</t>
  </si>
  <si>
    <t>TECIDO VEVETEX- CETIM LIGHT (100% SEDA)  - ESTAMPA IMPUBERE</t>
  </si>
  <si>
    <t>VEVETEX</t>
  </si>
  <si>
    <t>01101000191/000 - TECIDO STROBEL - TAFETA S/D/191 AL - 100% ACETATO - ROSE QUEIMADO (MT)</t>
  </si>
  <si>
    <t>STROBEL</t>
  </si>
  <si>
    <t>01107.00.097 - VELUDO CARAMELO - 100% ALGODAO (M)</t>
  </si>
  <si>
    <t>02014 - TECIDO GILDO - TIRELLA - 74% ALGODAO 26% POLIESTER - BEGE (M)</t>
  </si>
  <si>
    <t>02021 - TECIDO GILDO - TRCIOLINE TEC 4961 - 100% ALGODAO - LISTRADO (M)</t>
  </si>
  <si>
    <t>02150000102/000 - TECIDO STROBEL - SARJA S/D/102 - 100% ACETATO - CRU (MT)</t>
  </si>
  <si>
    <t>TECIDO STROBEL - SARJA S/D/102 - 100% ACETATO - CRU</t>
  </si>
  <si>
    <t>02150000106/000 - TECIDO STROBEL - SARJA S/D/106 VIC - 100% ACETATO - MARROM (MT)</t>
  </si>
  <si>
    <t>02150000107/000 - TECIDO STROBEL - SARJA S/D/107 ARE - 100% ACETATO - ROSE (MT)</t>
  </si>
  <si>
    <t>02150000122/000 - TECIDO STROBEL - SARJA S/D/122 AZU - 100% ACETATO - AZUL (MT)</t>
  </si>
  <si>
    <t>02150000139/000 - TECIDO STROBEL - SARJA S/D/139 KAK - 100% ACETATO - VERDE (MT)</t>
  </si>
  <si>
    <t>02150000194/000 - TECIDO STROBEL - SARJA S/D/194 ARE - 100% ACETATO - ROSE QUEIMADO (MT)</t>
  </si>
  <si>
    <t>048225T7000032011 - TECIDO INNOVATIV - Coconut - 100%ALGODAO 00032 - COR BEGE/NATURAL/CRU - (MT)</t>
  </si>
  <si>
    <t>INNOVATIV</t>
  </si>
  <si>
    <t>0L853000102/000 - TECIDO STROBEL - PONGEE 73G/M S/ - 100% POLIESTER - BEGE CLARO - DUST BAG (MT)</t>
  </si>
  <si>
    <t>10002120104 - TECIDO EVOLVE - COZY WHITE ASPARGUS - CRU/OFF/NATURAL - 92,11% viscose/7,89% poliester (MT)</t>
  </si>
  <si>
    <t>10002181142 - TECIDO EVOLVE - COZY CONHAQUE - 93% VISCOSE + 7% POLIESTER (MT)</t>
  </si>
  <si>
    <t>TECIDO EVOLVE - COZY CONHAQUE - 93% VISCOSE + 7% POLIESTER</t>
  </si>
  <si>
    <t>EVOLVE</t>
  </si>
  <si>
    <t>AVIAMETOS</t>
  </si>
  <si>
    <t>Show Room - Tamanas</t>
  </si>
  <si>
    <t>Produções e Eventos</t>
  </si>
  <si>
    <t>10110 - TECIDO DESIREE - LINHO BLUE FA -  COR PALHA (OFF) 9370-02 / 100% LINHO - BF-TC1207 (M)</t>
  </si>
  <si>
    <t>111019/6 - 380 - TECIDO WERNER - SEDA PURA 100% - SUDAO  - CARAMELO / MARROM / CAFE (M)</t>
  </si>
  <si>
    <t>WERNER</t>
  </si>
  <si>
    <t>111019/6--149 - TECIDO WERNER - SEDA PURA 100% - GRUTA AZUL X (149) (M)</t>
  </si>
  <si>
    <t>111019/6--564 - TECIDO WERNER - SEDA PURA 100% - NECTAR (564) (M)</t>
  </si>
  <si>
    <t>111019/6--703 - TECIDO WERNER - SEDA PURA 100% - LAMA (703) (M)</t>
  </si>
  <si>
    <t>111067 - TECIDO WERNER - SEDA PURA 100% - ROSA DA MANHA (548) (M)</t>
  </si>
  <si>
    <t>111067-O - TECIDO WERNER - SEDA PURA 100% - ORGANZA -PANTANAL (254) (M)</t>
  </si>
  <si>
    <t>111194 (2) - TECIDO WERNER - SEDA PURA 100%  - SATIN SILK PREMIUM- ROSA PORCELANA  (372) (M)</t>
  </si>
  <si>
    <t>111194 - TECIDO WERNER - SEDA PURA 100% - GIARDINO  - SATIN  SILK PREMIUM - VERDE ESCURO (284) (M)</t>
  </si>
  <si>
    <t>111194-706 - TECIDO WERNER - SEDA PURA 100% - CREPE DE CHINE LEVE  - BEGE (706) (M)</t>
  </si>
  <si>
    <t>111194-78 - TECIDO WERNER - SEDA PURA 100% -  SATIN SILK PREMIUM  - MARROM (78) (M)</t>
  </si>
  <si>
    <t>111199--284 - TECIDO WERNER - SEDA PURA 100%  - CREPE DE CHINA LEVE - GIARDINO (284) (M)</t>
  </si>
  <si>
    <t>111199-176 - TECIDO WERNER - SEDA PURA 100% - CREPE DE CHINE LEVE  - AZUL CLARO (176) (M)</t>
  </si>
  <si>
    <t>111199-427 - TECIDO WERNER - SEDA PURA 100% - CREPE DE CHINE LEVE - CERAMICA (427) (M)</t>
  </si>
  <si>
    <t>1141 - TECIDO GVALLONE - CHRISTIE TABACO  - 49% MODAL + 30% ALGODAO + 21% LINHO (M)</t>
  </si>
  <si>
    <t>11427 - TECIDO DESIREE - LINHO BLUE FA - COR BEGE (PEROLA) 9370-03/100% LINHO -  BF-TC1207 (M)</t>
  </si>
  <si>
    <t>11430 - TECIDO DESIREE - LINHO BLUE FA - COR NUDE (ROSA) 9370-06/100% LINHO - BF-TC1207 (M)</t>
  </si>
  <si>
    <t>1172 - TECIDO STROBEL - 100% ACETATO - LISTRADO (M)</t>
  </si>
  <si>
    <t>12 - GRAOS OFF (MT)</t>
  </si>
  <si>
    <t>122003 - 169 - TECIDO WERNER - 80% ACETATO 20% VISCOSE - CREPE LEGERE - AZUL (169) (M)</t>
  </si>
  <si>
    <t>122003 - 295 - TECIDO WERNER - 80% ACETATO 20% VISCOSE - CREPE LEGERE - VERDE  (295) (M)</t>
  </si>
  <si>
    <t>122003 - 431 - TECIDO WERNER - 80% ACETATO 20% VISCOSE - CREPE LEGERE - VERMELHO (431) (M)</t>
  </si>
  <si>
    <t>122003 - 748 - TECIDO WERNER - 80% ACETATO 20% VISCOSE - CREPE LEGERE - MARROM (748) (M)</t>
  </si>
  <si>
    <t>122041 - TECIDO WERNER - CREPE FLORA-  68% ACETATO 20% MODAL 12% LIOCEL  - CERAMICA COR 357 (MT)</t>
  </si>
  <si>
    <t>122041-295 - TECIDO WERNER - CREPE FLORA-  68% ACETATO 20% MODAL 12% LIOCEL  - VERDE MENTA (295) (MT)</t>
  </si>
  <si>
    <t>122041-745 - TECIDO WERNER - CREPE FLORA-  68% ACETATO 20% MODAL 12% LIOCEL  - MARROM (745) (MT)</t>
  </si>
  <si>
    <t>12220 - 295 - TECIDO WERNER - ESSENCE -  63%ACETATO 34%POLIAMIDA 3%ELASTANO - VERDE MENTA (295) (MT)</t>
  </si>
  <si>
    <t>12220 - 431 - TECIDO WERNER - ESSENCE-  63% ACETATO 34% POLIAMIDA 34% ELASTANO - VERMELHO (431) (MT)</t>
  </si>
  <si>
    <t>122220 - 169 - TECIDO WERNER - ESSENCE-  63% ACETATO 34% POLIAMIDA 34% ELASTANO - AZUL (169) (MT)</t>
  </si>
  <si>
    <t>122220 - 5000 - TECIDO WERNER - ESSENCE -  63%ACETATO 34%POLIAMIDA 3%ELASTANO - CREME 5000 (MT)</t>
  </si>
  <si>
    <t>122220 - 745 - TECIDO WERNER - ESSENCE -  63%ACETATO 34%POLIAMIDA 3%ELASTANO - MARROM (745) (MT)</t>
  </si>
  <si>
    <t>122220 - 746 - TECIDO WERNER - ESSENCE -  63%ACETATO 34%POLIAMIDA 3%ELASTANO - BEGE (746) (MT)</t>
  </si>
  <si>
    <t>122220 - TECIDO WERNER - ESSENCE-  63% ACETATO 34% POLIAMIDA 34% ELASTANO - LARANJA QUEIMADO (756) (MT)</t>
  </si>
  <si>
    <t>122448 - 169 - TECIDO WERNER - CREPE PATOU-  71%ACETATO 29% VISCOSE  - AZUL- COR 169 (MT)</t>
  </si>
  <si>
    <t>122448 - 745 - TECIDO WERNER - CREPE PATOU-  71%ACETATO 29% VISCOSE  - MARROM COR 745 (MT)</t>
  </si>
  <si>
    <t>122448 - TECIDO WERNER - CREPE PATOU-  71%ACETATO 29% VISCOSE  - BEGE - COR 746 (MT)</t>
  </si>
  <si>
    <t>12610004 - TECIDO CASTANHAL - 70% JUTA 30% ALGODAO - CRU (MT)</t>
  </si>
  <si>
    <t>1293000716R7 - TECIDO PARAMOUNT - TWILL FLANEL - 1293 - MARROM ESCURO (MT)</t>
  </si>
  <si>
    <t>141000-110084-1 - TECIDO WERNER - 100% LINHO - MOSTARDA  - FILTRO DE BARRO (M)</t>
  </si>
  <si>
    <t>141003--5000 - TECIDO WERNER - 100% LINHO - OFF (5000) (M)</t>
  </si>
  <si>
    <t>141003-180 - TECIDO WERNER - 100% LINHO - AZUL (180) (M)</t>
  </si>
  <si>
    <t>141003-299 - TECIDO WERNER - 100% LINHO - VERDE (299) (M)</t>
  </si>
  <si>
    <t>141003-748 - TECIDO WERNER - 100% LINHO - TABACO (748) (M)</t>
  </si>
  <si>
    <t>148172T7000129011 - TECIDO INNOVATIV - Guru - 100% ALGODAO 00129 - VERDE / OFF LISTRADO (MT)</t>
  </si>
  <si>
    <t>150002151218 - TECIDO EVOLVE - COTTONADE SEMOLINA - CRU - 87% VISCOSE + 12% ALGODAO (MT)</t>
  </si>
  <si>
    <t>15272CMB3 - FERRAGENS - CURSOR 5 METAL S/TRAVA RM! NIQUEL C C/VZ - CYKK5-MDFNT2 - CURSO DO ZIPER (UN)</t>
  </si>
  <si>
    <t>FERRAGENS</t>
  </si>
  <si>
    <t>15589 - TECIDO GVALLONE - CHRISTIE AZUL AMOSTRA - 49% MODAL + 30% ALGODAO + 21% LINHO (M)</t>
  </si>
  <si>
    <t>162014 - TECIDO WERNER - TRICOLINE MODAL STRETCH -  85%MODAL 11%POLIAMIDA 4%ELASTANO - CERAMICA COR 357 (MT)</t>
  </si>
  <si>
    <t>162555 - 433 - TECIDO WERNER - ALGODAO 52% VISCOSE 45% ELASTANO 3% - COTTON  STRETCH NATE - VERMELHO (433) (M)</t>
  </si>
  <si>
    <t>162555-- 169 - TECIDO WERNER - ALGODAO 52% VISCOSE 45% ELASTANO 3% - COTTON  STRETCH NATE - AZUL (169) (MT)</t>
  </si>
  <si>
    <t>162555-- 295 - TECIDO WERNER - ALGODAO 52% VISCOSE 45% ELASTANO 3% - COTTON  STRETCH NATE - VERDE MENTA (295) (MT)</t>
  </si>
  <si>
    <t>191003-- 169 - TECIDO WERNER - 100% MODAL - BELLA MODAL - AZUL (MT)</t>
  </si>
  <si>
    <t>191003--5000 - TECIDO WERNER - 100% MODAL - BELLA MODAL - BRANCO / OFF (MT)</t>
  </si>
  <si>
    <t>192026-- 299 - TECIDO WERNER - CUPRO 57% MODAL 43% - AVA - VERDE (299) (MT)</t>
  </si>
  <si>
    <t>192026-- 357 - TECIDO WERNER - CUPRO 57% MODAL 43% - AVA - TERRACOTA (357) (MT)</t>
  </si>
  <si>
    <t>2150--131 - TECIDO STROBEL - SARJA S/D 131 - 100% ACETATO - VERMELHO (M)</t>
  </si>
  <si>
    <t>2202253026 - TECIDO BUDI - MOLETON FLEECE GD-100%ALGODAO (KG)</t>
  </si>
  <si>
    <t>BUDI</t>
  </si>
  <si>
    <t>HJ</t>
  </si>
  <si>
    <t>2425FT0103 - TECIDO FIOBOM - MINI-QUADRICULADO BEGE E OFF -  2425 FT DES 01 COR 03 - 100% LINHO (M)</t>
  </si>
  <si>
    <t>2569 - TECIDO GVALLONE - NASSAU 10995 - VERDE (MT)</t>
  </si>
  <si>
    <t>2700260154 - TECIDO BUDI - CANELADO PUNHO 2X1  COR MESCLA COTTON - 86% ALGODAO 2% ELASTANO12% POLIESTER (KG)</t>
  </si>
  <si>
    <t>2700903026 - TECIDO BUDI - RIB 2X1 C/ELAST-98%ALGODAO2%ELASTANO-GD COR OFF - PUNHO / BARRA (KG)</t>
  </si>
  <si>
    <t>2700905274 - TECIDO BUDI - CANELADO RIB 2X1 C/ELAST COR BRANCO DM-  98% ALGODAO 2% ELASTANO (KG)</t>
  </si>
  <si>
    <t>2700909956 - TECIDO BUDI - CANELADO RIB 2X1 C/ELAST COR PRETA -  98% ALGODAO 2% ELASTANO (KG)</t>
  </si>
  <si>
    <t>2700909956-OFF - TECIDO BUDI - CANELADO RIB 2X1 C/ELAST COR OFF WHITE -  98% ALGODAO 2% ELASTANO (KG)</t>
  </si>
  <si>
    <t>28798CMB2 - FERRAGENS - MOSQUETAO INJETADO #NIQUEL BC/VZ - 104T16-1 - PRENDEDOR COM MOLA (UN)</t>
  </si>
  <si>
    <t>3047003000101 - TECIDO JB - ANTUERPIA (V)  BRANCO COM PONTINHOS (M)</t>
  </si>
  <si>
    <t>JBESAN</t>
  </si>
  <si>
    <t>G.VALLONE</t>
  </si>
  <si>
    <t>3369 - TECIDO GVALLONE - KUMARI W299 - VERDE - 50% ALGODAO + 30% MODAL + 20% LINHO (MT)</t>
  </si>
  <si>
    <t>34732 - TECIDO DI GRECCO - SILK LIGHT ESTAMPADO ROSA CENTRALIZADA - 70% ALGODAO 30% SEDA (MT)</t>
  </si>
  <si>
    <t>34733 - TECIDO DI GRECCO - ESTAMPA ROSAS - 100% ALGODAO (MT)</t>
  </si>
  <si>
    <t>34734 - TECIDO DI GRECCO - ESTAMPA FUXICO LANCHES - 100% ALGODAO (MT)</t>
  </si>
  <si>
    <t>34735 - TECIDO DI GRECCO - ESTAMPA KAMA SUTRA - 100% ALGODAO (MT)</t>
  </si>
  <si>
    <t>4009111709Q3 - TECIDO PARAMOUNT - TROPICAL LEVE - 4009 - MARROM COM RISCA DE GIZ (MT)</t>
  </si>
  <si>
    <t>4157000774Q3 - TECIDO PARAMOUNT - GABARDINE SUPER 120 S - 4157 - MARROM CLARO / BEGE (MT)</t>
  </si>
  <si>
    <t>4157000868Q3 - TECIDO PARAMOUNT - GABARDINE SUPER 120 S - 4157 - AZUL ESCURO (MT)</t>
  </si>
  <si>
    <t>FIOBOM</t>
  </si>
  <si>
    <t>4645 - TECIDO GVALLONE - MAXICOTTON - 67% VISCOSE 33% ALGODAO - GOIABA (MT)</t>
  </si>
  <si>
    <t>48256CMB2 - FERRAGENS - PIGENTE INJETADO #NIQUEL B C/VZ - GI6020-13 - GRANDE (UN)</t>
  </si>
  <si>
    <t>48424CMB2 - FERRAGENS - PIGENTE INJETADO #NIQUEL B C/VZ - GI6020-14 - PEQUENO (UN)</t>
  </si>
  <si>
    <t>4921021009998 - TECIDO JB - C.ST.BOTONE (FL)  PT (PR. P/TINGIR LISO) - LISTRADO NUDE COM CINZA/AZUL PESPONTO (M)</t>
  </si>
  <si>
    <t>52308C8654 - FERRAGENS - ENFEITE INJETADO SILVER FROST - EI5021/32% - BOTAO 23MM (UN)</t>
  </si>
  <si>
    <t>5258003009998 - TECIDO JB - C.S.BLACK (MR/TB/PE)  PT (PR. P/TINGIR LISO) - PRETO COM LISTRAS BRANCA TAPETE (M)</t>
  </si>
  <si>
    <t>JBESEN</t>
  </si>
  <si>
    <t>5286001009998 - TECIDO JB - COTTON FLAME PT (PR. P/TINGIR LISO) - LISTRA CRU (M)</t>
  </si>
  <si>
    <t>5363007009998 - TECIDO JB - C.S.LINEN (V/FM)  PT (PR. P/TINGIR LISO) - CRU COM LISTRAS ROSAS E VERMELHAS (M)</t>
  </si>
  <si>
    <t>542157 - TECIDO GVALLONE - MAXICOTTON -  67% VISCOSE 33% ALGODAO - OFF WHITE (MT)</t>
  </si>
  <si>
    <t>561397 - TECIDO GVALLONE - COCONUT LISTRA MISCI HORT/BORDO/PRETO/OFF  - 100% ALGODAO (M)</t>
  </si>
  <si>
    <t>5695321 - TECIDO GVALLONE - COCONUT MESCLA OFF/MARINHO - 68% VISCOSE 30% ALGODAO 2% METAL (MT)</t>
  </si>
  <si>
    <t>586-00773 - PILOTO TECIDO HJ - BELISSIMO 82% VISCOSE + 14% LINHO + 4% ELASTANO - REND 4,4 - PABLO LISO MARROM TELHA (KG)</t>
  </si>
  <si>
    <t>5913 - TECIDO GVALLONE - MAXINE ALFAIATARIA - 100% VISVOSE - MARROM 18-1018 (MT)</t>
  </si>
  <si>
    <t>59672700813 - TECIDO GVALLONE - KUMARI - NATURAL - 50% ALGODAO + 30% MODAL + 20% LINHO (M)</t>
  </si>
  <si>
    <t>6010 - Rolo de etiquetas tag adesiva com serrilha 35mm x 50mm x 33 colunas - 36 Metros (1440 etiquetas) (UN)</t>
  </si>
  <si>
    <t>6555 - TECIDO GVALLONE - CHRISTIE 10881 - VERDE - 49% MODAL + 30% ALGODAO + 21% LINHO (M)</t>
  </si>
  <si>
    <t>659362 - TECIDO GVALLONE - NUSA - VERMELHO - 100% ALGODAO (M)</t>
  </si>
  <si>
    <t>6733008009998 - TECIDO JB - BOTONE BLACK (ML)  PT (PR. P/TINGIR LISO) - PRETO COM PONTINHOS BRANCO (M)</t>
  </si>
  <si>
    <t>6892470 - TECIDO GVALLONE - MAXINE ALFAIATARIA - 100% VISCOSE - OFF - (0002) (MT)</t>
  </si>
  <si>
    <t>7013388705R7 - TECIDO PARAMOUNT - PRUNEL SUPER LEVE 120 S  - 100% LA -  CINZA E LILAS (705) (M)</t>
  </si>
  <si>
    <t>703 - CARRINHO BAR CARRIOLA (UN)</t>
  </si>
  <si>
    <t>7065015717R7 - TECIDO PARAMOUNT - PRUNEL S 100 - 100% LA - MARROM C/ FUNDO VINHO (717) (M)</t>
  </si>
  <si>
    <t>7097007009998 - TECIDO JB - P.F.MESCLA (V/FM)  PT (PR. P/TINGIR LISO) - LISTRADO ROSA - VERMELHO E LISTRA FINA CRU (M)</t>
  </si>
  <si>
    <t>7213 - TECIDO GV - MADONNA 100% ALGODAO PRETO (MT)</t>
  </si>
  <si>
    <t>7275 - TECIDO EVOLVE - COZY HERB - VERDE - 93% VISCOSE + POLIESTER (MT)</t>
  </si>
  <si>
    <t>791-01765 - PILOTO TECIDO HJ - TIM 64% MODAL+ 28% LINHO + 9% VISCOSE - REND 4,6 - ESLOVA BEGE COM LISTRA MARROM (KG)</t>
  </si>
  <si>
    <t>8157000003Q3 - TECIDO PARAMOUNT - GABARDINE S'120 - OFF (MT)</t>
  </si>
  <si>
    <t>8257015009998 - TECIDO JB - N.S.BOTONE  PT (PR. P/TINGIR LISO) - OFF COM PONTOS AZUIS PEQUENO (M)</t>
  </si>
  <si>
    <t>J.BESAN</t>
  </si>
  <si>
    <t>8342003009998 - TECIDO JB - N.S.BOTONE (TB)  PT (PR. P/TINGIR LISO) - NUDE AVERMELHADO (M)</t>
  </si>
  <si>
    <t>8342013009998 - TECIDO JB - N.S.BOTONE (J)  PT (PR. P/TINGIR LISO) - VERDE NUDE CLARINHO (M)</t>
  </si>
  <si>
    <t>8354001009998 - TECIDO JB -  NATURE SOFT  PT (PR. P/TINGIR LISO)  - OFF COM LISTRAS ALTO RELEVO - 100% ALGODAO (M)</t>
  </si>
  <si>
    <t>J BESAN</t>
  </si>
  <si>
    <t>8412022701I3 - TECIDO PARAMOUNT - PRUNEL BI-STRETCH - 8412 -ESCURO COM RISCA DE GIZ PESPONTO (MT)</t>
  </si>
  <si>
    <t>847-02013 - PILOTO TECIDO HJ - SUPER BELISSIMO 84% VISCOSE + 12% LINHO + 4% ELASTANO - REND 4,4 - CRU OFF COM PONTOS PRETOS (KG)</t>
  </si>
  <si>
    <t>8589027701Q3 - TECIDO PARAMOUNT - TWILL BISTRETCH - 8589 - CINZA BORDADO BRANCO (MT)</t>
  </si>
  <si>
    <t>90326.523.36 - BOTAO 90326 TAM.36 RP - COR.523 (PC)</t>
  </si>
  <si>
    <t>9032624.515 - BOTAO 90326 TAM.24 RP - COR.515 (PC)</t>
  </si>
  <si>
    <t>9032624.523 - BOTAO 90326 TAM.24 RP - COR.523 (PC)</t>
  </si>
  <si>
    <t>9032636.520 - BOTAO 90326 TAM.36 RP - COR.520 (PC)</t>
  </si>
  <si>
    <t>914527 - TECIDO GVALLONE - NUSA - BEGE- 100% ALGODAO (M)</t>
  </si>
  <si>
    <t>926581 - TECIDO GVALLONE - NUSA - CASTOR- 100% ALGODAO (M)</t>
  </si>
  <si>
    <t>963567 - TECIDO GVALLONE - COLLINE MARRON AMOSTRA (MT)</t>
  </si>
  <si>
    <t>A448030002 - TECIDO PANAMARICANA - VENEZA LISTRADO VERDE / BRANCO E AZUL - 54% ALGODAO + 46% VISCOSE (M)</t>
  </si>
  <si>
    <t>A491720004 - TECIDO ISTAMBUL - ACINZENTADO (M)</t>
  </si>
  <si>
    <t>A491722000 - TECIDO ISTAMBUL - BRANCO (M)</t>
  </si>
  <si>
    <t>ARG-PUB-LAT-18K-G - ARGOLA ABERTURA PUBI GRANDE - BANHO  OURO 18K - PAR (PARES)</t>
  </si>
  <si>
    <t>ACESSÓRIOS</t>
  </si>
  <si>
    <t>ARG-PUB-LAT-18K-P - ARGOLA ABERTURA PUBI PEQUENA - BANHO  OURO 18K - PAR (PARES)</t>
  </si>
  <si>
    <t>ARG-SON-LAT-18K-G - ARGOLA SONALY GRANDE - BANHO  OURO 18K - PAR (PARES)</t>
  </si>
  <si>
    <t>BAN-MIS-COU-WHI-G - BANQUETA MISCI01 COURO WHISKY - "G" (PC)</t>
  </si>
  <si>
    <t>CASA</t>
  </si>
  <si>
    <t>BAN-MIS-COU-WHI-P - BANQUETA MISCI01 COURO WHISKY - "P" (PC)</t>
  </si>
  <si>
    <t>BAN-MIS-PAL-JEQ-G - BANQUETA MISCI01 PALHA NATURAL (RATAN) E MADEIRA JEQUITIBA - "G" (PC)</t>
  </si>
  <si>
    <t>BAN-MIS-PAL-JEQ-P - BANQUETA MISCI01 PALHA NATURAL (RATANE) MADEIRA JEQUITIBA - "P" (PC)</t>
  </si>
  <si>
    <t>BAN-MIS-PAL-JEQ-SA - BANQUETA SEM APOIO MISCI01 PALHA NATURAL (RATAN) MADEIRA JEQUITIBA - "P" (PC)</t>
  </si>
  <si>
    <t>BAR-CAR-MAD-JEQ - BAR CARRIOLA COM MADEIRA JEQUITIBA (UN)</t>
  </si>
  <si>
    <t>BER-ALF-D20-BEG-PIL - BERMUDAO D-20 - BEGE - "PILOTO" (PC)</t>
  </si>
  <si>
    <t>BERMUDA</t>
  </si>
  <si>
    <t>BER-ALF-FEM-OFF-PIL - BERMUDA ALFAIATARIA FEMININA OFF - "PILOTO" (PC)</t>
  </si>
  <si>
    <t>BER-BRO-LIN-BEG-36 - BERMUDA BROTO LINHO QUADRICULADA BEGE - "36" (PC)</t>
  </si>
  <si>
    <t>BER-BRO-LIN-BEG-38 - BERMUDA BROTO LINHO QUADRICULADA BEGE - "38" (PC)</t>
  </si>
  <si>
    <t>BER-BRO-LIN-BEG-40 - BERMUDA BROTO LINHO QUADRICULADA BEGE - "40" (PC)</t>
  </si>
  <si>
    <t>BER-BRO-LIN-BEG-42 - BERMUDA BROTO LINHO QUADRICULADA BEGE - "42" (PC)</t>
  </si>
  <si>
    <t>BER-BRO-LIN-BEG-44 - BERMUDA BROTO LINHO QUADRICULADA BEGE - "44" (PC)</t>
  </si>
  <si>
    <t>BER-BRO-LIN-BEG-46 - BERMUDA BROTO LINHO QUADRICULADA BEGE - "46" (PC)</t>
  </si>
  <si>
    <t>BER-BRO-VIS-CON-G - BERMUDA VICOSE CONHAQUE BROTO - "G" (PC)</t>
  </si>
  <si>
    <t>BER-BRO-VIS-CON-GG - BERMUDA VICOSE CONHAQUE BROTO - "GG" (PC)</t>
  </si>
  <si>
    <t>BER-BRO-VIS-CON-M - BERMUDA VICOSE CONHAQUE BROTO - "M" (PC)</t>
  </si>
  <si>
    <t>BER-BRO-VIS-CON-P - BERMUDA VICOSE CONHAQUE BROTO - "P" (PC)</t>
  </si>
  <si>
    <t>BER-BRO-VIS-OFF-G - BERMUDA VICOSE OFF BROTO - "G" (PC)</t>
  </si>
  <si>
    <t>BER-BRO-VIS-OFF-GG - BERMUDA VICOSE OFF BROTO - "GG" (PC)</t>
  </si>
  <si>
    <t>BER-BRO-VIS-OFF-M - BERMUDA VICOSE OFF BROTO - "M" (PC)</t>
  </si>
  <si>
    <t>BER-BRO-VIS-OFF-P - BERMUDA VICOSE OFF BROTO - "P" (PC)</t>
  </si>
  <si>
    <t>BER-BRO-VIS-VRD-G - BERMUDA VICOSE VERDE BROTO - "G" (PC)</t>
  </si>
  <si>
    <t>BER-BRO-VIS-VRD-GG - BERMUDA VICOSE VERDE BROTO - "GG" (PC)</t>
  </si>
  <si>
    <t>BER-BRO-VIS-VRD-M - BERMUDA VICOSE VERDE BROTO - "M" (PC)</t>
  </si>
  <si>
    <t>BER-BRO-VIS-VRD-P - BERMUDA VICOSE VERDE BROTO - "P" (PC)</t>
  </si>
  <si>
    <t>Loja Pinga - Rua da Consolação</t>
  </si>
  <si>
    <t>Estoque próprio da empresa em poder de terceiros</t>
  </si>
  <si>
    <t>BER-CAD-LIN-MAR-G - BERMUDA  MARROM CADEIRA DE PRAIA - "G'' (PC)</t>
  </si>
  <si>
    <t>BER-CAD-LIN-VRD-G - BERMUDA  VERDE CADEIRA DE PRAIA - "G" (PC)</t>
  </si>
  <si>
    <t>BER-CAD-LIN-VRD-P - BERMUDA  VERDE CADEIRA DE PRAIA - "P" (PC)</t>
  </si>
  <si>
    <t>BER-D20-ALG-AZU-36 - BERMUDAO D-20 - AZUL KUMARI - "PILOTO" (PC)</t>
  </si>
  <si>
    <t>BER-D20-ALG-BEG-36 - BERMUDAO D-20 - BEGE - "36" (PC)</t>
  </si>
  <si>
    <t>BER-D20-ALG-BEG-38 - BERMUDAO D-20 - BEGE - "38" (PC)</t>
  </si>
  <si>
    <t>BER-D20-ALG-BEG-40 - BERMUDAO D-20 - BEGE - "40" (PC)</t>
  </si>
  <si>
    <t>BER-D20-ALG-BEG-42 - BERMUDAO D-20 - BEGE - "42" (PC)</t>
  </si>
  <si>
    <t>BER-D20-ALG-BEG-44 - BERMUDAO D-20 - BEGE - "44" (PC)</t>
  </si>
  <si>
    <t>BER-D20-AML-AZU-36 - BERMUDAO D-20 - AZUL KUMARI - "36" (PC)</t>
  </si>
  <si>
    <t>BER-D20-AML-AZU-38 - BERMUDAO D-20 - AZUL KUMARI - "38" (PC)</t>
  </si>
  <si>
    <t>BER-D20-AML-AZU-40 - BERMUDAO D-20 - AZUL KUMARI - "40" (PC)</t>
  </si>
  <si>
    <t>BER-D20-AML-AZU-42 - BERMUDAO D-20 - AZUL KUMARI - "42" (PC)</t>
  </si>
  <si>
    <t>BER-D20-AML-AZU-44 - BERMUDAO D-20 - AZUL KUMARI - "44" (PC)</t>
  </si>
  <si>
    <t>BER-FLA-ALG-MAR-PIL - BERMUDA FLA LISTRADA - "PILOTO" (PC)</t>
  </si>
  <si>
    <t>CALÇAS</t>
  </si>
  <si>
    <t>BER-FLA-ALG-VRD-PIL - BERMUDA FLA VERDE- "PILOTO" (PC)</t>
  </si>
  <si>
    <t>BER-GIZ-POL-CIN-G - BERMUDA CINZA GIZ  - "G" (PC)</t>
  </si>
  <si>
    <t>BER-GIZ-POL-CIN-M - BERMUDA CINZA GIZ  - "M" (PC)</t>
  </si>
  <si>
    <t>BER-GIZ-POL-CIN-P - BERMUDA CINZA GIZ  - "P" (PC)</t>
  </si>
  <si>
    <t>BER-JUN-ALG-OFF-G - BERMUDA SARJA OFF JUNHO - "G" (PC)</t>
  </si>
  <si>
    <t>BER-JUN-ALG-OFF-GG - BERMUDA SARJA OFF JUNHO - "GG" (PC)</t>
  </si>
  <si>
    <t>BER-JUN-ALG-OFF-M - BERMUDA SARJA OFF JUNHO - "M' (PC)</t>
  </si>
  <si>
    <t>BER-JUN-ALG-OFF-P - BERMUDA SARJA OFF JUNHO - "P'' (PC)</t>
  </si>
  <si>
    <t>BER-LAI-ALG-CRU-G - BERMUDA ALGODAO LISTRA CRU LAI - "G" (PC)</t>
  </si>
  <si>
    <t>BER-LAI-ALG-CRU-M - BERMUDA ALGODAO LISTRA CRU LAI - "M" (PC)</t>
  </si>
  <si>
    <t>BER-LAI-ALG-CRU-P - BERMUDA ALGODAO LISTRA CRU LAI - "P" (PC)</t>
  </si>
  <si>
    <t>BER-LAI-ALG-ROS-G - BERMUDA ALGODAO LISTRA ROSA LAI - "G" (PC)</t>
  </si>
  <si>
    <t>BER-LAI-ALG-ROS-M - BERMUDA ALGODAO LISTRA ROSA LAI - "M" (PC)</t>
  </si>
  <si>
    <t>BER-LAI-ALG-ROS-P - BERMUDA ALGODAO LISTRA ROSA LAI - "P" (PC)</t>
  </si>
  <si>
    <t>BER-MAM-ALG-AZU-PIL - BERMUDAO MAMI - AZUL LISO - "PILOTO" (PC)</t>
  </si>
  <si>
    <t>BER-MAM-ALG-GOI-PIL - BERMUDAO MAMI - GOIABA - "PILOTO" (PC)</t>
  </si>
  <si>
    <t>BER-MAM-ALG-VRD-PIL - BERMUDAO MAMI - VERDE MENTA - "PILOTO" (PC)</t>
  </si>
  <si>
    <t>BER-MAR-ALG-VRD-G - BERMUDA VERDE FLORESTA MARCAO - "G" (PC)</t>
  </si>
  <si>
    <t>BER-MAR-ALG-VRD-GG - BERMUDA VERDE FLORESTA MARCAO - "GG" (PC)</t>
  </si>
  <si>
    <t>BER-MAR-ALG-VRD-M - BERMUDA VERDE FLORESTA MARCAO - "M'' (PC)</t>
  </si>
  <si>
    <t>BER-MAR-ALG-VRD-P - BERMUDA VERDE FLORESTA MARCAO - "P'' (PC)</t>
  </si>
  <si>
    <t>BER-MIS-POE-AZU-G - BERMUDA MISCI + ESC - AZUL - "G" (PC)</t>
  </si>
  <si>
    <t>COLABORAÇÃO</t>
  </si>
  <si>
    <t>BER-MIS-POE-AZU-M - BERMUDA MISCI + ESC - AZUL - "M" (PC)</t>
  </si>
  <si>
    <t>BER-MIS-POE-AZU-P - BERMUDA MISCI + ESC - AZUL - "P" (PC)</t>
  </si>
  <si>
    <t>BER-MIS-POE-AZU-PP - BERMUDA MISCI + ESC - AZUL - "PP" (PC)</t>
  </si>
  <si>
    <t>BER-MIS-POE-VRD-G - BERMUDA MISCI + ESC - VERDE - "G" (PC)</t>
  </si>
  <si>
    <t>BER-MIS-POE-VRD-M - BERMUDA MISCI + ESC - VERDE - "M" (PC)</t>
  </si>
  <si>
    <t>BER-MIS-POE-VRD-P - BERMUDA MISCI + ESC - VERDE - "P" (PC)</t>
  </si>
  <si>
    <t>BER-MIS-POE-VRD-PP - BERMUDA MISCI + ESC - VERDE - "PP" (PC)</t>
  </si>
  <si>
    <t>BER-MOD-MOD-AZU-P - BERMUDA AZUL MODAL - "P'' (PC)</t>
  </si>
  <si>
    <t>BER-MOD-MOD-VRD-G - BERMUDA VERDE MODAL - "G" (PC)</t>
  </si>
  <si>
    <t>BER-MOD-MOD-VRD-M - BERMUDA VERDE MODAL - "M" (PC)</t>
  </si>
  <si>
    <t>BER-MOD-MOD-VRD-P - BERMUDA VERDE MODAL - "P'' (PC)</t>
  </si>
  <si>
    <t>BER-PEQ-AVE-AZU-PIL - BERMUDA ALFAIATARIA PEQUI AZUL - "PILOTO" (PC)</t>
  </si>
  <si>
    <t>BER-PEQ-AVE-VRD-PIL - BERMUDA ALFAIATARIA PEQUI VERDE - "PILOTO" (PC)</t>
  </si>
  <si>
    <t>BER-ZEB-PET-MAR-G - BERMUDA PET MARROM ZEBA - "G'' (PC)</t>
  </si>
  <si>
    <t>BER-ZEB-PET-MAR-M - BERMUDA PET MARROM ZEBA - "M'' (PC)</t>
  </si>
  <si>
    <t>BER-ZEB-PET-MAR-P - BERMUDA PET MARROM ZEBA  - "P'' (PC)</t>
  </si>
  <si>
    <t>BIQ-MIS-POE-CER-G - BIQUINI MISCI + ESC - CERAMICA - "G" (PC)</t>
  </si>
  <si>
    <t>BIQ-MIS-POE-CER-GG - BIQUINI MISCI + ESC - CERAMICA - "GG" (PC)</t>
  </si>
  <si>
    <t>BIQ-MIS-POE-CER-M - BIQUINI MISCI + ESC - CERAMICA - "M" (PC)</t>
  </si>
  <si>
    <t>BIQ-MIS-POE-CER-P - BIQUINI MISCI + ESC - CERAMICA - "P" (PC)</t>
  </si>
  <si>
    <t>BLA-PHI-LA-AZU-36 - BLAZER ALFAIATARIA PHILO - 100% LA - AZUL - "36" (PC)</t>
  </si>
  <si>
    <t>ALFAIATARIA</t>
  </si>
  <si>
    <t>BLA-PHI-LA-AZU-38 - BLAZER ALFAIATARIA PHILO - 100% LA - AZUL - "38" (PC)</t>
  </si>
  <si>
    <t>BLA-PHI-LA-AZU-40 - BLAZER ALFAIATARIA PHILO - 100% LA - AZUL - "40" (PC)</t>
  </si>
  <si>
    <t>BLA-PHI-LA-AZU-42 - BLAZER ALFAIATARIA PHILO - 100% LA - AZUL - "42" (PC)</t>
  </si>
  <si>
    <t>BLA-PHI-LA-AZU-44 - BLAZER ALFAIATARIA PHILO - 100% LA - AZUL - "44" (PC)</t>
  </si>
  <si>
    <t>BLA-PHI-LA-AZU-46 - BLAZER ALFAIATARIA PHILO - 100% LA - AZUL - "46" (PC)</t>
  </si>
  <si>
    <t>BLA-PHI-LA-OFF-36 - BLAZER ALFAIATARIA PHILO - 100% LA - OFF - "36" (PC)</t>
  </si>
  <si>
    <t>BLA-PHI-LA-OFF-38 - BLAZER ALFAIATARIA PHILO - 100% LA - OFF - "38" (PC)</t>
  </si>
  <si>
    <t>BLA-PHI-LA-OFF-40 - BLAZER ALFAIATARIA PHILO - 100% LA - OFF - "40" (PC)</t>
  </si>
  <si>
    <t>BLA-PHI-LA-OFF-42 - BLAZER ALFAIATARIA PHILO - 100% LA - OFF - "42" (PC)</t>
  </si>
  <si>
    <t>BLA-PHI-LA-OFF-44 - BLAZER ALFAIATARIA PHILO - 100% LA - OFF - "44" (PC)</t>
  </si>
  <si>
    <t>BLA-PHI-LA-OFF-46 - BLAZER ALFAIATARIA PHILO - 100% LA - OFF - "46" (PC)</t>
  </si>
  <si>
    <t>BLU-ELL-MPE-OFF-G - BLUSA MANGA CURTA ELLE OFF - "G" (PC)</t>
  </si>
  <si>
    <t>MOLETOM</t>
  </si>
  <si>
    <t>BLU-ELL-MPE-OFF-GG - BLUSA MANGA CURTA ELLE OFF - "GG" (PC)</t>
  </si>
  <si>
    <t>BLU-ELL-MPE-OFF-M - BLUSA MANGA CURTA ELLE OFF - "M" (PC)</t>
  </si>
  <si>
    <t>BLU-ELL-MPE-OFF-P - BLUSA MANGA CURTA ELLE OFF - "P" (PC)</t>
  </si>
  <si>
    <t>BLU-ELL-MPE-OFF-PP - BLUSA MANGA CURTA ELLE OFF - "PP" (PC)</t>
  </si>
  <si>
    <t>BLU-ELL-MPE-OFF-XG - BLUSA MANGA CURTA ELLE OFF - "XG" (PC)</t>
  </si>
  <si>
    <t>BLU-ELL-MPE-PRE-G - BLUSA MANGA CURTA ELLE PRETA - "G" (PC)</t>
  </si>
  <si>
    <t>BLU-ELL-MPE-PRE-GG - BLUSA MANGA CURTA ELLE PRETA - "GG" (PC)</t>
  </si>
  <si>
    <t>BLU-ELL-MPE-PRE-P - BLUSA MANGA CURTA ELLE PRETA - "P" (PC)</t>
  </si>
  <si>
    <t>BLU-ELL-MPE-PRE-PP - BLUSA MANGA CURTA ELLE PRETA - "PP" (PC)</t>
  </si>
  <si>
    <t>BLU-ELLE-MPE-PRE-M - BLUSA MANGA CURTA ELLE PRETA - "M" (PC)</t>
  </si>
  <si>
    <t>BLU-LIN-VIS-OFF-TU - BLUSA OFF LIN - "TU" (PC)</t>
  </si>
  <si>
    <t>CAMISETAS</t>
  </si>
  <si>
    <t>BLU-RAL-ALG-LIS-G - BLUSAO RALADOR LISTRADO ALGODAO - "G" (PC)</t>
  </si>
  <si>
    <t>BLU-RAL-ALG-LIS-M - BLUSAO RALADOR LISTRADO ALGODAO - "M" (PC)</t>
  </si>
  <si>
    <t>BLZ-PAN-CRE-BEG-PIL - BLAZER ALFAIATARIA PANTU CHAMPAGNE -  "PILOTO" (PC)</t>
  </si>
  <si>
    <t>BLZ-PAN-CRE-CHA-G - BLAZER ALFAIATARIA PANTU CHAMPAGNE - "G" (PC)</t>
  </si>
  <si>
    <t>BLZ-PAN-CRE-CHA-M - BLAZER ALFAIATARIA PANTU CHAMPAGNE - "M" (PC)</t>
  </si>
  <si>
    <t>BLZ-PAN-CRE-CHA-P - BLAZER ALFAIATARIA PANTU CHAMPAGNE - "P" (PC)</t>
  </si>
  <si>
    <t>BLZ-PAN-CRE-CHA-PP - BLAZER ALFAIATARIA PANTU CHAMPAGNE - "PP" (PC)</t>
  </si>
  <si>
    <t>BLZ-PAN-CRE-MAR-G - BLAZER ALFAIATARIA PANTU MARROM- "G" (PC)</t>
  </si>
  <si>
    <t>BLZ-PAN-CRE-MAR-M - BLAZER ALFAIATARIA PANTU MARROM- "M" (PC)</t>
  </si>
  <si>
    <t>BLZ-PAN-CRE-MAR-P - BLAZER ALFAIATARIA PANTU MARROM- "P" (PC)</t>
  </si>
  <si>
    <t>BLZ-PAN-CRE-MAR-PP - BLAZER ALFAIATARIA PANTU MARROM- "PP" (PC)</t>
  </si>
  <si>
    <t>BLZ-PEQ-AVE-AZU-G - BLAZER ALFAIATARIA PEQUI AZUL - "G/42" (PC)</t>
  </si>
  <si>
    <t>BLZ-PEQ-AVE-AZU-M - BLAZER ALFAIATARIA PEQUI AZUL - "M/40" (PC)</t>
  </si>
  <si>
    <t>BLZ-PEQ-AVE-AZU-P - BLAZER ALFAIATARIA PEQUI AZUL - "P/38" (PC)</t>
  </si>
  <si>
    <t>BLZ-PEQ-AVE-AZU-PP - BLAZER ALFAIATARIA PEQUI AZUL - "PP/36" (PC)</t>
  </si>
  <si>
    <t>BLZ-PEQ-AVE-VRD-G - BLAZER ALFAIATARIA PEQUI VERDE - "G/42" (PC)</t>
  </si>
  <si>
    <t>BLZ-PEQ-AVE-VRD-M - BLAZER ALFAIATARIA PEQUI VERDE - "M/40" (PC)</t>
  </si>
  <si>
    <t>BLZ-PEQ-AVE-VRD-P - BLAZER ALFAIATARIA PEQUI VERDE - "P/38" (PC)</t>
  </si>
  <si>
    <t>BLZ-PEQ-AVE-VRD-PP - BLAZER ALFAIATARIA PEQUI VERDE - "PP/36" (PC)</t>
  </si>
  <si>
    <t>BLZ-PHI-LA-VRM-36 - BLAZER ALFAIATARIA PHILO - 100% LA - VERMELHO -  "36" (PC)</t>
  </si>
  <si>
    <t>BLZ-PHI-LA-VRM-38 - BLAZER ALFAIATARIA PHILO - 100% LA - VERMELHO - "38" (PC)</t>
  </si>
  <si>
    <t>BLZ-PHI-LA-VRM-40 - BLAZER ALFAIATARIA PHILO - 100% LA - VERMELHO - "40" (PC)</t>
  </si>
  <si>
    <t>BLZ-PHI-LA-VRM-42 - BLAZER ALFAIATARIA PHILO - 100% LA - VERMELHO - "42" (PC)</t>
  </si>
  <si>
    <t>BLZ-PHI-LA-VRM-44 - BLAZER ALFAIATARIA PHILO - 100% LA - VERMELHO - "44" (PC)</t>
  </si>
  <si>
    <t>BLZ-PHI-LA-VRM-46 - BLAZER ALFAIATARIA PHILO - 100% LA - VERMELHO - "46" (PC)</t>
  </si>
  <si>
    <t>BOL-BAM-COU-AZU-TU - BOLSA COURO BAMBOLE AZUL (PC)</t>
  </si>
  <si>
    <t>BOL-BAM-COU-OFF-TU - BOLSA COURO BAMBOLE OFF (PC)</t>
  </si>
  <si>
    <t>BOL-BAM-COU-VRD-TU - BOLSA COURO BAMBOLE VERDE (PC)</t>
  </si>
  <si>
    <t>BOL-BAM-COU-VRM-PIL - BOLSA COURO BAMBOLE VERMELHA - PILOTO (PC)</t>
  </si>
  <si>
    <t>BOL-BAM-COU-X-TU - BOLSA COURO BAMBOLE COR X (PC)</t>
  </si>
  <si>
    <t>BOL-JAU-JUT-WHI-TU - BOLSA JAUM DE JUTA (PC)</t>
  </si>
  <si>
    <t>BOL-JAU-RAN-WHI-G - BOLSA PALHA E COURO WHISKY GRANDE JAUM  - ''G" (PC)</t>
  </si>
  <si>
    <t>BOL-NIN-COU-AZU-P - BOLSA COURO PEQUENA AZUL NINE  - "P" (PC)</t>
  </si>
  <si>
    <t>BOL-NIN-COU-BRA-G - BOLSA COURO GRANDE BRANCA NINE  - ''G" (PC)</t>
  </si>
  <si>
    <t>BOL-NIN-COU-OFF-P - BOLSA COURO PEQUENA OFF NINE  - "P" (PC)</t>
  </si>
  <si>
    <t>BOL-NIN-COU-OFF-PILOTO - BOLSA COURO PEQUENA OFF NINE  - "PILOTO" (PC)</t>
  </si>
  <si>
    <t>BOL-NIN-COU-PRE-G - BOLSA COURO GRANDE PRETA NINE  - ''G'' (PC)</t>
  </si>
  <si>
    <t>BOL-NIN-COU-PRE-P - BOLSA COURO PEQUENA PRETA NINE  - ''P' (PC)</t>
  </si>
  <si>
    <t>BOL-NIN-COU-VRM-P - BOLSA COURO PEQUENA JAMBO / VERMELHA NINE  - "P" (PC)</t>
  </si>
  <si>
    <t>BOL-NIN-COU-WHI-G - BOLSA COURO GRANDE WHISKY NINE  - ''G" (PC)</t>
  </si>
  <si>
    <t>BOL-NIN-COU-WHI-P - BOLSA COURO PEQUENA WHISKY NINE - ''P' (PC)</t>
  </si>
  <si>
    <t>BRA-PUB-LAT-18K-TU - BRACELETE PUBI - BANHO  OURO 18K - "TU" (PC)</t>
  </si>
  <si>
    <t>BEBIDAS</t>
  </si>
  <si>
    <t>CAD-MIS-COU-PRE-TU - CADEIRA UNI / MISCI01 COURO PRETO - TU (PC)</t>
  </si>
  <si>
    <t>CAD-MIS-COU-WHI-TU - CADEIRA MISCI01 COURO WHISKY - TU (PC)</t>
  </si>
  <si>
    <t>MOVEIS</t>
  </si>
  <si>
    <t>CAD-MIS-PAL-JEQ-TU - CADEIRA MISCI01 PALHA NATURAL E MADEIRA JEQUITIBA - TU (PC)</t>
  </si>
  <si>
    <t>CAM-51-ALG-ROS-G - CAMISETA ALGODAO ROSA LISTRADO 51 - "G" (PC)</t>
  </si>
  <si>
    <t>REGATA</t>
  </si>
  <si>
    <t>CAM-51-ALG-ROS-GG - CAMISETA ALGODAO ROSA LISTRADO 51 - "GG" (PC)</t>
  </si>
  <si>
    <t>CAM-51-ALG-ROS-M - CAMISETA ALGODAO ROSA LISTRADO 51 - "M" (PC)</t>
  </si>
  <si>
    <t>CAM-51-ALG-ROS-P - CAMISETA ALGODAO ROSA LISTRADO 51 - "P" (PC)</t>
  </si>
  <si>
    <t>CAM-51-ALG-VRD-G - CAMISETA ALGODAO VERDE  51 - "G" (PC)</t>
  </si>
  <si>
    <t>CAM-51-ALG-VRD-GG - CAMISETA ALGODAO VERDE  51 - "GG" (PC)</t>
  </si>
  <si>
    <t>CAM-51-ALG-VRD-M - CAMISETA ALGODAO VERDE  51 - "M" (PC)</t>
  </si>
  <si>
    <t>CAM-51-ALG-VRD-P - CAMISETA ALGODAO VERDE  51 - "P" (PC)</t>
  </si>
  <si>
    <t>CAM-BAU-ALG-CAR-G - CAMISETA CARAMELO ESTAMPA BAURU - "G" (PC)</t>
  </si>
  <si>
    <t>CAM-BAU-ALG-CAR-GG - CAMISETA CARAMELO ESTAMPA BAURU - "GG" (PC)</t>
  </si>
  <si>
    <t>CAM-BAU-ALG-CAR-M - CAMISETA CARAMELO ESTAMPA BAURU - "M" (PC)</t>
  </si>
  <si>
    <t>CAM-BAU-ALG-CAR-P - CAMISETA CARAMELO ESTAMPA BAURU - "P" (PC)</t>
  </si>
  <si>
    <t>CAM-BAU-ALG-CAR-PP - CAMISETA CARAMELO ESTAMPA BAURU - "PP" (PC)</t>
  </si>
  <si>
    <t>CAM-BAU-ALG-CAR-XG - CAMISETA CARAMELO ESTAMPA BAURU - "XG" (PC)</t>
  </si>
  <si>
    <t>CAM-BAU-ALG-LIL-G - CAMISETA LILAS ESTAMPA BAURU - "G" (PC)</t>
  </si>
  <si>
    <t>CAM-BAU-ALG-LIL-GG - CAMISETA LILAS ESTAMPA BAURU - "GG" (PC)</t>
  </si>
  <si>
    <t>CAM-BAU-ALG-LIL-M - CAMISETA LILAS ESTAMPA BAURU - "M" (PC)</t>
  </si>
  <si>
    <t>CAM-BAU-ALG-LIL-P - CAMISETA LILAS ESTAMPA BAURU - "P" (PC)</t>
  </si>
  <si>
    <t>CAM-BAU-ALG-LIL-PP - CAMISETA LILAS ESTAMPA BAURU - "PP" (PC)</t>
  </si>
  <si>
    <t>CAM-BAU-ALG-LIL-XG - CAMISETA LILAS ESTAMPA BAURU - "XG" (PC)</t>
  </si>
  <si>
    <t>CAM-LIS-ALG-BRA-M - CAMISETA BASICA ALGODAO BRANCA LISA - "M" (PC)</t>
  </si>
  <si>
    <t>CAM-MIS-ALG-BRA-G - CAMISETA BRANCA ESTAMPA LOGO MISCI DOURADO - "G" (PC)</t>
  </si>
  <si>
    <t>CAM-MIS-ALG-BRA-GG - CAMISETA BRANCA ESTAMPA LOGO MISCI DOURADO - "GG" (PC)</t>
  </si>
  <si>
    <t>CAM-MIS-ALG-BRA-M - CAMISETA BRANCA ESTAMPA LOGO MISCI DOURADO - "M" (PC)</t>
  </si>
  <si>
    <t>CAM-MIS-ALG-BRA-P - CAMISETA BRANCA ESTAMPA LOGO MISCI DOURADO - "P" (PC)</t>
  </si>
  <si>
    <t>CAM-MIS-ALG-BRA-PP - CAMISETA BRANCA ESTAMPA LOGO MISCI DOURADO - "PP" (PC)</t>
  </si>
  <si>
    <t>CAM-MIS-ALG-BRA-XG - CAMISETA BRANCA ESTAMPA LOGO MISCI DOURADO - "XG" (PC)</t>
  </si>
  <si>
    <t>CAM-UNI-ALG-AZU-G - CAMISETA AZUL ESTAMPA UNI - "G" (PC)</t>
  </si>
  <si>
    <t>CAM-UNI-ALG-AZU-GG - CAMISETA AZUL ESTAMPA UNI - "GG" (PC)</t>
  </si>
  <si>
    <t>CAM-UNI-ALG-AZU-M - CAMISETA AZUL ESTAMPA UNI - "M" (PC)</t>
  </si>
  <si>
    <t>CAM-UNI-ALG-AZU-P - CAMISETA AZUL ESTAMPA UNI - "P" (PC)</t>
  </si>
  <si>
    <t>CAM-UNI-ALG-AZU-PP - CAMISETA AZUL ESTAMPA UNI - "PP" (PC)</t>
  </si>
  <si>
    <t>CAM-UNI-ALG-AZU-XG - CAMISETA AZUL ESTAMPA UNI - "XG" (PC)</t>
  </si>
  <si>
    <t>CAM-UNI-ALG-BRA-G - CAMISETA BRANCA ESTAMPA UNI - "G" (PC)</t>
  </si>
  <si>
    <t>CAM-UNI-ALG-BRA-GG - CAMISETA BRANCA ESTAMPA UNI - "GG" (PC)</t>
  </si>
  <si>
    <t>CAM-UNI-ALG-BRA-M - CAMISETA BRANCA ESTAMPA UNI - "M" (PC)</t>
  </si>
  <si>
    <t>CAM-UNI-ALG-BRA-P - CAMISETA BRANCA ESTAMPA UNI - "P" (PC)</t>
  </si>
  <si>
    <t>CAM-UNI-ALG-BRA-PP - CAMISETA BRANCA ESTAMPA UNI - "PP" (PC)</t>
  </si>
  <si>
    <t>CAM-UNI-ALG-BRA-XG - CAMISETA BRANCA ESTAMPA UNI - "XG" (PC)</t>
  </si>
  <si>
    <t>CAS-BOI-LA-AZU-G - JAQUETA / CASACO ALFAIATARIA AZUL BOIA - "G" (PC)</t>
  </si>
  <si>
    <t>JAQUETA</t>
  </si>
  <si>
    <t>CAS-BOI-LA-AZU-M - JAQUETA / CASACO ALFAIATARIA AZUL BOIA - "M" (PC)</t>
  </si>
  <si>
    <t>CAS-BOI-LA-AZU-P - JAQUETA / CASACO ALFAIATARIA AZUL BOIA - "P" (PC)</t>
  </si>
  <si>
    <t>CAS-BOI-LA-AZU-PP - JAQUETA / CASACO ALFAIATARIA AZUL BOIA - "PP" (PC)</t>
  </si>
  <si>
    <t>CAS-BOI-LA-LIS-M - JAQUETA / CASACO ALFAIATARIA CINZA COM LISTRA BRANCA BOIA - "M" (PC)</t>
  </si>
  <si>
    <t>CAS-BOI-LA-LIS-P - JAQUETA / CASACO ALFAIATARIA CINZA COM LISTRA BRANCA BOIA - "P" (PC)</t>
  </si>
  <si>
    <t>CAS-BOI-LA-LIS-PP - JAQUETA / CASACO ALFAIATARIA CINZA COM LISTRA BRANCA BOIA - "PP" (PC)</t>
  </si>
  <si>
    <t>CAS-BOI-LA-MAR-06042 - JAQUETA / CASACO ALFAIATARIA BOIA - "REF 06042" - MARROM (PC)</t>
  </si>
  <si>
    <t>CAS-BOI-LA-MAR-G - JAQUETA / CASACO ALFAIATARIA MARROM BOIA - "G" (PC)</t>
  </si>
  <si>
    <t>CAS-BOI-LA-MAR-GG - JAQUETA / CASACO ALFAIATARIA MARROM BOIA - "GG" (PC)</t>
  </si>
  <si>
    <t>CAS-BOI-LA-MAR-M - JAQUETA / CASACO ALFAIATARIA MARROM BOIA - "M" (PC)</t>
  </si>
  <si>
    <t>CAS-BOI-LA-MAR-P - JAQUETA / CASACO ALFAIATARIA MARROM BOIA - "P" (PC)</t>
  </si>
  <si>
    <t>CAS-BOI-LA-MAR-PP - JAQUETA / CASACO ALFAIATARIA MARROM BOIA - "PP" (PC)</t>
  </si>
  <si>
    <t>CHE-MOD-MOD-AZU-M - CHEMISE MODAL AZUL - "M" (PC)</t>
  </si>
  <si>
    <t>CHEMISE</t>
  </si>
  <si>
    <t>CHE-MOD-MOD-VRD-M - CHEMISE MODAL VERDE - "M" (PC)</t>
  </si>
  <si>
    <t>CHE-MOR-ALG-LIS-G - CHEMISE COM MANGA ALGODAO ROSA LISTRADO MORERE - "G" (PC)</t>
  </si>
  <si>
    <t>CHE-MOR-ALG-LIS-M - CHEMISE COM MANGA ALGODAO ROSA LISTRADO MORERE - "M" (PC)</t>
  </si>
  <si>
    <t>CHE-MOR-ALG-LIS-P - CHEMISE COM MANGA ALGODAO ROSA LISTRADO MORERE - "P" (PC)</t>
  </si>
  <si>
    <t>CHE-MOR-LIN-BOR-G - CHEMISE COM MANGA LINHO ROSA BORDADO MORERE - "G" (PC)</t>
  </si>
  <si>
    <t>CHE-MOR-LIN-BOR-P - CHEMISE COM MANGA LINHO ROSA BORDADO MORERE - "P" (PC)</t>
  </si>
  <si>
    <t>CHE-MOR-LIN-BOR-TU - CHEMISE COM MANGA LINHO ROSA BORDADO MORERE - "M" (PC)</t>
  </si>
  <si>
    <t>CHE-MOR-LIN-FIL-TU - CHEMISE COM MANGA LINHO ROSA BORDADO FILTRO DE BARRO MORERE- "TU" (PC)</t>
  </si>
  <si>
    <t>CHE-MOR-LIN-OFF-M - CHEMISE COM MANGA LINHO OFF MORERE - "M" (PC)</t>
  </si>
  <si>
    <t>CHE-MOR-LIN-ROS-TU - CHEMISE COM MANGA LINHO ROSA LISO MORERE - "TU" (PC)</t>
  </si>
  <si>
    <t>CHE-MORSM-LIN-OFF-M - CHEMISE SEM MANGA LINHO OFF MORERE - "M" (PC)</t>
  </si>
  <si>
    <t>CHE-PIM-ALG-AZU-M - CHEMISE COM MANGA ALGODAO AZUL PIMA - "M" (PC)</t>
  </si>
  <si>
    <t>CHI-BIT-COR-OFF-35 - CHINELO BITA DE COURO OFF - "35" (PARES)</t>
  </si>
  <si>
    <t>CALÇADOS</t>
  </si>
  <si>
    <t>CHI-BIT-COR-OFF-36 - CHINELO BITA DE COURO OFF - "36" (PARES)</t>
  </si>
  <si>
    <t>CHI-BIT-COR-OFF-37 - CHINELO BITA DE COURO OFF - "37" (PARES)</t>
  </si>
  <si>
    <t>CHI-BIT-COR-OFF-38 - CHINELO BITA DE COURO OFF - "38" (PARES)</t>
  </si>
  <si>
    <t>CHI-BIT-COR-OFF-39 - CHINELO BITA DE COURO OFF - "39" (PARES)</t>
  </si>
  <si>
    <t>CHI-BIT-COR-OFF-40 - CHINELO BITA DE COURO OFF - "40" (PARES)</t>
  </si>
  <si>
    <t>CHI-BIT-COR-OFF-41 - CHINELO BITA DE COURO OFF - "41" (PARES)</t>
  </si>
  <si>
    <t>CHI-BIT-COR-OFF-42 - CHINELO BITA DE COURO OFF - "42" (PARES)</t>
  </si>
  <si>
    <t>CHI-BIT-COR-OFF-43 - CHINELO BITA DE COURO OFF - "43" (PARES)</t>
  </si>
  <si>
    <t>CHI-BIT-COR-OFF-44 - CHINELO BITA DE COURO OFF - "44" (PARES)</t>
  </si>
  <si>
    <t>CHI-BIT-COR-OFF-PRO - CHINELO BITA DE COURO OFF - "PRODUCAO" (PARES)</t>
  </si>
  <si>
    <t>CHI-BIT-COR-WHI-35 - CHINELO BITA DE COURO WHISKY - "35" (PARES)</t>
  </si>
  <si>
    <t>CHI-BIT-COR-WHI-36 - CHINELO BITA DE COURO WHISKY - "36" (PARES)</t>
  </si>
  <si>
    <t>CHI-BIT-COR-WHI-37 - CHINELO BITA DE COURO WHISKY - "37" (PARES)</t>
  </si>
  <si>
    <t>CHI-BIT-COR-WHI-38 - CHINELO BITA DE COURO WHISKY - "38" (PARES)</t>
  </si>
  <si>
    <t>CHI-BIT-COR-WHI-39 - CHINELO BITA DE COURO WHISKY - "39" (PARES)</t>
  </si>
  <si>
    <t>CHI-BIT-COR-WHI-40 - CHINELO BITA DE COURO WHISKY - "40" (PARES)</t>
  </si>
  <si>
    <t>CHI-BIT-COR-WHI-41 - CHINELO BITA DE COURO WHISKY - "41" (PARES)</t>
  </si>
  <si>
    <t>CHI-BIT-COR-WHI-42 - CHINELO BITA DE COURO WHISKY - "42" (PARES)</t>
  </si>
  <si>
    <t>CHI-BIT-COR-WHI-43 - CHINELO BITA DE COURO WHISKY - "43" (PARES)</t>
  </si>
  <si>
    <t>CHI-BIT-COR-WHI-44 - CHINELO BITA DE COURO WHISKY - "44" (PARES)</t>
  </si>
  <si>
    <t>CHI-MIS-BOR-MAR-35 - CHINELO MISCIANE COM TIRA MARROM - "35/36" (PARES)</t>
  </si>
  <si>
    <t>CHI-MIS-BOR-MAR-37 - CHINELO MISCIANE COM TIRA MARROM - "37/38" (PARES)</t>
  </si>
  <si>
    <t>CHI-MIS-BOR-MAR-39 - CHINELO MISCIANE COM TIRA MARROM - "39/40" (PARES)</t>
  </si>
  <si>
    <t>CHI-MIS-BOR-MAR-41 - CHINELO MISCIANE COM TIRA MARROM - "41/42" (PARES)</t>
  </si>
  <si>
    <t>CHI-MIS-BOR-MAR-43 - CHINELO MISCIANE COM TIRA MARROM - "43/44" (PARES)</t>
  </si>
  <si>
    <t>CHI-MIS-BOR-VRD-35 - CHINELO MISCIANE COM TIRA VERDE- "35/36" (PARES)</t>
  </si>
  <si>
    <t>CHI-MIS-BOR-VRD-37 - CHINELO MISCIANE COM TIRA VERDE- "37/38" (PARES)</t>
  </si>
  <si>
    <t>CHI-MIS-BOR-VRD-39 - CHINELO MISCIANE COM TIRA VERDE- "39/40" (PARES)</t>
  </si>
  <si>
    <t>CHI-MIS-BOR-VRD-41 - CHINELO MISCIANE COM TIRA VERDE- "41/42" (PARES)</t>
  </si>
  <si>
    <t>CHI-MIS-BOR-VRD-43 - CHINELO MISCIANE COM TIRA VERDE- "43/44" (PARES)</t>
  </si>
  <si>
    <t>CMC-ABR-ALG-BRA-G - CAMISA MANGA CURTA BRANCA PONTOS AZUIS AREIA BRANCA - "G" (PC)</t>
  </si>
  <si>
    <t>CAMISA MANGA CURTA</t>
  </si>
  <si>
    <t>CMC-ABR-ALG-BRA-GG - CAMISA MANGA CURTA BRANCA PONTOS AZUIS AREIA BRANCA - "GG" (PC)</t>
  </si>
  <si>
    <t>CMC-ABR-ALG-BRA-M - CAMISA MANGA CURTA BRANCA PONTOS AZUIS AREIA BRANCA - "M" (PC)</t>
  </si>
  <si>
    <t>CMC-ABR-ALG-BRA-P - CAMISA MANGA CURTA BRANCA PONTOS AZUIS AREIA BRANCA - "P" (PC)</t>
  </si>
  <si>
    <t>CMC-ALG-PIA-AZU-G - CAMISA MANGA CURTA ALGODAO PIABA LISTRADA AZUL  - "G" (PC)</t>
  </si>
  <si>
    <t>CMC-ALG-PIA-AZU-GG - CAMISA MANGA CURTA ALGODAO PIABA LISTRADA AZUL  - "GG" (PC)</t>
  </si>
  <si>
    <t>CMC-ALG-PIA-AZU-M - CAMISA MANGA CURTA ALGODAO PIABA LISTRADA AZUL  - "M" (PC)</t>
  </si>
  <si>
    <t>CMC-ALG-PIA-AZU-P - CAMISA MANGA CURTA ALGODAO PIABA LISTRADA AZUL  - "P" (PC)</t>
  </si>
  <si>
    <t>CMC-ALG-PIA-AZU-PP - CAMISA MANGA CURTA ALGODAO PIABA LISTRADA AZUL  - "PP" (PC)</t>
  </si>
  <si>
    <t>CMC-ALG-PIA-VRM-G - CAMISA MANGA CURTA ALGODAO PIABA LISTRADA VERMELHA  - "G" (PC)</t>
  </si>
  <si>
    <t>CMC-ALG-PIA-VRM-GG - CAMISA MANGA CURTA ALGODAO PIABA LISTRADA VERMELHA  - "GG" (PC)</t>
  </si>
  <si>
    <t>CMC-ALG-PIA-VRM-M - CAMISA MANGA CURTA ALGODAO PIABA LISTRADA VERMELHA  - "M" (PC)</t>
  </si>
  <si>
    <t>CMC-ALG-PIA-VRM-P - CAMISA MANGA CURTA ALGODAO PIABA LISTRADA VERMELHA  - "P" (PC)</t>
  </si>
  <si>
    <t>CMC-ALG-PIA-VRM-PP - CAMISA MANGA CURTA ALGODAO PIABA LISTRADA VERMELHA  - "PP" (PC)</t>
  </si>
  <si>
    <t>CMC-ALG-SED-ROS-P - CAMISA MANGA CURTA ALGA ORGANZA 100% SEDA ROSA - "M" (PC)</t>
  </si>
  <si>
    <t>CMC-ALG-SED-VRD-M - CAMISA MANGA CURTA ALGA ORGANZA 100% SEDA VERDE - "M" (PC)</t>
  </si>
  <si>
    <t>CMC-AMP-MOD-AZU-G - CAMISA MANGA CURTA AMPLA AZUL - 100%  MODAL - "G" (PC)</t>
  </si>
  <si>
    <t>CMC-AMP-MOD-AZU-GG - CAMISA MANGA CURTA AMPLA AZUL - 100%  MODAL - "GG" (PC)</t>
  </si>
  <si>
    <t>CMC-AMP-MOD-AZU-M - CAMISA MANGA CURTA AMPLA AZUL - 100%  MODAL - "M" (PC)</t>
  </si>
  <si>
    <t>CMC-AMP-MOD-AZU-P - CAMISA MANGA CURTA AMPLA AZUL - 100%  MODAL - "P" (PC)</t>
  </si>
  <si>
    <t>CMC-AMP-MOD-AZU-PP - CAMISA MANGA CURTA AMPLA AZUL - 100%  MODAL - "PP" (PC)</t>
  </si>
  <si>
    <t>CMC-AMP-MOD-BRA-G - CAMISA MANGA CURTA AMPLA BRANCO- 100%  MODAL - "G" (PC)</t>
  </si>
  <si>
    <t>CMC-AMP-MOD-BRA-GG - CAMISA MANGA CURTA AMPLA BRANCO- 100%  MODAL - "GG" (PC)</t>
  </si>
  <si>
    <t>CMC-AMP-MOD-BRA-M - CAMISA MANGA CURTA AMPLA BRANCO- 100%  MODAL - "M" (PC)</t>
  </si>
  <si>
    <t>CMC-AMP-MOD-BRA-P - CAMISA MANGA CURTA AMPLA BRANCO- 100%  MODAL - "P" (PC)</t>
  </si>
  <si>
    <t>CMC-AMP-MOD-BRA-PP - CAMISA MANGA CURTA AMPLA BRANCO- 100%  MODAL - "PP" (PC)</t>
  </si>
  <si>
    <t>CMC-ARE-ALG-BEG-G - CAMISA MANGA CURTA BEGE AREIA - "G" (PC)</t>
  </si>
  <si>
    <t>CMC-ATA-CRO-AMA-TU - CAMISA MANGA CURTA CROCHE LISTRADA AMARELA ATAFONA -  "TU" (PC)</t>
  </si>
  <si>
    <t>CMC-BAR-ALG-AZU-G - CAMISA MANGA CURTA ALGODAO LISTRADO AZUL BARAUNA - "G" (PC)</t>
  </si>
  <si>
    <t>CMC-BAR-ALG-AZU-GG - CAMISA MANGA CURTA ALGODAO LISTRADO AZUL BARAUNA - "GG" (PC)</t>
  </si>
  <si>
    <t>CMC-BAR-ALG-AZU-M - CAMISA MANGA CURTA ALGODAO LISTRADO AZUL BARAUNA - "M" (PC)</t>
  </si>
  <si>
    <t>CMC-BAR-ALG-AZU-P - CAMISA MANGA CURTA ALGODAO LISTRADO AZUL BARAUNA - "P" (PC)</t>
  </si>
  <si>
    <t>CMC-BIC-MAL-AZM-G - CAMISA MANGA CURTA BICOLOR AZUL/MARROM - "G" (PC)</t>
  </si>
  <si>
    <t>CMC-BIC-MAL-AZM-GG - CAMISA MANGA CURTA BICOLOR AZUL/MARROM - "GG" (PC)</t>
  </si>
  <si>
    <t>CMC-BIC-MAL-AZM-M - CAMISA MANGA CURTA BICOLOR AZUL/MARROM - "M" (PC)</t>
  </si>
  <si>
    <t>CMC-BIC-MAL-AZM-P - CAMISA MANGA CURTA BICOLOR AZUL/MARROM - "P" (PC)</t>
  </si>
  <si>
    <t>CMC-BIC-MAL-AZM-PP - CAMISA MANGA CURTA BICOLOR AZUL/MARROM - "PP" (PC)</t>
  </si>
  <si>
    <t>CMC-BIC-MAL-MAZ-G - CAMISA MANGA CURTA BICOLOR MARROM/AZUL - "G" (PC)</t>
  </si>
  <si>
    <t>CMC-BIC-MAL-MAZ-GG - CAMISA MANGA CURTA BICOLOR MARROM/AZUL - "GG" (PC)</t>
  </si>
  <si>
    <t>CMC-BIC-MAL-MAZ-M - CAMISA MANGA CURTA BICOLOR MARROM/AZUL - "M" (PC)</t>
  </si>
  <si>
    <t>CMC-BIC-MAL-MAZ-P - CAMISA MANGA CURTA BICOLOR MARROM/AZUL - "P" (PC)</t>
  </si>
  <si>
    <t>CMC-BIC-MAL-MAZ-PIL - CAMISA MANGA CURTA BICOLOR MARROM/AZUL - "PILOTO" (PC)</t>
  </si>
  <si>
    <t>CMC-BIC-MAL-MAZ-PP - CAMISA MANGA CURTA BICOLOR MARROM/AZUL - "PP" (PC)</t>
  </si>
  <si>
    <t>CMC-CAD-LIN-CIN-TU - CAMISA MANGA CURTA LINHO CINZA CADEIRUDA - "TU" (PC)</t>
  </si>
  <si>
    <t>CMC-CAD-LIN-MAR-M - CAMISA MANGA CURTA MARROM CADEIRA DE PRAIA - "M" (PC)</t>
  </si>
  <si>
    <t>CMC-CAD-LIN-VRD-G - CAMISA MANGA CURTA VERDE CADEIRA DE PRAIA - "G" (PC)</t>
  </si>
  <si>
    <t>CMC-CAD-LIN-VRD-M - CAMISA MANGA CURTA VERDE CADEIRA DE PRAIA - "M" (PC)</t>
  </si>
  <si>
    <t>CMC-CAN-ALG-BEG-G - CAMISA MANGA CURTA NATURAL LISTRA BEGE CANOA QUEBRADA - "G" (PC)</t>
  </si>
  <si>
    <t>CMC-CAN-ALG-BEG-GG - CAMISA MANGA CURTA NATURAL LISTRA BEGE CANOA QUEBRADA - "GG" (PC)</t>
  </si>
  <si>
    <t>CMC-CAN-ALG-BEG-M - CAMISA MANGA CURTA NATURAL LISTRA BEGE CANOA QUEBRADA - "M" (PC)</t>
  </si>
  <si>
    <t>CMC-CAN-ALG-BEG-P - CAMISA MANGA CURTA NATURAL LISTRA BEGE CANOA QUEBRADA - "P" (PC)</t>
  </si>
  <si>
    <t>CMC-CAN-CAN-CIN-G - CAMISA MANGA CURTA CINZA BORDADA CANHAMO - "G" (PC)</t>
  </si>
  <si>
    <t>CMC-CAN-CAN-CIN-M - CAMISA MANGA CURTA CINZA BORDADA CANHAMO - "M" (PC)</t>
  </si>
  <si>
    <t>CMC-CAN-CAN-CIN-P - CAMISA MANGA CURTA CINZA BORDADA CANHAMO - "P" (PC)</t>
  </si>
  <si>
    <t>CMC-CAR-ALG-XAD-G - CAMISA MANGA CURTA XADREZ CARUARU - "G" (PC)</t>
  </si>
  <si>
    <t>CMC-CAR-ALG-XAD-GG - CAMISA MANGA CURTA XADREZ CARUARU - "GG" (PC)</t>
  </si>
  <si>
    <t>CMC-CAR-ALG-XAD-M - CAMISA MANGA CURTA XADREZ CARUARU - "M" (PC)</t>
  </si>
  <si>
    <t>CMC-CAR-ALG-XAD-P - CAMISA MANGA CURTA XADREZ CARUARU - "P" (PC)</t>
  </si>
  <si>
    <t>CMC-CHI-ALG-AMA-G - CAMISA MANGA CURTA MISCI ALGODAO LISTRADA AMARELA CHICO  "G" (PC)</t>
  </si>
  <si>
    <t>CMC-CHI-ALG-AMA-GG - CAMISA MANGA CURTA MISCI ALGODAO LISTRADA AMARELA CHICO  "GG" (PC)</t>
  </si>
  <si>
    <t>CMC-CHI-ALG-AMA-M - CAMISA MANGA CURTA MISCI ALGODAO LISTRADA AMARELA CHICO  "M" (PC)</t>
  </si>
  <si>
    <t>CMC-CHI-ALG-AMA-P - CAMISA MANGA CURTA MISCI ALGODAO LISTRADA AMARELA CHICO  "P" (PC)</t>
  </si>
  <si>
    <t>CMC-CHI-ALG-AZU-G - CAMISA MANGA CURTA MISCI ALGODAO AZUL CLARO CHICO -  "G" (PC)</t>
  </si>
  <si>
    <t>CMC-CHI-ALG-AZU-GG - CAMISA MANGA CURTA MISCI ALGODAO AZUL CLARO CHICO -  "GG" (PC)</t>
  </si>
  <si>
    <t>CMC-CHI-ALG-AZU-M - CAMISA MANGA CURTA MISCI ALGODAO AZUL CLARO CHICO -  "M" (PC)</t>
  </si>
  <si>
    <t>CMC-CHI-ALG-AZU-P - CAMISA MANGA CURTA MISCI ALGODAO AZUL CLARO CHICO -  "P" (PC)</t>
  </si>
  <si>
    <t>CMC-CHI-ALG-CHU-G - CAMISA MANGA CURTA MISCI ALGODAO CHUMBO CHICO -  "G" (PC)</t>
  </si>
  <si>
    <t>CMC-CHI-ALG-CHU-GG - CAMISA MANGA CURTA MISCI ALGODAO CHUMBO CHICO -  "GG" (PC)</t>
  </si>
  <si>
    <t>CMC-CHI-ALG-CHU-M - CAMISA MANGA CURTA MISCI ALGODAO CHUMBO CHICO -  "M" (PC)</t>
  </si>
  <si>
    <t>CMC-CHI-ALG-CHU-P - CAMISA MANGA CURTA MISCI ALGODAO CHUMBO CHICO -  "P" (PC)</t>
  </si>
  <si>
    <t>CMC-CHI-ALG-VRD-G - CAMISA MANGA CURTA MISCI ALGODAO LISTRADA VERDE CHICO "G" (PC)</t>
  </si>
  <si>
    <t>CMC-CHI-ALG-VRD-GG - CAMISA MANGA CURTA MISCI ALGODAO LISTRADA VERDE CHICO "GG" (PC)</t>
  </si>
  <si>
    <t>CMC-CHI-ALG-VRD-M - CAMISA MANGA CURTA MISCI ALGODAO LISTRADA VERDE CHICO "M" (PC)</t>
  </si>
  <si>
    <t>CMC-CHI-ALG-VRD-P - CAMISA MANGA CURTA MISCI ALGODAO LISTRADA VERDE CHICO "P" (PC)</t>
  </si>
  <si>
    <t>CMC-CHI-ALG-VRM-G - CAMISA MANGA CURTA MISCI ALGODAO VERMELHA CHICO -  "G" (PC)</t>
  </si>
  <si>
    <t>CMC-CHI-ALG-VRM-GG - CAMISA MANGA CURTA MISCI ALGODAO VERMELHA CHICO -  "GG" (PC)</t>
  </si>
  <si>
    <t>CMC-CHI-ALG-VRM-M - CAMISA MANGA CURTA MISCI ALGODAO VERMELHA CHICO -  "M" (PC)</t>
  </si>
  <si>
    <t>CMC-CHI-ALG-VRM-P - CAMISA MANGA CURTA MISCI ALGODAO VERMELHA CHICO -  "P" (PC)</t>
  </si>
  <si>
    <t>CMC-CIN--LIN-LIN-M - CAMISA MANGA CURTA CINZA LINHO - "M" (PC)</t>
  </si>
  <si>
    <t>CMC-DAN-SED-ROS-TU - CAMISA MANGA CURTA ORGANZA SEDA DANI ROSA - "TU" (PC)</t>
  </si>
  <si>
    <t>CMC-DED-ALG-LIS-G - CAMISA MANGA CURTA LISTRADADA COLORIDA DEDE - "G" (PC)</t>
  </si>
  <si>
    <t>CMC-DED-ALG-LIS-GG - CAMISA MANGA CURTA LISTRADADA COLORIDA DEDE - "GG" (PC)</t>
  </si>
  <si>
    <t>CMC-DED-ALG-LIS-M - CAMISA MANGA CURTA LISTRADADA COLORIDA DEDE - "M" (PC)</t>
  </si>
  <si>
    <t>CMC-DED-ALG-LIS-P - CAMISA MANGA CURTA LISTRADADA COLORIDA DEDE - "P" (PC)</t>
  </si>
  <si>
    <t>CMC-FCH-ALG-VRD-M - CAMISA MANGA CURTA MENTA BORDADA FACHADA - "M" (PC)</t>
  </si>
  <si>
    <t>CMC-FCH-ALG-VRM-G - CAMISA MANGA CURTA CONHAQUE BORDADA FACHADA - "G" (PC)</t>
  </si>
  <si>
    <t>CMC-FEM-JAC-ALG-CAP-PIL - CAMISA MANGA CURTA FEMININA - JAQUARD ALGODAO - NOIS CAPOTA MAS NAO BRECA - "PILOTO" (PC)</t>
  </si>
  <si>
    <t>CMC-FIL-ALG-AZU-G - CAMISA MANGA CURTA ALGODAO FILTRO DE BARRO FUNDO AZUL - "G" (PC)</t>
  </si>
  <si>
    <t>CMC-FIL-ALG-AZU-GG - CAMISA MANGA CURTA ALGODAO FILTRO DE BARRO FUNDO AZUL - "GG" (PC)</t>
  </si>
  <si>
    <t>CMC-FIL-ALG-AZU-M - CAMISA MANGA CURTA ALGODAO FILTRO DE BARRO FUNDO AZUL - "M" (PC)</t>
  </si>
  <si>
    <t>CMC-FIL-ALG-AZU-P - CAMISA MANGA CURTA ALGODAO FILTRO DE BARRO FUNDO AZUL - "P" (PC)</t>
  </si>
  <si>
    <t>CMC-FIL-ALG-AZU-PP - CAMISA MANGA CURTA ALGODAO FILTRO DE BARRO FUNDO AZUL - "PP" (PC)</t>
  </si>
  <si>
    <t>CMC-FIL-ALG-EST-G - CAMISA MANGA CURTA ALGODAO FILTRO DE BARRO - "G" (PC)</t>
  </si>
  <si>
    <t>CMC-FIL-ALG-EST-GG - CAMISA MANGA CURTA ALGODAO FILTRO DE BARRO - "GG" (PC)</t>
  </si>
  <si>
    <t>CMC-FIL-ALG-EST-M - CAMISA MANGA CURTA ALGODAO FILTRO DE BARRO - "M" (PC)</t>
  </si>
  <si>
    <t>CMC-FIL-ALG-EST-P - CAMISA MANGA CURTA ALGODAO FILTRO DE BARRO - "P" (PC)</t>
  </si>
  <si>
    <t>CMC-FIL-ALG-EST-PP - CAMISA MANGA CURTA ALGODAO FILTRO DE BARRO - "PP" (PC)</t>
  </si>
  <si>
    <t>CMC-HT-LIN-CIN-M - CAMISA MANGA CURTA PURO LINHO LADY CINZA  HT - "M" (PC)</t>
  </si>
  <si>
    <t>CMC-JAC-ALG-CAP-G - CAMISA MANGA CURTA JACQUARD ALGODAO NOIS CAPOTA MAS NAO BRECA - "G" (PC)</t>
  </si>
  <si>
    <t>CMC-JAC-ALG-CAP-GG - CAMISA MANGA CURTA JACQUARD ALGODAO NOIS CAPOTA MAS NAO BRECA - "GG" (PC)</t>
  </si>
  <si>
    <t>CMC-JAC-ALG-CAP-M - CAMISA MANGA CURTA JACQUARD ALGODAO NOIS CAPOTA MAS NAO BRECA - "M" (PC)</t>
  </si>
  <si>
    <t>CMC-JAC-ALG-CAP-P - CAMISA MANGA CURTA JACQUARD ALGODAO NOIS CAPOTA MAS NAO BRECA - "P" (PC)</t>
  </si>
  <si>
    <t>CMC-JAC-ALG-CAP-PP - CAMISA MANGA CURTA JACQUARD ALGODAO NOIS CAPOTA MAS NAO BRECA - "PP" (PC)</t>
  </si>
  <si>
    <t>CMC-JAC-ALG-EPI-G - CAMISA MANGA CURTA JACQUARD ALGODAO EXISTO PORQUE INSISTO - "G" (PC)</t>
  </si>
  <si>
    <t>CMC-JAC-ALG-EPI-GG - CAMISA MANGA CURTA JACQUARD ALGODAO EXISTO PORQUE INSISTO - "GG" (PC)</t>
  </si>
  <si>
    <t>CMC-JAC-ALG-EPI-M - CAMISA MANGA CURTA JACQUARD ALGODAO EXISTO PORQUE INSISTO - "M" (PC)</t>
  </si>
  <si>
    <t>CMC-JAC-ALG-EPI-P - CAMISA MANGA CURTA JACQUARD ALGODAO EXISTO PORQUE INSISTO - "P" (PC)</t>
  </si>
  <si>
    <t>CMC-JAC-ALG-EPI-PP - CAMISA MANGA CURTA JACQUARD ALGODAO EXISTO PORQUE INSISTO - "PP" (PC)</t>
  </si>
  <si>
    <t>CMC-JEG-VIC-AZU-G - CAMISA MANGA CURTA VISCOSE LISTRADA AZUL JEGUE - "G" (PC)</t>
  </si>
  <si>
    <t>CMC-JEG-VIC-AZU-M - CAMISA MANGA CURTA VISCOSE LISTRADA AZUL JEGUE - "M" (PC)</t>
  </si>
  <si>
    <t>CMC-JEG-VIC-AZU-P - CAMISA MANGA CURTA VISCOSE LISTRADA AZUL JEGUE - "P" (PC)</t>
  </si>
  <si>
    <t>CMC-JUA-LIN-MAR-G - CAMISA MANGA CURTA MISCI LISTRADA MARROM  JUAZEIRO - "G" (PC)</t>
  </si>
  <si>
    <t>CMC-JUA-LIN-MAR-GG - CAMISA MANGA CURTA MISCI LISTRADA MARROM  JUAZEIRO - "GG" (PC)</t>
  </si>
  <si>
    <t>CMC-JUA-LIN-MAR-M - CAMISA MANGA CURTA MISCI LISTRADA MARROM  JUAZEIRO - "M" (PC)</t>
  </si>
  <si>
    <t>CMC-JUA-LIN-MAR-P - CAMISA MANGA CURTA MISCI LISTRADA MARROM  JUAZEIRO - "P" (PC)</t>
  </si>
  <si>
    <t>CMC-LAV-SED-VRM-G - CAMISA MANGA CURTA SEDA VERMELHO LAVA - "G" (PC)</t>
  </si>
  <si>
    <t>CMC-LAV-SED-VRM-GG - CAMISA MANGA CURTA SEDA VERMELHO LAVA - "GG" (PC)</t>
  </si>
  <si>
    <t>CMC-LAV-SED-VRM-M - CAMISA MANGA CURTA SEDA VERMELHO LAVA - "M" (PC)</t>
  </si>
  <si>
    <t>CMC-LAV-SED-VRM-P - CAMISA MANGA CURTA SEDA VERMELHO LAVA - "P" (PC)</t>
  </si>
  <si>
    <t>CMC-LIN-ALG-AZU-G - CAMISA MANGA CURTA ALGODAO AZUL LINO - "G" (PC)</t>
  </si>
  <si>
    <t>CMC-LIN-ALG-AZU-GG - CAMISA MANGA CURTA ALGODAO AZUL LINO - "GG" (PC)</t>
  </si>
  <si>
    <t>CMC-LIN-ALG-AZU-M - CAMISA MANGA CURTA ALGODAO AZUL LINO - "M" (PC)</t>
  </si>
  <si>
    <t>CMC-LIN-ALG-AZU-P - CAMISA MANGA CURTA ALGODAO AZUL LINO - "P" (PC)</t>
  </si>
  <si>
    <t>CMC-LIN-ALG-AZU-PP - CAMISA MANGA CURTA ALGODAO AZUL LINO - "PP" (PC)</t>
  </si>
  <si>
    <t>CMC-LIN-ALG-BEG-G - CAMISA MANGA CURTA ALGODAO BEGE LINO - "G" (PC)</t>
  </si>
  <si>
    <t>CMC-LIN-ALG-BEG-GG - CAMISA MANGA CURTA ALGODAO BEGE LINO - "GG" (PC)</t>
  </si>
  <si>
    <t>CMC-LIN-ALG-BEG-M - CAMISA MANGA CURTA ALGODAO BEGE LINO - "M" (PC)</t>
  </si>
  <si>
    <t>CMC-LIN-ALG-BEG-P - CAMISA MANGA CURTA ALGODAO BEGE LINO - "P" (PC)</t>
  </si>
  <si>
    <t>CMC-LIN-ALG-BEG-PP - CAMISA MANGA CURTA ALGODAO BEGE LINO - "PP (PC)</t>
  </si>
  <si>
    <t>CMC-LIN-ALG-COL-G - CAMISA MANGA CURTA ALGODAO LISTRADA COLORIDO LINO - "G" (PC)</t>
  </si>
  <si>
    <t>CMC-LIN-ALG-COL-GG - CAMISA MANGA CURTA ALGODAO LISTRADA COLORIDO LINO - "GG" (PC)</t>
  </si>
  <si>
    <t>CMC-LIN-ALG-COL-M - CAMISA MANGA CURTA ALGODAO LISTRADA COLORIDO LINO - "M" (PC)</t>
  </si>
  <si>
    <t>CMC-LIN-ALG-COL-P - CAMISA MANGA CURTA ALGODAO LISTRADA COLORIDO LINO - "P" (PC)</t>
  </si>
  <si>
    <t>CMC-LIN-ALG-MAR-G - CAMISA MANGA CURTA ALGODAO MARROM TERRACOTA LINO - "G" (PC)</t>
  </si>
  <si>
    <t>CMC-LIN-ALG-MAR-GG - CAMISA MANGA CURTA ALGODAO MARROM TERRACOTA LINO - "GG" (PC)</t>
  </si>
  <si>
    <t>CMC-LIN-ALG-MAR-M - CAMISA MANGA CURTA ALGODAO MARROM TERRACOTA LINO- "M" (PC)</t>
  </si>
  <si>
    <t>CMC-LIN-ALG-MAR-P - CAMISA MANGA CURTA ALGODAO MARROM TERRACOTA LINO - "P" (PC)</t>
  </si>
  <si>
    <t>CMC-LIN-ALG-VRD-P - CAMISA MANGA CURTA ALGODAO VERDE MILITAR LINO - "P" (PC)</t>
  </si>
  <si>
    <t>CMC-LIN-VRD-PILOTO - CAMISA MANGA CURTA LISA LINHO VERDE - "PILOTO" (PC)</t>
  </si>
  <si>
    <t>CMC-LIS-ALG-CIN-G - CAMISA MANGA CURTA ALGODAO LISTRADA CINZA LIS - "G" (PC)</t>
  </si>
  <si>
    <t>CMC-LIS-ALG-CIN-GG - CAMISA MANGA CURTA ALGODAO LISTRADA CINZA LIS - "GG" (PC)</t>
  </si>
  <si>
    <t>CMC-LIS-ALG-CIN-M - CAMISA MANGA CURTA ALGODAO LISTRADA CINZA LIS - "M" (PC)</t>
  </si>
  <si>
    <t>CMC-LIS-ALG-CIN-P - CAMISA MANGA CURTA ALGODAO LISTRADA CINZA LIS - "P" (PC)</t>
  </si>
  <si>
    <t>CMC-MOD-MOD-AZU-G - CAMISA MANGA CURTA AZUL MODAL - "G" (PC)</t>
  </si>
  <si>
    <t>CMC-MOD-MOD-AZU-GG - CAMISA MANGA CURTA AZUL MODAL - "GG" (PC)</t>
  </si>
  <si>
    <t>CMC-MOD-MOD-AZU-M - CAMISA MANGA CURTA AZUL MODAL - "M" (PC)</t>
  </si>
  <si>
    <t>CMC-MOD-MOD-AZU-P - CAMISA MANGA CURTA AZUL MODAL - "P" (PC)</t>
  </si>
  <si>
    <t>CMC-MOD-MOD-AZU-PP - CAMISA MANGA CURTA AZUL MODAL - "PP" (PC)</t>
  </si>
  <si>
    <t>CMC-MOD-MOD-VRD-G - CAMISA MANGA CURTA VERDE MODAL - "G" (PC)</t>
  </si>
  <si>
    <t>CMC-MOD-MOD-VRD-M - CAMISA MANGA CURTA VERDE MODAL - "M" (PC)</t>
  </si>
  <si>
    <t>CMC-MOD-MOD-VRD-P - CAMISA MANGA CURTA VERDE MODAL - "P" (PC)</t>
  </si>
  <si>
    <t>CMC-MON-MAL-VRD-G - CAMISA MANGA CURTA MONOCOLOR VERDE - "G" (PC)</t>
  </si>
  <si>
    <t>CMC-MON-MAL-VRD-GG - CAMISA MANGA CURTA MONOCOLOR VERDE - "GG" (PC)</t>
  </si>
  <si>
    <t>CMC-MON-MAL-VRD-M - CAMISA MANGA CURTA MONOCOLOR VERDE - "M" (PC)</t>
  </si>
  <si>
    <t>CMC-MON-MAL-VRD-P - CAMISA MANGA CURTA MONOCOLOR VERDE - "P" (PC)</t>
  </si>
  <si>
    <t>CMC-MON-MAL-VRD-PP - CAMISA MANGA CURTA MONOCOLOR VERDE - "PP" (PC)</t>
  </si>
  <si>
    <t>CMC-MOQ-ALG-AZU-G - CAMISA MANGA CURTA - MOQUECA - AZUL INDIGO - "G" (PC)</t>
  </si>
  <si>
    <t>CMC-MOQ-ALG-AZU-GG - CAMISA MANGA CURTA - MOQUECA - AZUL INDIGO - "GG" (PC)</t>
  </si>
  <si>
    <t>CMC-MOQ-ALG-AZU-M - CAMISA MANGA CURTA - MOQUECA - AZUL INDIGO - "M" (PC)</t>
  </si>
  <si>
    <t>CMC-MOQ-ALG-AZU-P - CAMISA MANGA CURTA - MOQUECA - AZUL INDIGO - "P" (PC)</t>
  </si>
  <si>
    <t>CMC-MOQ-ALG-AZU-PP - CAMISA MANGA CURTA - MOQUECA - AZUL INDIGO - "PP" (PC)</t>
  </si>
  <si>
    <t>CMC-MOQ-ALG-CRU-M - CAMISA MANGA CURTA MOQUECA DIJANELA  - "TU (M)" (PC)</t>
  </si>
  <si>
    <t>CMC-MOQ-ALG-LAR-G - CAMISA MANGA CURTA - MOQUECA - LARANJA QUEIMADO - "G" (PC)</t>
  </si>
  <si>
    <t>CMC-MOQ-ALG-LAR-GG - CAMISA MANGA CURTA - MOQUECA - LARANJA QUEIMADO - "GG" (PC)</t>
  </si>
  <si>
    <t>CMC-MOQ-ALG-LAR-M - CAMISA MANGA CURTA - MOQUECA - LARANJA QUEIMADO - "M" (PC)</t>
  </si>
  <si>
    <t>CMC-MOQ-ALG-LAR-P - CAMISA MANGA CURTA - MOQUECA - LARANJA QUEIMADO - "P" (PC)</t>
  </si>
  <si>
    <t>CMC-MOQ-ALG-LAR-PP - CAMISA MANGA CURTA - MOQUECA - LARANJA QUEIMADO - "PP" (PC)</t>
  </si>
  <si>
    <t>CMC-PAR-ALG-VRD-G - CAMISA MANGA CURTA LISTRADA VERDE PARAIBA - "G" (PC)</t>
  </si>
  <si>
    <t>CMC-PAR-ALG-VRD-GG - CAMISA MANGA CURTA LISTRADA VERDE PARAIBA - "GG" (PC)</t>
  </si>
  <si>
    <t>CMC-PAR-ALG-VRD-M - CAMISA MANGA CURTA LISTRADA VERDE PARAIBA - "M" (PC)</t>
  </si>
  <si>
    <t>CMC-PAR-ALG-VRD-P - CAMISA MANGA CURTA LISTRADA VERDE PARAIBA - "P" (PC)</t>
  </si>
  <si>
    <t>CMC-PAR-ALG-VRD-PP - CAMISA MANGA CURTA LISTRADA VERDE PARAIBA - "PP" (PC)</t>
  </si>
  <si>
    <t>CMC-PAR-LIN-OFF-G - CAMISA MANGA CURTA MISCI OFF PARDAL - "G" (PC)</t>
  </si>
  <si>
    <t>CMC-PAR-LIN-OFF-GG - CAMISA MANGA CURTA MISCI OFF PARDAL - "GG" (PC)</t>
  </si>
  <si>
    <t>CMC-PAR-LIN-OFF-M - CAMISA MANGA CURTA MISCI OFF PARDAL - "M" (PC)</t>
  </si>
  <si>
    <t>CMC-PAR-LIN-OFF-P - CAMISA MANGA CURTA MISCI OFF PARDAL - "P" (PC)</t>
  </si>
  <si>
    <t>CMC-PRA-ALG-VRD-G - CAMISA MANGA CURTA LISTRADA VERDE PRAINHA - "G" (PC)</t>
  </si>
  <si>
    <t>CMC-PRA-ALG-VRD-M - CAMISA MANGA CURTA LISTRADA VERDE PRAINHA - "M" (PC)</t>
  </si>
  <si>
    <t>CMC-PRA-ALG-VRD-P - CAMISA MANGA CURTA LISTRADA VERDE PRAINHA - "P" (PC)</t>
  </si>
  <si>
    <t>CMC-PRE-SED-OFF-M - CAMISA MANGA CURTA CETIM DE SEDA ESTAMPADA PRECIADO - "M" (PC)</t>
  </si>
  <si>
    <t>CAMISA MANGA LONGA</t>
  </si>
  <si>
    <t>CMC-REG-LIN-OFF-G - CAMISA MANGA CURTA LINHO OFF PONTO PICADO REGINALDO - "G" (PC)</t>
  </si>
  <si>
    <t>CMC-REG-LIN-OFF-GG - CAMISA MANGA CURTA LINHO OFF PONTO PICADO REGINALDO - "GG" (PC)</t>
  </si>
  <si>
    <t>CMC-REG-LIN-OFF-M - CAMISA MANGA CURTA LINHO OFF PONTO PICADO REGINALDO - "M" (PC)</t>
  </si>
  <si>
    <t>CMC-REG-LIN-OFF-P - CAMISA MANGA CURTA LINHO OFF PONTO PICADO REGINALDO - "P" (PC)</t>
  </si>
  <si>
    <t>CMC-REG-LIN-PER-G - CAMISA MANGA CURTA LINHO PEROLA PONTO PICADO REGINALDO - "G" (PC)</t>
  </si>
  <si>
    <t>CMC-REG-LIN-PER-GG - CAMISA MANGA CURTA LINHO PEROLA PONTO PICADO REGINALDO - "GG" (PC)</t>
  </si>
  <si>
    <t>CMC-REG-LIN-PER-M - CAMISA MANGA CURTA LINHO PEROLA PONTO PICADO REGINALDO - "M" (PC)</t>
  </si>
  <si>
    <t>CMC-REG-LIN-PER-P - CAMISA MANGA CURTA LINHO PEROLA PONTO PICADO REGINALDO - "P" (PC)</t>
  </si>
  <si>
    <t>CMC-REG-LIN-TEL-P - CAMISA MANGA CURTA LINHO TELHA PONTO PICADO REGINALDO - "M" (PC)</t>
  </si>
  <si>
    <t>CMC-ROB-ALG-LIS-G - CAMISA MANGA CURTA LISTRADA AZUL ALGODAO ROBERTINHO - "G" (PC)</t>
  </si>
  <si>
    <t>CMC-ROB-ALG-LIS-GG - CAMISA MANGA CURTA LISTRADA AZUL ALGODAO ROBERTINHO - "GG" (PC)</t>
  </si>
  <si>
    <t>CMC-ROB-ALG-LIS-M - CAMISA MANGA CURTA LISTRADA AZUL ALGODAO ROBERTINHO - "M" (PC)</t>
  </si>
  <si>
    <t>CMC-ROB-ALG-LIS-P - CAMISA MANGA CURTA LISTRADA AZUL ALGODAO ROBERTINHO - "P" (PC)</t>
  </si>
  <si>
    <t>CMC-SED-SED-AMA-G - CAMISA MANGA CURTA SEDA MOSTARDA  - "G" (PC)</t>
  </si>
  <si>
    <t>CMC-SED-SED-AMA-GG - CAMISA MANGA CURTA SEDA MOSTARDA  - "GG" (PC)</t>
  </si>
  <si>
    <t>CMC-SED-SED-AMA-M - CAMISA MANGA CURTA SEDA MOSTARDA  - "M" (PC)</t>
  </si>
  <si>
    <t>CMC-SED-SED-AMA-P - CAMISA MANGA CURTA SEDA MOSTARDA  - "P" (PC)</t>
  </si>
  <si>
    <t>CMC-SER-VIS-BRA-G - CAMISA MANGA CURTA VISCOSE BRANCA PONTOS VERMELHOS SERRA DO MEL - "G" (PC)</t>
  </si>
  <si>
    <t>CMC-SER-VIS-BRA-GG - CAMISA MANGA CURTA VISCOSE BRANCA PONTOS VERMELHOS SERRA DO MEL - "GG" (PC)</t>
  </si>
  <si>
    <t>CMC-SER-VIS-BRA-M - CAMISA MANGA CURTA VISCOSE BRANCA PONTOS VERMELHOS SERRA DO MEL - "M" (PC)</t>
  </si>
  <si>
    <t>CMC-SER-VIS-BRA-P - CAMISA MANGA CURTA VISCOSE BRANCA PONTOS VERMELHOS SERRA DO MEL - "P" (PC)</t>
  </si>
  <si>
    <t>CMC-VIS-VIS-OFF-G - CAMISA MANGA CURTA OFF VISCOSE - "G" (PC)</t>
  </si>
  <si>
    <t>CMC-VIS-VIS-OFF-M - CAMISA MANGA CURTA OFF VISCOSE - "M" (PC)</t>
  </si>
  <si>
    <t>CMC-VIS-VIS-OFF-P - CAMISA MANGA CURTA OFF VISCOSE - "P" (PC)</t>
  </si>
  <si>
    <t>CMl-JUA-ALG-BEG-G - CAMISA MANGA LONGA BEGE JUARA- "G" (PC)</t>
  </si>
  <si>
    <t>CMl-JUA-ALG-BEG-GG - CAMISA MANGA LONGA BEGE JUARA- "GG" (PC)</t>
  </si>
  <si>
    <t>CMl-JUA-ALG-BEG-M - CAMISA MANGA LONGA BEGE JUARA- "M" (PC)</t>
  </si>
  <si>
    <t>CMl-JUA-ALG-BEG-P - CAMISA MANGA LONGA BEGE JUARA- "P" (PC)</t>
  </si>
  <si>
    <t>CML-ALI-SED-ROS-G - CAMISA MANGA LONGA SEDA ROSA PORCELANA ALICE - "G" (PC)</t>
  </si>
  <si>
    <t>CML-ALI-SED-ROS-GG - CAMISA MANGA LONGA SEDA ROSA PORCELANA ALICE - "GG" (PC)</t>
  </si>
  <si>
    <t>CML-ALI-SED-ROS-M - CAMISA MANGA LONGA SEDA ROSA PORCELANA ALICE - "M" (PC)</t>
  </si>
  <si>
    <t>CML-ALI-SED-ROS-P - CAMISA MANGA LONGA SEDA ROSA PORCELANA ALICE - "P" (PC)</t>
  </si>
  <si>
    <t>CML-ALI-SED-ROS-PP - CAMISA MANGA LONGA SEDA ROSA PORCELANA ALICE - "PP" (PC)</t>
  </si>
  <si>
    <t>CML-ALI-SED-ROS-X - CAMISA MANGA LONGA SEDA ROSA PORCELANA ALICE - PILOTO (PC)</t>
  </si>
  <si>
    <t>CML-ALI-SED-VRD-G - CAMISA MANGA LONGA SEDA VERDE ESCURO ALICE - "G" (PC)</t>
  </si>
  <si>
    <t>CML-ALI-SED-VRD-GG - CAMISA MANGA LONGA SEDA VERDE ESCURO ALICE - "GG" (PC)</t>
  </si>
  <si>
    <t>CML-ALI-SED-VRD-M - CAMISA MANGA LONGA SEDA VERDE ESCURO ALICE - "M" (PC)</t>
  </si>
  <si>
    <t>CML-ALI-SED-VRD-P - CAMISA MANGA LONGA SEDA VERDE ESCURO ALICE - "P" (PC)</t>
  </si>
  <si>
    <t>CML-ALI-SED-VRD-PIL - CAMISA MANGA LONGA SEDA VERDE ESCURO ALICE - "PILOTO" (PC)</t>
  </si>
  <si>
    <t>CML-ALI-SED-VRD-PP - CAMISA MANGA LONGA SEDA VERDE ESCURO ALICE - "PP" (PC)</t>
  </si>
  <si>
    <t>CML-ARI-ALG-ING-G - CAMISA JEANS INDIGO ARI - "G" (PC)</t>
  </si>
  <si>
    <t>CML-ARI-ALG-ING-GG - CAMISA JEANS INDIGO ARI - "GG" (PC)</t>
  </si>
  <si>
    <t>CML-ARI-ALG-ING-M - CAMISA JEANS INDIGO ARI - "M" (PC)</t>
  </si>
  <si>
    <t>CML-ARI-ALG-ING-P - CAMISA JEANS INDIGO ARI - "P" (PC)</t>
  </si>
  <si>
    <t>CML-CLP-MOD-VRD-M - CAMISA MANGA LONGA MISCI COM LAPELA VERDE MODAL - "M" (PC)</t>
  </si>
  <si>
    <t>CML-JEG-VIS-AZU-G - CAMISA MANGA LONGA VISCOSE LISTRADA AZUL JEGUE - "G" (PC)</t>
  </si>
  <si>
    <t>CML-JEG-VIS-AZU-M - CAMISA MANGA LONGA VISCOSE LISTRADA AZUL JEGUE - "M" (PC)</t>
  </si>
  <si>
    <t>CML-JEG-VIS-AZU-P - CAMISA MANGA LONGA VISCOSE LISTRADA AZUL JEGUE - "P" (PC)</t>
  </si>
  <si>
    <t>CML-LIN-OFF-MOR-M - CAMISA MANGA LONGA  LINHO OFF MORERE  - M (PC)</t>
  </si>
  <si>
    <t>CML-MOB-LIN-OFF-G - CAMISA MANGA LONGA BORDADA LINHO OFF MORERE  - G (PC)</t>
  </si>
  <si>
    <t>CML-MOB-LIN-OFF-M - CAMISA MANGA LONGA BORDADA LINHO OFF MORERE  - M (PC)</t>
  </si>
  <si>
    <t>CML-MOB-LIN-OFF-P - CAMISA MANGA LONGA BORDADA LINHO OFF MORERE  - "P" (PC)</t>
  </si>
  <si>
    <t>CML-PRE-ALG-AZU-G - CAMISA MANGA LONGA COM PREGAS AZUL PRELA - "G" (PC)</t>
  </si>
  <si>
    <t>CML-PRE-ALG-AZU-M - CAMISA MANGA LONGA COM PREGAS AZUL PRELA - "M" (PC)</t>
  </si>
  <si>
    <t>CML-PRE-ALG-AZU-P - CAMISA MANGA LONGA COM PREGAS AZUL PRELA - "P" (PC)</t>
  </si>
  <si>
    <t>CML-PRE-ALG-PRE-G - CAMISA MANGA LONGA COM PREGAS PRETA PRELA - "G" (PC)</t>
  </si>
  <si>
    <t>CML-PRE-ALG-PRE-GG - CAMISA MANGA LONGA COM PREGAS PRETA PRELA - "GG" (PC)</t>
  </si>
  <si>
    <t>CML-PRE-ALG-PRE-M - CAMISA MANGA LONGA COM PREGAS PRETA PRELA - "M" (PC)</t>
  </si>
  <si>
    <t>CML-PRE-ALG-PRE-P - CAMISA MANGA LONGA COM PREGAS PRETA PRELA - "P" (PC)</t>
  </si>
  <si>
    <t>CML-PRE-ALG-VRD-G - CAMISA MANGA LONGA COM PREGAS VERDE PRELA - "G" (PC)</t>
  </si>
  <si>
    <t>CML-PRE-ALG-VRD-GG - CAMISA MANGA LONGA COM PREGAS VERDE PRELA - "GG" (PC)</t>
  </si>
  <si>
    <t>CML-PRE-ALG-VRD-M - CAMISA MANGA LONGA COM PREGAS VERDE PRELA - "M" (PC)</t>
  </si>
  <si>
    <t>CML-PRE-ALG-VRD-P - CAMISA MANGA LONGA COM PREGAS VERDE PRELA - "P" (PC)</t>
  </si>
  <si>
    <t>CML-PRE-SED-OFF-M - CAMISA MANGA LONGA SEDA ESTAMPADA PRECIADO - "M" (PC)</t>
  </si>
  <si>
    <t>CML-PUB-ALG-AZB-G - CAMISA MANGA LONGA MISCI LISTRADA AZUL/BRANCO PUBI - "G" (PC)</t>
  </si>
  <si>
    <t>CML-PUB-ALG-AZB-GG - CAMISA MANGA LONGA MISCI LISTRADA AZUL/BRANCO PUBI - "GG" (PC)</t>
  </si>
  <si>
    <t>CML-PUB-ALG-AZB-M - CAMISA MANGA LONGA MISCI LISTRADA AZUL/BRANCO PUBI - "M" (PC)</t>
  </si>
  <si>
    <t>CML-PUB-ALG-AZB-P - CAMISA MANGA LONGA MISCI LISTRADA AZUL/BRANCO PUBI - "P" (PC)</t>
  </si>
  <si>
    <t>CML-PUB-ALG-AZU-G - CAMISA MANGA LONGA MISCI AZUL DANUBIO GOLA BRANCA PUBI - "G" (PC)</t>
  </si>
  <si>
    <t>CML-PUB-ALG-AZU-GG - CAMISA MANGA LONGA MISCI AZUL DANUBIO GOLA BRANCA PUBI - "GG" (PC)</t>
  </si>
  <si>
    <t>CML-PUB-ALG-AZU-M - CAMISA MANGA LONGA MISCI AZUL DANUBIO GOLA BRANCA PUBI - "M" (PC)</t>
  </si>
  <si>
    <t>CML-PUB-ALG-AZU-P - CAMISA MANGA LONGA MISCI AZUL DANUBIO GOLA BRANCA PUBI - "P" (PC)</t>
  </si>
  <si>
    <t>CML-PUB-ALG-QUA-G - CAMISA MANGA LONGA MISCI PESPONTO QUADRICULADA VERMELHO PUBI - "G" (PC)</t>
  </si>
  <si>
    <t>CML-PUB-ALG-QUA-GG - CAMISA MANGA LONGA MISCI PESPONTO QUADRICULADA VERMELHO PUBI- "GG" (PC)</t>
  </si>
  <si>
    <t>CML-PUB-ALG-QUA-M - CAMISA MANGA LONGA MISCI PESPONTO QUADRICULADA VERMELHO PUBI - "M" (PC)</t>
  </si>
  <si>
    <t>CML-PUB-ALG-QUA-P - CAMISA MANGA LONGA MISCI PESPONTO QUADRICULADA VERMELHO PUBI - "P" (PC)</t>
  </si>
  <si>
    <t>CML-PUB-ALG-VPB-G - CAMISA MANGA LONGA LISTRADA VRM/PRE/BCO PUBI - "G" (PC)</t>
  </si>
  <si>
    <t>CML-PUB-ALG-VPB-GG - CAMISA MANGA LONGA LISTRADA VRM/PRE/BCO PUBI - "GG" (PC)</t>
  </si>
  <si>
    <t>CML-PUB-ALG-VPB-M - CAMISA MANGA LONGA LISTRADA VRM/PRE/BCO PUBI - "M" (PC)</t>
  </si>
  <si>
    <t>CML-PUB-ALG-VPB-P - CAMISA MANGA LONGA LISTRADA VRM/PRE/BCO PUBI - "P" (PC)</t>
  </si>
  <si>
    <t>CML-PUB-ALG-VRB-G - CAMISA MANGA LONGA LISTRADA PESPONTO VRM/BCO PUBI- "G" (PC)</t>
  </si>
  <si>
    <t>CML-PUB-ALG-VRB-GG - CAMISA MANGA LONGA LISTRADA PESPONTO VRM/BCO PUBI- "GG" (PC)</t>
  </si>
  <si>
    <t>CML-PUB-ALG-VRB-M - CAMISA MANGA LONGA LISTRADA PESPONTO VRM/BCO PUBI- "M" (PC)</t>
  </si>
  <si>
    <t>CML-PUB-ALG-VRB-P - CAMISA MANGA LONGA LISTRADA PESPONTO VRM/BCO PUBI- "P" (PC)</t>
  </si>
  <si>
    <t>CML-SLP-MOD-VRD-M - CAMISA MANGA LONGA MISCI SEM LAPELA VERDE MODAL - "M" (PC)</t>
  </si>
  <si>
    <t>CMR-51-ALG-CIN-G - CAMISETA REGATA ALGODAO CINZA 51 - "G" (PC)</t>
  </si>
  <si>
    <t>CMR-51-ALG-CIN-GG - CAMISETA REGATA ALGODAO CINZA 51 - "GG" (PC)</t>
  </si>
  <si>
    <t>CMR-51-ALG-CIN-M - CAMISETA REGATA ALGODAO CINZA 51 -  "M " (PC)</t>
  </si>
  <si>
    <t>CMR-51-ALG-CIN-P - CAMISETA REGATA ALGODAO CINZA 51 - "P" (PC)</t>
  </si>
  <si>
    <t>CMR-51-ALG-VRD-G - CAMISETA REGATA ALGODAO VERDE  51 - "G" (PC)</t>
  </si>
  <si>
    <t>CMR-51-ALG-VRD-GG - CAMISETA REGATA ALGODAO VERDE  51 - "GG" (PC)</t>
  </si>
  <si>
    <t>CMR-51-ALG-VRD-M - CAMISETA REGATA ALGODAO VERDE  51 - "M" (PC)</t>
  </si>
  <si>
    <t>CMR-51-ALG-VRD-P - CAMISETA REGATA ALGODAO VERDE  51 - "P" (PC)</t>
  </si>
  <si>
    <t>CMR-51-LIN-OFF-G - CAMISETA REGATA ALGODAO TELADO OFF 51 - "G" (PC)</t>
  </si>
  <si>
    <t>CMR-51-LIN-OFF-GG - CAMISETA REGATA ALGODAO TELADO OFF 51 - "GG" (PC)</t>
  </si>
  <si>
    <t>CMR-51-LIN-OFF-M - CAMISETA REGATA ALGODAO TELADO OFF 51 - "M" (PC)</t>
  </si>
  <si>
    <t>CMR-51-LIN-OFF-P - CAMISETA REGATA ALGODAO TELADO OFF 51 - "P" (PC)</t>
  </si>
  <si>
    <t>COL-BLZ-PAS-M - BLAZER ALFAIATARIA PAULA SCAVAZZINI - "M" (PC)</t>
  </si>
  <si>
    <t>COL-D20-ALG-AZU-G - COLETE D-20 AZUL- "G" (PC)</t>
  </si>
  <si>
    <t>COL-D20-ALG-AZU-GG - COLETE D-20 AZUL- "GG" (PC)</t>
  </si>
  <si>
    <t>COL-D20-ALG-AZU-M - COLETE D-20 AZUL- "M" (PC)</t>
  </si>
  <si>
    <t>COL-D20-ALG-AZU-P - COLETE D-20 AZUL- "P" (PC)</t>
  </si>
  <si>
    <t>COL-D20-ALG-AZU-PIL - COLETE D-20 AZUL- "PILOTO" (PC)</t>
  </si>
  <si>
    <t>COL-D20-ALG-AZU-PP - COLETE D-20 AZUL- "PP" (PC)</t>
  </si>
  <si>
    <t>COL-D20-ALG-AZU-XG - COLETE D-20 AZUL- "XG" (PC)</t>
  </si>
  <si>
    <t>COL-D20-ALG-BEG-G - COLETE D-20 BEGE - "G" (PC)</t>
  </si>
  <si>
    <t>COL-D20-ALG-BEG-GG - COLETE D-20 BEGE - "GG" (PC)</t>
  </si>
  <si>
    <t>COL-D20-ALG-BEG-M - COLETE D-20 BEGE - "M" (PC)</t>
  </si>
  <si>
    <t>COL-D20-ALG-BEG-P - COLETE D-20 BEGE - "P" (PC)</t>
  </si>
  <si>
    <t>COL-D20-ALG-BEG-PIL - COLETE D-20 BEGE - "PILOTO" (PC)</t>
  </si>
  <si>
    <t>COL-D20-ALG-BEG-PP - COLETE D-20 BEGE - "PP" (PC)</t>
  </si>
  <si>
    <t>COL-D20-ALG-BEG-XG - COLETE D-20 BEGE - "XG" (PC)</t>
  </si>
  <si>
    <t>COL-D20-ALG-EPI-G - COLETE D-20 - EXISTO PORQUE INSISTO - "G" (PC)</t>
  </si>
  <si>
    <t>COL-D20-ALG-EPI-GG - COLETE D-20 - EXISTO PORQUE INSISTO - "GG" (PC)</t>
  </si>
  <si>
    <t>COL-D20-ALG-EPI-M - COLETE D-20 - EXISTO PORQUE INSISTO - "M" (PC)</t>
  </si>
  <si>
    <t>COL-D20-ALG-EPI-P - COLETE D-20 - EXISTO PORQUE INSISTO - "P" (PC)</t>
  </si>
  <si>
    <t>COL-D20-ALG-EPI-PP - COLETE D-20 - EXISTO PORQUE INSISTO - "PP" (PC)</t>
  </si>
  <si>
    <t>COL-D20-ALG-EPI-XG - COLETE D-20 - EXISTO PORQUE INSISTO - "XG" (PC)</t>
  </si>
  <si>
    <t>Luiza Caldari + Misci</t>
  </si>
  <si>
    <t>DUS-MAI-POL-OFF-G - DUST BAG MAINHAS OFF GRANDE - "G" (PC)</t>
  </si>
  <si>
    <t>DUS-MAI-POL-OFF-M - DUST BAG MAINHAS OFF MEDIA  "M¿ (PC)</t>
  </si>
  <si>
    <t>DUS-MAI-POL-OFF-P - DUST BAG MAINHAS OFF PEQUENA - "P" (PC)</t>
  </si>
  <si>
    <t>DUS-MAI-POL-VRM-G - DUST BAG MAINHAS VERMELHA GRANDE - "G" (PC)</t>
  </si>
  <si>
    <t>DUS-MAI-POL-VRM-P - DUST BAG MAINHAS VERMELHA PEQUENA - "P" (PC)</t>
  </si>
  <si>
    <t>EI6021-64 - 52821/2 - FERRAGENS - ENFEITE INJETADO #NIQUEL B C/VZ - EI6021-64 - BOTAO LARERAL (UN)</t>
  </si>
  <si>
    <t>EI6021-64 - 52821/814 - FERRAGENS - ENFEITE INJETADO #OURO MILANO B C/VZ - EI6021-64 - BOTAO PRESSAO (UN)</t>
  </si>
  <si>
    <t>ET001 - ETIQUETA - bordada premium na cor 1901 - 40 x 65mm fundo Silk Damask Premiun sem dobras - Haco Etiquetas Ltda. (UN)</t>
  </si>
  <si>
    <t>haco</t>
  </si>
  <si>
    <t>ET002 - ETIQUETA  - GRADE - PP/ S -  4 X 2 MM - HACO (UN)</t>
  </si>
  <si>
    <t>ET003 - ETIQUETA  - GRADE - P/ S -  4 X 2 MM - HACO (UN)</t>
  </si>
  <si>
    <t>ET004 - ETIQUETA  - GRADE - M / M -  4 X 2 MM - HACO (UN)</t>
  </si>
  <si>
    <t>ET005 - ETIQUETA  - GRADE - G / L -  4 X 2 MM - HACO (UN)</t>
  </si>
  <si>
    <t>ET006 - ETIQUETA  - GRADE - GG / XL -  4 X 2 MM - HACO (UN)</t>
  </si>
  <si>
    <t>ET007 - ETIQUETA  - GRADE - 36 -  4 X 2 MM - HACO (UN)</t>
  </si>
  <si>
    <t>ET008 - ETIQUETA  - GRADE - 38 -  4 X 2 MM - HACO (UN)</t>
  </si>
  <si>
    <t>ET009 - ETIQUETA  - GRADE - 40 -  4 X 2 MM - HACO (UN)</t>
  </si>
  <si>
    <t>ET010 - ETIQUETA  - GRADE - 42 -  4 X 2 MM - HACO (UN)</t>
  </si>
  <si>
    <t>ET011 - ETIQUETA  - GRADE - 44 -  4 X 2 MM - HACO (UN)</t>
  </si>
  <si>
    <t>ET012 - ETIQUETA  - GRADE - 46 -  4 X 2 MM - HACO (UN)</t>
  </si>
  <si>
    <t>ETI-TAG-PAP-SIL-B - TAG - Etiqueta de roupa em papel corta e silk - bege (UN)</t>
  </si>
  <si>
    <t>ETI-TAG-PAP-SIL-P - TAG - Etiqueta de roupa em papel corta e silk - preto (UN)</t>
  </si>
  <si>
    <t>FER-ZIP-YKK-MAR - ZIPER YKK 15CM MARINHO (UN)</t>
  </si>
  <si>
    <t>FT8086156 - CX. PAP.OND.REF.:01 963x998x (PC)</t>
  </si>
  <si>
    <t>JAQ-ALG-CRU-PRA-M - JAQUETA CRU PRATIGI - "M" (PC)</t>
  </si>
  <si>
    <t>JAQ-ELL-MOD-AZU-M - JAQUETA AZUL ELLE - "M" (PC)</t>
  </si>
  <si>
    <t>JAQ-ELL-MOD-OFF-M - JAQUETA OFF ELLE - "M" (PC)</t>
  </si>
  <si>
    <t>JAQ-ELL-MOD-VRD-M - JAQUETA VERDE ELLE - "M" (PC)</t>
  </si>
  <si>
    <t>JAQ-ING-COT-MAS-G - JAQUETA MASCAVO INGA - "G" (PC)</t>
  </si>
  <si>
    <t>JAQ-ING-COT-MAS-GG - JAQUETA MASCAVO INGA - "GG" (PC)</t>
  </si>
  <si>
    <t>JAQ-ING-COT-MAS-M - JAQUETA MASCAVO INGA - "M" (PC)</t>
  </si>
  <si>
    <t>JAQ-ING-COT-MAS-P - JAQUETA MASCAVO INGA - "P" (PC)</t>
  </si>
  <si>
    <t>JAQ-ING-COT-OLI-G - JAQUETA OLIVA INGA - "G" (PC)</t>
  </si>
  <si>
    <t>JAQ-ING-COT-OLI-GG - JAQUETA OLIVA INGA - "GG" (PC)</t>
  </si>
  <si>
    <t>JAQ-ING-COT-OLI-M - JAQUETA OLIVA INGA - "M" (PC)</t>
  </si>
  <si>
    <t>JAQ-ING-COT-OLI-P - JAQUETA OLIVA INGA - "P" (PC)</t>
  </si>
  <si>
    <t>JAQ-MI-CET-BEG-G - JAQUETA ALFAIATARIA BEGE MI - "G" (PC)</t>
  </si>
  <si>
    <t>JAQ-MI-CET-BEG-GG - JAQUETA ALFAIATARIA BEGE MI - "GG" (PC)</t>
  </si>
  <si>
    <t>JAQ-MI-CET-BEG-M - JAQUETA ALFAIATARIA BEGE MI - "M" (PC)</t>
  </si>
  <si>
    <t>JAQ-MI-CET-BEG-P - JAQUETA ALFAIATARIA BEGE MI - "P" (PC)</t>
  </si>
  <si>
    <t>JAQ-MI-CET-VRD-G - JAQUETA ALFAIATARIA VERDE MI - "G" (PC)</t>
  </si>
  <si>
    <t>JAQ-MI-CET-VRD-GG - JAQUETA ALFAIATARIA VERDE MI - "GG" (PC)</t>
  </si>
  <si>
    <t>JAQ-MI-CET-VRD-M - JAQUETA ALFAIATARIA VERDE MI - "M" (PC)</t>
  </si>
  <si>
    <t>JAQ-MI-CET-VRD-P - JAQUETA ALFAIATARIA VERDE MI - "P" (PC)</t>
  </si>
  <si>
    <t>LIV-BRA-FEL-COL-TU - LIVRO INFATIL BRASILIDADES MISCI (UN)</t>
  </si>
  <si>
    <t>MAI-MIS-POE-CER-G - MAIO MISCI + ESC - CERAMICA - "G" (PC)</t>
  </si>
  <si>
    <t>MAI-MIS-POE-CER-GG - MAIO MISCI + ESC - CERAMICA - "GG" (PC)</t>
  </si>
  <si>
    <t>MAI-MIS-POE-CER-M - MAIO MISCI + ESC - CERAMICA - "M" (PC)</t>
  </si>
  <si>
    <t>MAI-MIS-POE-CER-P - MAIO MISCI + ESC - CERAMICA - "P" (PC)</t>
  </si>
  <si>
    <t>MCH-PIP-COU-PRE-TU - MOCHILA COURO PRETO PIPA - "TU" (PC)</t>
  </si>
  <si>
    <t>MEI-MIS-ALG-COL-TU - MEIAS LISTRADA COLORIDA COM LOGO MISCI - PAR -"TU (37-42)" (PARES)</t>
  </si>
  <si>
    <t>MEI-MIS-ALG-VRM-TU - MEIAS VERMELHA E MARROM COM LOGO MISCI - PAR -"TU (37-42)" (PARES)</t>
  </si>
  <si>
    <t>MOL-ELL-RAD-OFF-G - MOLETOM OFF ELLE - "G" (PC)</t>
  </si>
  <si>
    <t>MOL-ELL-RAD-OFF-M - MOLETOM OFF ELLE - "M" (PC)</t>
  </si>
  <si>
    <t>MOL-ELL-RAD-OFF-P - MOLETOM OFF ELLE - "P" (PC)</t>
  </si>
  <si>
    <t>MOL-LOG-ALG-PRE-G - MOLETOM LOGO MISCI PRETO - "G" (PC)</t>
  </si>
  <si>
    <t>MOL-LOG-ALG-PRE-M - MOLETOM LOGO MISCI PRETO - "M" (PC)</t>
  </si>
  <si>
    <t>MOL-LOG-ALG-PRE-P - MOLETOM LOGO MISCI PRETO - "P" (PC)</t>
  </si>
  <si>
    <t>MOL-MIN-ALG-AZU-G - MOLETOM MINHOCAO AZUL - "G" (PC)</t>
  </si>
  <si>
    <t>MOL-MIN-ALG-AZU-GG - MOLETOM MINHOCAO AZUL - "GG" (PC)</t>
  </si>
  <si>
    <t>MOL-MIN-ALG-AZU-M - MOLETOM MINHOCAO AZUL - "M" (PC)</t>
  </si>
  <si>
    <t>MOL-MIN-ALG-AZU-P - MOLETOM MINHOCAO AZUL - "P" (PC)</t>
  </si>
  <si>
    <t>MOL-MIN-ALG-AZU-PP - MOLETOM MINHOCAO AZUL - "PP" (PC)</t>
  </si>
  <si>
    <t>MOL-MIN-ALG-OFF-G - MOLETOM MINHOCAO OFF - "G" (PC)</t>
  </si>
  <si>
    <t>MOL-MIN-ALG-OFF-GG - MOLETOM MINHOCAO OFF - "GG" (PC)</t>
  </si>
  <si>
    <t>MOL-MIN-ALG-OFF-M - MOLETOM MINHOCAO OFF - "M" (PC)</t>
  </si>
  <si>
    <t>MOL-MIN-ALG-OFF-P - MOLETOM MINHOCAO OFF - "P" (PC)</t>
  </si>
  <si>
    <t>MOL-MIN-ALG-OFF-PP - MOLETOM MINHOCAO OFF - "PP" (PC)</t>
  </si>
  <si>
    <t>MOL-MIN-ALG-VRD-G - MOLETOM MINHOCAO VERDE - "G" (PC)</t>
  </si>
  <si>
    <t>MOL-MIN-ALG-VRD-GG - MOLETOM MINHOCAO VERDE - "GG" (PC)</t>
  </si>
  <si>
    <t>MOL-MIN-ALG-VRD-M - MOLETOM MINHOCAO VERDE - "M" (PC)</t>
  </si>
  <si>
    <t>MOL-MIN-ALG-VRD-P - MOLETOM MINHOCAO VERDE - "P" (PC)</t>
  </si>
  <si>
    <t>MOL-MIN-ALG-VRD-PP - MOLETOM MINHOCAO VERDE - "PP" (PC)</t>
  </si>
  <si>
    <t>OCU-VEN-ACET-PRE-TU - OCULOS BOLEIA X VENTURURA - PRETO - TAM UNICO (PC)</t>
  </si>
  <si>
    <t>OCU-VEN-ACET-TAB-TU - OCULOS BOLEIA X VENTURURA - TARTUGA BICOLOR - TAM UNICO (PC)</t>
  </si>
  <si>
    <t>OCU-VEN-ACET-TAM-TU - OCULOS BOLEIA X VENTURURA - TARTUGA MARROM - TAM UNICO (PC)</t>
  </si>
  <si>
    <t>PAN-MIS-POE-PRE-U - PANNEOUX PRECIADO MISCI + ESC - U (PC)</t>
  </si>
  <si>
    <t>PER-BOT-250 - PERFUME DE AMBIENTE MISCI 250 ml - O BOTO (UN)</t>
  </si>
  <si>
    <t>POL-POL-TRI-AZU-M - POLO TRICOT - "M" (PC)</t>
  </si>
  <si>
    <t>POL-TRI-VIS-AZU-G - POLO CANELADA VISCOSE AZUL TRICOT - "G" (PC)</t>
  </si>
  <si>
    <t>POLOS</t>
  </si>
  <si>
    <t>POL-TRI-VIS-AZU-GG - POLO CANELADA VISCOSE AZUL TRICOT - "GG" (PC)</t>
  </si>
  <si>
    <t>POL-TRI-VIS-AZU-M - POLO CANELADA VISCOSE AZUL TRICOT - "M" (PC)</t>
  </si>
  <si>
    <t>POL-TRI-VIS-AZU-P - POLO CANELADA VISCOSE AZUL TRICOT - "P" (PC)</t>
  </si>
  <si>
    <t>POL-TRI-VIS-CER-G - POLO CANELADA VISCOSE CERAMICA TRICOT - "G" (PC)</t>
  </si>
  <si>
    <t>POL-TRI-VIS-CER-GG - POLO CANELADA VISCOSE CERAMICA TRICOT - "GG" (PC)</t>
  </si>
  <si>
    <t>POL-TRI-VIS-CER-M - POLO CANELADA VISCOSE CERAMICA TRICOT - "M" (PC)</t>
  </si>
  <si>
    <t>POL-TRI-VIS-CER-P - POLO CANELADA VISCOSE CERAMICA TRICOT - "P" (PC)</t>
  </si>
  <si>
    <t>POL-TRI-VIS-OFF-G - POLO CANELADA VISCOSE OFF TRICOT - "G" (PC)</t>
  </si>
  <si>
    <t>POL-TRI-VIS-OFF-GG - POLO CANELADA VISCOSE OFF TRICOT - "GG" (PC)</t>
  </si>
  <si>
    <t>POL-TRI-VIS-OFF-M - POLO CANELADA VISCOSE OFF TRICOT - "M" (PC)</t>
  </si>
  <si>
    <t>POL-TRI-VIS-OFF-P - POLO CANELADA VISCOSE OFF TRICOT - "P" (PC)</t>
  </si>
  <si>
    <t>POL-TRI-VIS-PRE-G - POLO CANELADA VISCOSE PRETO TRICOT - "G" (PC)</t>
  </si>
  <si>
    <t>POL-TRI-VIS-PRE-GG - POLO CANELADA VISCOSE PRETO TRICOT - "GG" (PC)</t>
  </si>
  <si>
    <t>POL-TRI-VIS-PRE-M - POLO CANELADA VISCOSE PRETO TRICOT - "M" (PC)</t>
  </si>
  <si>
    <t>POL-TRI-VIS-PRE-P - POLO CANELADA VISCOSE PRETO TRICOT - "P" (PC)</t>
  </si>
  <si>
    <t>POL-TRI-VIS-VRD-G - POLO CANELADA VISCOSE VERDE MILITAR TRICOT - "G" (PC)</t>
  </si>
  <si>
    <t>POL-TRI-VIS-VRD-GG - POLO CANELADA VISCOSE VERDE MILITAR TRICOT - "GG" (PC)</t>
  </si>
  <si>
    <t>POL-TRI-VIS-VRD-M - POLO CANELADA VISCOSE VERDE MILITAR TRICOT - "M" (PC)</t>
  </si>
  <si>
    <t>POL-TRI-VIS-VRD-P - POLO CANELADA VISCOSE VERDE MILITAR TRICOT - "P" (PC)</t>
  </si>
  <si>
    <t>PRD00002 - ZIPER (UN)</t>
  </si>
  <si>
    <t>PRD00008 - TECIDO PARAMOUNT - AZUL CLARO (MT)</t>
  </si>
  <si>
    <t>PRD00010 - TAMANCO PALHA NATURAL WHISKY CARRIOLA - "38" - PRODUCAO" (PARES)</t>
  </si>
  <si>
    <t>ESCRITORIO</t>
  </si>
  <si>
    <t>PRD00012 - PLACA RATAN 1M X 1,20 LARGURA - COR CREME (PC)</t>
  </si>
  <si>
    <t>CATAGUASES</t>
  </si>
  <si>
    <t>R329897 - TECIDO CATAGUASES - CHAMBRAY CALANDRADO - TECIDO ALGODAO-TAFETA TF0157 - 100% ALGODAO - BEGE / AMARELO LISO (M)</t>
  </si>
  <si>
    <t>R363323 - TECIDO CATAGUASES - BIARRITZ AMACIADO - ALGODAO-TAFETA - TF034011 - 100% ALGODAO - AZUL CLARO COM LISTRAS BRANCAS (M)</t>
  </si>
  <si>
    <t>R363325 - TECIDO CATAGUASES - BIARRITZ AMACIADO - TECIDO ALGODAO-TAFETA - TF034011 - PEROLA COM LISTRAS BRANCAS (M)</t>
  </si>
  <si>
    <t>RAS-CHI-COR-WHI-35 - RASTEIRA COURO WHISKY CHINELAO - "35" (PARES)</t>
  </si>
  <si>
    <t>RAS-CHI-COR-WHI-36 - RASTEIRA COURO WHISKY CHINELAO - "36" (PARES)</t>
  </si>
  <si>
    <t>RAS-CHI-COR-WHI-37 - RASTEIRA COURO WHISKY CHINELAO - "37" (PARES)</t>
  </si>
  <si>
    <t>RAS-CHI-COR-WHI-38 - RASTEIRA COURO WHISKY CHINELAO - "38" (PARES)</t>
  </si>
  <si>
    <t>RAS-CHI-COR-WHI-39 - RASTEIRA COURO WHISKY CHINELAO - "39" (PARES)</t>
  </si>
  <si>
    <t>RAS-CHI-COR-WHI-40 - RASTEIRA COURO WHISKY CHINELAO - "40" (PARES)</t>
  </si>
  <si>
    <t>RAS-CHI-COR-WHI-41 - RASTEIRA COURO WHISKY CHINELAO - "41" (PARES)</t>
  </si>
  <si>
    <t>RAS-CHI-COR-WHI-42 - RASTEIRA COURO WHISKY CHINELAO - "42" (PARES)</t>
  </si>
  <si>
    <t>RAS-CHI-COR-WHI-43 - RASTEIRA COURO WHISKY CHINELAO - "43" (PARES)</t>
  </si>
  <si>
    <t>RAS-CHI-COR-WHI-44 - RASTEIRA COURO WHISKY CHINELAO - "44" (PARES)</t>
  </si>
  <si>
    <t>REG-CAS-SED-PCU - REGATAO CASULO SEDA - "PECA UNICA" (PC)</t>
  </si>
  <si>
    <t>SAI-ELL-MPE-OFF-G - SAIA ELLE OFF - "G" (PC)</t>
  </si>
  <si>
    <t>SAIA</t>
  </si>
  <si>
    <t>SAI-ELL-MPE-OFF-M - SAIA ELLE OFF - "M" (PC)</t>
  </si>
  <si>
    <t>SAI-ELL-MPE-OFF-P - SAIA ELLE OFF - "P" (PC)</t>
  </si>
  <si>
    <t>SAI-ELL-MPE-OFF-PP - SAIA ELLE OFF - "PP" (PC)</t>
  </si>
  <si>
    <t>SAI-ELL-MPE-PRE-G - SAIA ELLE PRETA - "G" (PC)</t>
  </si>
  <si>
    <t>SAI-ELL-MPE-PRE-M - SAIA ELLE PRETA - "M" (PC)</t>
  </si>
  <si>
    <t>SAI-ELL-MPE-PRE-P - SAIA ELLE PRETA - "P" (PC)</t>
  </si>
  <si>
    <t>SAI-ELL-MPE-PRE-PP - SAIA ELLE PRETA - "PP" (PC)</t>
  </si>
  <si>
    <t>SAI-FEN-PAN-BEG-PIL - SAIA FENDA PANTU CHAMPAGNE -   "PILOTO" (PC)</t>
  </si>
  <si>
    <t>SAI-FEN-PAN-CHA-G - SAIA FENDA PANTU CHAMPAGNE - "G" (PC)</t>
  </si>
  <si>
    <t>SAI-FEN-PAN-CHA-M - SAIA FENDA PANTU CHAMPAGNE - "M" (PC)</t>
  </si>
  <si>
    <t>SAI-FEN-PAN-CHA-P - SAIA FENDA PANTU CHAMPAGNE - "P" (PC)</t>
  </si>
  <si>
    <t>SAI-FEN-PAN-CHA-PP - SAIA FENDA PANTU CHAMPAGNE - "PP" (PC)</t>
  </si>
  <si>
    <t>SAI-FEN-PAN-MAR-G - SAIA FENDA PANTU MARROM - "G" (PC)</t>
  </si>
  <si>
    <t>SAI-FEN-PAN-MAR-M - SAIA FENDA PANTU MARROM - "M" (PC)</t>
  </si>
  <si>
    <t>SAI-FEN-PAN-MAR-P - SAIA FENDA PANTU MARROM - "P" (PC)</t>
  </si>
  <si>
    <t>SAI-FEN-PAN-MAR-PP - SAIA FENDA PANTU MARROM - "PP" (PC)</t>
  </si>
  <si>
    <t>SAI-JAC-ALG-CAP-PIL - SAIA JACQUARD NOIS CAPOTA MAS NAO BRECA - "PILOTO" (PC)</t>
  </si>
  <si>
    <t>SAI-MAF-ALG-BEG-TU - SAIA BEGE MAFE - TU (PC)</t>
  </si>
  <si>
    <t>VESTIDO</t>
  </si>
  <si>
    <t>SAN-JES-COR-WHI-34 - SANDALIA DE COURO JESUS WHISKY - "34" (PARES)</t>
  </si>
  <si>
    <t>SAN-JES-COR-WHI-35 - SANDALIA DE COURO JESUS WHISKY - "35" (PARES)</t>
  </si>
  <si>
    <t>SAN-JES-COR-WHI-36 - SANDALIA DE COURO JESUS WHISKY - "36" (PARES)</t>
  </si>
  <si>
    <t>SAN-JES-COR-WHI-37 - SANDALIA DE COURO JESUS WHISKY - "37" (PARES)</t>
  </si>
  <si>
    <t>SAN-JES-COR-WHI-38 - SANDALIA DE COURO JESUS WHISKY - "38" (PARES)</t>
  </si>
  <si>
    <t>SAN-JES-COR-WHI-39 - SANDALIA DE COURO JESUS WHISKY - "39" (PARES)</t>
  </si>
  <si>
    <t>SAN-JES-COR-WHI-40 - SANDALIA DE COURO JESUS WHISKY - "40" (PARES)</t>
  </si>
  <si>
    <t>SAN-JES-COR-WHI-41 - SANDALIA DE COURO JESUS WHISKY - "41" (PARES)</t>
  </si>
  <si>
    <t>SAN-JES-COR-WHI-42 - SANDALIA DE COURO JESUS WHISKY - "42" (PARES)</t>
  </si>
  <si>
    <t>SAN-JES-COR-WHI-43 - SANDALIA DE COURO JESUS WHISKY - "43" (PARES)</t>
  </si>
  <si>
    <t>SAN-JES-COR-WHI-44 - SANDALIA DE COURO JESUS WHISKY - "44" (PARES)</t>
  </si>
  <si>
    <t>SAN-JES-COR-WHI-PRO - SANDALIA DE COURO JESUS WHISKY - "PRODUCAO" (PARES)</t>
  </si>
  <si>
    <t>SAN-ROA-LHA-SED-CRE - SANDALIA BAROA PALHA DE SEDA CREME - "PRODUCAO" (PARES)</t>
  </si>
  <si>
    <t>SAP-MI-COR-WHI-35 - SAPATO MULE MISCI COURO WHISKY / PLATAFORMA CONHAQUE MI - "35" (PARES)</t>
  </si>
  <si>
    <t>SAP-MI-COR-WHI-36 - SAPATO MULE MISCI COURO WHISKY / PLATAFORMA CONHAQUE MI - "36" (PARES)</t>
  </si>
  <si>
    <t>SAP-MI-COR-WHI-37 - SAPATO MULE MISCI COURO WHISKY / PLATAFORMA CONHAQUE MI - "37" (PARES)</t>
  </si>
  <si>
    <t>SAP-MI-COR-WHI-38 - SAPATO MULE MISCI COURO WHISKY / PLATAFORMA CONHAQUE MI - "38" (PARES)</t>
  </si>
  <si>
    <t>SAP-MI-COR-WHI-39 - SAPATO MULE MISCI COURO WHISKY / PLATAFORMA CONHAQUE MI - "39" (PARES)</t>
  </si>
  <si>
    <t>SAP-MI-COR-WHI-40 - SAPATO MULE MISCI COURO WHISKY / PLATAFORMA CONHAQUE MI - "40" (PARES)</t>
  </si>
  <si>
    <t>SAP-MI-COR-WHI-41 - SAPATO MULE MISCI COURO WHISKY / PLATAFORMA CONHAQUE MI - "41" (PARES)</t>
  </si>
  <si>
    <t>SAP-MI-COR-WHI-42 - SAPATO MULE MISCI COURO WHISKY / PLATAFORMA CONHAQUE MI - "42" (PARES)</t>
  </si>
  <si>
    <t>SAP-MI-COR-WHI-43 - SAPATO MULE MISCI COURO WHISKY / PLATAFORMA CONHAQUE MI - "43" (PARES)</t>
  </si>
  <si>
    <t>SAP-MI-COR-WHI-44 - SAPATO MULE MISCI COURO WHISKY / PLATAFORMA CONHAQUE MI - "44" (PARES)</t>
  </si>
  <si>
    <t>SAP-PIT-COR-OFF-35 - SAPATO MULE MISCI COURO OFF PITU - "35" (PARES)</t>
  </si>
  <si>
    <t>SAP-PIT-COR-OFF-36 - SAPATO MULE MISCI COURO OFF PITU - "36" (PARES)</t>
  </si>
  <si>
    <t>SAP-PIT-COR-OFF-37 - SAPATO MULE MISCI COURO OFF PITU - "37" (PARES)</t>
  </si>
  <si>
    <t>SAP-PIT-COR-OFF-38 - SAPATO MULE MISCI COURO OFF PITU - "38" (PARES)</t>
  </si>
  <si>
    <t>SAP-PIT-COR-OFF-39 - SAPATO MULE MISCI COURO OFF PITU - "39" (PARES)</t>
  </si>
  <si>
    <t>SAP-PIT-COR-OFF-40 - SAPATO MULE MISCI COURO OFF PITU - "40" (PARES)</t>
  </si>
  <si>
    <t>SAP-PIT-COR-OFF-41 - SAPATO MULE MISCI COURO OFF PITU - "41" (PARES)</t>
  </si>
  <si>
    <t>SAP-PIT-COR-OFF-42 - SAPATO MULE MISCI COURO OFF PITU - "42" (PARES)</t>
  </si>
  <si>
    <t>SAP-PIT-COR-OFF-43 - SAPATO MULE MISCI COURO OFF PITU - "43" (PARES)</t>
  </si>
  <si>
    <t>SAP-PIT-COR-OFF-44 - SAPATO MULE MISCI COURO OFF PITU - "44" (PARES)</t>
  </si>
  <si>
    <t>SAP-PIT-COR-OFF-PRO - SAPATO MULE MISCI COURO OFF PITU - "PRODUCAO" (PARES)</t>
  </si>
  <si>
    <t>SAP-PIT-COR-PRE-34 - SAPATO MULE MISCI COURO PRETO PITU - "34" (PARES)</t>
  </si>
  <si>
    <t>SAP-PIT-COR-PRE-35 - SAPATO MULE MISCI COURO PRETO PITU - "35" (PARES)</t>
  </si>
  <si>
    <t>SAP-PIT-COR-PRE-36 - SAPATO MULE MISCI COURO PRETO PITU - "36" (PARES)</t>
  </si>
  <si>
    <t>SAP-PIT-COR-PRE-37 - SAPATO MULE MISCI COURO PRETO PITU - "37" (PARES)</t>
  </si>
  <si>
    <t>SAP-PIT-COR-PRE-38 - SAPATO MULE MISCI COURO PRETO PITU - "38" (PARES)</t>
  </si>
  <si>
    <t>SAP-PIT-COR-PRE-39 - SAPATO MULE MISCI COURO PRETO PITU - "39" (PARES)</t>
  </si>
  <si>
    <t>SAP-PIT-COR-PRE-40 - SAPATO MULE MISCI COURO PRETO PITU - "40" (PARES)</t>
  </si>
  <si>
    <t>SAP-PIT-COR-PRE-41 - SAPATO MULE MISCI COURO PRETO PITU - "41" (PARES)</t>
  </si>
  <si>
    <t>SAP-PIT-COR-PRE-42 - SAPATO MULE MISCI COURO PRETO PITU - "42" (PARES)</t>
  </si>
  <si>
    <t>SAP-PIT-COR-PRE-43 - SAPATO MULE MISCI COURO PRETO PITU - "43" (PARES)</t>
  </si>
  <si>
    <t>SAP-PIT-COR-PRE-44 - SAPATO MULE MISCI COURO PRETO PITU - "44" (PARES)</t>
  </si>
  <si>
    <t>SHO-DOS-MAL-AZU-36 - SHORTINHOS DOSE  - AZUL - "36" (PC)</t>
  </si>
  <si>
    <t>SHO-DOS-MAL-AZU-38 - SHORTINHOS DOSE - AZUL - "38" (PC)</t>
  </si>
  <si>
    <t>SHO-DOS-MAL-AZU-40 - SHORTINHOS DOSE - AZUL - "40" (PC)</t>
  </si>
  <si>
    <t>SHO-DOS-MAL-AZU-42 - SHORTINHOS DOSE - AZUL - "42" (PC)</t>
  </si>
  <si>
    <t>SHO-DOS-MAL-AZU-44 - SHORTINHOS DOSE - AZUL - "44" (PC)</t>
  </si>
  <si>
    <t>SHO-DOS-MAL-AZU-46 - SHORTINHOS DOSE - AZUL - "46" (PC)</t>
  </si>
  <si>
    <t>SHO-DOS-MAL-CER-36 - SHORTINHOS DOSE - CERAMICA - "36" (PC)</t>
  </si>
  <si>
    <t>SHO-DOS-MAL-CER-38 - SHORTINHOS DOSE - CERAMICA - "38" (PC)</t>
  </si>
  <si>
    <t>SHO-DOS-MAL-CER-40 - SHORTINHOS DOSE - CERAMICA - "40" (PC)</t>
  </si>
  <si>
    <t>SHO-DOS-MAL-CER-42 - SHORTINHOS DOSE - CERAMICA - "42" (PC)</t>
  </si>
  <si>
    <t>SHO-DOS-MAL-CER-44 - SHORTINHOS DOSE - CERAMICA - "44" (PC)</t>
  </si>
  <si>
    <t>SHO-DOS-MAL-CER-46 - SHORTINHOS DOSE - CERAMICA - "46" (PC)</t>
  </si>
  <si>
    <t>SHO-DOS-MAL-VRD-36 - SHORTINHOS DOSE - VERDE - "36" (PC)</t>
  </si>
  <si>
    <t>SHO-DOS-MAL-VRD-38 - SHORTINHOS DOSE - VERDE - "38" (PC)</t>
  </si>
  <si>
    <t>SHO-DOS-MAL-VRD-40 - SHORTINHOS DOSE - VERDE - "40" (PC)</t>
  </si>
  <si>
    <t>SHO-DOS-MAL-VRD-42 - SHORTINHOS DOSE - VERDE - "42" (PC)</t>
  </si>
  <si>
    <t>SHO-DOS-MAL-VRD-44 - SHORTINHOS DOSE - VERDE - "44" (PC)</t>
  </si>
  <si>
    <t>SHO-DOS-MAL-VRD-46 - SHORTINHOS DOSE - VERDE - "46" (PC)</t>
  </si>
  <si>
    <t>SHO-EXI-ALG-EPI-36 - SHORTS EXISTO PORQUE INSISTO - "36" (PC)</t>
  </si>
  <si>
    <t>SHO-EXI-ALG-EPI-38 - SHORTS EXISTO PORQUE INSISTO - "38" (PC)</t>
  </si>
  <si>
    <t>SHO-EXI-ALG-EPI-40 - SHORTS EXISTO PORQUE INSISTO - "40" (PC)</t>
  </si>
  <si>
    <t>SHO-EXI-ALG-EPI-42 - SHORTS EXISTO PORQUE INSISTO - "42" (PC)</t>
  </si>
  <si>
    <t>SHO-EXI-ALG-EPI-44 - SHORTS EXISTO PORQUE INSISTO - "44" (PC)</t>
  </si>
  <si>
    <t>SHO-EXI-ALG-EPI-46 - SHORTS EXISTO PORQUE INSISTO - "46" (PC)</t>
  </si>
  <si>
    <t>SHO-FIL-ALG-EST-36 - SHORTS FILTRO DE BARRO - "36" (PC)</t>
  </si>
  <si>
    <t>SHO-FIL-ALG-EST-38 - SHORTS FILTRO DE BARRO - "38" (PC)</t>
  </si>
  <si>
    <t>SHO-FIL-ALG-EST-40 - SHORTS FILTRO DE BARRO - "40" (PC)</t>
  </si>
  <si>
    <t>SHO-FIL-ALG-EST-42 - SHORTS FILTRO DE BARRO - "42" (PC)</t>
  </si>
  <si>
    <t>SHO-FIL-ALG-EST-44 - SHORTS FILTRO DE BARRO - "44" (PC)</t>
  </si>
  <si>
    <t>SHO-FIL-ALG-EST-46 - SHORTS FILTRO DE BARRO - "46" (PC)</t>
  </si>
  <si>
    <t>SHO-PEQ-AVE-AZU-36 - SHORTS A FIO PEQUI AZUL - "PP/36" (PC)</t>
  </si>
  <si>
    <t>SHO-PEQ-AVE-AZU-38 - SHORTS A FIO PEQUI AZUL - "P/38" (PC)</t>
  </si>
  <si>
    <t>SHO-PEQ-AVE-AZU-40 - SHORTS A FIO PEQUI AZUL - "M/40" (PC)</t>
  </si>
  <si>
    <t>SHO-PEQ-AVE-AZU-42 - SHORTS A FIO PEQUI AZUL - "G/42" (PC)</t>
  </si>
  <si>
    <t>SHO-PEQ-AVE-AZU-44 - SHORTS A FIO PEQUI AZUL - "GG/44" (PC)</t>
  </si>
  <si>
    <t>SHO-PEQ-AVE-AZU-PIL - SHORTS A FIO PEQUI AZUL -  "PILOTO" (PC)</t>
  </si>
  <si>
    <t>SHO-PEQ-AVE-VRD-36 - SHORTS A FIO PEQUI VERDE - "PP/36" (PC)</t>
  </si>
  <si>
    <t>SHO-PEQ-AVE-VRD-38 - SHORTS A FIO PEQUI VERDE - "P/38" (PC)</t>
  </si>
  <si>
    <t>SHO-PEQ-AVE-VRD-40 - SHORTS A FIO PEQUI VERDE - "M/40" (PC)</t>
  </si>
  <si>
    <t>SHO-PEQ-AVE-VRD-42 - SHORTS A FIO PEQUI VERDE - "G/42" (PC)</t>
  </si>
  <si>
    <t>SHO-PEQ-AVE-VRD-44 - SHORTS A FIO PEQUI VERDE - "GG/44" (PC)</t>
  </si>
  <si>
    <t>SHO-PEQ-AVE-VRD-PIL - SHORTS A FIO PEQUI VERDE -  "PILOTO" (PC)</t>
  </si>
  <si>
    <t>TRICOT</t>
  </si>
  <si>
    <t>SUN-MIS-POE-TEL-G - SUNGA MISCI + ESC - TELHA - "G" (PC)</t>
  </si>
  <si>
    <t>SUN-MIS-POE-TEL-GG - SUNGA MISCI + ESC - TELHA - "GG" (PC)</t>
  </si>
  <si>
    <t>SUN-MIS-POE-TEL-M - SUNGA MISCI + ESC - TELHA - "M" (PC)</t>
  </si>
  <si>
    <t>SUN-MIS-POE-TEL-P - SUNGA MISCI + ESC - TELHA - "P" (PC)</t>
  </si>
  <si>
    <t>SUN-MIS-POE-VRD-G - SUNGA MISCI + ESC - VERDE - "G" (PC)</t>
  </si>
  <si>
    <t>SUN-MIS-POE-VRD-GG - SUNGA MISCI + ESC - VERDE - "GG" (PC)</t>
  </si>
  <si>
    <t>SUN-MIS-POE-VRD-M - SUNGA MISCI + ESC - VERDE - "M" (PC)</t>
  </si>
  <si>
    <t>SUN-MIS-POE-VRD-P - SUNGA MISCI + ESC - VERDE - "P" (PC)</t>
  </si>
  <si>
    <t>VICUNHA</t>
  </si>
  <si>
    <t>TABMCM4000VP - TECIDO VICUNHA - AMSTERDAM TECIDO CETIM 56% ALGODAO 43% MODAL 1% ELASTANO LAR G 1,48 METROS OFF (M)</t>
  </si>
  <si>
    <t>TABMCM4000VR - TECIDO VICUNHA - AMSTERDAM TECIDO CETIM 56% ALGODAO 43% MODAL 1% ELASTANO LAR G 1,46 METROS - BEGE (M)</t>
  </si>
  <si>
    <t>TAIAAA4002CA - TECIDO VICUNHA - BRADLEY - INDIGO ALGODAO 100% - JEANS LARG 1,66 METROS (M)</t>
  </si>
  <si>
    <t>TAM-CAR-COU-WHI-34 - TAMANCO PALHA NATURAL WHISKY CARRIOLA - "34" (PARES)</t>
  </si>
  <si>
    <t>TAM-CAR-COU-WHI-35 - TAMANCO PALHA NATURAL WHISKY CARRIOLA - "35" (PARES)</t>
  </si>
  <si>
    <t>TAM-CAR-COU-WHI-36 - TAMANCO PALHA NATURAL WHISKY CARRIOLA - "36" (PARES)</t>
  </si>
  <si>
    <t>TAM-CAR-COU-WHI-37 - TAMANCO PALHA NATURAL WHISKY CARRIOLA - "37" (PARES)</t>
  </si>
  <si>
    <t>TAM-CAR-COU-WHI-38 - TAMANCO PALHA NATURAL WHISKY CARRIOLA - "38" (PARES)</t>
  </si>
  <si>
    <t>TAM-CAR-COU-WHI-39 - TAMANCO PALHA NATURAL WHISKY CARRIOLA - "39" (PARES)</t>
  </si>
  <si>
    <t>TAM-CAR-COU-WHI-40 - TAMANCO PALHA NATURAL WHISKY CARRIOLA - "40" (PARES)</t>
  </si>
  <si>
    <t>TAM-CAR-COU-WHI-41 - TAMANCO PALHA NATURAL WHISKY CARRIOLA - "41" (PARES)</t>
  </si>
  <si>
    <t>TAP-IMP-ECN-COL-TU - TAPETE PUBI 100% ECONYL (PC)</t>
  </si>
  <si>
    <t>TECBD01 - TECIDO BD - CANELADO - Artigo 70090.11 rib 2 x 1 na cor off white (KG)</t>
  </si>
  <si>
    <t>TECIDO-SACOLAS - TECIDO INNOVATIV - TECIDO PARA SACOLAS (M)</t>
  </si>
  <si>
    <t>TOP-MAM-AVE-CHI-PIL - TOP MAMI GOIABA - "PILOTO" (PC)</t>
  </si>
  <si>
    <t>TOPS</t>
  </si>
  <si>
    <t>TOP-MAM-AVE-GOI-G - TOP MAMI GOIABA  - "G" (PC)</t>
  </si>
  <si>
    <t>TOP-MAM-AVE-GOI-M - TOP MAMI GOIABA  - "M" (PC)</t>
  </si>
  <si>
    <t>TOP-MAM-AVE-GOI-P - TOP MAMI GOIABA  - "P" (PC)</t>
  </si>
  <si>
    <t>TOP-MAM-AVE-VRD-G - TOP MAMI VERDE MENTA - "G" (PC)</t>
  </si>
  <si>
    <t>TOP-MAM-AVE-VRD-M - TOP MAMI VERDE MENTA - "M" (PC)</t>
  </si>
  <si>
    <t>TOP-MAM-AVE-VRD-P - TOP MAMI VERDE MENTA - "P" (PC)</t>
  </si>
  <si>
    <t>TOP-MAM-TWD-SED-PIL - TOP MAMI TWEED DE SEDA - "PILOTO" (PC)</t>
  </si>
  <si>
    <t>TOP-UNO-AVE-AZU-G - TOP A FIO UNO AZUL - "G" (PC)</t>
  </si>
  <si>
    <t>TOP-UNO-AVE-AZU-M - TOP A FIO UNO AZUL - "M" (PC)</t>
  </si>
  <si>
    <t>TOP-UNO-AVE-AZU-P - TOP A FIO UNO AZUL - "P" (PC)</t>
  </si>
  <si>
    <t>TOP-UNO-AVE-AZU-PIL - TOP A FIO UNO AZUL - "PILOTO" (PC)</t>
  </si>
  <si>
    <t>TOP-UNO-AVE-AZU-PP - TOP A FIO UNO AZUL - "PP" (PC)</t>
  </si>
  <si>
    <t>TOP-UNO-AVE-VRD-G - TOP A FIO UNO VERDE - "G" (PC)</t>
  </si>
  <si>
    <t>TOP-UNO-AVE-VRD-M - TOP A FIO UNO VERDE - "M" (PC)</t>
  </si>
  <si>
    <t>TOP-UNO-AVE-VRD-P - TOP A FIO UNO VERDE - "P" (PC)</t>
  </si>
  <si>
    <t>TOP-UNO-AVE-VRD-PIL - TOP A FIO UNO VERDE - "PILOTO" (PC)</t>
  </si>
  <si>
    <t>TOP-UNO-AVE-VRD-PP - TOP A FIO UNO VERDE - "PP" (PC)</t>
  </si>
  <si>
    <t>TTM89912005 - TECIDO SANTA COSTANCIA -  Radiosa Plus (LD) - Produtos ELLE - 81%Viscose 15%Poliamida 4%Elastano - OFF (Chantilly) (KG)</t>
  </si>
  <si>
    <t>SANTA CONSTANCIA</t>
  </si>
  <si>
    <t>VES-ALF-PHI-AMA-G - VESTIDO ALFAIATARIA PHILO MOSTARDA - "G" (PC)</t>
  </si>
  <si>
    <t>VES-ALF-PHI-AMA-M - VESTIDO ALFAIATARIA PHILO MOSTARDA - "M" (PC)</t>
  </si>
  <si>
    <t>VES-ALF-PHI-AMA-P - VESTIDO ALFAIATARIA PHILO MOSTARDA - "P" (PC)</t>
  </si>
  <si>
    <t>VES-ALF-PHI-AMA-PIL - VESTIDO ALFAIATARIA PHILO MOSTARDA - "PILOTO" (PC)</t>
  </si>
  <si>
    <t>VES-ALF-PHI-GOI-PIL - VESTIDO ALFAIATARIA PHILO GOIABA - "PILOTO" (PC)</t>
  </si>
  <si>
    <t>VES-ALF-PHI-PIL - VESTIDO ALFAIATARIA PHILO  MARROM - "PILOTO" (PC)</t>
  </si>
  <si>
    <t>VES-ALF-PHI-VRD-G - VESTIDO ALFAIATARIA PHILO VERDE - "G" (PC)</t>
  </si>
  <si>
    <t>VES-ALF-PHI-VRD-M - VESTIDO ALFAIATARIA PHILO VERDE - "M" (PC)</t>
  </si>
  <si>
    <t>VES-ALF-PHI-VRD-P - VESTIDO ALFAIATARIA PHILO VERDE - "P" (PC)</t>
  </si>
  <si>
    <t>VES-ASS-VIS-VER-TU - VESTIDO VERMELHO ASSUM - TU (PC)</t>
  </si>
  <si>
    <t>VES-BIC-CUP-VRD-TU - VESTIDO CUPRO VERDE / TERRACOTA BIC - "TU" (PC)</t>
  </si>
  <si>
    <t>VES-CAL-VIS-AZU-TU - VESTIDO AZUL CAL - TU (PC)</t>
  </si>
  <si>
    <t>VES-D20-ALG-OFF-G - VESTIDO D-20 - ALGODAO - PALHA / OFF - "G" (PC)</t>
  </si>
  <si>
    <t>VES-D20-ALG-OFF-GG - VESTIDO D-20 - ALGODAO - PALHA / OFF - "GG" (PC)</t>
  </si>
  <si>
    <t>VES-D20-ALG-OFF-M - VESTIDO D-20 - ALGODAO - PALHA / OFF - "M" (PC)</t>
  </si>
  <si>
    <t>VES-D20-ALG-OFF-P - VESTIDO D-20 - ALGODAO - PALHA / OFF - "P" (PC)</t>
  </si>
  <si>
    <t>VES-D20-ALG-OFF-PIL - VESTIDO D-20 ALGODAO OFF - "PILOTO" (PC)</t>
  </si>
  <si>
    <t>VES-D20-ALG-OFF-PP - VESTIDO D-20 - ALGODAO - PALHA / OFF - "PP" (PC)</t>
  </si>
  <si>
    <t>VES-D20-CUP-FER-G - VESTIDO D-20 - CUPRO - FERRUGEM - "G" (PC)</t>
  </si>
  <si>
    <t>VES-D20-CUP-FER-GG - VESTIDO D-20 - CUPRO - FERRUGEM - "GG" (PC)</t>
  </si>
  <si>
    <t>VES-D20-CUP-FER-M - VESTIDO D-20 - CUPRO - FERRUGEM - "M" (PC)</t>
  </si>
  <si>
    <t>VES-D20-CUP-FER-P - VESTIDO D-20 - CUPRO - FERRUGEM - "P" (PC)</t>
  </si>
  <si>
    <t>VES-D20-CUP-FER-PP - VESTIDO D-20 - CUPRO - FERRUGEM - "PP" (PC)</t>
  </si>
  <si>
    <t>VES-D20-CUP-VRD-G - VESTIDO D-20 - CUPRO - VERDE - "G" (PC)</t>
  </si>
  <si>
    <t>VES-D20-CUP-VRD-GG - VESTIDO D-20 - CUPRO - VERDE - "GG" (PC)</t>
  </si>
  <si>
    <t>VES-D20-CUP-VRD-M - VESTIDO D-20 - CUPRO - VERDE - "M" (PC)</t>
  </si>
  <si>
    <t>VES-D20-CUP-VRD-P - VESTIDO D-20 - CUPRO - VERDE - "P" (PC)</t>
  </si>
  <si>
    <t>VES-D20-CUP-VRD-PP - VESTIDO D-20 - CUPRO - VERDE - "PP" (PC)</t>
  </si>
  <si>
    <t>VES-PAL-TRI-MAR-M - VESTIDO REGATA TRICOT LISTRADO MARROM E BRANCO PALMA - "M" (PC)</t>
  </si>
  <si>
    <t>VES-RET-VIS-CAM-TU - VESTIDO CAMELO RETO - TU (PC)</t>
  </si>
  <si>
    <t>VES-ROS-VIS-VER-TU - VESTIDO VERMELHO ROSO - TU (PC)</t>
  </si>
  <si>
    <t>VES-SAU-TRI-CRU-G - VESTIDO TRICOT SAUVA CRU - "G" (PC)</t>
  </si>
  <si>
    <t>VES-SAU-TRI-CRU-M - VESTIDO TRICOT SAUVA CRU - "M" (PC)</t>
  </si>
  <si>
    <t>VES-SAU-TRI-CRU-P - VESTIDO TRICOT SAUVA CRU - "P" (PC)</t>
  </si>
  <si>
    <t>VES-SAU-TRI-VRM-G - VESTIDO TRICOT SAUVA VERMELHO- "G" (PC)</t>
  </si>
  <si>
    <t>VES-SAU-TRI-VRM-M - VESTIDO TRICOT SAUVA VERMELHO- "M" (PC)</t>
  </si>
  <si>
    <t>VES-SAU-TRI-VRM-P - VESTIDO TRICOT SAUVA VERMELHO- "P" (PC)</t>
  </si>
  <si>
    <t>VES-TAO-TRI-MAR-M - VESTIDO TRICOT MARROM TAO - "M" (PC)</t>
  </si>
  <si>
    <t>VES-TAO-TRI-VRD-M - VESTIDO TRICOT VERDE TAO - "M" (PC)</t>
  </si>
  <si>
    <t>VES-TEM-VIS-AZU-TU - VESTIDO AZUL TEMPORAL - TU (PC)</t>
  </si>
  <si>
    <t>VES-THA-ALG-MAR-TU - VESTIDO MARROM THAI  - TU (PC)</t>
  </si>
  <si>
    <t>VES-ZE-ALG-MAR-TU - VESTIDO MARROM ZE - TU (PC)</t>
  </si>
  <si>
    <t>000121 31247 - TECIDO DI GRECCO - VENICE 31247 ESTAMPADO FILTRO DE BARRO - 100% ALGODAO (MT)</t>
  </si>
  <si>
    <t>TECIDO DI GRECCO - VENICE 31247 ESTAMPADO FILTRO DE BARRO - 100% ALGODAO</t>
  </si>
  <si>
    <t>100573 - BOTAO FORT HORN (100573) - MARROM (COR 2080) - TAM 18 - (UN)</t>
  </si>
  <si>
    <t>125110T000550011 - TECIDO INNOVATIV - 100% ALGODAO - FREVO 550 (MT)</t>
  </si>
  <si>
    <t>125110T7000162011 - TECIDO INNOVATIV - 100% ALGODAO - FREVO 162 (MT)</t>
  </si>
  <si>
    <t>125112C7000002011 - TECIDO INNOVATIV - 100% ALGODAO - AGRESTE BEGE 002 (MT)</t>
  </si>
  <si>
    <t>125112C7000032011 - TECIDO INNOVATIV - 100% ALGODAO - AGRESTE BEGE 0032 (MT)</t>
  </si>
  <si>
    <t>125135T07000218011 - TECIDO INNOVATIV - 100% ALGODAO -  LISTRADO A FIO - AZUL E VERMELHO 218 (M)</t>
  </si>
  <si>
    <t>125136T7000490011 - TECIDO INNOVATIV - 100% ALGODAO -  RELEVO (COSTURA) - BEGE E VINHO 0490 (M)</t>
  </si>
  <si>
    <t>125137T7000490011 - TECIDO INNOVATIV - 100% ALGODAO -  LISTRADO A FIO - VERMELHO E OFF 490 (M)</t>
  </si>
  <si>
    <t>125142-00278 - TECIDO INNOVATIV - 100% ALGODAO - MOQUECA AZUL INDIGO - COR 278 (MT)</t>
  </si>
  <si>
    <t>125142T7000550011 - TECIDO INNOVATIV - 100% ALGODAO - MOQUECA LARANJA - COR 550 (MT)</t>
  </si>
  <si>
    <t>1293000365Q3 - TECIDO PARAMOUNT - TWILL FLANEL - A1293 - C7365 - 100% LA - VINHO (M)</t>
  </si>
  <si>
    <t>136212 - 860 - TECIDO INNOVATIV - 100% ALGODAO - MATELASSE LOGO MISCI - MARROM 860 (M)</t>
  </si>
  <si>
    <t>136212T3700819011 - 819 - TECIDO INNOVATIV - 100% ALGODAO - FAVA - MARROM/VERDE/AMARELO - 819 (M)</t>
  </si>
  <si>
    <t>136212T3700858011 - 858 - TECIDO INNOVATIV - 100% ALGODAO - FAVA - MARROM/VERMELHO/AZUL - 858 (M)</t>
  </si>
  <si>
    <t>148189C7000032011 - TECIDO INNOVATIV - 100% ALGODAO - SHIVA (IGUAL AMBROSIA) - BEGE TEXTURIZADO 032 - GRAMATURA 203 - PARA CAMISA (MT)</t>
  </si>
  <si>
    <t>148250T700052011 - TECIDO INNOVATIV - 100% ALGODAO - OTTO 152 (MT)</t>
  </si>
  <si>
    <t>148281T7000275011 - TECIDO INNOVATIV - 100% ALGODAO - EXISTO PORQUE INSISTO  243 (MT)</t>
  </si>
  <si>
    <t>148282T7000243011 - TECIDO INNOVATIV - 100% ALGODAO - NOS CAPOTA MAS NAO BRECA - COR 275 (MT)</t>
  </si>
  <si>
    <t>148323C7000001011 - TECIDO INNOVATIV - 100% ALGODAO - MATELASSE LOGO MISCI - OFF -001 (M)</t>
  </si>
  <si>
    <t>148324C7000001011 - TECIDO INNOVATIV - 100% ALGODAO - MATELASSE FUXICO - OFF -001 (M)</t>
  </si>
  <si>
    <t>148325T7000264001 - TECIDO INNOVATIV - 100% ALGODAO - FRAJAS - CINZA/AZUL - 264 (M)</t>
  </si>
  <si>
    <t>148325T7000490011 - TECIDO INNOVATIV - 100% ALGODAO - FRAJAS - CINZA/VERMELHO (490) (M)</t>
  </si>
  <si>
    <t>148327 - 413 - TECIDO INNOVATIV - 100% ALGODAO -  QUADRICULADO/DESFIADO - VERMELHO E CINZA - COR 413 (M)</t>
  </si>
  <si>
    <t>148328 - 165 - TECIDO INNOVATIV - 100% ALGODAO -  LISTRADO/DESFIADO - VERDE E CINZA - COR165 (M)</t>
  </si>
  <si>
    <t>148328 - 260 - TECIDO INNOVATIV - 100% ALGODAO -  LISTRADO/DESFIADO - AZUL E ROSA QUEIMADO - COR 260 (M)</t>
  </si>
  <si>
    <t>148328 - 432 - TECIDO INNOVATIV - 100% ALGODAO -  LISTRADO/DESFIADO - VINHO E BEGE - COR 432 (M)</t>
  </si>
  <si>
    <t>148329 - 262 - TECIDO INNOVATIV - 100% ALGODAO -  QUADRICULADO/DESFIADO - AZUL E CINZA - COR 262 (M)</t>
  </si>
  <si>
    <t>14836T000447011 - 447 - TECIDO INNOVATIV - 100% ALGODAO - ZIGZAG  IRREGULAR COLORIDO - COR 447 (M)</t>
  </si>
  <si>
    <t>235-00051 - TECIDO HJ - ANIMALE 100% ALGODAO -REND 3,6 - DEMI - ROSA (KG)</t>
  </si>
  <si>
    <t>274-00166 - PILOTO TECIDO HJ - ESPARTA 100% ALOGDAO - REND 4,85 - CAMURCA CRU (KG)</t>
  </si>
  <si>
    <t>3038-00051 - TECIDO HJ - ANIMALE 100% ALOGDAO - REND 3,6 - PETER MARROM (KG)</t>
  </si>
  <si>
    <t>3125671 - TECIDO GVALLONE - MARION 10838 100% ALGODAO  - AZUL / VERDE PISCINA (M)</t>
  </si>
  <si>
    <t>3150-00051 - TECIDO HJ - ANIMALE 100% ALGODAO -REND 3,6 - PORSHE - AZUL (KG)</t>
  </si>
  <si>
    <t>3453010715I3 - TECIDO PARAMOUNT - SUPER TROPICAL- 3453 - MARROM CLARO - 65% poliester + 35% lA (MT)</t>
  </si>
  <si>
    <t>4167011707Q3 - TECIDO PARAMOUNT - PRUNEL FLANNEL S 120 - A4167 - C707- 100% LA - MARROM / AZUL (M)</t>
  </si>
  <si>
    <t>4528L01 - TECIDO FIOBOM - LISO BRANCO- TEC. 44528 LISO 80/2 - 100% ALGODAO - LARG 150m (M)</t>
  </si>
  <si>
    <t>4528L151 - TECIDO FIOBOM - LISO VERMELHO- TEC. 4528 LISO 80/2 - 100% ALGODAO - LARG 150 (M)</t>
  </si>
  <si>
    <t>4528L180 - TECIDO FIOBOM - LISO CHUMBO- TEC. 4528 LISO 80/2 - 100% ALGODAO - LARG 150 (M)</t>
  </si>
  <si>
    <t>4528lXXX - TECIDO FIOBOM - LISO AZUL CLARO- TEC. 4528 FT 80/2 DES - 100% ALGODAO (M)</t>
  </si>
  <si>
    <t>4529EX74202 - TECIDO FIOBOM - LISTRADO BRANCO / AZUL / MARROM - TEC. 100% ALGODAO - 742 COR 02 (M)</t>
  </si>
  <si>
    <t>4529EX74602 - TECIDO FIOBOM - LISTRADO ROSA / BRANCO / AZUL / MARROM - TEC. 100% ALGODAO - 746 COR 02 (M)</t>
  </si>
  <si>
    <t>4529EX75206 - TECIDO FIOBOM - LISO VERDE CLARO  - TEC. 100% ALGODAO - 752 (M)</t>
  </si>
  <si>
    <t>4529EX78401 - TECIDO FIOBOM - LISTRADO AMARELO E BRANCO - TEC. 100% ALGODAO - 784 (M)</t>
  </si>
  <si>
    <t>45891 - TECIDO GVALLONE - MARION 8134 100% ALGODAO  - VERDE (M)</t>
  </si>
  <si>
    <t>5634L101 - TECIDO FIOBOM - LISO CREME - 5634 LISO 120/2 - LARG 150 - 100% ALGODAO (M)</t>
  </si>
  <si>
    <t>56FT3701 - TECIDO FIOBOM - LISTRADO BRANCO / AZUL - TEC. 100% ALGODAO (M)</t>
  </si>
  <si>
    <t>5971 - TECIDO GVALLONE - ALMA 100% ALGODAO - OFF (MT)</t>
  </si>
  <si>
    <t>6033 - TECIDO GVALLONE - DIJON - 100% ALGODAO - BEGE (M)</t>
  </si>
  <si>
    <t>622-00872 - PILOTO TECIDO HJ - AGADIR 95% ALOGDAO + 5% ELASTANO - REND 3,6 - PABLO RENDA MARROM TELHA (KG)</t>
  </si>
  <si>
    <t>6248FT2401 - TECIDO FIOBOM - LISTRADO BRANCO / AZUL / MARROM - TEC. 100% ALGODAO (M)</t>
  </si>
  <si>
    <t>701-00051 - TECIDO HJ - ANIMALE 100% ALGODAO -REND 3,6 -  CALDAS BRANCO (KG)</t>
  </si>
  <si>
    <t>7112010502Q3 - TECIDO PARAMOUNT -  FLANEL LEVE -  A7112 - C502 - 100% LA - AZUL ESCURO (M)</t>
  </si>
  <si>
    <t>7134000366R7 - TECIDO PARAMOUNT -  PRUNEL LEVE SUPER 120'S - 100% LA - VERMELHO - 366 (M)</t>
  </si>
  <si>
    <t>801-01779 - PILOTO TECIDO HJ - PETERSON 64% ALOGDAO + 18% VISCOSE + 16% POLIESTES - REND 2,4 - CRU OFF (KG)</t>
  </si>
  <si>
    <t>8305007009998 - TECIDO JB - NATURE SOFT LISTRADO BRNACO / OFF (AR) -PT (PR. P/TINGIR LISO) - 68% ALGODAO 14%MODAL 9% VISCOSE 9% LINHO (M)</t>
  </si>
  <si>
    <t>8515000651Q3 - TECIDO PARAMOUNT - RUNEL NATURAL STRETCH - A8515- C651 - 100% LA - VERDE (M)</t>
  </si>
  <si>
    <t>8634995610Q3 - TECIDO PARAMOUNT - PALETO TWEED LA -  A8634 - C610 - 100% LA - AZUL / AMARELO / PRETO (M)</t>
  </si>
  <si>
    <t>8765024801Q3 - TECIDO PARAMOUNT - JACKET LEVE WOOL SILK -  A8765 - C801 - 52% SEDA + 48% LA - BRANCO E PRETO (M)</t>
  </si>
  <si>
    <t>A446810004 - TECIDO PANAMERICANA - IPANEMA VERDE QUADRICULADO COM PESPONTO BRANCO - 100% ALGODAO (M)</t>
  </si>
  <si>
    <t>BER-PIA-LIN-MAR-G - BERMUDA LINHO MARROM PIAO - "G" (PC)</t>
  </si>
  <si>
    <t>BER-PIA-LIN-MAR-M - BERMUDA LINHO MARROM PIAO - "M" (PC)</t>
  </si>
  <si>
    <t>BER-PIA-LIN-MAR-P - BERMUDA LINHO MARROM PIAO - "P" (PC)</t>
  </si>
  <si>
    <t>BER-PIA-PET-OFF-G - BERMUDA PET OFF PIAO  - "G'' (PC)</t>
  </si>
  <si>
    <t>BER-PIA-PET-OFF-M - BERMUDA PET OFF PIAO  - "M'' (PC)</t>
  </si>
  <si>
    <t>BER-PIA-PET-OFF-P - BERMUDA PET OFF PIAO - "P'' (PC)</t>
  </si>
  <si>
    <t>BER-TRE-ALG-VRD-G - BERMUDA ALGODAO VERDE QUADRICULADA TRENA - "G/42'' (PC)</t>
  </si>
  <si>
    <t>BER-TRE-ALG-VRD-GG - BERMUDA ALGODAO VERDE QUADRICULADA TRENA - "GG/44'' (PC)</t>
  </si>
  <si>
    <t>BER-TRE-ALG-VRD-M - BERMUDA ALGODAO VERDE QUADRICULADA TRENA - "M/40'' (PC)</t>
  </si>
  <si>
    <t>BER-TRE-ALG-VRD-P - BERMUDA ALGODAO VERDE QUADRICULADA TRENA - "P/38'' (PC)</t>
  </si>
  <si>
    <t>CAM-CAN-ALG-BRA-G - CAMISETA ALGODAO BRANCA CANA - "G" (PC)</t>
  </si>
  <si>
    <t>CAM-CAN-ALG-BRA-GG - CAMISETA ALGODAO BRANCA CANA - "GG" (PC)</t>
  </si>
  <si>
    <t>CAM-CAN-ALG-BRA-M - CAMISETA ALGODAO BRANCA CANA - "M" (PC)</t>
  </si>
  <si>
    <t>CAM-CAN-ALG-BRA-P - CAMISETA ALGODAO BRANCA CANA - "P" (PC)</t>
  </si>
  <si>
    <t>CAM-CAN-ALG-BRA-PP - CAMISETA ALGODAO BRANCA CANA - "PP" (PC)</t>
  </si>
  <si>
    <t>CAM-CAN-ALG-BRA-XG - CAMISETA ALGODAO BRANCA CANA - "XG" (PC)</t>
  </si>
  <si>
    <t>CAM-CAN-ALG-MES-G - CAMISETA ALGODAO MESCLA CANA - "G" (PC)</t>
  </si>
  <si>
    <t>CAM-CAN-ALG-MES-GG - CAMISETA ALGODAO MESCLA CANA - "GG" (PC)</t>
  </si>
  <si>
    <t>CAM-CAN-ALG-MES-M - CAMISETA ALGODAO MESCLA CANA - "M" (PC)</t>
  </si>
  <si>
    <t>CAM-CAN-ALG-MES-P - CAMISETA ALGODAO MESCLA CANA - "P" (PC)</t>
  </si>
  <si>
    <t>CAM-CAN-ALG-MES-PP - CAMISETA ALGODAO MESCLA CANA - "PP" (PC)</t>
  </si>
  <si>
    <t>CAM-CAN-ALG-MES-XG - CAMISETA ALGODAO MESCLA CANA - "XG" (PC)</t>
  </si>
  <si>
    <t>CAM-CAN-ALG-OFF-G - CAMISETA ALGODAO OFF CANA - "G" (PC)</t>
  </si>
  <si>
    <t>CAM-CAN-ALG-OFF-G-INATIVO - CAMISETA ALGODAO OFF CANA - INATIVO - "G" (PC)</t>
  </si>
  <si>
    <t>CAM-CAN-ALG-OFF-GG - CAMISETA ALGODAO OFF CANA - "GG" (PC)</t>
  </si>
  <si>
    <t>CAM-CAN-ALG-OFF-GG-INATIVO - CAMISETA ALGODAO OFF CANA - INATIVO - "GG" (PC)</t>
  </si>
  <si>
    <t>CAM-CAN-ALG-OFF-M - CAMISETA ALGODAO OFF CANA - "M" (PC)</t>
  </si>
  <si>
    <t>CAM-CAN-ALG-OFF-M-INATIVO - CAMISETA ALGODAO OFF CANA - INATIVO - "M" (PC)</t>
  </si>
  <si>
    <t>CAM-CAN-ALG-OFF-P - CAMISETA ALGODAO OFF CANA - "P" (PC)</t>
  </si>
  <si>
    <t>CAM-CAN-ALG-OFF-PP - CAMISETA ALGODAO OFF CANA - "PP" (PC)</t>
  </si>
  <si>
    <t>CAM-CAN-ALG-OFFXG - CAMISETA ALGODAO OFF CANA - "XG" (PC)</t>
  </si>
  <si>
    <t>CAM-CAN-ALG-PRE-G - CAMISETA ALGODAO PRETA CANA - "G" (PC)</t>
  </si>
  <si>
    <t>CAM-CAN-ALG-PRE-GG - CAMISETA ALGODAO PRETA CANA - "GG (PC)</t>
  </si>
  <si>
    <t>CAM-CAN-ALG-PRE-M - CAMISETA ALGODAO PRETA CANA - "M" (PC)</t>
  </si>
  <si>
    <t>CAM-CAN-ALG-PRE-P - CAMISETA ALGODAO PRETA CANA - "P" (PC)</t>
  </si>
  <si>
    <t>CAM-CAN-ALG-PRE-PP - CAMISETA ALGODAO PRETA CANA - "PP" (PC)</t>
  </si>
  <si>
    <t>CAM-CAN-ALG-PRE-XG - CAMISETA ALGODAO PRETA CANA - "XG" (PC)</t>
  </si>
  <si>
    <t>CAM-CAN-ALG-TAM-G - CAMISETA ALGODAO TAMARA CANA - "G" (PC)</t>
  </si>
  <si>
    <t>CAM-CAN-ALG-TAM-GG - CAMISETA ALGODAO TAMARA CANA - "GG" (PC)</t>
  </si>
  <si>
    <t>CAM-CAN-ALG-TAM-M - CAMISETA ALGODAO TAMARA CANA - "M" (PC)</t>
  </si>
  <si>
    <t>CAM-CAN-ALG-TAM-P - CAMISETA ALGODAO TAMARA CANA - "P" (PC)</t>
  </si>
  <si>
    <t>CAM-LIS-ALG-BRA-G - CAMISETA BASICA ALGODAO BRANCA LISA - "G" (PC)</t>
  </si>
  <si>
    <t>CAM-LIS-ALG-BRA-GG - CAMISETA BASICA ALGODAO BRANCA LISA - "GG" (PC)</t>
  </si>
  <si>
    <t>CAM-LIS-ALG-BRA-P - CAMISETA BASICA ALGODAO BRANCA LISA - "P" (PC)</t>
  </si>
  <si>
    <t>CAM-LIS-ALG-PRE-G - CAMISETA BASICA ALGODAO PRETA LISA - "G" (PC)</t>
  </si>
  <si>
    <t>CAM-LIS-ALG-PRE-GG - CAMISETA BASICA ALGODAO PRETA LISA - "GG" (PC)</t>
  </si>
  <si>
    <t>CAM-LIS-ALG-PRE-M - CAMISETA BASICA ALGODAO PRETA LISA - "M" (PC)</t>
  </si>
  <si>
    <t>CAM-LIS-ALG-PRE-P - CAMISETA BASICA ALGODAO PRETA LISA - "P" (PC)</t>
  </si>
  <si>
    <t>CAM-LIS-ALG-PRE-PP - CAMISETA BASICA ALGODAO PRETA LISA - "PP" (PC)</t>
  </si>
  <si>
    <t>CAM-LIS-ALG-PRE-XG - CAMISETA BASICA ALGODAO PRETA LISA - "XG" (PC)</t>
  </si>
  <si>
    <t>CAM-LOG-ALG-BRA-G - CAMISETA ALGODAO BRANCA LOGO MISCI - "G" (PC)</t>
  </si>
  <si>
    <t>CAM-LOG-ALG-BRA-GG - CAMISETA ALGODAO BRANCA LOGO MISCI - "GG" (PC)</t>
  </si>
  <si>
    <t>CAM-LOG-ALG-BRA-M - CAMISETA ALGODAO BRANCA LOGO MISCI - "M" (PC)</t>
  </si>
  <si>
    <t>CAM-LOG-ALG-BRA-P - CAMISETA ALGODAO BRANCA LOGO MISCI - "P" (PC)</t>
  </si>
  <si>
    <t>CAM-LOG-ALG-PRE-G - CAMISETA ALGODAO PRETA LOGO MISCI - "G" (PC)</t>
  </si>
  <si>
    <t>CAM-LOG-ALG-PRE-GG - CAMISETA ALGODAO PRETA LOGO MISCI - "GG" (PC)</t>
  </si>
  <si>
    <t>CAM-LOG-ALG-PRE-M - CAMISETA ALGODAO PRETA LOGO MISCI - "M" (PC)</t>
  </si>
  <si>
    <t>CAM-LOG-ALG-PRE-P - CAMISETA ALGODAO PRETA LOGO MISCI - "P" (PC)</t>
  </si>
  <si>
    <t>CAM-LOG-ALG-PRE-PP - CAMISETA ALGODAO PRETA LOGO MISCI - "PP" (PC)</t>
  </si>
  <si>
    <t>CAM-LOG-ALG-PRE-XG - CAMISETA ALGODAO PRETA LOGO MISCI - "XG" (PC)</t>
  </si>
  <si>
    <t>CMC-LIN-ALG-VRD-G - CAMISA MANGA CURTA ALGODAO VERDE MILITAR LINO - "G" (PC)</t>
  </si>
  <si>
    <t>CMC-LIN-ALG-VRD-GG - CAMISA MANGA CURTA ALGODAO VERDE MILITAR LINO - "GG" (PC)</t>
  </si>
  <si>
    <t>CMC-LIN-ALG-VRD-M - CAMISA MANGA CURTA ALGODAO VERDE MILITAR LINO - "M" (PC)</t>
  </si>
  <si>
    <t>CMC-PIA-OFF-PET-M - CAMISA MANGA CURTA PET OFF PIAO - "M" (PC)</t>
  </si>
  <si>
    <t>CMC-PIA-OFF-PET-P - CAMISA MANGA CURTA PET OFF PIAO - "P" (PC)</t>
  </si>
  <si>
    <t>CMC-PIA-PET-OFF-G - CAMISA MANGA CURTA PET OFF PIAO - "G" (PC)</t>
  </si>
  <si>
    <t>CMC-TAI-ALG-AZU-M - CAMISA MANGA LONGA MISCI ALGODAO PIMA AZUL/AZUL TAIOBA- "M" (PC)</t>
  </si>
  <si>
    <t>CML-CAT-ALG-BCO-G - CAMISA MANGA LONGA MISCI ALGODAO PIMA BRANCO CATIMBO - "G" (PC)</t>
  </si>
  <si>
    <t>CML-CAT-ALG-BCO-M - CAMISA MANGA LONGA MISCI ALGODAO PIMA BRANCO CATIMBO - "M" (PC)</t>
  </si>
  <si>
    <t>CML-ROB-ALG-BRA-G - CAMISA MANGA LONGA COM BOLSO ALGODAO PESPONTO BRANCA ROBERTAO - "G" (PC)</t>
  </si>
  <si>
    <t>CML-ROB-ALG-BRA-GG - CAMISA MANGA LONGA COM BOLSO ALGODAO PESPONTO BRANCA ROBERTAO - "GG" (PC)</t>
  </si>
  <si>
    <t>CML-ROB-ALG-BRA-M - CAMISA MANGA LONGA COM BOLSO ALGODAO PESPONTO BRANCA ROBERTAO - "M" (PC)</t>
  </si>
  <si>
    <t>CML-ROB-ALG-BRA-P - CAMISA MANGA LONGA COM BOLSO ALGODAO PESPONTO BRANCA ROBERTAO - "P" (PC)</t>
  </si>
  <si>
    <t>CML-ROB-ALG-LIS-G - CAMISA MANGA LONGA LISTRADA ROSA ALGODAO ROBERTAO - "G" (PC)</t>
  </si>
  <si>
    <t>CML-ROB-ALG-LIS-GG - CAMISA MANGA LONGA LISTRADA ROSA ALGODAO ROBERTAO - "GG" (PC)</t>
  </si>
  <si>
    <t>CML-ROB-ALG-LIS-M - CAMISA MANGA LONGA LISTRADA ROSA ALGODAO ROBERTAO - "M" (PC)</t>
  </si>
  <si>
    <t>CML-ROB-ALG-LIS-P - CAMISA MANGA LONGA LISTRADA ROSA ALGODAO ROBERTAO - "P" (PC)</t>
  </si>
  <si>
    <t>CML-TAI-ALG-ABC-G - CAMISA MANGA LONGA MISCI ALGODAO PIMA AZUL/BRANCO TAIOBA- "G" (PC)</t>
  </si>
  <si>
    <t>CML-TAI-ALG-ABC-M - CAMISA MANGA LONGA MISCI ALGODAO PIMA AZUL/BRANCO TAIOBA- "M" (PC)</t>
  </si>
  <si>
    <t>CML-TAI-ALG-ABC-P - CAMISA MANGA LONGA MISCI ALGODAO PIMA AZUL/BRANCO TAIOBA - "P" (PC)</t>
  </si>
  <si>
    <t>CML-TAI-ALG-AZU-G - CAMISA MANGA LONGA MISCI ALGODAO PIMA AZUL/AZUL TAIOBA- "G" (PC)</t>
  </si>
  <si>
    <t>CML-TAI-ALG-AZU-P - CAMISA MANGA LONGA MISCI ALGODAO PIMA AZUL/AZUL TAIOBA- "P" (PC)</t>
  </si>
  <si>
    <t>CML-TIB-ALG-CIZ-G - CAMISA MANGA LONGA ALGODAO CINZA TIBAU - "G" (PC)</t>
  </si>
  <si>
    <t>CML-TIB-ALG-CIZ-GG - CAMISA MANGA LONGA ALGODAO CINZA TIBAU - "GG" (PC)</t>
  </si>
  <si>
    <t>CML-TIB-ALG-CIZ-M - CAMISA MANGA LONGA ALGODAO CINZA TIBAU - "M" (PC)</t>
  </si>
  <si>
    <t>CML-TIB-ALG-CIZ-P - CAMISA MANGA LONGA ALGODAO CINZA TIBAU - "P" (PC)</t>
  </si>
  <si>
    <t>CML-TIB-ALG-VER-G - CAMISA MANGA LONGA ALGODAO VERDE TIBAU - "G" (PC)</t>
  </si>
  <si>
    <t>CML-TIB-ALG-VER-GG - CAMISA MANGA LONGA ALGODAO VERDE TIBAU - "GG" (PC)</t>
  </si>
  <si>
    <t>CML-TIB-ALG-VER-M - CAMISA MANGA LONGA ALGODAO VERDE TIBAU - "M" (PC)</t>
  </si>
  <si>
    <t>CML-TIB-ALG-VER-P - CAMISA MANGA LONGA ALGODAO VERDE TIBAU - "P" (PC)</t>
  </si>
  <si>
    <t>PRD00001 - BOTAO UREIA (UN)</t>
  </si>
  <si>
    <t>PRD00007 - BOTAO PAPEL (UN)</t>
  </si>
  <si>
    <t>R206045 - TECIDO CATAGUASES - FORRO CAPITU CALANDRADO - CREME - 100% ALGODAO (M)</t>
  </si>
  <si>
    <t>R3380 - TECIDO CATAGUASES - GALLES MERCERIZADO 100% ALGODAO  TAFETA -  BRANCO (M)</t>
  </si>
  <si>
    <t>R3597 - TECIDO CATAGUASES - GALLES MERCERIZADO - ALGODAO-TAFETA - TP015301 - 100% ALGODAO - VERDE CLARO (M)</t>
  </si>
  <si>
    <t>R5398 - TECIDO CATAGUASES - OXFORD CALANDRADO 100% ALGODAO  - FIO TINTO MARROM (M)</t>
  </si>
  <si>
    <t>R7123 - TECIDO CATAGUASES - FORRO CAPITU CALANDRADO - 100% ALGODAO (M)</t>
  </si>
  <si>
    <t>TABLAA4064RN - TECIDO VICUNHA - WHITE OFF JEANS 9,5 NATURAL - SARJA - 100% ALGODAO (M)</t>
  </si>
  <si>
    <t>VES-CHE-ALG-AZU-G - VESTIDO ALGODA AZUL LISTRADO CHE - "G" (PC)</t>
  </si>
  <si>
    <t>VES-CHE-ALG-AZU-M - VESTIDO ALGODA AZUL LISTRADO CHE - "M" (PC)</t>
  </si>
  <si>
    <t>VES-CHE-ALG-AZU-P - VESTIDO ALGODA AZUL LISTRADO CHE - "P" (PC)</t>
  </si>
  <si>
    <t>VES-CHE-ALG-OFF-M - VESTIDO ALGODA OFF CHE - "M" (PC)</t>
  </si>
  <si>
    <t>VES-CHE-ALG-PAL-G - VESTIDO ALGODA PALHA CHE - "G" (PC)</t>
  </si>
  <si>
    <t>VES-CHE-ALG-PAL-M - VESTIDO ALGODA PALHA CHE - "M" (PC)</t>
  </si>
  <si>
    <t>VES-CHE-ALG-PAL-P - VESTIDO ALGODA PALHA CHE - "P" (PC)</t>
  </si>
  <si>
    <t>VES-CHE-ALG-PAL-PIL - VESTIDO ALGODA PALHA CHE - "PILOTO" (PC)</t>
  </si>
  <si>
    <t>VES-PIN-ALG-AZU-G - VESTIDO REGATA RETO ALGODAO AZUL PINGA - "G/42" (PC)</t>
  </si>
  <si>
    <t>VES-PIN-ALG-AZU-GG - VESTIDO REGATA RETO ALGODAO AZUL PINGA - "GG/44" (PC)</t>
  </si>
  <si>
    <t>VES-PIN-ALG-AZU-M - VESTIDO REGATA RETO ALGODAO AZUL PINGA - "M/40" (PC)</t>
  </si>
  <si>
    <t>VES-PIN-ALG-AZU-P - VESTIDO REGATA RETO ALGODAO AZUL PINGA - "P/38" (PC)</t>
  </si>
  <si>
    <t>VES-PIN-ALG-AZU-PP - VESTIDO REGATA RETO ALGODAO AZUL PINGA - "PP/36" (PC)</t>
  </si>
  <si>
    <t>VES-PIN-ALG-OCR-G - VESTIDO REGATA RETO ALGODAO OCRE PINGA - "G/42" (PC)</t>
  </si>
  <si>
    <t>VES-PIN-ALG-OCR-GG - VESTIDO REGATA RETO ALGODAO OCRE PINGA - "GG/44" (PC)</t>
  </si>
  <si>
    <t>VES-PIN-ALG-OCR-M - VESTIDO REGATA RETO ALGODAO OCRE PINGA - "M/40" (PC)</t>
  </si>
  <si>
    <t>VES-PIN-ALG-OCR-P - VESTIDO REGATA RETO ALGODAO OCRE PINGA - "P/38" (PC)</t>
  </si>
  <si>
    <t>VES-PIN-ALG-OCR-PP - VESTIDO REGATA RETO ALGODAO OCRE PINGA - "PP/36" (PC)</t>
  </si>
  <si>
    <t>7134000733R7 - TECIDO PARAMOUNT -  PRUNEL LEVE SUPER 120'S - 100% LA - CERAMICA - 733 (M)</t>
  </si>
  <si>
    <t>122003 - 745 - TECIDO WERNER - 80% ACETATO 20% VISCOSE - CREPE LEGERE - CAFE (745) (M)</t>
  </si>
  <si>
    <t>1293000742Q3 - TECIDO PARAMOUNT - TWILL FLANEL - A1292 - C742 - 100% LA - CAFE (M)</t>
  </si>
  <si>
    <t>48278CMB2 - FERRAGENS - ENFEITE INJETADO #NIQUEL B C/VZ - EI6020-71.2 - PE DA BOLSA (UN)</t>
  </si>
  <si>
    <t>713400058R7 - TECIDO PARAMOUNT -  PRUNEL LEVE SUPER 120'S - 100% LA - AZUL CEU - 583 (M)</t>
  </si>
  <si>
    <t>SUE-IRR-TRI-CER-G - SUETER TRICOT IRRE CERAMICA - "G" (PC)</t>
  </si>
  <si>
    <t>SUE-IRR-TRI-CER-M - SUETER TRICOT IRRE CERAMICA - "M" (PC)</t>
  </si>
  <si>
    <t>SUE-IRR-TRI-CER-P - SUETER TRICOT IRRE CERAMICA - "P" (PC)</t>
  </si>
  <si>
    <t>SUE-IRR-TRI-CRU-G - SUETER TRICOT IRRE CRU - "G" (PC)</t>
  </si>
  <si>
    <t>SUE-IRR-TRI-CRU-M - SUETER TRICOT IRRE CRU - "M" (PC)</t>
  </si>
  <si>
    <t>SUE-IRR-TRI-CRU-P - SUETER TRICOT IRRE CRU - "P" (PC)</t>
  </si>
  <si>
    <t>SUE-IRR-TRI-MIL-G - SUETER TRICOT IRRE VERDE MILITAR - "G" (PC)</t>
  </si>
  <si>
    <t>SUE-IRR-TRI-MIL-M - SUETER TRICOT IRRE VERDE MILITAR - "M" (PC)</t>
  </si>
  <si>
    <t>SUE-IRR-TRI-MIL-P - SUETER TRICOT IRRE VERDE MILITAR - "P" (PC)</t>
  </si>
  <si>
    <t>SUE-IRR-TRI-OFF-G - SUETER TRICOT IRRE BRANCO / OFF - "G" (PC)</t>
  </si>
  <si>
    <t>SUE-IRR-TRI-OFF-M - SUETER TRICOT IRRE BRANCO / OFF - "M" (PC)</t>
  </si>
  <si>
    <t>SUE-IRR-TRI-OFF-P - SUETER TRICOT IRRE BRANCO / OFF - "P" (PC)</t>
  </si>
  <si>
    <t>BLZ-PHI-LA-AZU-M - BLAZER ALFAIATARIA PHILO AZUL - "M" (PC)</t>
  </si>
  <si>
    <t>BLZ-PHI-LA-MAR-M - BLAZER ALFAIATARIA PHILO MARROM - "M" (PC)</t>
  </si>
  <si>
    <t>BLZ-PHI-LA-OFF-M - BLAZER ALFAIATARIA PHILO OFF - "M" (PC)</t>
  </si>
  <si>
    <t>CAM-MOS-LIN-MAR-M - CAMISETA MOSSORO MARROM - "M" (PC)</t>
  </si>
  <si>
    <t>CAM-MOS-LIN-ROS-M - CAMISETA MOSSORO ROSA - "M" (PC)</t>
  </si>
  <si>
    <t>CAM-MOS-LIN-VRM-M - CAMISETA MOSSORO CORAL - "M" (PC)</t>
  </si>
  <si>
    <t>CHI-FIL-BOR-OFF-35 - CHINELO MISCIANE - MISCI + THERPOLL - FILTRO DE BARRO - TIRA SEM PO DE MADEIRA - OFF - "35/36" (PARES)</t>
  </si>
  <si>
    <t>CHI-FIL-BOR-OFF-43 - CHINELO MISCIANE - MISCI + THERPOLL - FILTRO DE BARRO - TIRA SEM PO DE MADEIRA - OFF - "43/44" (PARES)</t>
  </si>
  <si>
    <t>CHI-FIL-MAD-AZU-35 - CHINELO MISCIANE - MISCI + THERPOLL - ESTAMPA FILTRO AZUL - TIRA COM PO DE MADEIRA - MARROM - "35/36" (PARES)</t>
  </si>
  <si>
    <t>CHI-FIL-MAD-AZU-37 - CHINELO MISCIANE - MISCI + THERPOLL - ESTAMPA FILTRO AZUL - TIRA COM PO DE MADEIRA - MARROM - "37/38" (PARES)</t>
  </si>
  <si>
    <t>CHI-FIL-MAD-AZU-39 - CHINELO MISCIANE - MISCI + THERPOLL - ESTAMPA FILTRO AZUL - TIRA COM PO DE MADEIRA - MARROM - "39/40" (PARES)</t>
  </si>
  <si>
    <t>CHI-FIL-MAD-MAR-35 - CHINELO MISCIANE - MISCI + THERPOLL - FILTRO DE BARRO - TIRA COM PO DE MADEIRA - MARROM - "35/36" (PARES)</t>
  </si>
  <si>
    <t>CHI-FIL-MAD-MAR-37 - CHINELO MISCIANE - MISCI + THERPOLL - FILTRO DE BARRO - TIRA COM PO DE MADEIRA - MARROM - "37/38" (PARES)</t>
  </si>
  <si>
    <t>CHI-FIL-MAD-MAR-39 - CHINELO MISCIANE - MISCI + THERPOLL - FILTRO DE BARRO - TIRA COM PO DE MADEIRA - MARROM - "39/40" (PARES)</t>
  </si>
  <si>
    <t>CHI-FIL-MAD-MAR-41 - CHINELO MISCIANE - MISCI + THERPOLL - FILTRO DE BARRO - TIRA COM PO DE MADEIRA - MARROM - "41/42" (PARES)</t>
  </si>
  <si>
    <t>CHI-MIS-MAD-MAR-35 - CHINELO MISCIANE - MISCI + THERPOLL - ESTAMPA MISCI - TIRA COM PO DE MADEIRA - MARROM - "35/36" (PARES)</t>
  </si>
  <si>
    <t>CHI-MIS-MAD-MAR-37 - CHINELO MISCIANE - MISCI + THERPOLL - ESTAMPA MISCI - TIRA COM PO DE MADEIRA - MARROM - "37/38" (PARES)</t>
  </si>
  <si>
    <t>CHI-MIS-MAD-MAR-39 - CHINELO MISCIANE - MISCI + THERPOLL - ESTAMPA MISCI - TIRA COM PO DE MADEIRA - MARROM - "39/40" (PARES)</t>
  </si>
  <si>
    <t>o CHI-FIL-MAD-MAR-43 - CHINELO MISCIANE - MISCI + THERPOLL - FILTRO DE BARRO - TIRA COM PO DE MADEIRA - MARROM - "43/44" (PARES)</t>
  </si>
  <si>
    <t>PRD00005 - ETIQUETA - cOs externo em PU pinhAo com queima 40 x 65mm - (UN)</t>
  </si>
  <si>
    <t>VES-SER-SED-MAR-TU - VESTIDO  SERU  - TU (PC)</t>
  </si>
  <si>
    <t>12588 - TECIDO GVALLONE - MAXICOTTON -  67% VISCOSE 33% ALGODAO - VERDE CUPUACU 11015 (MT)</t>
  </si>
  <si>
    <t>148307C7000032011 - TECIDO INNOVATIV - 100% ALGODAO - AMBROSIA (IGUAL AO SHIVA) - BEGE TEXTURIZADO 032 - GRAMATURA 209 - BERMUDA E CALCA (MT)</t>
  </si>
  <si>
    <t>26442 - FERRAGENS - REBITE / 0,5 CABECA BOCA LAT NIQUEL C C/VZ - R05CBAL2 - CABECA DE ENCAIXE DO PE DA BOLSA (UN)</t>
  </si>
  <si>
    <t>39722CMB3 - FERRAGENS - ARGOLA DE ACO ACABADO! NIQUEL C - AR1640-1N - 1 /2 ARGOLA GRANDE (UN)</t>
  </si>
  <si>
    <t>4445 - TECIDO GVALLONE - KUMARI AZUL CEU TRANCADO - 50% ALGODAO + 30% MODAL + 20% LINHO (MT)</t>
  </si>
  <si>
    <t>5693159 - TECIDO GVALLONE - KUMARI AMARELO DIJON TRANCADO - 50% ALGODAO + 30% MODAL + 20% LINHO (MT)</t>
  </si>
  <si>
    <t>BER-CAC-PET-VRD-M - BERMUDA PET VERDE LISTRADO CACHACA - "M" (PC)</t>
  </si>
  <si>
    <t>BLZ-PEQ-AVE-VRD-PRO - BLAZER ALFAIATARIA PEQUI VERDE - "PRODUCAO" (PC)</t>
  </si>
  <si>
    <t>CAC-PRA-TIE-MIS-G - CACHACA PRATA MISCI + TIE - 500 ML - 42% - GRANDE (UN)</t>
  </si>
  <si>
    <t>CAC-PRA-TIE-MIS-P - CACHACA PRATA MISCI + TIE - 140 ML - 42% - PEQUENA (UN)</t>
  </si>
  <si>
    <t>CAL-ALF-CLA-VIS-MAR-PIL - CALCA ALFAIATARIA CLASSICA  FEMININA - MARROM - "PILOTO" (PC)</t>
  </si>
  <si>
    <t>CAL-ALF-CRE-OFF-PIL - CALCA DE ALFAIATARIA CREPE OFF - "PILOTO" (PC)</t>
  </si>
  <si>
    <t>CAL-ALF-POL-MAR-M - CALCA ALFAIATE MARROM - "M" (PC)</t>
  </si>
  <si>
    <t>CAL-ALF-PRE-LA-BEG-PIL - CALCA ALFAIATARIA CLASSICA FEMININA BEGE  - "PILOTO" (PC)</t>
  </si>
  <si>
    <t>CAL-ALF-VIS-BEG-G - CALCA ALFAIATARIA BEGE ALFA - G (PC)</t>
  </si>
  <si>
    <t>CAL-ALF-VIS-BEG-GG - CALCA ALFAIATARIA BEGE ALFA - GG (PC)</t>
  </si>
  <si>
    <t>CAL-ALF-VIS-BEG-M - CALCA ALFAIATARIA BEGE ALFA - M (PC)</t>
  </si>
  <si>
    <t>CAL-ALF-VIS-BEG-P - CALCA ALFAIATARIA BEGE ALFA - P (PC)</t>
  </si>
  <si>
    <t>CAL-ALF-VIS-PRE-G - CALCA ALFAIATARIA PRETA ALFA - "G" (PC)</t>
  </si>
  <si>
    <t>CAL-ALF-VIS-PRE-GG - CALCA ALFAIATARIA PRETA ALFA - GG (PC)</t>
  </si>
  <si>
    <t>CAL-ALF-VIS-PRE-M - CALCA ALFAIATARIA PRETA ALFA - M (PC)</t>
  </si>
  <si>
    <t>CAL-ALF-VIS-PRE-P - CALCA ALFAIATARIA PRETA ALFA - P (PC)</t>
  </si>
  <si>
    <t>CAL-ALG-TRE-OFF-40 - CALCA ALGODAO TREVO LISTRADA - OFF - "40" (PC)</t>
  </si>
  <si>
    <t>CAL-ARI-ALG-AZU-36 - CALCA SARJA AZUL ARI - "36/PP" (PC)</t>
  </si>
  <si>
    <t>CAL-ARI-ALG-AZU-38 - CALCA SARJA AZUL ARI - "38/P" (PC)</t>
  </si>
  <si>
    <t>CAL-ARI-ALG-AZU-40 - CALCA SARJA AZUL ARI - "40/M" (PC)</t>
  </si>
  <si>
    <t>CAL-ARI-ALG-AZU-42 - CALCA SARJA AZUL ARI - "42/G" (PC)</t>
  </si>
  <si>
    <t>CAL-ARI-ALG-AZU-44 - CALCA SARJA AZUL ARI - "44/GG" (PC)</t>
  </si>
  <si>
    <t>CAL-ARI-ALG-AZU-46 - CALCA SARJA AZUL ARI - "46/GGG" (PC)</t>
  </si>
  <si>
    <t>CAL-ARI-ALG-AZU-PIL - CALCA JEANS AZUL ARI - "PILOTO" (PC)</t>
  </si>
  <si>
    <t>CAL-ARI-ALG-IND-36 - CALCA JEANS INDIGO ARI - "36/PP" (PC)</t>
  </si>
  <si>
    <t>CAL-ARI-ALG-IND-38 - CALCA JEANS INDIGO ARI - "38/P" (PC)</t>
  </si>
  <si>
    <t>CAL-ARI-ALG-IND-40 - CALCA JEANS INDIGO ARI - "40/M" (PC)</t>
  </si>
  <si>
    <t>CAL-ARI-ALG-IND-42 - CALCA JEANS INDIGO ARI - "42/G" (PC)</t>
  </si>
  <si>
    <t>CAL-ARI-ALG-IND-44 - CALCA JEANS INDIGO ARI - "44/GG" (PC)</t>
  </si>
  <si>
    <t>CAL-ARI-ALG-IND-46 - CALCA JEANS INDIGO ARI - "46/GGG" (PC)</t>
  </si>
  <si>
    <t>CAL-ARI-ALG-IND-PIL - CALCA JEANS INDIGO ARI - "PILOTO" (PC)</t>
  </si>
  <si>
    <t>CAL-ARI-ALG-OCR-36 - CALCA SARJA OCRE ARI - "36/PP" (PC)</t>
  </si>
  <si>
    <t>CAL-ARI-ALG-OCR-38 - CALCA SARJA OCRE ARI - "38/P" (PC)</t>
  </si>
  <si>
    <t>CAL-ARI-ALG-OCR-40 - CALCA SARJA OCRE ARI - "40/M" (PC)</t>
  </si>
  <si>
    <t>CAL-ARI-ALG-OCR-42 - CALCA SARJA OCRE ARI - "42/G" (PC)</t>
  </si>
  <si>
    <t>CAL-ARI-ALG-OCR-44 - CALCA SARJA OCRE ARI - "44/GG" (PC)</t>
  </si>
  <si>
    <t>CAL-ARI-ALG-OCR-46 - CALCA SARJA OCRE ARI - "46/GGG" (PC)</t>
  </si>
  <si>
    <t>CAL-ARI-ALG-OFF-36 - CALCA SARJA OFF ARI - "36/PP" (PC)</t>
  </si>
  <si>
    <t>CAL-ARI-ALG-OFF-38 - CALCA SARJA OFF ARI - "38/P" (PC)</t>
  </si>
  <si>
    <t>CAL-ARI-ALG-OFF-40 - CALCA SARJA OFF ARI - "40/M" (PC)</t>
  </si>
  <si>
    <t>CAL-ARI-ALG-OFF-42 - CALCA SARJA OFF ARI - "42/G" (PC)</t>
  </si>
  <si>
    <t>CAL-ARI-ALG-OFF-44 - CALCA SARJA OFF ARI - "44/GG" (PC)</t>
  </si>
  <si>
    <t>CAL-ARI-ALG-OFF-46 - CALCA SARJA OFF ARI - "46/GGG" (PC)</t>
  </si>
  <si>
    <t>CAL-ARI-ALG-VRD-38 - CALCA JEANS VERDE ARI - "38/P" (PC)</t>
  </si>
  <si>
    <t>CAL-ARI-ALG-VRD-40 - CALCA JEANS VERDE ARI - "40/M" (PC)</t>
  </si>
  <si>
    <t>CAL-ARI-ALG-VRD-42 - CALCA JEANS VERDE ARI - "42/G" (PC)</t>
  </si>
  <si>
    <t>CAL-ARI-ALG-VRD-44 - CALCA JEANS VERDE ARI - "44/GG" (PC)</t>
  </si>
  <si>
    <t>CAL-BOI-LA-CIN-M - CALCA ALFAIATARIA BOIA CINZA  - "M" (PC)</t>
  </si>
  <si>
    <t>CAL-BOL-ALG-VRD-TU - CALCA VERDE BOLEIA - "TU" (PC)</t>
  </si>
  <si>
    <t>CAL-CAL-VIS-AZU-TU - CALCA AZUL CAL- TU (PC)</t>
  </si>
  <si>
    <t>CAL-ELL-RAD-MAR-P - CALCA MARROM ELLE  - "P" (PC)</t>
  </si>
  <si>
    <t>CAL-ELL-RAD-OFF-G - CALCA OFF ELLE  - "G" (PC)</t>
  </si>
  <si>
    <t>CAL-ELL-RAD-OFF-M - CALCA OFF ELLE  - "M" (PC)</t>
  </si>
  <si>
    <t>CAL-ELL-RAD-OFF-P - CALCA OFF ELLE  - "P" (PC)</t>
  </si>
  <si>
    <t>CAL-ELL-RAD-VR2-M - CALCA VERDE ELLE  - "M" (PC)</t>
  </si>
  <si>
    <t>CAL-ELL-RAD-VRD-G - CALCA CUPUACU ELLE  - "G" (PC)</t>
  </si>
  <si>
    <t>CAL-ELL-RAD-VRD-M - CALCA CUPUACU ELLE  - "M" (PC)</t>
  </si>
  <si>
    <t>CAL-ELL-RAD-VRD-P - CALCA CUPUACU ELLE  - "P" (PC)</t>
  </si>
  <si>
    <t>CAL-FLA-ALG-MAR-36 - CALCA TWEED LISTRADA MARROM FLA - "36" (PC)</t>
  </si>
  <si>
    <t>CAL-FLA-ALG-MAR-38 - CALCA TWEED LISTRADA MARROM FLA - "38" (PC)</t>
  </si>
  <si>
    <t>CAL-FLA-ALG-MAR-40 - CALCA TWEED LISTRADA MARROM FLA - "40" (PC)</t>
  </si>
  <si>
    <t>CAL-FLA-ALG-MAR-42 - CALCA TWEED LISTRADA MARROM FLA - "42" (PC)</t>
  </si>
  <si>
    <t>CAL-FLA-ALG-MAR-44 - CALCA TWEED LISTRADA MARROM FLA - "44" (PC)</t>
  </si>
  <si>
    <t>CAL-FLA-ALG-MAR-46 - CALCA TWEED LISTRADA MARROM FLA - "46" (PC)</t>
  </si>
  <si>
    <t>CAL-FLA-ALG-MAR-48 - CALCA TWEED LISTRADA MARROM FLA - "48" (PC)</t>
  </si>
  <si>
    <t>CAL-FLA-ALG-VRD-36" - CALCA TWEED VERDE FLA - "36" (PC)</t>
  </si>
  <si>
    <t>CAL-FLA-ALG-VRD-38 - CALCA TWEED VERDE FLA - "38" (PC)</t>
  </si>
  <si>
    <t>CAL-FLA-ALG-VRD-40 - CALCA TWEED VERDE FLA - "40" (PC)</t>
  </si>
  <si>
    <t>CAL-FLA-ALG-VRD-42 - CALCA TWEED VERDE FLA - "42" (PC)</t>
  </si>
  <si>
    <t>CAL-FLA-ALG-VRD-44 - CALCA TWEED VERDE FLA - "44" (PC)</t>
  </si>
  <si>
    <t>CAL-FLA-VIS-MES-36 - CALCA TWEED MESCLA MARINHO FLA - "36" (PC)</t>
  </si>
  <si>
    <t>CAL-FLA-VIS-MES-38 - CALCA TWEED MESCLA MARINHO FLA - "38" (PC)</t>
  </si>
  <si>
    <t>CAL-FLA-VIS-MES-40 - CALCA TWEED MESCLA MARINHO FLA - "40" (PC)</t>
  </si>
  <si>
    <t>CAL-FLA-VIS-MES-42 - CALCA TWEED MESCLA MARINHO FLA - "42" (PC)</t>
  </si>
  <si>
    <t>CAL-FLA-VIS-MES-44 - CALCA TWEED MESCLA MARINHO FLA - "44" (PC)</t>
  </si>
  <si>
    <t>CAL-GAR-ALG-MAR-TU - CALCA MARROM GARFO- TU (PC)</t>
  </si>
  <si>
    <t>CAL-GIZ-POL-CIN-M - CALCA CINZA GIZ  - "M" (PC)</t>
  </si>
  <si>
    <t>CAL-ING-COT-MAS-G - CALCA ALGODAO VELUDO  MASCAVO INGA - "G/42" (PC)</t>
  </si>
  <si>
    <t>CAL-ING-COT-MAS-GG - CALCA ALGODAO VELUDO MASCAVO INGA - "GG/44" (PC)</t>
  </si>
  <si>
    <t>CAL-ING-COT-MAS-M - CALCA ALGODAO VELUDO MASCAVO INGA - "M/40" (PC)</t>
  </si>
  <si>
    <t>CAL-ING-COT-MAS-P - CALCA ALGODAO VELUDO MASCAVO INGA - "P/38" (PC)</t>
  </si>
  <si>
    <t>CAL-LAI-ALG-CRU-G - CALCA ALGODAO LISTRA CRU LAI - "G/42" (PC)</t>
  </si>
  <si>
    <t>CAL-LAI-ALG-CRU-M - CALCA ALGODAO LISTRA CRU LAI - "M/40" (PC)</t>
  </si>
  <si>
    <t>CAL-LAI-ALG-CRU-P - CALCA ALGODAO LISTRA CRU LAI - "P/38" (PC)</t>
  </si>
  <si>
    <t>CAL-LAI-ALG-ROS-G - CALCA ALGODAO LISTRA ROSA LAI - "G/42" (PC)</t>
  </si>
  <si>
    <t>CAL-LAI-ALG-ROS-M - CALCA ALGODAO LISTRA ROSA LAI - "M/40" (PC)</t>
  </si>
  <si>
    <t>CAL-LAI-ALG-ROS-P - CALCA ALGODAO LISTRA ROSA LAI - "P/38" (PC)</t>
  </si>
  <si>
    <t>CAL-LAI-VIS-MAR-G - CALCA VISCOSE MARROM FLORESTA LAI - "G/42" (PC)</t>
  </si>
  <si>
    <t>CAL-LAI-VIS-MAR-M - CALCA VISCOSE MARROM FLORESTA LAI - "M/40" (PC)</t>
  </si>
  <si>
    <t>CAL-LAI-VIS-MAR-P - CALCA VISCOSE MARROM FLORESTA LAI - "P/38" (PC)</t>
  </si>
  <si>
    <t>CAL-LAI-VIS-VRD-G - CALCA VISCOSE VERDE LAI - "G/42" (PC)</t>
  </si>
  <si>
    <t>CAL-LAI-VIS-VRD-M - CALCA VISCOSE VERDE LAI - "M/40" (PC)</t>
  </si>
  <si>
    <t>CAL-LAI-VIS-VRD-P - CALCA VISCOSE VERDE LAI - "P/38" (PC)</t>
  </si>
  <si>
    <t>CAL-MAM-FLA-GOI-PIL - CALCA MAMI FLAIRE GOIABA - "PILOTO" (PC)</t>
  </si>
  <si>
    <t>CAL-MAM-VIS-GOI-G - CALCA MAMI FLAIRE GOIABA - "G" (PC)</t>
  </si>
  <si>
    <t>CAL-MAM-VIS-GOI-M - CALCA MAMI FLAIRE GOIABA - "M" (PC)</t>
  </si>
  <si>
    <t>CAL-MAM-VIS-GOI-P - CALCA MAMI FLAIRE GOIABA - "P" (PC)</t>
  </si>
  <si>
    <t>CAL-MAM-VIS-MEN-G - CALCA MAMI FLAIRE VERDE MENTA - "G" (PC)</t>
  </si>
  <si>
    <t>CAL-MAM-VIS-MEN-M - CALCA MAMI FLAIRE VERDE MENTA - "M" (PC)</t>
  </si>
  <si>
    <t>CAL-MAM-VIS-MEN-P - CALCA MAMI FLAIRE VERDE MENTA - "P" (PC)</t>
  </si>
  <si>
    <t>CAL-MIN-ALG-AZU-G - CALCA MOLETOM MINHOCAO AZUL - "G" (PC)</t>
  </si>
  <si>
    <t>CAL-MIN-ALG-AZU-GG - CALCA MOLETOM MINHOCAO AZUL - "GG" (PC)</t>
  </si>
  <si>
    <t>CAL-MIN-ALG-AZU-M - CALCA MOLETOM MINHOCAO AZUL - "M" (PC)</t>
  </si>
  <si>
    <t>CAL-MIN-ALG-AZU-P - CALCA MOLETOM MINHOCAO AZUL - "P" (PC)</t>
  </si>
  <si>
    <t>CAL-MIN-ALG-AZU-PP - CALCA MOLETOM MINHOCAO AZUL - "PP" (PC)</t>
  </si>
  <si>
    <t>CAL-MIN-ALG-OFF-G - CALCA MOLETOM MINHOCAO OFF - "G" (PC)</t>
  </si>
  <si>
    <t>CAL-MIN-ALG-OFF-GG - CALCA MOLETOM MINHOCAO OFF - "GG" (PC)</t>
  </si>
  <si>
    <t>CAL-MIN-ALG-OFF-M - CALCA MOLETOM MINHOCAO OFF - "M" (PC)</t>
  </si>
  <si>
    <t>CAL-MIN-ALG-OFF-P - CALCA MOLETOM MINHOCAO OFF - "P" (PC)</t>
  </si>
  <si>
    <t>CAL-MIN-ALG-OFF-PP - CALCA MOLETOM MINHOCAO OFF - "PP" (PC)</t>
  </si>
  <si>
    <t>CAL-MIN-ALG-VDR-G - CALCA MOLETOM MINHOCAO VERDE - "G" (PC)</t>
  </si>
  <si>
    <t>CAL-MIN-ALG-VDR-GG - CALCA MOLETOM MINHOCAO VERDE - "GG" (PC)</t>
  </si>
  <si>
    <t>CAL-MIN-ALG-VDR-M - CALCA MOLETOM MINHOCAO VERDE - "M" (PC)</t>
  </si>
  <si>
    <t>CAL-MIN-ALG-VRD-P - CALCA MOLETOM MINHOCAO VERDE - "P" (PC)</t>
  </si>
  <si>
    <t>CAL-MIN-ALG-VRD-PP - CALCA MOLETOM MINHOCAO VERDE - "PP" (PC)</t>
  </si>
  <si>
    <t>CAL-PER-ALG-BEG-M - CALCA LIESTRA PERU - "M/40" (PC)</t>
  </si>
  <si>
    <t>CAL-PER-ALG-MAR-M - CALCA MARROM LISTRAS PERU - "M/40" (PC)</t>
  </si>
  <si>
    <t>CAL-PHY-LA-AZU-M - CALCA TERNO PHYLO AZUL - "M" (PC)</t>
  </si>
  <si>
    <t>CAL-PHY-LA-OFF-M - CALCA TERNO PHYLO OFF- "M" (PC)</t>
  </si>
  <si>
    <t>CAL-RIT-VIS-MAR-34 - CALCA RITA ALFAIATARIA FEMININA - MARROM - "34" (PC)</t>
  </si>
  <si>
    <t>CAL-RIT-VIS-MAR-36 - CALCA RITA ALFAIATARIA FEMININA - MARROM - "36" (PC)</t>
  </si>
  <si>
    <t>CAL-RIT-VIS-MAR-38 - CALCA RITA ALFAIATARIA FEMININA - MARROM - "38" (PC)</t>
  </si>
  <si>
    <t>CAL-RIT-VIS-MAR-40 - CALCA RITA ALFAIATARIA FEMININA - MARROM - "40" (PC)</t>
  </si>
  <si>
    <t>CAL-RIT-VIS-MAR-42 - CALCA RITA ALFAIATARIA FEMININA - MARROM - "42" (PC)</t>
  </si>
  <si>
    <t>CAL-RIT-VIS-MAR-44 - CALCA RITA ALFAIATARIA FEMININA - MARROM - "44" (PC)</t>
  </si>
  <si>
    <t>CAL-RIT-VIS-OFF-38 - CALCA RITA ALFAIATARIA FEMININA - OFF - "38" (PC)</t>
  </si>
  <si>
    <t>CAL-RIT-VIS-OFF-40 - CALCA RITA ALFAIATARIA FEMININA - OFF - "40" (PC)</t>
  </si>
  <si>
    <t>CAL-RIT-VIS-OFF-42 - CALCA RITA ALFAIATARIA FEMININA - OFF - "42" (PC)</t>
  </si>
  <si>
    <t>CAL-THA-ALG-MAR-TU - CALCA MARROM THAI - "TU" (PC)</t>
  </si>
  <si>
    <t>CAL-TRE-ALG-OFF-36 - CALCA ALGODAO TREVO LISTRADA - OFF - "36" (PC)</t>
  </si>
  <si>
    <t>CAL-TRE-ALG-OFF-38 - CALCA ALGODAO TREVO LISTRADA - OFF - "38" (PC)</t>
  </si>
  <si>
    <t>CAL-TRE-ALG-OFF-42 - CALCA ALGODAO TREVO LISTRADA - OFF - "42" (PC)</t>
  </si>
  <si>
    <t>CAL-TRE-ALG-OFF-44 - CALCA ALGODAO TREVO LISTRADA - OFF - "44" (PC)</t>
  </si>
  <si>
    <t>CAL-TRE-AML-VRD-36 - CALCA ALGODAO TREVO VERDE - "36" (PC)</t>
  </si>
  <si>
    <t>CAL-TRE-AML-VRD-38 - CALCA ALGODAO TREVO VERDE - "38" (PC)</t>
  </si>
  <si>
    <t>CAL-TRE-AML-VRD-40 - CALCA ALGODAO TREVO VERDE - "40" (PC)</t>
  </si>
  <si>
    <t>CAL-TRE-AML-VRD-42 - CALCA ALGODAO TREVO VERDE - "42" (PC)</t>
  </si>
  <si>
    <t>CAL-TRE-AML-VRD-44 - CALCA ALGODAO TREVO VERDE - "44" (PC)</t>
  </si>
  <si>
    <t>CAM-51-ALG-BEG-M - CAMISETA LISTRADA BEGE CACHACA - "M" (PC)</t>
  </si>
  <si>
    <t>CAM-51-LIN-VRD-M - CAMISETA LISTRADA VERDE CACHACA - "M" (PC)</t>
  </si>
  <si>
    <t>CMC-LIN-BOR-OFF-G - CAMISA MANGA CURTA LINHO - CABACA - BORDADA - OFF - "G" (PC)</t>
  </si>
  <si>
    <t>CMC-LIN-BOR-OFF-GG - CAMISA MANGA CURTA LINHO - CABACA - BORDADA - OFF - "GG" (PC)</t>
  </si>
  <si>
    <t>CMC-LIN-BOR-OFF-M - CAMISA MANGA CURTA LINHO - CABACA - BORDADA - OFF - "M" (PC)</t>
  </si>
  <si>
    <t>CMC-LIN-BOR-OFF-P - CAMISA MANGA CURTA LINHO - CABACA - BORDADA - OFF - "P" (PC)</t>
  </si>
  <si>
    <t>CMC-LIN-CAB-OFF-G - CAMISA MANGA CURTA LINHO - CABACA - OFF - "G" (PC)</t>
  </si>
  <si>
    <t>CMC-LIN-CAB-OFF-GG - CAMISA MANGA CURTA LINHO - CABACA - OFF - "GG" (PC)</t>
  </si>
  <si>
    <t>CMC-LIN-CAB-OFF-M - CAMISA MANGA CURTA LINHO - CABACA - OFF - "M" (PC)</t>
  </si>
  <si>
    <t>CMC-LIN-CAB-OFF-P - CAMISA MANGA CURTA LINHO - CABACA - OFF - "P" (PC)</t>
  </si>
  <si>
    <t>CMC-LIN-CAB-OFF-PIL - CAMISA MANGA CURTA LINHO - CABACA - OFF -  "PILOTO" (PC)</t>
  </si>
  <si>
    <t>CMC-LIN-CAB-OFF-PP - CAMISA MANGA CURTA LINHO - CABACA - OFF - "PP" (PC)</t>
  </si>
  <si>
    <t>CMC-LIN-CAB-TAB-G - CAMISA MANGA CURTA LINHO - CABACA - TABACO - "G" (PC)</t>
  </si>
  <si>
    <t>CMC-LIN-CAB-TAB-GG - CAMISA MANGA CURTA LINHO - CABACA - TABACO - "GG" (PC)</t>
  </si>
  <si>
    <t>CMC-LIN-CAB-TAB-M - CAMISA MANGA CURTA LINHO - CABACA - TABACO - "M" (PC)</t>
  </si>
  <si>
    <t>CMC-LIN-CAB-TAB-P - CAMISA MANGA CURTA LINHO - CABACA - TABACO - "P" (PC)</t>
  </si>
  <si>
    <t>CMC-LIN-CAB-TAB-PP - CAMISA MANGA CURTA LINHO - CABACA - TABACO - "PP" (PC)</t>
  </si>
  <si>
    <t>CMC-LIN-CAB-VRD-G - CAMISA MANGA CURTA LINHO - CABACA - VERDE - "G" (PC)</t>
  </si>
  <si>
    <t>CMC-LIN-CAB-VRD-GG - CAMISA MANGA CURTA LINHO - CABACA - VERDE - "GG" (PC)</t>
  </si>
  <si>
    <t>CMC-LIN-CAB-VRD-M - CAMISA MANGA CURTA LINHO - CABACA - VERDE - "M" (PC)</t>
  </si>
  <si>
    <t>CMC-LIN-CAB-VRD-P - CAMISA MANGA CURTA LINHO - CABACA - VERDE - "P" (PC)</t>
  </si>
  <si>
    <t>CMC-LIN-CAB-VRD-PP - CAMISA MANGA CURTA LINHO - CABACA - VERDE - "PP" (PC)</t>
  </si>
  <si>
    <t>CML-LIN-CAB-AZU-G - CAMISA MANGA LONGA LINHO - CABACA - AZUL - "G" (PC)</t>
  </si>
  <si>
    <t>CML-LIN-CAB-AZU-GG - CAMISA MANGA LONGA LINHO - CABACA - AZUL - "GG" (PC)</t>
  </si>
  <si>
    <t>CML-LIN-CAB-AZU-M - CAMISA MANGA LONGA LINHO - CABACA - AZUL - "M" (PC)</t>
  </si>
  <si>
    <t>CML-LIN-CAB-AZU-P - CAMISA MANGA LONGA LINHO - CABACA - AZUL - "P" (PC)</t>
  </si>
  <si>
    <t>CML-LIN-CAB-AZU-PP - CAMISA MANGA LONGA LINHO - CABACA - AZUL - "PP" (PC)</t>
  </si>
  <si>
    <t>CML-LIN-CAB-OFF-G - CAMISA MANGA LONGA LINHO - CABACA - OFF - "G" (PC)</t>
  </si>
  <si>
    <t>CML-LIN-CAB-OFF-GG - CAMISA MANGA LONGA LINHO - CABACA - OFF - "GG" (PC)</t>
  </si>
  <si>
    <t>CML-LIN-CAB-OFF-M - CAMISA MANGA LONGA LINHO - CABACA - OFF - "M" (PC)</t>
  </si>
  <si>
    <t>CML-LIN-CAB-OFF-P - CAMISA MANGA LONGA LINHO - CABACA - OFF - "P" (PC)</t>
  </si>
  <si>
    <t>CML-LIN-CAB-OFF-PP - CAMISA MANGA LONGA LINHO - CABACA - OFF - "PP" (PC)</t>
  </si>
  <si>
    <t>COL-PRA-TIE-MIS-P - COLHER CACHACA PRATA MISCI + TIE (UN)</t>
  </si>
  <si>
    <t>COL-TAP-LUC-TU - TAPECARIA LUIZA CALDARI + MISCI (PC)</t>
  </si>
  <si>
    <t>MOL-ELL-RAD-VRD-G - MOLETOM CUPUACU ELLE - "G" (PC)</t>
  </si>
  <si>
    <t>MOL-ELL-RAD-VRD-M - MOLETOM CUPUACU ELLE - "M" (PC)</t>
  </si>
  <si>
    <t>MOL-ELL-RAD-VRD-P - MOLETOM CUPUACU ELLE - "P" (PC)</t>
  </si>
  <si>
    <t>PRD00003 - ALCA DA BOLSA NINE (PC)</t>
  </si>
  <si>
    <t>PRD00006 - FERRAGENS - ARGOLA DE ACO ACABADO! NIQUEL C - AI1335-1 - 1/2 ARGOLA BOLSA PEQUENA (UN)</t>
  </si>
  <si>
    <t>PRD00011 - Fita gomada papel Kraft 80g/m2  - 1 cor Sem reforCo  - 60mm x 180 metros peso rolo: 1,242 kg (UN)</t>
  </si>
  <si>
    <t>RAS-CHI-COR-WHI-PRO - RASTEIRA COURO WHISKY CHINELAO - "PRODUCAO" (PARES)</t>
  </si>
  <si>
    <t>SAP-MI-COR-WHI-PRO - SAPATO MULE MISCI COURO WHISKY / PLATAFORMA CONHAQUE MI - "PRODUCAO" (PARES)</t>
  </si>
  <si>
    <t>000000000140160</t>
  </si>
  <si>
    <t>00000000023450</t>
  </si>
  <si>
    <t>PRETO</t>
  </si>
  <si>
    <t>TECIDO SANTA  CONSTACIA - MODAL PLUS (CO2) 5577 - 83% MODAL + 12% POLIAMIDA + 5% ELASTANO</t>
  </si>
  <si>
    <t>TECIDO SANTA  CONSTACIA - MODAL PLUS (CO2) 5577 - 83% MODAL + 12% POLIAMIDA + 5% ELASTANO PRETO</t>
  </si>
  <si>
    <t>000000000239135</t>
  </si>
  <si>
    <t>BRANCO</t>
  </si>
  <si>
    <t>TECIDO SANTA CONSTANCIA - WAY BI STRETCH - 92% POLIAMIDA 8% ELASTANO</t>
  </si>
  <si>
    <t>TECIDO SANTA CONSTANCIA - WAY BI STRETCH - 92% POLIAMIDA 8% ELASTANO BRANCO</t>
  </si>
  <si>
    <t>000000000240014</t>
  </si>
  <si>
    <t>00000000239541</t>
  </si>
  <si>
    <t>0000000235480</t>
  </si>
  <si>
    <t>OFF</t>
  </si>
  <si>
    <t>TECIDO SANTA  CONSTACIA - MODAL PLUS (CO2) 5577 - 83% MODAL + 12% POLIAMIDA + 5% ELASTANO OFF</t>
  </si>
  <si>
    <t>000121 31247</t>
  </si>
  <si>
    <t>000184</t>
  </si>
  <si>
    <t>AZUL</t>
  </si>
  <si>
    <t>TECIDO DI GRECCO - NUSA DG NOVA - ESTAMPADO FILTRO DE BARRO 02</t>
  </si>
  <si>
    <t>TECIDO DI GRECCO - NUSA DG NOVA - ESTAMPADO FILTRO DE BARRO 02 AZUL</t>
  </si>
  <si>
    <t>00018400310133184OW001</t>
  </si>
  <si>
    <t>0002005</t>
  </si>
  <si>
    <t>00024</t>
  </si>
  <si>
    <t>0009J</t>
  </si>
  <si>
    <t>01101000191/000</t>
  </si>
  <si>
    <t>ROSE</t>
  </si>
  <si>
    <t>TECIDO STROBEL - TAFETA S/D/191 AL - 100% ACETATO</t>
  </si>
  <si>
    <t>TECIDO STROBEL - TAFETA S/D/191 AL - 100% ACETATO ROSE</t>
  </si>
  <si>
    <t>01107.00.097</t>
  </si>
  <si>
    <t>CARAMELO</t>
  </si>
  <si>
    <t>VELUDO</t>
  </si>
  <si>
    <t>VELUDO CARAMELO</t>
  </si>
  <si>
    <t>02014</t>
  </si>
  <si>
    <t>BEGE</t>
  </si>
  <si>
    <t>TECIDO GILDO - TIRELLA - 74% ALGODAO 26% POLIESTER</t>
  </si>
  <si>
    <t>TECIDO GILDO - TIRELLA - 74% ALGODAO 26% POLIESTER BEGE</t>
  </si>
  <si>
    <t>02021</t>
  </si>
  <si>
    <t>LISTRADO</t>
  </si>
  <si>
    <t>TECIDO GILDO - TRCIOLINE TEC 4961 - 100% ALGODAO</t>
  </si>
  <si>
    <t>TECIDO GILDO - TRCIOLINE TEC 4961 - 100% ALGODAO LISTRADO</t>
  </si>
  <si>
    <t>02150000102/000</t>
  </si>
  <si>
    <t>02150000106/000</t>
  </si>
  <si>
    <t>MARROM</t>
  </si>
  <si>
    <t>TECIDO STROBEL - SARJA S/D/106 VIC - 100% ACETATO</t>
  </si>
  <si>
    <t>TECIDO STROBEL - SARJA S/D/106 VIC - 100% ACETATO MARROM</t>
  </si>
  <si>
    <t>02150000107/000</t>
  </si>
  <si>
    <t>TECIDO STROBEL - SARJA S/D/107 ARE - 100% ACETATO</t>
  </si>
  <si>
    <t>TECIDO STROBEL - SARJA S/D/107 ARE - 100% ACETATO ROSE</t>
  </si>
  <si>
    <t>02150000122/000</t>
  </si>
  <si>
    <t>TECIDO STROBEL - SARJA S/D/122 AZU - 100% ACETATO</t>
  </si>
  <si>
    <t>TECIDO STROBEL - SARJA S/D/122 AZU - 100% ACETATO AZUL</t>
  </si>
  <si>
    <t>02150000139/000</t>
  </si>
  <si>
    <t>VERDE</t>
  </si>
  <si>
    <t>TECIDO STROBEL - SARJA S/D/139 KAK - 100% ACETATO</t>
  </si>
  <si>
    <t>TECIDO STROBEL - SARJA S/D/139 KAK - 100% ACETATO VERDE</t>
  </si>
  <si>
    <t>02150000194/000</t>
  </si>
  <si>
    <t>TECIDO STROBEL - SARJA S/D/194 ARE - 100% ACETATO</t>
  </si>
  <si>
    <t>TECIDO STROBEL - SARJA S/D/194 ARE - 100% ACETATO ROSE</t>
  </si>
  <si>
    <t>048225T7000032011</t>
  </si>
  <si>
    <t>TECIDO INNOVATIV - COCONUT - 100%ALGODAO 00032 - COR</t>
  </si>
  <si>
    <t>TECIDO INNOVATIV - COCONUT - 100%ALGODAO 00032 - COR BEGE</t>
  </si>
  <si>
    <t>0L853000102/000</t>
  </si>
  <si>
    <t>TECIDO STROBEL - PONGEE 73G/M S/ - 100% POLIESTER</t>
  </si>
  <si>
    <t>TECIDO STROBEL - PONGEE 73G/M S/ - 100% POLIESTER BEGE</t>
  </si>
  <si>
    <t>10002120104</t>
  </si>
  <si>
    <t>NATURAL</t>
  </si>
  <si>
    <t>TECIDO EVOLVE - COZY WHITE ASPARGUS - CRU/</t>
  </si>
  <si>
    <t>TECIDO EVOLVE - COZY WHITE ASPARGUS - CRU/ OFF</t>
  </si>
  <si>
    <t>10002181142</t>
  </si>
  <si>
    <t>100573</t>
  </si>
  <si>
    <t>BOTAO FORT HORN (100573)</t>
  </si>
  <si>
    <t>BOTAO FORT HORN (100573) MARROM</t>
  </si>
  <si>
    <t>10110</t>
  </si>
  <si>
    <t>TECIDO DESIREE - LINHO BLUE FA -  COR PALHA (</t>
  </si>
  <si>
    <t>111019/6</t>
  </si>
  <si>
    <t>TECIDO WERNER - SEDA PURA 100% - SUDAO</t>
  </si>
  <si>
    <t>TECIDO WERNER - SEDA PURA 100% - GRUTA</t>
  </si>
  <si>
    <t>111067</t>
  </si>
  <si>
    <t>ROSA</t>
  </si>
  <si>
    <t>TECIDO WERNER - SEDA PURA 100%</t>
  </si>
  <si>
    <t>111194 (2)</t>
  </si>
  <si>
    <t>TECIDO WERNER - SEDA PURA 100%  - SATIN SILK PREMIUM</t>
  </si>
  <si>
    <t>111194</t>
  </si>
  <si>
    <t>TECIDO WERNER - SEDA PURA 100% - GIARDINO  - SATIN  SILK PREMIUM</t>
  </si>
  <si>
    <t>TECIDO WERNER - SEDA PURA 100% - CREPE DE CHINE LEVE</t>
  </si>
  <si>
    <t>TECIDO WERNER - SEDA PURA 100% -  SATIN SILK PREMIUM</t>
  </si>
  <si>
    <t>111199</t>
  </si>
  <si>
    <t>1141</t>
  </si>
  <si>
    <t>11427</t>
  </si>
  <si>
    <t>TECIDO DESIREE - LINHO BLUE FA - COR</t>
  </si>
  <si>
    <t>11430</t>
  </si>
  <si>
    <t>TECIDO DESIREE - LINHO BLUE FA - COR NUDE (</t>
  </si>
  <si>
    <t>1172</t>
  </si>
  <si>
    <t>TECIDO STROBEL - 100% ACETATO</t>
  </si>
  <si>
    <t>12</t>
  </si>
  <si>
    <t>GRAOS</t>
  </si>
  <si>
    <t>122003</t>
  </si>
  <si>
    <t>TECIDO WERNER - 80% ACETATO 20% VISCOSE - CREPE LEGERE</t>
  </si>
  <si>
    <t>VERMELHO</t>
  </si>
  <si>
    <t>122041</t>
  </si>
  <si>
    <t>TECIDO WERNER - CREPE FLORA-  68% ACETATO 20% MODAL 12% LIOCEL</t>
  </si>
  <si>
    <t>12220</t>
  </si>
  <si>
    <t>TECIDO WERNER - ESSENCE -  63%ACETATO 34%POLIAMIDA 3%ELASTANO</t>
  </si>
  <si>
    <t>TECIDO WERNER - ESSENCE-  63% ACETATO 34% POLIAMIDA 34% ELASTANO</t>
  </si>
  <si>
    <t>122220</t>
  </si>
  <si>
    <t>LARANJA</t>
  </si>
  <si>
    <t>122448</t>
  </si>
  <si>
    <t>TECIDO WERNER - CREPE PATOU-  71%ACETATO 29% VISCOSE</t>
  </si>
  <si>
    <t>125110T000550011</t>
  </si>
  <si>
    <t>125110T7000162011</t>
  </si>
  <si>
    <t>125112C7000002011</t>
  </si>
  <si>
    <t>TECIDO INNOVATIV - 100% ALGODAO - AGRESTE</t>
  </si>
  <si>
    <t>125112C7000032011</t>
  </si>
  <si>
    <t>125135T07000218011</t>
  </si>
  <si>
    <t>TECIDO INNOVATIV - 100% ALGODAO</t>
  </si>
  <si>
    <t>125136T7000490011</t>
  </si>
  <si>
    <t>TECIDO INNOVATIV - 100% ALGODAO -  RELEVO (COSTURA)</t>
  </si>
  <si>
    <t>125137T7000490011</t>
  </si>
  <si>
    <t>125142</t>
  </si>
  <si>
    <t>TECIDO INNOVATIV - 100% ALGODAO - MOQUECA</t>
  </si>
  <si>
    <t>125142T7000550011</t>
  </si>
  <si>
    <t>12588</t>
  </si>
  <si>
    <t>TECIDO GVALLONE - MAXICOTTON -  67% VISCOSE 33% ALGODAO</t>
  </si>
  <si>
    <t>12610004</t>
  </si>
  <si>
    <t>1293000365Q3</t>
  </si>
  <si>
    <t>1293000716R7</t>
  </si>
  <si>
    <t>TECIDO PARAMOUNT - TWILL FLANEL - 1293</t>
  </si>
  <si>
    <t>1293000742Q3</t>
  </si>
  <si>
    <t>136212</t>
  </si>
  <si>
    <t>TECIDO INNOVATIV - 100% ALGODAO - MATELASSE LOGO MISCI</t>
  </si>
  <si>
    <t>136212T3700819011</t>
  </si>
  <si>
    <t>TECIDO INNOVATIV - 100% ALGODAO - FAVA</t>
  </si>
  <si>
    <t>136212T3700858011</t>
  </si>
  <si>
    <t>141000</t>
  </si>
  <si>
    <t>141003</t>
  </si>
  <si>
    <t>TECIDO WERNER - 100% LINHO</t>
  </si>
  <si>
    <t>148172T7000129011</t>
  </si>
  <si>
    <t>TECIDO INNOVATIV - GURU - 100% ALGODAO 00129</t>
  </si>
  <si>
    <t>148189C7000032011</t>
  </si>
  <si>
    <t>TECIDO INNOVATIV - 100% ALGODAO - SHIVA (IGUAL AMBROSIA)</t>
  </si>
  <si>
    <t>148250T700052011</t>
  </si>
  <si>
    <t>148281T7000275011</t>
  </si>
  <si>
    <t>148282T7000243011</t>
  </si>
  <si>
    <t>148307C7000032011</t>
  </si>
  <si>
    <t>TECIDO INNOVATIV - 100% ALGODAO - AMBROSIA (IGUAL AO SHIVA)</t>
  </si>
  <si>
    <t>148323C7000001011</t>
  </si>
  <si>
    <t>148324C7000001011</t>
  </si>
  <si>
    <t>TECIDO INNOVATIV - 100% ALGODAO - MATELASSE FUXICO</t>
  </si>
  <si>
    <t>148325T7000264001</t>
  </si>
  <si>
    <t>CINZA</t>
  </si>
  <si>
    <t>TECIDO INNOVATIV - 100% ALGODAO - FRAJAS</t>
  </si>
  <si>
    <t>148325T7000490011</t>
  </si>
  <si>
    <t>148327</t>
  </si>
  <si>
    <t>TECIDO INNOVATIV - 100% ALGODAO -  QUADRICULADO/DESFIADO</t>
  </si>
  <si>
    <t>148328</t>
  </si>
  <si>
    <t>148329</t>
  </si>
  <si>
    <t>14836T000447011</t>
  </si>
  <si>
    <t>150002151218</t>
  </si>
  <si>
    <t>15272CMB3</t>
  </si>
  <si>
    <t>15589</t>
  </si>
  <si>
    <t>TECIDO GVALLONE - CHRISTIE</t>
  </si>
  <si>
    <t>162014</t>
  </si>
  <si>
    <t>162555</t>
  </si>
  <si>
    <t>TECIDO WERNER - ALGODAO 52% VISCOSE 45% ELASTANO 3% - COTTON  STRETCH NATE</t>
  </si>
  <si>
    <t>191003</t>
  </si>
  <si>
    <t>TECIDO WERNER - 100% MODAL - BELLA MODAL</t>
  </si>
  <si>
    <t>192026</t>
  </si>
  <si>
    <t>TECIDO WERNER - CUPRO 57% MODAL 43% - AVA</t>
  </si>
  <si>
    <t>2150</t>
  </si>
  <si>
    <t>TECIDO STROBEL - SARJA S/D 131 - 100% ACETATO</t>
  </si>
  <si>
    <t>2202253026</t>
  </si>
  <si>
    <t>235</t>
  </si>
  <si>
    <t>TECIDO HJ - ANIMALE 100% ALGODAO -REND 3,6 - DEMI</t>
  </si>
  <si>
    <t>2425FT0103</t>
  </si>
  <si>
    <t>TECIDO FIOBOM - MINI-QUADRICULADO</t>
  </si>
  <si>
    <t>2569</t>
  </si>
  <si>
    <t>TECIDO GVALLONE - NASSAU 10995</t>
  </si>
  <si>
    <t>26442</t>
  </si>
  <si>
    <t>2700260154</t>
  </si>
  <si>
    <t>2700903026</t>
  </si>
  <si>
    <t>TECIDO BUDI - RIB 2X1 C/ELAST-98%ALGODAO2%ELASTANO-GD COR</t>
  </si>
  <si>
    <t>2700905274</t>
  </si>
  <si>
    <t>TECIDO BUDI - CANELADO RIB 2X1 C/ELAST COR</t>
  </si>
  <si>
    <t>2700909956</t>
  </si>
  <si>
    <t>OFF WHITE</t>
  </si>
  <si>
    <t>274</t>
  </si>
  <si>
    <t>PILOTO</t>
  </si>
  <si>
    <t>28798CMB2</t>
  </si>
  <si>
    <t>3038</t>
  </si>
  <si>
    <t>TECIDO HJ - ANIMALE 100% ALOGDAO - REND 3,6 - PETER</t>
  </si>
  <si>
    <t>3047003000101</t>
  </si>
  <si>
    <t>TECIDO JB - ANTUERPIA (V)</t>
  </si>
  <si>
    <t>3125671</t>
  </si>
  <si>
    <t>TECIDO GVALLONE - MARION 10838 100% ALGODAO</t>
  </si>
  <si>
    <t>3150</t>
  </si>
  <si>
    <t>TECIDO HJ - ANIMALE 100% ALGODAO -REND 3,6 - PORSHE</t>
  </si>
  <si>
    <t>3369</t>
  </si>
  <si>
    <t>TECIDO GVALLONE - KUMARI W299</t>
  </si>
  <si>
    <t>3453010715I3</t>
  </si>
  <si>
    <t>TECIDO PARAMOUNT - SUPER TROPICAL- 3453</t>
  </si>
  <si>
    <t>34732</t>
  </si>
  <si>
    <t>TECIDO DI GRECCO - SILK LIGHT ESTAMPADO</t>
  </si>
  <si>
    <t>34733</t>
  </si>
  <si>
    <t>TECIDO DI GRECCO - ESTAMPA</t>
  </si>
  <si>
    <t>34734</t>
  </si>
  <si>
    <t>34735</t>
  </si>
  <si>
    <t>39722CMB3</t>
  </si>
  <si>
    <t>4009111709Q3</t>
  </si>
  <si>
    <t>TECIDO PARAMOUNT - TROPICAL LEVE - 4009</t>
  </si>
  <si>
    <t>4157000774Q3</t>
  </si>
  <si>
    <t>TECIDO PARAMOUNT - GABARDINE SUPER 120 S - 4157</t>
  </si>
  <si>
    <t>4157000868Q3</t>
  </si>
  <si>
    <t>4167011707Q3</t>
  </si>
  <si>
    <t>TECIDO PARAMOUNT - PRUNEL FLANNEL S 120 - A4167 - C707- 100% LA</t>
  </si>
  <si>
    <t>4445</t>
  </si>
  <si>
    <t>TECIDO GVALLONE - KUMARI</t>
  </si>
  <si>
    <t>4528L01</t>
  </si>
  <si>
    <t>TECIDO FIOBOM - LISO</t>
  </si>
  <si>
    <t>4528L151</t>
  </si>
  <si>
    <t>4528L180</t>
  </si>
  <si>
    <t>4528lXXX</t>
  </si>
  <si>
    <t>4529EX74202</t>
  </si>
  <si>
    <t>TECIDO FIOBOM</t>
  </si>
  <si>
    <t>4529EX74602</t>
  </si>
  <si>
    <t>4529EX75206</t>
  </si>
  <si>
    <t>4529EX78401</t>
  </si>
  <si>
    <t>45891</t>
  </si>
  <si>
    <t>TECIDO GVALLONE - MARION 8134 100% ALGODAO</t>
  </si>
  <si>
    <t>4645</t>
  </si>
  <si>
    <t>48256CMB2</t>
  </si>
  <si>
    <t>48278CMB2</t>
  </si>
  <si>
    <t>48424CMB2</t>
  </si>
  <si>
    <t>4921021009998</t>
  </si>
  <si>
    <t>TECIDO JB - C.ST.BOTONE (FL)  PT (PR. P/TINGIR LISO)</t>
  </si>
  <si>
    <t>52308C8654</t>
  </si>
  <si>
    <t>5258003009998</t>
  </si>
  <si>
    <t>TECIDO JB - C.S.BLACK (MR/TB/PE)  PT (PR. P/TINGIR LISO)</t>
  </si>
  <si>
    <t>5286001009998</t>
  </si>
  <si>
    <t>5363007009998</t>
  </si>
  <si>
    <t>TECIDO JB - C.S.LINEN (V/FM)  PT (PR. P/TINGIR LISO) - CRU COM LISTRAS</t>
  </si>
  <si>
    <t>542157</t>
  </si>
  <si>
    <t>561397</t>
  </si>
  <si>
    <t>TECIDO GVALLONE - COCONUT LISTRA MISCI HORT/BORDO/</t>
  </si>
  <si>
    <t>5634L101</t>
  </si>
  <si>
    <t>5693159</t>
  </si>
  <si>
    <t>DIJON</t>
  </si>
  <si>
    <t>AMARELO</t>
  </si>
  <si>
    <t>5695321</t>
  </si>
  <si>
    <t>TECIDO GVALLONE - COCONUT MESCLA</t>
  </si>
  <si>
    <t>56FT3701</t>
  </si>
  <si>
    <t>586</t>
  </si>
  <si>
    <t>5913</t>
  </si>
  <si>
    <t>TECIDO GVALLONE - MAXINE ALFAIATARIA - 100% VISVOSE</t>
  </si>
  <si>
    <t>59672700813</t>
  </si>
  <si>
    <t>5971</t>
  </si>
  <si>
    <t>TECIDO GVALLONE - ALMA 100% ALGODAO</t>
  </si>
  <si>
    <t>6010</t>
  </si>
  <si>
    <t>6033</t>
  </si>
  <si>
    <t>TECIDO GVALLONE</t>
  </si>
  <si>
    <t>622</t>
  </si>
  <si>
    <t>6248FT2401</t>
  </si>
  <si>
    <t>6555</t>
  </si>
  <si>
    <t>TECIDO GVALLONE - CHRISTIE 10881</t>
  </si>
  <si>
    <t>659362</t>
  </si>
  <si>
    <t>TECIDO GVALLONE - NUSA</t>
  </si>
  <si>
    <t>6733008009998</t>
  </si>
  <si>
    <t>TECIDO JB - BOTONE BLACK (ML)  PT (PR. P/TINGIR LISO)</t>
  </si>
  <si>
    <t>6892470</t>
  </si>
  <si>
    <t>TECIDO GVALLONE - MAXINE ALFAIATARIA - 100% VISCOSE</t>
  </si>
  <si>
    <t>701</t>
  </si>
  <si>
    <t>TECIDO HJ - ANIMALE 100% ALGODAO -REND 3,6 -  CALDAS</t>
  </si>
  <si>
    <t>7013388705R7</t>
  </si>
  <si>
    <t>TECIDO PARAMOUNT - PRUNEL SUPER LEVE 120 S  - 100% LA</t>
  </si>
  <si>
    <t>703</t>
  </si>
  <si>
    <t>7065015717R7</t>
  </si>
  <si>
    <t>TECIDO PARAMOUNT - PRUNEL S 100 - 100% LA</t>
  </si>
  <si>
    <t>7097007009998</t>
  </si>
  <si>
    <t>TECIDO JB - P.F.MESCLA (V/FM)  PT (PR. P/TINGIR LISO)</t>
  </si>
  <si>
    <t>7112010502Q3</t>
  </si>
  <si>
    <t>TECIDO PARAMOUNT -  FLANEL LEVE -  A7112 - C502 - 100% LA</t>
  </si>
  <si>
    <t>7134000366R7</t>
  </si>
  <si>
    <t>TECIDO PARAMOUNT -  PRUNEL LEVE SUPER 120'S - 100% LA</t>
  </si>
  <si>
    <t>713400058R7</t>
  </si>
  <si>
    <t>7134000733R7</t>
  </si>
  <si>
    <t>7213</t>
  </si>
  <si>
    <t>TECIDO GV - MADONNA 100% ALGODAO</t>
  </si>
  <si>
    <t>7275</t>
  </si>
  <si>
    <t>TECIDO EVOLVE - COZY HERB</t>
  </si>
  <si>
    <t>791</t>
  </si>
  <si>
    <t>801</t>
  </si>
  <si>
    <t>8157000003Q3</t>
  </si>
  <si>
    <t>TECIDO PARAMOUNT - GABARDINE S'120</t>
  </si>
  <si>
    <t>8257015009998</t>
  </si>
  <si>
    <t>TECIDO JB - N.S.BOTONE  PT (PR. P/TINGIR LISO)</t>
  </si>
  <si>
    <t>8305007009998</t>
  </si>
  <si>
    <t>TECIDO JB - NATURE SOFT</t>
  </si>
  <si>
    <t>8342003009998</t>
  </si>
  <si>
    <t>VERMELHA</t>
  </si>
  <si>
    <t>TECIDO JB - N.S.BOTONE (TB)  PT (PR. P/TINGIR LISO) - NUDE A</t>
  </si>
  <si>
    <t>8342013009998</t>
  </si>
  <si>
    <t>TECIDO JB - N.S.BOTONE (J)  PT (PR. P/TINGIR LISO)</t>
  </si>
  <si>
    <t>8354001009998</t>
  </si>
  <si>
    <t>TECIDO JB -  NATURE SOFT  PT (PR. P/TINGIR LISO)</t>
  </si>
  <si>
    <t>8412022701I3</t>
  </si>
  <si>
    <t>RISCA DE GIZ</t>
  </si>
  <si>
    <t>TECIDO PARAMOUNT - PRUNEL BI-STRETCH - 8412 -ESCURO COM</t>
  </si>
  <si>
    <t>847</t>
  </si>
  <si>
    <t>8515000651Q3</t>
  </si>
  <si>
    <t>TECIDO PARAMOUNT - RUNEL</t>
  </si>
  <si>
    <t>8589027701Q3</t>
  </si>
  <si>
    <t>TECIDO PARAMOUNT - TWILL BISTRETCH - 8589</t>
  </si>
  <si>
    <t>8634995610Q3</t>
  </si>
  <si>
    <t>TECIDO PARAMOUNT - PALETO TWEED LA -  A8634 - C610 - 100% LA</t>
  </si>
  <si>
    <t>8765024801Q3</t>
  </si>
  <si>
    <t>TECIDO PARAMOUNT - JACKET LEVE WOOL SILK -  A8765 - C801 - 52% SEDA + 48% LA</t>
  </si>
  <si>
    <t>90326.523.36</t>
  </si>
  <si>
    <t>9032624.515</t>
  </si>
  <si>
    <t>9032624.523</t>
  </si>
  <si>
    <t>9032636.520</t>
  </si>
  <si>
    <t>914527</t>
  </si>
  <si>
    <t>926581</t>
  </si>
  <si>
    <t>963567</t>
  </si>
  <si>
    <t>A446810004</t>
  </si>
  <si>
    <t>TECIDO PANAMERICANA - IPANEMA</t>
  </si>
  <si>
    <t>A448030002</t>
  </si>
  <si>
    <t>TECIDO PANAMARICANA - VENEZA</t>
  </si>
  <si>
    <t>A491720004</t>
  </si>
  <si>
    <t>A491722000</t>
  </si>
  <si>
    <t>TECIDO ISTAMBUL</t>
  </si>
  <si>
    <t>ARG</t>
  </si>
  <si>
    <t>BAN</t>
  </si>
  <si>
    <t>BANQUETA MISCI01 PALHA</t>
  </si>
  <si>
    <t>BANQUETA SEM APOIO MISCI01 PALHA</t>
  </si>
  <si>
    <t>BAR</t>
  </si>
  <si>
    <t>BER</t>
  </si>
  <si>
    <t>BERMUDAO D-20</t>
  </si>
  <si>
    <t>BERMUDA ALFAIATARIA FEMININA</t>
  </si>
  <si>
    <t>BERMUDA BROTO LINHO QUADRICULADA</t>
  </si>
  <si>
    <t>BERMUDA VICOSE</t>
  </si>
  <si>
    <t>BERMUDA PET</t>
  </si>
  <si>
    <t>BERMUDA FLA</t>
  </si>
  <si>
    <t>BERMUDA SARJA</t>
  </si>
  <si>
    <t>BERMUDA ALGODAO LISTRA</t>
  </si>
  <si>
    <t>BERMUDAO MAMI</t>
  </si>
  <si>
    <t>BERMUDA MISCI + ESC</t>
  </si>
  <si>
    <t>BERMUDA ALFAIATARIA PEQUI</t>
  </si>
  <si>
    <t>BERMUDA LINHO</t>
  </si>
  <si>
    <t>BERMUDA ALGODAO</t>
  </si>
  <si>
    <t>BIQ</t>
  </si>
  <si>
    <t>BLA</t>
  </si>
  <si>
    <t>BLAZER ALFAIATARIA PHILO - 100% LA</t>
  </si>
  <si>
    <t>BLU</t>
  </si>
  <si>
    <t>BLUSA MANGA CURTA ELLE</t>
  </si>
  <si>
    <t>BLUSA</t>
  </si>
  <si>
    <t>BLUSAO RALADOR</t>
  </si>
  <si>
    <t>BLZ</t>
  </si>
  <si>
    <t>BLAZER ALFAIATARIA PANTU</t>
  </si>
  <si>
    <t>BLAZER ALFAIATARIA PEQUI</t>
  </si>
  <si>
    <t>BLAZER ALFAIATARIA PHILO</t>
  </si>
  <si>
    <t>BOL</t>
  </si>
  <si>
    <t>BOLSA COURO BAMBOLE</t>
  </si>
  <si>
    <t>BOLSA COURO PEQUENA</t>
  </si>
  <si>
    <t>BOLSA COURO PEQUENA JAMBO /</t>
  </si>
  <si>
    <t>BRA</t>
  </si>
  <si>
    <t>CAC</t>
  </si>
  <si>
    <t>CAD</t>
  </si>
  <si>
    <t>CADEIRA UNI / MISCI01 COURO</t>
  </si>
  <si>
    <t>CADEIRA MISCI01 PALHA</t>
  </si>
  <si>
    <t>CAL</t>
  </si>
  <si>
    <t>CALCA ALFAIATARIA CLASSICA  FEMININA</t>
  </si>
  <si>
    <t>CALCA DE ALFAIATARIA CREPE</t>
  </si>
  <si>
    <t>CALCA ALFAIATE</t>
  </si>
  <si>
    <t>CALCA ALFAIATARIA CLASSICA FEMININA</t>
  </si>
  <si>
    <t>CALCA ALFAIATARIA</t>
  </si>
  <si>
    <t>CALCA ALGODAO TREVO LISTRADA</t>
  </si>
  <si>
    <t>CALCA SARJA</t>
  </si>
  <si>
    <t>CALCA JEANS</t>
  </si>
  <si>
    <t>CALCA ALFAIATARIA BOIA</t>
  </si>
  <si>
    <t>CALCA</t>
  </si>
  <si>
    <t>CALCA TWEED LISTRADA</t>
  </si>
  <si>
    <t>CALCA TWEED</t>
  </si>
  <si>
    <t>MARINHO</t>
  </si>
  <si>
    <t>CALCA TWEED MESCLA</t>
  </si>
  <si>
    <t>CALCA ALGODAO LISTRA</t>
  </si>
  <si>
    <t>CALCA VISCOSE</t>
  </si>
  <si>
    <t>CALCA MAMI FLAIRE</t>
  </si>
  <si>
    <t>CALCA MOLETOM MINHOCAO</t>
  </si>
  <si>
    <t>CALCA TERNO PHYLO</t>
  </si>
  <si>
    <t>CALCA RITA ALFAIATARIA FEMININA</t>
  </si>
  <si>
    <t>CALCA ALGODAO TREVO</t>
  </si>
  <si>
    <t>CAM</t>
  </si>
  <si>
    <t>CAMISETA LISTRADA</t>
  </si>
  <si>
    <t>CAMISETA ALGODAO</t>
  </si>
  <si>
    <t>CAMISETA</t>
  </si>
  <si>
    <t>DOURADO</t>
  </si>
  <si>
    <t>CAMISETA BRANCA ESTAMPA LOGO MISCI</t>
  </si>
  <si>
    <t>CAMISETA MOSSORO</t>
  </si>
  <si>
    <t>CORAL</t>
  </si>
  <si>
    <t>CAS</t>
  </si>
  <si>
    <t>JAQUETA / CASACO ALFAIATARIA</t>
  </si>
  <si>
    <t>JAQUETA / CASACO ALFAIATARIA BOIA - "REF 06042"</t>
  </si>
  <si>
    <t>CHE</t>
  </si>
  <si>
    <t>CHEMISE MODAL</t>
  </si>
  <si>
    <t>CHEMISE COM MANGA ALGODAO</t>
  </si>
  <si>
    <t>CHEMISE COM MANGA LINHO</t>
  </si>
  <si>
    <t>CHEMISE SEM MANGA LINHO</t>
  </si>
  <si>
    <t>CHI</t>
  </si>
  <si>
    <t>CHINELO BITA DE COURO</t>
  </si>
  <si>
    <t>CHINELO MISCIANE - MISCI + THERPOLL - FILTRO DE BARRO - TIRA SEM PO DE MADEIRA</t>
  </si>
  <si>
    <t>CHINELO MISCIANE - MISCI + THERPOLL - ESTAMPA FILTRO</t>
  </si>
  <si>
    <t>CHINELO MISCIANE - MISCI + THERPOLL - FILTRO DE BARRO - TIRA COM PO DE MADEIRA</t>
  </si>
  <si>
    <t>CHINELO MISCIANE COM TIRA</t>
  </si>
  <si>
    <t>CHINELO MISCIANE - MISCI + THERPOLL - ESTAMPA MISCI - TIRA COM PO DE MADEIRA</t>
  </si>
  <si>
    <t>CMC</t>
  </si>
  <si>
    <t>AREIA</t>
  </si>
  <si>
    <t>CAMISA MANGA CURTA BRANCA PONTOS AZUIS</t>
  </si>
  <si>
    <t>CAMISA MANGA CURTA ALGODAO PIABA LISTRADA</t>
  </si>
  <si>
    <t>CAMISA MANGA CURTA ALGA ORGANZA 100% SEDA</t>
  </si>
  <si>
    <t>CAMISA MANGA CURTA AMPLA</t>
  </si>
  <si>
    <t>CAMISA MANGA CURTA ALGODAO</t>
  </si>
  <si>
    <t>CAMISA MANGA CURTA BICOLOR</t>
  </si>
  <si>
    <t>CAMISA MANGA CURTA LINHO</t>
  </si>
  <si>
    <t>XADREZ</t>
  </si>
  <si>
    <t>CAMISA MANGA CURTA MISCI ALGODAO</t>
  </si>
  <si>
    <t>CAMISA MANGA CURTA MISCI ALGODAO LISTRADA</t>
  </si>
  <si>
    <t>CAMISA MANGA CURTA ORGANZA SEDA DANI</t>
  </si>
  <si>
    <t>CAMISA MANGA CURTA ALGODAO FILTRO DE BARRO FUNDO</t>
  </si>
  <si>
    <t>CAMISA MANGA CURTA PURO LINHO LADY</t>
  </si>
  <si>
    <t>CAMISA MANGA CURTA VISCOSE LISTRADA</t>
  </si>
  <si>
    <t>CAMISA MANGA CURTA MISCI LISTRADA</t>
  </si>
  <si>
    <t>CAMISA MANGA CURTA SEDA</t>
  </si>
  <si>
    <t>CAMISA MANGA CURTA LINHO - CABACA - BORDADA</t>
  </si>
  <si>
    <t>CAMISA MANGA CURTA LINHO - CABACA</t>
  </si>
  <si>
    <t>CAMISA MANGA CURTA LISA LINHO</t>
  </si>
  <si>
    <t>CAMISA MANGA CURTA ALGODAO LISTRADA</t>
  </si>
  <si>
    <t>CAMISA MANGA CURTA MONOCOLOR</t>
  </si>
  <si>
    <t>CAMISA MANGA CURTA - MOQUECA</t>
  </si>
  <si>
    <t>CAMISA MANGA CURTA LISTRADA</t>
  </si>
  <si>
    <t>CAMISA MANGA CURTA MISCI</t>
  </si>
  <si>
    <t>CAMISA MANGA CURTA PET</t>
  </si>
  <si>
    <t>CAMISA MANGA CURTA VISCOSE BRANCA PONTOS</t>
  </si>
  <si>
    <t>CAMISA MANGA LONGA MISCI ALGODAO PIMA</t>
  </si>
  <si>
    <t>CMl</t>
  </si>
  <si>
    <t>CML</t>
  </si>
  <si>
    <t>CAMISA MANGA LONGA SEDA</t>
  </si>
  <si>
    <t>CAMISA MANGA LONGA MISCI COM LAPELA</t>
  </si>
  <si>
    <t>CAMISA MANGA LONGA VISCOSE LISTRADA</t>
  </si>
  <si>
    <t>CAMISA MANGA LONGA LINHO - CABACA</t>
  </si>
  <si>
    <t>CAMISA MANGA LONGA  LINHO</t>
  </si>
  <si>
    <t>CAMISA MANGA LONGA BORDADA LINHO</t>
  </si>
  <si>
    <t>CAMISA MANGA LONGA COM PREGAS</t>
  </si>
  <si>
    <t>CAMISA MANGA LONGA MISCI LISTRADA</t>
  </si>
  <si>
    <t>CAMISA MANGA LONGA MISCI</t>
  </si>
  <si>
    <t>CAMISA MANGA LONGA MISCI PESPONTO QUADRICULADA</t>
  </si>
  <si>
    <t>CAMISA MANGA LONGA LISTRADA</t>
  </si>
  <si>
    <t>CAMISA MANGA LONGA MISCI SEM LAPELA</t>
  </si>
  <si>
    <t>CAMISA MANGA LONGA ALGODAO</t>
  </si>
  <si>
    <t>CMR</t>
  </si>
  <si>
    <t>CAMISETA REGATA ALGODAO</t>
  </si>
  <si>
    <t>CAMISETA REGATA ALGODAO TELADO</t>
  </si>
  <si>
    <t>COL</t>
  </si>
  <si>
    <t>COLETE D-20</t>
  </si>
  <si>
    <t>DUS</t>
  </si>
  <si>
    <t>DUST BAG MAINHAS</t>
  </si>
  <si>
    <t>EI6021</t>
  </si>
  <si>
    <t>ET001</t>
  </si>
  <si>
    <t>ET002</t>
  </si>
  <si>
    <t>ET003</t>
  </si>
  <si>
    <t>ET004</t>
  </si>
  <si>
    <t>ET005</t>
  </si>
  <si>
    <t>ET006</t>
  </si>
  <si>
    <t>ET007</t>
  </si>
  <si>
    <t>ET008</t>
  </si>
  <si>
    <t>ET009</t>
  </si>
  <si>
    <t>ET010</t>
  </si>
  <si>
    <t>ET011</t>
  </si>
  <si>
    <t>ET012</t>
  </si>
  <si>
    <t>ETI</t>
  </si>
  <si>
    <t>TAG - ETIQUETA DE ROUPA EM PAPEL CORTA E SILK</t>
  </si>
  <si>
    <t>FER</t>
  </si>
  <si>
    <t>ZIPER YKK 15CM</t>
  </si>
  <si>
    <t>FT8086156</t>
  </si>
  <si>
    <t>JAQ</t>
  </si>
  <si>
    <t>JAQUETA ALFAIATARIA</t>
  </si>
  <si>
    <t>LIV</t>
  </si>
  <si>
    <t>MAI</t>
  </si>
  <si>
    <t>MCH</t>
  </si>
  <si>
    <t>MOCHILA COURO</t>
  </si>
  <si>
    <t>MEI</t>
  </si>
  <si>
    <t>MEIAS</t>
  </si>
  <si>
    <t>MOL</t>
  </si>
  <si>
    <t>MOLETOM LOGO MISCI</t>
  </si>
  <si>
    <t>MOLETOM MINHOCAO</t>
  </si>
  <si>
    <t>o CHI</t>
  </si>
  <si>
    <t>OCU</t>
  </si>
  <si>
    <t>OCULOS BOLEIA X VENTURURA</t>
  </si>
  <si>
    <t>OCULOS BOLEIA X VENTURURA - TARTUGA</t>
  </si>
  <si>
    <t>PAN</t>
  </si>
  <si>
    <t>PER</t>
  </si>
  <si>
    <t>POL</t>
  </si>
  <si>
    <t>POLO CANELADA VISCOSE</t>
  </si>
  <si>
    <t>PRD00001</t>
  </si>
  <si>
    <t>PRD00002</t>
  </si>
  <si>
    <t>PRD00003</t>
  </si>
  <si>
    <t>PRD00005</t>
  </si>
  <si>
    <t>PRD00006</t>
  </si>
  <si>
    <t>PRD00007</t>
  </si>
  <si>
    <t>PRD00008</t>
  </si>
  <si>
    <t>TECIDO PARAMOUNT</t>
  </si>
  <si>
    <t>PRD00010</t>
  </si>
  <si>
    <t>TAMANCO PALHA</t>
  </si>
  <si>
    <t>PRD00011</t>
  </si>
  <si>
    <t>PRD00012</t>
  </si>
  <si>
    <t>R206045</t>
  </si>
  <si>
    <t>R329897</t>
  </si>
  <si>
    <t>TECIDO CATAGUASES - CHAMBRAY CALANDRADO - TECIDO ALGODAO-TAFETA TF0157 - 100% ALGODAO</t>
  </si>
  <si>
    <t>R3380</t>
  </si>
  <si>
    <t>TECIDO CATAGUASES - GALLES MERCERIZADO 100% ALGODAO  TAFETA</t>
  </si>
  <si>
    <t>R3597</t>
  </si>
  <si>
    <t>TECIDO CATAGUASES - GALLES MERCERIZADO - ALGODAO-TAFETA - TP015301 - 100% ALGODAO</t>
  </si>
  <si>
    <t>R363323</t>
  </si>
  <si>
    <t>TECIDO CATAGUASES - BIARRITZ AMACIADO - ALGODAO-TAFETA - TF034011 - 100% ALGODAO</t>
  </si>
  <si>
    <t>R363325</t>
  </si>
  <si>
    <t>R5398</t>
  </si>
  <si>
    <t>TECIDO CATAGUASES - OXFORD CALANDRADO 100% ALGODAO  - FIO TINTO</t>
  </si>
  <si>
    <t>R7123</t>
  </si>
  <si>
    <t>RAS</t>
  </si>
  <si>
    <t>REG</t>
  </si>
  <si>
    <t>SAI</t>
  </si>
  <si>
    <t>SAIA ELLE</t>
  </si>
  <si>
    <t>SAIA FENDA PANTU</t>
  </si>
  <si>
    <t>SAN</t>
  </si>
  <si>
    <t>SAP</t>
  </si>
  <si>
    <t>SAPATO MULE MISCI COURO</t>
  </si>
  <si>
    <t>SHO</t>
  </si>
  <si>
    <t>SHORTINHOS DOSE</t>
  </si>
  <si>
    <t>SHORTS A FIO PEQUI</t>
  </si>
  <si>
    <t>SUE</t>
  </si>
  <si>
    <t>SUETER TRICOT IRRE</t>
  </si>
  <si>
    <t>SUN</t>
  </si>
  <si>
    <t>SUNGA MISCI + ESC</t>
  </si>
  <si>
    <t>TABLAA4064RN</t>
  </si>
  <si>
    <t>TECIDO VICUNHA - WHITE</t>
  </si>
  <si>
    <t>TABMCM4000VP</t>
  </si>
  <si>
    <t>TECIDO VICUNHA - AMSTERDAM TECIDO CETIM 56% ALGODAO 43% MODAL 1% ELASTANO LAR G 1,48 METROS</t>
  </si>
  <si>
    <t>TABMCM4000VR</t>
  </si>
  <si>
    <t>TECIDO VICUNHA - AMSTERDAM TECIDO CETIM 56% ALGODAO 43% MODAL 1% ELASTANO LAR G 1,46 METROS</t>
  </si>
  <si>
    <t>TAIAAA4002CA</t>
  </si>
  <si>
    <t>TAM</t>
  </si>
  <si>
    <t>TAP</t>
  </si>
  <si>
    <t>TECBD01</t>
  </si>
  <si>
    <t>TECIDO BD - CANELADO - ARTIGO 70090.11 RIB 2 X 1 NA COR</t>
  </si>
  <si>
    <t>TECIDO</t>
  </si>
  <si>
    <t>TOP</t>
  </si>
  <si>
    <t>TOP MAMI</t>
  </si>
  <si>
    <t>TOP A FIO UNO</t>
  </si>
  <si>
    <t>TTM89912005</t>
  </si>
  <si>
    <t>TECIDO SANTA COSTANCIA -  RADIOSA PLUS (LD) - PRODUTOS ELLE - 81%VISCOSE 15%POLIAMIDA 4%ELASTANO</t>
  </si>
  <si>
    <t>VES</t>
  </si>
  <si>
    <t>VESTIDO ALFAIATARIA PHILO</t>
  </si>
  <si>
    <t>VESTIDO CUPRO</t>
  </si>
  <si>
    <t>VESTIDO ALGODA</t>
  </si>
  <si>
    <t>VESTIDO D-20 - ALGODAO - PALHA /</t>
  </si>
  <si>
    <t>VESTIDO D-20 ALGODAO</t>
  </si>
  <si>
    <t>VESTIDO D-20 - CUPRO</t>
  </si>
  <si>
    <t>VESTIDO REGATA TRICOT</t>
  </si>
  <si>
    <t>VESTIDO REGATA RETO ALGODAO</t>
  </si>
  <si>
    <t>VESTIDO TRICOT SAUVA</t>
  </si>
  <si>
    <t>VESTIDO TRICOT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</si>
</sst>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43" formatCode="_-* #,##0.00_-;\-* #,##0.00_-;_-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36"/>
      <color theme="1"/>
      <name val="Algerian"/>
      <family val="5"/>
    </font>
    <font>
      <sz val="28"/>
      <color theme="1"/>
      <name val="Algerian"/>
      <family val="5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ADD8E6"/>
        <bgColor rgb="FF00000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44">
    <xf numFmtId="0" fontId="0" fillId="0" borderId="0" xfId="0"/>
    <xf numFmtId="44" fontId="0" fillId="0" borderId="0" xfId="1" applyFont="1"/>
    <xf numFmtId="0" fontId="0" fillId="0" borderId="0" xfId="0" applyNumberFormat="1"/>
    <xf numFmtId="49" fontId="0" fillId="0" borderId="0" xfId="0" applyNumberFormat="1" applyAlignment="1">
      <alignment horizontal="justify"/>
    </xf>
    <xf numFmtId="0" fontId="0" fillId="0" borderId="0" xfId="0" applyAlignment="1">
      <alignment horizontal="justify"/>
    </xf>
    <xf numFmtId="0" fontId="0" fillId="0" borderId="0" xfId="1" applyNumberFormat="1" applyFont="1"/>
    <xf numFmtId="44" fontId="0" fillId="0" borderId="0" xfId="1" applyFont="1" applyAlignment="1">
      <alignment horizontal="justify"/>
    </xf>
    <xf numFmtId="0" fontId="0" fillId="0" borderId="0" xfId="1" applyNumberFormat="1" applyFont="1" applyAlignment="1">
      <alignment horizontal="justify"/>
    </xf>
    <xf numFmtId="1" fontId="0" fillId="0" borderId="0" xfId="0" applyNumberFormat="1" applyAlignment="1">
      <alignment horizontal="justify"/>
    </xf>
    <xf numFmtId="1" fontId="0" fillId="0" borderId="0" xfId="0" applyNumberFormat="1"/>
    <xf numFmtId="44" fontId="3" fillId="0" borderId="0" xfId="1" applyFont="1" applyAlignment="1">
      <alignment horizontal="justify" vertical="center"/>
    </xf>
    <xf numFmtId="0" fontId="3" fillId="0" borderId="0" xfId="0" applyFont="1" applyAlignment="1">
      <alignment horizontal="justify" vertical="center"/>
    </xf>
    <xf numFmtId="9" fontId="3" fillId="0" borderId="0" xfId="3" applyFont="1" applyAlignment="1">
      <alignment horizontal="justify" vertical="center"/>
    </xf>
    <xf numFmtId="9" fontId="0" fillId="0" borderId="0" xfId="3" applyFont="1" applyAlignment="1">
      <alignment horizontal="justify"/>
    </xf>
    <xf numFmtId="9" fontId="0" fillId="0" borderId="0" xfId="3" applyFont="1"/>
    <xf numFmtId="0" fontId="3" fillId="0" borderId="0" xfId="0" applyFont="1" applyAlignment="1">
      <alignment vertical="center"/>
    </xf>
    <xf numFmtId="0" fontId="5" fillId="2" borderId="1" xfId="0" applyFont="1" applyFill="1" applyBorder="1" applyAlignment="1">
      <alignment horizontal="center"/>
    </xf>
    <xf numFmtId="49" fontId="0" fillId="0" borderId="0" xfId="1" applyNumberFormat="1" applyFont="1"/>
    <xf numFmtId="49" fontId="5" fillId="2" borderId="1" xfId="0" applyNumberFormat="1" applyFont="1" applyFill="1" applyBorder="1" applyAlignment="1">
      <alignment horizontal="center"/>
    </xf>
    <xf numFmtId="44" fontId="5" fillId="2" borderId="1" xfId="1" applyFont="1" applyFill="1" applyBorder="1" applyAlignment="1">
      <alignment horizontal="center"/>
    </xf>
    <xf numFmtId="1" fontId="0" fillId="0" borderId="0" xfId="1" applyNumberFormat="1" applyFont="1"/>
    <xf numFmtId="1" fontId="5" fillId="2" borderId="1" xfId="0" applyNumberFormat="1" applyFont="1" applyFill="1" applyBorder="1" applyAlignment="1">
      <alignment horizontal="center"/>
    </xf>
    <xf numFmtId="14" fontId="3" fillId="0" borderId="0" xfId="1" applyNumberFormat="1" applyFont="1" applyAlignment="1">
      <alignment horizontal="justify" vertical="center"/>
    </xf>
    <xf numFmtId="14" fontId="0" fillId="0" borderId="0" xfId="1" applyNumberFormat="1" applyFont="1" applyAlignment="1">
      <alignment horizontal="justify"/>
    </xf>
    <xf numFmtId="14" fontId="5" fillId="2" borderId="1" xfId="0" applyNumberFormat="1" applyFont="1" applyFill="1" applyBorder="1" applyAlignment="1">
      <alignment horizontal="center"/>
    </xf>
    <xf numFmtId="14" fontId="0" fillId="0" borderId="0" xfId="1" applyNumberFormat="1" applyFont="1"/>
    <xf numFmtId="1" fontId="5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justify"/>
    </xf>
    <xf numFmtId="9" fontId="0" fillId="0" borderId="0" xfId="0" applyNumberFormat="1" applyAlignment="1">
      <alignment horizontal="center" vertical="center"/>
    </xf>
    <xf numFmtId="14" fontId="0" fillId="0" borderId="0" xfId="0" applyNumberFormat="1"/>
    <xf numFmtId="0" fontId="9" fillId="3" borderId="1" xfId="0" applyFont="1" applyFill="1" applyBorder="1" applyAlignment="1">
      <alignment horizontal="center"/>
    </xf>
    <xf numFmtId="1" fontId="0" fillId="0" borderId="0" xfId="4" applyNumberFormat="1" applyFont="1" applyAlignment="1">
      <alignment horizontal="center" vertical="center"/>
    </xf>
    <xf numFmtId="1" fontId="5" fillId="2" borderId="1" xfId="4" applyNumberFormat="1" applyFont="1" applyFill="1" applyBorder="1" applyAlignment="1">
      <alignment horizontal="center" vertical="center"/>
    </xf>
    <xf numFmtId="14" fontId="5" fillId="2" borderId="1" xfId="4" applyNumberFormat="1" applyFont="1" applyFill="1" applyBorder="1" applyAlignment="1">
      <alignment horizontal="center" vertical="center"/>
    </xf>
    <xf numFmtId="9" fontId="0" fillId="0" borderId="0" xfId="3" applyFont="1" applyAlignment="1">
      <alignment horizontal="center" vertical="center"/>
    </xf>
    <xf numFmtId="9" fontId="5" fillId="2" borderId="1" xfId="3" applyFont="1" applyFill="1" applyBorder="1" applyAlignment="1">
      <alignment horizontal="center" vertical="center"/>
    </xf>
    <xf numFmtId="1" fontId="0" fillId="0" borderId="0" xfId="1" applyNumberFormat="1" applyFont="1" applyAlignment="1">
      <alignment horizontal="justify"/>
    </xf>
    <xf numFmtId="0" fontId="10" fillId="0" borderId="0" xfId="5"/>
    <xf numFmtId="0" fontId="4" fillId="0" borderId="0" xfId="0" applyFont="1" applyAlignment="1">
      <alignment horizontal="center" vertical="center"/>
    </xf>
    <xf numFmtId="49" fontId="0" fillId="0" borderId="0" xfId="0" applyNumberFormat="1"/>
    <xf numFmtId="49" fontId="0" fillId="0" borderId="0" xfId="1" quotePrefix="1" applyNumberFormat="1" applyFont="1"/>
  </cellXfs>
  <cellStyles count="6">
    <cellStyle name="Hiperlink" xfId="5" builtinId="8"/>
    <cellStyle name="Moeda" xfId="1" builtinId="4"/>
    <cellStyle name="Normal" xfId="0" builtinId="0"/>
    <cellStyle name="Normal 3" xfId="2" xr:uid="{D3173689-FB25-48BC-B874-1DF5AAA6F120}"/>
    <cellStyle name="Porcentagem" xfId="3" builtinId="5"/>
    <cellStyle name="Vírgula" xfId="4" builtinId="3"/>
  </cellStyles>
  <dxfs count="1">
    <dxf>
      <fill>
        <patternFill>
          <bgColor rgb="FFC8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307042</xdr:colOff>
      <xdr:row>0</xdr:row>
      <xdr:rowOff>129887</xdr:rowOff>
    </xdr:from>
    <xdr:to>
      <xdr:col>0</xdr:col>
      <xdr:colOff>1411514</xdr:colOff>
      <xdr:row>3</xdr:row>
      <xdr:rowOff>60614</xdr:rowOff>
    </xdr:to>
    <xdr:sp macro="[0]!get_produ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F44B59C-1A0D-434E-AA08-A0EBE171026E}"/>
            </a:ext>
          </a:extLst>
        </xdr:cNvPr>
        <xdr:cNvSpPr/>
      </xdr:nvSpPr>
      <xdr:spPr>
        <a:xfrm>
          <a:off x="307042" y="129887"/>
          <a:ext cx="110447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Produtos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</xdr:col>
      <xdr:colOff>357246</xdr:colOff>
      <xdr:row>1</xdr:row>
      <xdr:rowOff>61638</xdr:rowOff>
    </xdr:from>
    <xdr:to>
      <xdr:col>1</xdr:col>
      <xdr:colOff>1361311</xdr:colOff>
      <xdr:row>2</xdr:row>
      <xdr:rowOff>128863</xdr:rowOff>
    </xdr:to>
    <xdr:sp macro="[0]!drop_produ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BA39F69-90F3-42E6-B768-C93C4278336B}"/>
            </a:ext>
          </a:extLst>
        </xdr:cNvPr>
        <xdr:cNvSpPr/>
      </xdr:nvSpPr>
      <xdr:spPr>
        <a:xfrm>
          <a:off x="2071746" y="252138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354921</xdr:colOff>
      <xdr:row>0</xdr:row>
      <xdr:rowOff>129887</xdr:rowOff>
    </xdr:from>
    <xdr:to>
      <xdr:col>0</xdr:col>
      <xdr:colOff>1357336</xdr:colOff>
      <xdr:row>3</xdr:row>
      <xdr:rowOff>60614</xdr:rowOff>
    </xdr:to>
    <xdr:sp macro="[0]!get_vend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A1F30C-673D-4CDE-AB71-3BDEE4B7DE2A}"/>
            </a:ext>
          </a:extLst>
        </xdr:cNvPr>
        <xdr:cNvSpPr/>
      </xdr:nvSpPr>
      <xdr:spPr>
        <a:xfrm>
          <a:off x="354921" y="129887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Vendas</a:t>
          </a:r>
        </a:p>
      </xdr:txBody>
    </xdr:sp>
    <xdr:clientData/>
  </xdr:twoCellAnchor>
  <xdr:twoCellAnchor editAs="absolute">
    <xdr:from>
      <xdr:col>1</xdr:col>
      <xdr:colOff>352425</xdr:colOff>
      <xdr:row>1</xdr:row>
      <xdr:rowOff>66675</xdr:rowOff>
    </xdr:from>
    <xdr:to>
      <xdr:col>1</xdr:col>
      <xdr:colOff>1356490</xdr:colOff>
      <xdr:row>2</xdr:row>
      <xdr:rowOff>133900</xdr:rowOff>
    </xdr:to>
    <xdr:sp macro="[0]!drop_venda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71DD75C-9FA5-425C-8152-52E46684126E}"/>
            </a:ext>
          </a:extLst>
        </xdr:cNvPr>
        <xdr:cNvSpPr/>
      </xdr:nvSpPr>
      <xdr:spPr>
        <a:xfrm>
          <a:off x="2066925" y="257175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307042</xdr:colOff>
      <xdr:row>0</xdr:row>
      <xdr:rowOff>129887</xdr:rowOff>
    </xdr:from>
    <xdr:to>
      <xdr:col>0</xdr:col>
      <xdr:colOff>1411514</xdr:colOff>
      <xdr:row>3</xdr:row>
      <xdr:rowOff>60614</xdr:rowOff>
    </xdr:to>
    <xdr:sp macro="[0]!set_gi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AE52572-665D-4D9F-AF6A-8C30AF4932DE}"/>
            </a:ext>
          </a:extLst>
        </xdr:cNvPr>
        <xdr:cNvSpPr/>
      </xdr:nvSpPr>
      <xdr:spPr>
        <a:xfrm>
          <a:off x="307042" y="129887"/>
          <a:ext cx="110447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Giro</a:t>
          </a:r>
        </a:p>
      </xdr:txBody>
    </xdr:sp>
    <xdr:clientData/>
  </xdr:twoCellAnchor>
  <xdr:twoCellAnchor editAs="absolute">
    <xdr:from>
      <xdr:col>1</xdr:col>
      <xdr:colOff>357246</xdr:colOff>
      <xdr:row>1</xdr:row>
      <xdr:rowOff>61638</xdr:rowOff>
    </xdr:from>
    <xdr:to>
      <xdr:col>1</xdr:col>
      <xdr:colOff>1361311</xdr:colOff>
      <xdr:row>2</xdr:row>
      <xdr:rowOff>128863</xdr:rowOff>
    </xdr:to>
    <xdr:sp macro="[0]!drop_gi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13922AC-E05B-4B5F-81F6-F28591E0A22B}"/>
            </a:ext>
          </a:extLst>
        </xdr:cNvPr>
        <xdr:cNvSpPr/>
      </xdr:nvSpPr>
      <xdr:spPr>
        <a:xfrm>
          <a:off x="2071746" y="252138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514350</xdr:colOff>
      <xdr:row>0</xdr:row>
      <xdr:rowOff>123825</xdr:rowOff>
    </xdr:from>
    <xdr:to>
      <xdr:col>1</xdr:col>
      <xdr:colOff>669040</xdr:colOff>
      <xdr:row>3</xdr:row>
      <xdr:rowOff>54552</xdr:rowOff>
    </xdr:to>
    <xdr:sp macro="[0]!set_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1B86A2-5F39-44CA-9CAE-1ADFAB3CCFD9}"/>
            </a:ext>
          </a:extLst>
        </xdr:cNvPr>
        <xdr:cNvSpPr/>
      </xdr:nvSpPr>
      <xdr:spPr>
        <a:xfrm>
          <a:off x="514350" y="123825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Resumo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11534-292A-4259-A118-70718ADF1B8B}">
  <sheetPr codeName="Planilha1"/>
  <dimension ref="A2:Q1697"/>
  <sheetViews>
    <sheetView tabSelected="1" topLeftCell="L760" zoomScaleNormal="100" workbookViewId="0">
      <selection activeCell="P760" sqref="P760"/>
    </sheetView>
  </sheetViews>
  <sheetFormatPr defaultRowHeight="15" customHeight="1" x14ac:dyDescent="0.25"/>
  <cols>
    <col min="1" max="1" width="25.7109375" style="3" customWidth="1"/>
    <col min="2" max="2" width="25.7109375" style="4" customWidth="1"/>
    <col min="3" max="7" width="25.7109375" customWidth="1"/>
    <col min="8" max="9" width="25.7109375" style="1" customWidth="1"/>
    <col min="10" max="10" width="25.7109375" style="20" customWidth="1"/>
    <col min="11" max="12" width="25.7109375" style="1" customWidth="1"/>
    <col min="13" max="13" width="25.7109375" style="17" customWidth="1"/>
    <col min="14" max="14" width="25.7109375" style="1" customWidth="1"/>
    <col min="15" max="15" width="25.7109375" style="2" customWidth="1"/>
    <col min="16" max="19" width="25.7109375" customWidth="1"/>
  </cols>
  <sheetData>
    <row r="2" spans="1:17" ht="15" customHeight="1" x14ac:dyDescent="0.25">
      <c r="C2" s="41" t="s">
        <v>180</v>
      </c>
      <c r="D2" s="15"/>
      <c r="F2" s="15"/>
    </row>
    <row r="3" spans="1:17" ht="15" customHeight="1" x14ac:dyDescent="0.25">
      <c r="C3" s="41"/>
      <c r="D3" s="15"/>
      <c r="F3" s="15"/>
    </row>
    <row r="5" spans="1:17" ht="15" customHeight="1" x14ac:dyDescent="0.25">
      <c r="A5" s="16" t="s">
        <v>5</v>
      </c>
      <c r="B5" s="16" t="s">
        <v>11</v>
      </c>
      <c r="C5" s="16" t="s">
        <v>12</v>
      </c>
      <c r="D5" s="16" t="s">
        <v>13</v>
      </c>
      <c r="E5" s="16" t="s">
        <v>14</v>
      </c>
      <c r="F5" s="16" t="s">
        <v>15</v>
      </c>
      <c r="G5" s="16" t="s">
        <v>6</v>
      </c>
      <c r="H5" s="16" t="s">
        <v>7</v>
      </c>
      <c r="I5" s="16" t="s">
        <v>16</v>
      </c>
      <c r="J5" s="21" t="s">
        <v>8</v>
      </c>
      <c r="K5" s="16" t="s">
        <v>9</v>
      </c>
      <c r="L5" s="16" t="s">
        <v>10</v>
      </c>
      <c r="M5" s="18" t="s">
        <v>19</v>
      </c>
      <c r="N5" s="16" t="s">
        <v>17</v>
      </c>
      <c r="O5" s="16" t="s">
        <v>18</v>
      </c>
      <c r="P5" s="16" t="s">
        <v>20</v>
      </c>
      <c r="Q5" s="16" t="s">
        <v>45</v>
      </c>
    </row>
    <row r="6" spans="1:17" ht="15" customHeight="1" x14ac:dyDescent="0.25">
      <c r="A6" s="3" t="s">
        <v>971</v>
      </c>
      <c r="B6" s="4" t="s">
        <v>972</v>
      </c>
      <c r="C6" t="s">
        <v>973</v>
      </c>
      <c r="D6">
        <v>1</v>
      </c>
      <c r="E6" t="s">
        <v>974</v>
      </c>
      <c r="F6" t="s">
        <v>975</v>
      </c>
      <c r="G6" t="s">
        <v>976</v>
      </c>
      <c r="H6" s="1" t="s">
        <v>976</v>
      </c>
      <c r="I6" s="1">
        <v>145.34</v>
      </c>
      <c r="J6" s="20">
        <v>2</v>
      </c>
      <c r="K6" s="1">
        <v>145.34</v>
      </c>
      <c r="L6" s="1">
        <v>290.68</v>
      </c>
      <c r="M6" s="43" t="s">
        <v>2431</v>
      </c>
      <c r="Q6" t="s">
        <v>972</v>
      </c>
    </row>
    <row r="7" spans="1:17" ht="15" customHeight="1" x14ac:dyDescent="0.25">
      <c r="A7" s="3" t="s">
        <v>977</v>
      </c>
      <c r="B7" s="4" t="s">
        <v>2434</v>
      </c>
      <c r="C7" t="s">
        <v>973</v>
      </c>
      <c r="D7">
        <v>1</v>
      </c>
      <c r="E7" t="s">
        <v>974</v>
      </c>
      <c r="F7" t="s">
        <v>975</v>
      </c>
      <c r="G7" t="s">
        <v>978</v>
      </c>
      <c r="H7" s="1" t="s">
        <v>976</v>
      </c>
      <c r="I7" s="1">
        <v>100.67</v>
      </c>
      <c r="J7" s="20">
        <v>-28.7</v>
      </c>
      <c r="K7" s="1">
        <v>100.670011</v>
      </c>
      <c r="L7" s="1">
        <v>-2889.23</v>
      </c>
      <c r="M7" s="43" t="s">
        <v>2432</v>
      </c>
      <c r="O7" s="2" t="s">
        <v>2433</v>
      </c>
      <c r="Q7" t="s">
        <v>2435</v>
      </c>
    </row>
    <row r="8" spans="1:17" ht="15" customHeight="1" x14ac:dyDescent="0.25">
      <c r="A8" s="3" t="s">
        <v>979</v>
      </c>
      <c r="B8" s="4" t="s">
        <v>2438</v>
      </c>
      <c r="C8" t="s">
        <v>973</v>
      </c>
      <c r="D8">
        <v>1</v>
      </c>
      <c r="E8" t="s">
        <v>974</v>
      </c>
      <c r="F8" t="s">
        <v>975</v>
      </c>
      <c r="G8" t="s">
        <v>976</v>
      </c>
      <c r="H8" s="1" t="s">
        <v>976</v>
      </c>
      <c r="I8" s="1">
        <v>34.65</v>
      </c>
      <c r="J8" s="20">
        <v>5</v>
      </c>
      <c r="K8" s="1">
        <v>34.65</v>
      </c>
      <c r="L8" s="1">
        <v>173.25</v>
      </c>
      <c r="M8" s="43" t="s">
        <v>2436</v>
      </c>
      <c r="O8" s="2" t="s">
        <v>2437</v>
      </c>
      <c r="Q8" t="s">
        <v>2439</v>
      </c>
    </row>
    <row r="9" spans="1:17" ht="15" customHeight="1" x14ac:dyDescent="0.25">
      <c r="A9" s="3" t="s">
        <v>980</v>
      </c>
      <c r="B9" s="4" t="s">
        <v>981</v>
      </c>
      <c r="C9" t="s">
        <v>973</v>
      </c>
      <c r="D9">
        <v>1</v>
      </c>
      <c r="E9" t="s">
        <v>974</v>
      </c>
      <c r="F9" t="s">
        <v>975</v>
      </c>
      <c r="G9" t="s">
        <v>976</v>
      </c>
      <c r="H9" s="1" t="s">
        <v>976</v>
      </c>
      <c r="I9" s="1">
        <v>112.89</v>
      </c>
      <c r="J9" s="20">
        <v>0</v>
      </c>
      <c r="K9" s="1">
        <v>112.89047600000001</v>
      </c>
      <c r="L9" s="1">
        <v>0</v>
      </c>
      <c r="M9" s="43" t="s">
        <v>2440</v>
      </c>
      <c r="Q9" t="s">
        <v>981</v>
      </c>
    </row>
    <row r="10" spans="1:17" ht="15" customHeight="1" x14ac:dyDescent="0.25">
      <c r="A10" s="3" t="s">
        <v>982</v>
      </c>
      <c r="B10" s="4" t="s">
        <v>983</v>
      </c>
      <c r="C10" t="s">
        <v>973</v>
      </c>
      <c r="D10">
        <v>1</v>
      </c>
      <c r="E10" t="s">
        <v>974</v>
      </c>
      <c r="F10" t="s">
        <v>975</v>
      </c>
      <c r="G10" t="s">
        <v>976</v>
      </c>
      <c r="H10" s="1" t="s">
        <v>976</v>
      </c>
      <c r="I10" s="1">
        <v>114.22</v>
      </c>
      <c r="J10" s="20">
        <v>2.1</v>
      </c>
      <c r="K10" s="1">
        <v>114.219048</v>
      </c>
      <c r="L10" s="1">
        <v>239.86</v>
      </c>
      <c r="M10" s="43" t="s">
        <v>2441</v>
      </c>
      <c r="Q10" t="s">
        <v>983</v>
      </c>
    </row>
    <row r="11" spans="1:17" ht="15" customHeight="1" x14ac:dyDescent="0.25">
      <c r="A11" s="3" t="s">
        <v>984</v>
      </c>
      <c r="B11" s="4" t="s">
        <v>2434</v>
      </c>
      <c r="C11" t="s">
        <v>973</v>
      </c>
      <c r="D11">
        <v>1</v>
      </c>
      <c r="E11" t="s">
        <v>974</v>
      </c>
      <c r="F11" t="s">
        <v>975</v>
      </c>
      <c r="G11" t="s">
        <v>978</v>
      </c>
      <c r="H11" s="1" t="s">
        <v>976</v>
      </c>
      <c r="I11" s="1">
        <v>100.67</v>
      </c>
      <c r="J11" s="20">
        <v>-31.4</v>
      </c>
      <c r="K11" s="1">
        <v>100.66995900000001</v>
      </c>
      <c r="L11" s="1">
        <v>-3161.04</v>
      </c>
      <c r="M11" s="43" t="s">
        <v>2442</v>
      </c>
      <c r="O11" s="2" t="s">
        <v>2443</v>
      </c>
      <c r="Q11" t="s">
        <v>2444</v>
      </c>
    </row>
    <row r="12" spans="1:17" ht="15" customHeight="1" x14ac:dyDescent="0.25">
      <c r="A12" s="3" t="s">
        <v>2030</v>
      </c>
      <c r="B12" s="4" t="s">
        <v>2031</v>
      </c>
      <c r="C12" t="s">
        <v>973</v>
      </c>
      <c r="D12">
        <v>1</v>
      </c>
      <c r="E12" t="s">
        <v>974</v>
      </c>
      <c r="F12" t="s">
        <v>975</v>
      </c>
      <c r="G12" t="s">
        <v>985</v>
      </c>
      <c r="H12" s="1" t="s">
        <v>976</v>
      </c>
      <c r="I12" s="1">
        <v>41.2</v>
      </c>
      <c r="J12" s="20">
        <v>175.75</v>
      </c>
      <c r="K12" s="1">
        <v>41.2</v>
      </c>
      <c r="L12" s="1">
        <v>7240.9</v>
      </c>
      <c r="M12" s="43" t="s">
        <v>2445</v>
      </c>
      <c r="Q12" t="s">
        <v>2031</v>
      </c>
    </row>
    <row r="13" spans="1:17" ht="15" customHeight="1" x14ac:dyDescent="0.25">
      <c r="A13" s="3" t="s">
        <v>986</v>
      </c>
      <c r="B13" s="4" t="s">
        <v>2448</v>
      </c>
      <c r="C13" t="s">
        <v>973</v>
      </c>
      <c r="D13">
        <v>1</v>
      </c>
      <c r="E13" t="s">
        <v>974</v>
      </c>
      <c r="F13" t="s">
        <v>975</v>
      </c>
      <c r="G13" t="s">
        <v>985</v>
      </c>
      <c r="H13" s="1" t="s">
        <v>976</v>
      </c>
      <c r="I13" s="1">
        <v>40.869999999999997</v>
      </c>
      <c r="J13" s="20">
        <v>0</v>
      </c>
      <c r="K13" s="1">
        <v>37.618009999999998</v>
      </c>
      <c r="L13" s="1">
        <v>0</v>
      </c>
      <c r="M13" s="43" t="s">
        <v>2446</v>
      </c>
      <c r="O13" s="2" t="s">
        <v>2447</v>
      </c>
      <c r="Q13" t="s">
        <v>2449</v>
      </c>
    </row>
    <row r="14" spans="1:17" ht="15" customHeight="1" x14ac:dyDescent="0.25">
      <c r="A14" s="3" t="s">
        <v>987</v>
      </c>
      <c r="B14" s="4" t="s">
        <v>988</v>
      </c>
      <c r="C14" t="s">
        <v>973</v>
      </c>
      <c r="D14">
        <v>1</v>
      </c>
      <c r="E14" t="s">
        <v>974</v>
      </c>
      <c r="F14" t="s">
        <v>975</v>
      </c>
      <c r="G14" t="s">
        <v>989</v>
      </c>
      <c r="H14" s="1" t="s">
        <v>976</v>
      </c>
      <c r="I14" s="1">
        <v>40.869999999999997</v>
      </c>
      <c r="J14" s="20">
        <v>55.2</v>
      </c>
      <c r="K14" s="1">
        <v>40.869928000000002</v>
      </c>
      <c r="L14" s="1">
        <v>2256.02</v>
      </c>
      <c r="M14" s="43" t="s">
        <v>2450</v>
      </c>
      <c r="Q14" t="s">
        <v>988</v>
      </c>
    </row>
    <row r="15" spans="1:17" ht="15" customHeight="1" x14ac:dyDescent="0.25">
      <c r="A15" s="3" t="s">
        <v>990</v>
      </c>
      <c r="B15" s="4" t="s">
        <v>991</v>
      </c>
      <c r="C15" t="s">
        <v>976</v>
      </c>
      <c r="D15">
        <v>1</v>
      </c>
      <c r="E15" t="s">
        <v>974</v>
      </c>
      <c r="F15" t="s">
        <v>975</v>
      </c>
      <c r="G15" t="s">
        <v>976</v>
      </c>
      <c r="H15" s="1" t="s">
        <v>976</v>
      </c>
      <c r="I15" s="1">
        <v>602</v>
      </c>
      <c r="J15" s="20">
        <v>4.5</v>
      </c>
      <c r="K15" s="1">
        <v>602</v>
      </c>
      <c r="L15" s="1">
        <v>2709</v>
      </c>
      <c r="M15" s="43" t="s">
        <v>2451</v>
      </c>
      <c r="Q15" t="s">
        <v>991</v>
      </c>
    </row>
    <row r="16" spans="1:17" ht="15" customHeight="1" x14ac:dyDescent="0.25">
      <c r="A16" s="3" t="s">
        <v>992</v>
      </c>
      <c r="B16" s="4" t="s">
        <v>993</v>
      </c>
      <c r="C16" t="s">
        <v>973</v>
      </c>
      <c r="D16">
        <v>1</v>
      </c>
      <c r="E16" t="s">
        <v>974</v>
      </c>
      <c r="F16" t="s">
        <v>975</v>
      </c>
      <c r="G16" t="s">
        <v>976</v>
      </c>
      <c r="H16" s="1" t="s">
        <v>976</v>
      </c>
      <c r="I16" s="1">
        <v>17</v>
      </c>
      <c r="J16" s="20">
        <v>250</v>
      </c>
      <c r="K16" s="1">
        <v>17</v>
      </c>
      <c r="L16" s="1">
        <v>4250</v>
      </c>
      <c r="M16" s="43" t="s">
        <v>2452</v>
      </c>
      <c r="Q16" t="s">
        <v>993</v>
      </c>
    </row>
    <row r="17" spans="1:17" ht="15" customHeight="1" x14ac:dyDescent="0.25">
      <c r="A17" s="3" t="s">
        <v>994</v>
      </c>
      <c r="B17" s="4" t="s">
        <v>995</v>
      </c>
      <c r="C17" t="s">
        <v>973</v>
      </c>
      <c r="D17">
        <v>1</v>
      </c>
      <c r="E17" t="s">
        <v>974</v>
      </c>
      <c r="F17" t="s">
        <v>975</v>
      </c>
      <c r="G17" t="s">
        <v>996</v>
      </c>
      <c r="H17" s="1" t="s">
        <v>976</v>
      </c>
      <c r="I17" s="1">
        <v>124.8</v>
      </c>
      <c r="J17" s="20">
        <v>0</v>
      </c>
      <c r="K17" s="1">
        <v>124.8</v>
      </c>
      <c r="L17" s="1">
        <v>0</v>
      </c>
      <c r="M17" s="43" t="s">
        <v>2453</v>
      </c>
      <c r="Q17" t="s">
        <v>995</v>
      </c>
    </row>
    <row r="18" spans="1:17" ht="15" customHeight="1" x14ac:dyDescent="0.25">
      <c r="A18" s="3" t="s">
        <v>997</v>
      </c>
      <c r="B18" s="4" t="s">
        <v>2456</v>
      </c>
      <c r="C18" t="s">
        <v>973</v>
      </c>
      <c r="D18">
        <v>1</v>
      </c>
      <c r="E18" t="s">
        <v>974</v>
      </c>
      <c r="F18" t="s">
        <v>975</v>
      </c>
      <c r="G18" t="s">
        <v>998</v>
      </c>
      <c r="H18" s="1" t="s">
        <v>976</v>
      </c>
      <c r="I18" s="1">
        <v>14.9</v>
      </c>
      <c r="J18" s="20">
        <v>180</v>
      </c>
      <c r="K18" s="1">
        <v>0</v>
      </c>
      <c r="L18" s="1">
        <v>0</v>
      </c>
      <c r="M18" s="43" t="s">
        <v>2454</v>
      </c>
      <c r="O18" s="2" t="s">
        <v>2455</v>
      </c>
      <c r="Q18" t="s">
        <v>2457</v>
      </c>
    </row>
    <row r="19" spans="1:17" ht="15" customHeight="1" x14ac:dyDescent="0.25">
      <c r="A19" s="3" t="s">
        <v>999</v>
      </c>
      <c r="B19" s="4" t="s">
        <v>2460</v>
      </c>
      <c r="C19" t="s">
        <v>976</v>
      </c>
      <c r="D19">
        <v>1</v>
      </c>
      <c r="E19" t="s">
        <v>974</v>
      </c>
      <c r="F19" t="s">
        <v>975</v>
      </c>
      <c r="G19" t="s">
        <v>976</v>
      </c>
      <c r="H19" s="1" t="s">
        <v>976</v>
      </c>
      <c r="I19" s="1">
        <v>29.9</v>
      </c>
      <c r="J19" s="20">
        <v>2</v>
      </c>
      <c r="K19" s="1">
        <v>29.9</v>
      </c>
      <c r="L19" s="1">
        <v>59.8</v>
      </c>
      <c r="M19" s="43" t="s">
        <v>2458</v>
      </c>
      <c r="O19" s="2" t="s">
        <v>2459</v>
      </c>
      <c r="Q19" t="s">
        <v>2461</v>
      </c>
    </row>
    <row r="20" spans="1:17" ht="15" customHeight="1" x14ac:dyDescent="0.25">
      <c r="A20" s="3" t="s">
        <v>1000</v>
      </c>
      <c r="B20" s="4" t="s">
        <v>2464</v>
      </c>
      <c r="C20" t="s">
        <v>973</v>
      </c>
      <c r="D20">
        <v>1</v>
      </c>
      <c r="E20" t="s">
        <v>974</v>
      </c>
      <c r="F20" t="s">
        <v>975</v>
      </c>
      <c r="G20" t="s">
        <v>976</v>
      </c>
      <c r="H20" s="1" t="s">
        <v>976</v>
      </c>
      <c r="I20" s="1">
        <v>22</v>
      </c>
      <c r="J20" s="20">
        <v>190</v>
      </c>
      <c r="K20" s="1">
        <v>22</v>
      </c>
      <c r="L20" s="1">
        <v>4180</v>
      </c>
      <c r="M20" s="43" t="s">
        <v>2462</v>
      </c>
      <c r="O20" s="2" t="s">
        <v>2463</v>
      </c>
      <c r="Q20" t="s">
        <v>2465</v>
      </c>
    </row>
    <row r="21" spans="1:17" ht="15" customHeight="1" x14ac:dyDescent="0.25">
      <c r="A21" s="3" t="s">
        <v>1001</v>
      </c>
      <c r="B21" s="4" t="s">
        <v>2468</v>
      </c>
      <c r="C21" t="s">
        <v>973</v>
      </c>
      <c r="D21">
        <v>1</v>
      </c>
      <c r="E21" t="s">
        <v>974</v>
      </c>
      <c r="F21" t="s">
        <v>975</v>
      </c>
      <c r="G21" t="s">
        <v>976</v>
      </c>
      <c r="H21" s="1" t="s">
        <v>976</v>
      </c>
      <c r="I21" s="1">
        <v>17</v>
      </c>
      <c r="J21" s="20">
        <v>65</v>
      </c>
      <c r="K21" s="1">
        <v>17</v>
      </c>
      <c r="L21" s="1">
        <v>1105</v>
      </c>
      <c r="M21" s="43" t="s">
        <v>2466</v>
      </c>
      <c r="O21" s="2" t="s">
        <v>2467</v>
      </c>
      <c r="Q21" t="s">
        <v>2469</v>
      </c>
    </row>
    <row r="22" spans="1:17" ht="15" customHeight="1" x14ac:dyDescent="0.25">
      <c r="A22" s="3" t="s">
        <v>1002</v>
      </c>
      <c r="B22" s="4" t="s">
        <v>1003</v>
      </c>
      <c r="C22" t="s">
        <v>973</v>
      </c>
      <c r="D22">
        <v>1</v>
      </c>
      <c r="E22" t="s">
        <v>974</v>
      </c>
      <c r="F22" t="s">
        <v>975</v>
      </c>
      <c r="G22" t="s">
        <v>998</v>
      </c>
      <c r="H22" s="1" t="s">
        <v>976</v>
      </c>
      <c r="I22" s="1">
        <v>19</v>
      </c>
      <c r="J22" s="20">
        <v>0</v>
      </c>
      <c r="K22" s="1">
        <v>17.399999999999999</v>
      </c>
      <c r="L22" s="1">
        <v>0</v>
      </c>
      <c r="M22" s="43" t="s">
        <v>2470</v>
      </c>
      <c r="Q22" t="s">
        <v>1003</v>
      </c>
    </row>
    <row r="23" spans="1:17" ht="15" customHeight="1" x14ac:dyDescent="0.25">
      <c r="A23" s="3" t="s">
        <v>1004</v>
      </c>
      <c r="B23" s="4" t="s">
        <v>2473</v>
      </c>
      <c r="C23" t="s">
        <v>973</v>
      </c>
      <c r="D23">
        <v>1</v>
      </c>
      <c r="E23" t="s">
        <v>974</v>
      </c>
      <c r="F23" t="s">
        <v>975</v>
      </c>
      <c r="G23" t="s">
        <v>998</v>
      </c>
      <c r="H23" s="1" t="s">
        <v>976</v>
      </c>
      <c r="I23" s="1">
        <v>19</v>
      </c>
      <c r="J23" s="20">
        <v>13.8</v>
      </c>
      <c r="K23" s="1">
        <v>9.9</v>
      </c>
      <c r="L23" s="1">
        <v>136.62</v>
      </c>
      <c r="M23" s="43" t="s">
        <v>2471</v>
      </c>
      <c r="O23" s="2" t="s">
        <v>2472</v>
      </c>
      <c r="Q23" t="s">
        <v>2474</v>
      </c>
    </row>
    <row r="24" spans="1:17" ht="15" customHeight="1" x14ac:dyDescent="0.25">
      <c r="A24" s="3" t="s">
        <v>1005</v>
      </c>
      <c r="B24" s="4" t="s">
        <v>2476</v>
      </c>
      <c r="C24" t="s">
        <v>973</v>
      </c>
      <c r="D24">
        <v>1</v>
      </c>
      <c r="E24" t="s">
        <v>974</v>
      </c>
      <c r="F24" t="s">
        <v>975</v>
      </c>
      <c r="G24" t="s">
        <v>998</v>
      </c>
      <c r="H24" s="1" t="s">
        <v>976</v>
      </c>
      <c r="I24" s="1">
        <v>7.9</v>
      </c>
      <c r="J24" s="20">
        <v>37.200000000000003</v>
      </c>
      <c r="K24" s="1">
        <v>7.9</v>
      </c>
      <c r="L24" s="1">
        <v>293.88</v>
      </c>
      <c r="M24" s="43" t="s">
        <v>2475</v>
      </c>
      <c r="O24" s="2" t="s">
        <v>2455</v>
      </c>
      <c r="Q24" t="s">
        <v>2477</v>
      </c>
    </row>
    <row r="25" spans="1:17" ht="15" customHeight="1" x14ac:dyDescent="0.25">
      <c r="A25" s="3" t="s">
        <v>1006</v>
      </c>
      <c r="B25" s="4" t="s">
        <v>2479</v>
      </c>
      <c r="C25" t="s">
        <v>973</v>
      </c>
      <c r="D25">
        <v>1</v>
      </c>
      <c r="E25" t="s">
        <v>974</v>
      </c>
      <c r="F25" t="s">
        <v>975</v>
      </c>
      <c r="G25" t="s">
        <v>998</v>
      </c>
      <c r="H25" s="1" t="s">
        <v>976</v>
      </c>
      <c r="I25" s="1">
        <v>19</v>
      </c>
      <c r="J25" s="20">
        <v>25</v>
      </c>
      <c r="K25" s="1">
        <v>17.399999999999999</v>
      </c>
      <c r="L25" s="1">
        <v>435</v>
      </c>
      <c r="M25" s="43" t="s">
        <v>2478</v>
      </c>
      <c r="O25" s="2" t="s">
        <v>2447</v>
      </c>
      <c r="Q25" t="s">
        <v>2480</v>
      </c>
    </row>
    <row r="26" spans="1:17" ht="15" customHeight="1" x14ac:dyDescent="0.25">
      <c r="A26" s="3" t="s">
        <v>1007</v>
      </c>
      <c r="B26" s="4" t="s">
        <v>2483</v>
      </c>
      <c r="C26" t="s">
        <v>973</v>
      </c>
      <c r="D26">
        <v>1</v>
      </c>
      <c r="E26" t="s">
        <v>974</v>
      </c>
      <c r="F26" t="s">
        <v>975</v>
      </c>
      <c r="G26" t="s">
        <v>998</v>
      </c>
      <c r="H26" s="1" t="s">
        <v>976</v>
      </c>
      <c r="I26" s="1">
        <v>19</v>
      </c>
      <c r="J26" s="20">
        <v>92</v>
      </c>
      <c r="K26" s="1">
        <v>9.9</v>
      </c>
      <c r="L26" s="1">
        <v>910.8</v>
      </c>
      <c r="M26" s="43" t="s">
        <v>2481</v>
      </c>
      <c r="O26" s="2" t="s">
        <v>2482</v>
      </c>
      <c r="Q26" t="s">
        <v>2484</v>
      </c>
    </row>
    <row r="27" spans="1:17" ht="15" customHeight="1" x14ac:dyDescent="0.25">
      <c r="A27" s="3" t="s">
        <v>1008</v>
      </c>
      <c r="B27" s="4" t="s">
        <v>2486</v>
      </c>
      <c r="C27" t="s">
        <v>973</v>
      </c>
      <c r="D27">
        <v>1</v>
      </c>
      <c r="E27" t="s">
        <v>974</v>
      </c>
      <c r="F27" t="s">
        <v>975</v>
      </c>
      <c r="G27" t="s">
        <v>998</v>
      </c>
      <c r="H27" s="1" t="s">
        <v>976</v>
      </c>
      <c r="I27" s="1">
        <v>19</v>
      </c>
      <c r="J27" s="20">
        <v>0</v>
      </c>
      <c r="K27" s="1">
        <v>9.9</v>
      </c>
      <c r="L27" s="1">
        <v>0</v>
      </c>
      <c r="M27" s="43" t="s">
        <v>2485</v>
      </c>
      <c r="O27" s="2" t="s">
        <v>2455</v>
      </c>
      <c r="Q27" t="s">
        <v>2487</v>
      </c>
    </row>
    <row r="28" spans="1:17" ht="15" customHeight="1" x14ac:dyDescent="0.25">
      <c r="A28" s="3" t="s">
        <v>1009</v>
      </c>
      <c r="B28" s="4" t="s">
        <v>2489</v>
      </c>
      <c r="C28" t="s">
        <v>973</v>
      </c>
      <c r="D28">
        <v>1</v>
      </c>
      <c r="E28" t="s">
        <v>974</v>
      </c>
      <c r="F28" t="s">
        <v>975</v>
      </c>
      <c r="G28" t="s">
        <v>1010</v>
      </c>
      <c r="H28" s="1" t="s">
        <v>976</v>
      </c>
      <c r="I28" s="1">
        <v>22.81</v>
      </c>
      <c r="J28" s="20">
        <v>43.4</v>
      </c>
      <c r="K28" s="1">
        <v>22.809906999999999</v>
      </c>
      <c r="L28" s="1">
        <v>989.95</v>
      </c>
      <c r="M28" s="43" t="s">
        <v>2488</v>
      </c>
      <c r="O28" s="2" t="s">
        <v>2463</v>
      </c>
      <c r="Q28" t="s">
        <v>2490</v>
      </c>
    </row>
    <row r="29" spans="1:17" ht="15" customHeight="1" x14ac:dyDescent="0.25">
      <c r="A29" s="3" t="s">
        <v>1011</v>
      </c>
      <c r="B29" s="4" t="s">
        <v>2492</v>
      </c>
      <c r="C29" t="s">
        <v>973</v>
      </c>
      <c r="D29">
        <v>1</v>
      </c>
      <c r="E29" t="s">
        <v>974</v>
      </c>
      <c r="F29" t="s">
        <v>975</v>
      </c>
      <c r="G29" t="s">
        <v>998</v>
      </c>
      <c r="H29" s="1" t="s">
        <v>976</v>
      </c>
      <c r="I29" s="1">
        <v>17.399999999999999</v>
      </c>
      <c r="J29" s="20">
        <v>0</v>
      </c>
      <c r="K29" s="1">
        <v>7.15</v>
      </c>
      <c r="L29" s="1">
        <v>0</v>
      </c>
      <c r="M29" s="43" t="s">
        <v>2491</v>
      </c>
      <c r="O29" s="2" t="s">
        <v>2463</v>
      </c>
      <c r="Q29" t="s">
        <v>2493</v>
      </c>
    </row>
    <row r="30" spans="1:17" ht="15" customHeight="1" x14ac:dyDescent="0.25">
      <c r="A30" s="3" t="s">
        <v>1012</v>
      </c>
      <c r="B30" s="4" t="s">
        <v>2496</v>
      </c>
      <c r="C30" t="s">
        <v>973</v>
      </c>
      <c r="D30">
        <v>1</v>
      </c>
      <c r="E30" t="s">
        <v>974</v>
      </c>
      <c r="F30" t="s">
        <v>975</v>
      </c>
      <c r="G30" t="s">
        <v>976</v>
      </c>
      <c r="H30" s="1" t="s">
        <v>976</v>
      </c>
      <c r="I30" s="1">
        <v>47.5</v>
      </c>
      <c r="J30" s="20">
        <v>49</v>
      </c>
      <c r="K30" s="1">
        <v>47.5</v>
      </c>
      <c r="L30" s="1">
        <v>2327.5</v>
      </c>
      <c r="M30" s="43" t="s">
        <v>2494</v>
      </c>
      <c r="O30" s="2" t="s">
        <v>2443</v>
      </c>
      <c r="Q30" t="s">
        <v>2497</v>
      </c>
    </row>
    <row r="31" spans="1:17" ht="15" customHeight="1" x14ac:dyDescent="0.25">
      <c r="A31" s="3" t="s">
        <v>1013</v>
      </c>
      <c r="B31" s="4" t="s">
        <v>1014</v>
      </c>
      <c r="C31" t="s">
        <v>973</v>
      </c>
      <c r="D31">
        <v>1</v>
      </c>
      <c r="E31" t="s">
        <v>974</v>
      </c>
      <c r="F31" t="s">
        <v>975</v>
      </c>
      <c r="G31" t="s">
        <v>1015</v>
      </c>
      <c r="H31" s="1" t="s">
        <v>976</v>
      </c>
      <c r="I31" s="1">
        <v>47.5</v>
      </c>
      <c r="J31" s="20">
        <v>0</v>
      </c>
      <c r="K31" s="1">
        <v>47.5</v>
      </c>
      <c r="L31" s="1">
        <v>0</v>
      </c>
      <c r="M31" s="43" t="s">
        <v>2498</v>
      </c>
      <c r="Q31" t="s">
        <v>1014</v>
      </c>
    </row>
    <row r="32" spans="1:17" ht="15" customHeight="1" x14ac:dyDescent="0.25">
      <c r="A32" s="3" t="s">
        <v>2032</v>
      </c>
      <c r="B32" s="4" t="s">
        <v>2500</v>
      </c>
      <c r="C32" t="s">
        <v>1016</v>
      </c>
      <c r="D32">
        <v>1</v>
      </c>
      <c r="E32" t="s">
        <v>974</v>
      </c>
      <c r="F32" t="s">
        <v>975</v>
      </c>
      <c r="G32" t="s">
        <v>976</v>
      </c>
      <c r="H32" s="1" t="s">
        <v>976</v>
      </c>
      <c r="I32" s="1">
        <v>0.44</v>
      </c>
      <c r="J32" s="20">
        <v>5000</v>
      </c>
      <c r="K32" s="1">
        <v>0.44</v>
      </c>
      <c r="L32" s="1">
        <v>2200</v>
      </c>
      <c r="M32" s="43" t="s">
        <v>2499</v>
      </c>
      <c r="O32" s="2" t="s">
        <v>2472</v>
      </c>
      <c r="Q32" t="s">
        <v>2501</v>
      </c>
    </row>
    <row r="33" spans="1:17" ht="15" customHeight="1" x14ac:dyDescent="0.25">
      <c r="A33" s="42" t="s">
        <v>2032</v>
      </c>
      <c r="B33" s="3" t="s">
        <v>2500</v>
      </c>
      <c r="C33" s="42" t="s">
        <v>1016</v>
      </c>
      <c r="D33">
        <v>2</v>
      </c>
      <c r="E33" t="s">
        <v>1017</v>
      </c>
      <c r="F33" t="s">
        <v>975</v>
      </c>
      <c r="G33" t="s">
        <v>976</v>
      </c>
      <c r="H33" s="1" t="s">
        <v>976</v>
      </c>
      <c r="I33" s="1">
        <v>0.44</v>
      </c>
      <c r="J33" s="20">
        <v>-85</v>
      </c>
      <c r="K33" s="1">
        <v>0</v>
      </c>
      <c r="L33" s="1">
        <v>0</v>
      </c>
      <c r="M33" s="43" t="s">
        <v>2499</v>
      </c>
      <c r="O33" s="2" t="s">
        <v>2472</v>
      </c>
      <c r="Q33" t="s">
        <v>2501</v>
      </c>
    </row>
    <row r="34" spans="1:17" ht="15" customHeight="1" x14ac:dyDescent="0.25">
      <c r="A34" s="42" t="s">
        <v>2032</v>
      </c>
      <c r="B34" s="3" t="s">
        <v>2500</v>
      </c>
      <c r="C34" s="42" t="s">
        <v>1016</v>
      </c>
      <c r="D34">
        <v>4</v>
      </c>
      <c r="E34" t="s">
        <v>1018</v>
      </c>
      <c r="F34" t="s">
        <v>975</v>
      </c>
      <c r="G34" t="s">
        <v>976</v>
      </c>
      <c r="H34" s="1" t="s">
        <v>976</v>
      </c>
      <c r="I34" s="1">
        <v>0.44</v>
      </c>
      <c r="J34" s="20">
        <v>5085</v>
      </c>
      <c r="K34" s="1">
        <v>0.44</v>
      </c>
      <c r="L34" s="1">
        <v>2237.4</v>
      </c>
      <c r="M34" s="43" t="s">
        <v>2499</v>
      </c>
      <c r="O34" s="2" t="s">
        <v>2472</v>
      </c>
      <c r="Q34" t="s">
        <v>2501</v>
      </c>
    </row>
    <row r="35" spans="1:17" ht="15" customHeight="1" x14ac:dyDescent="0.25">
      <c r="A35" s="3" t="s">
        <v>1019</v>
      </c>
      <c r="B35" s="4" t="s">
        <v>2503</v>
      </c>
      <c r="C35" t="s">
        <v>973</v>
      </c>
      <c r="D35">
        <v>1</v>
      </c>
      <c r="E35" t="s">
        <v>974</v>
      </c>
      <c r="F35" t="s">
        <v>975</v>
      </c>
      <c r="G35" t="s">
        <v>976</v>
      </c>
      <c r="H35" s="1" t="s">
        <v>976</v>
      </c>
      <c r="I35" s="1">
        <v>39.9</v>
      </c>
      <c r="J35" s="20">
        <v>125.2</v>
      </c>
      <c r="K35" s="1">
        <v>39.9</v>
      </c>
      <c r="L35" s="1">
        <v>4995.4799999999996</v>
      </c>
      <c r="M35" s="43" t="s">
        <v>2502</v>
      </c>
      <c r="O35" s="2" t="s">
        <v>2443</v>
      </c>
      <c r="Q35" t="s">
        <v>604</v>
      </c>
    </row>
    <row r="36" spans="1:17" ht="15" customHeight="1" x14ac:dyDescent="0.25">
      <c r="A36" s="3" t="s">
        <v>1020</v>
      </c>
      <c r="B36" s="4" t="s">
        <v>2505</v>
      </c>
      <c r="C36" t="s">
        <v>973</v>
      </c>
      <c r="D36">
        <v>1</v>
      </c>
      <c r="E36" t="s">
        <v>974</v>
      </c>
      <c r="F36" t="s">
        <v>975</v>
      </c>
      <c r="G36" t="s">
        <v>1021</v>
      </c>
      <c r="H36" s="1" t="s">
        <v>976</v>
      </c>
      <c r="I36" s="1">
        <v>58.94</v>
      </c>
      <c r="J36" s="20">
        <v>15.3</v>
      </c>
      <c r="K36" s="1">
        <v>58.94</v>
      </c>
      <c r="L36" s="1">
        <v>901.78</v>
      </c>
      <c r="M36" s="43" t="s">
        <v>2504</v>
      </c>
      <c r="O36" s="2" t="s">
        <v>2459</v>
      </c>
      <c r="Q36" t="s">
        <v>605</v>
      </c>
    </row>
    <row r="37" spans="1:17" ht="15" customHeight="1" x14ac:dyDescent="0.25">
      <c r="A37" s="3" t="s">
        <v>1022</v>
      </c>
      <c r="B37" s="4" t="s">
        <v>2506</v>
      </c>
      <c r="C37" t="s">
        <v>973</v>
      </c>
      <c r="D37">
        <v>1</v>
      </c>
      <c r="E37" t="s">
        <v>974</v>
      </c>
      <c r="F37" t="s">
        <v>975</v>
      </c>
      <c r="G37" t="s">
        <v>976</v>
      </c>
      <c r="H37" s="1" t="s">
        <v>976</v>
      </c>
      <c r="I37" s="1">
        <v>58.94</v>
      </c>
      <c r="J37" s="20">
        <v>-9.6999999999999993</v>
      </c>
      <c r="K37" s="1">
        <v>0</v>
      </c>
      <c r="L37" s="1">
        <v>0</v>
      </c>
      <c r="M37" s="43" t="s">
        <v>2504</v>
      </c>
      <c r="O37" s="2" t="s">
        <v>2447</v>
      </c>
      <c r="Q37" t="s">
        <v>606</v>
      </c>
    </row>
    <row r="38" spans="1:17" ht="15" customHeight="1" x14ac:dyDescent="0.25">
      <c r="A38" s="42" t="s">
        <v>1022</v>
      </c>
      <c r="B38" s="3" t="s">
        <v>2506</v>
      </c>
      <c r="C38" s="42" t="s">
        <v>973</v>
      </c>
      <c r="D38">
        <v>4</v>
      </c>
      <c r="E38" t="s">
        <v>1018</v>
      </c>
      <c r="F38" t="s">
        <v>975</v>
      </c>
      <c r="G38" t="s">
        <v>976</v>
      </c>
      <c r="H38" s="1" t="s">
        <v>976</v>
      </c>
      <c r="I38" s="1">
        <v>58.94</v>
      </c>
      <c r="J38" s="20">
        <v>9.6999999999999993</v>
      </c>
      <c r="K38" s="1">
        <v>60.101030999999999</v>
      </c>
      <c r="L38" s="1">
        <v>582.98</v>
      </c>
      <c r="M38" s="43" t="s">
        <v>2504</v>
      </c>
      <c r="O38" s="2" t="s">
        <v>2447</v>
      </c>
      <c r="Q38" t="s">
        <v>606</v>
      </c>
    </row>
    <row r="39" spans="1:17" ht="15" customHeight="1" x14ac:dyDescent="0.25">
      <c r="A39" s="3" t="s">
        <v>1023</v>
      </c>
      <c r="B39" s="4" t="s">
        <v>181</v>
      </c>
      <c r="C39" t="s">
        <v>973</v>
      </c>
      <c r="D39">
        <v>1</v>
      </c>
      <c r="E39" t="s">
        <v>974</v>
      </c>
      <c r="F39" t="s">
        <v>975</v>
      </c>
      <c r="G39" t="s">
        <v>976</v>
      </c>
      <c r="H39" s="1" t="s">
        <v>976</v>
      </c>
      <c r="I39" s="1">
        <v>59.94</v>
      </c>
      <c r="J39" s="20">
        <v>0</v>
      </c>
      <c r="K39" s="1">
        <v>0</v>
      </c>
      <c r="L39" s="1">
        <v>0</v>
      </c>
      <c r="M39" s="43" t="s">
        <v>2504</v>
      </c>
      <c r="Q39" t="s">
        <v>181</v>
      </c>
    </row>
    <row r="40" spans="1:17" ht="15" customHeight="1" x14ac:dyDescent="0.25">
      <c r="A40" s="3" t="s">
        <v>1024</v>
      </c>
      <c r="B40" s="4" t="s">
        <v>182</v>
      </c>
      <c r="C40" t="s">
        <v>973</v>
      </c>
      <c r="D40">
        <v>1</v>
      </c>
      <c r="E40" t="s">
        <v>974</v>
      </c>
      <c r="F40" t="s">
        <v>975</v>
      </c>
      <c r="G40" t="s">
        <v>976</v>
      </c>
      <c r="H40" s="1" t="s">
        <v>976</v>
      </c>
      <c r="I40" s="1">
        <v>58.94</v>
      </c>
      <c r="J40" s="20">
        <v>0</v>
      </c>
      <c r="K40" s="1">
        <v>0</v>
      </c>
      <c r="L40" s="1">
        <v>0</v>
      </c>
      <c r="M40" s="43" t="s">
        <v>2504</v>
      </c>
      <c r="Q40" t="s">
        <v>182</v>
      </c>
    </row>
    <row r="41" spans="1:17" ht="15" customHeight="1" x14ac:dyDescent="0.25">
      <c r="A41" s="3" t="s">
        <v>1025</v>
      </c>
      <c r="B41" s="4" t="s">
        <v>2509</v>
      </c>
      <c r="C41" t="s">
        <v>973</v>
      </c>
      <c r="D41">
        <v>1</v>
      </c>
      <c r="E41" t="s">
        <v>974</v>
      </c>
      <c r="F41" t="s">
        <v>975</v>
      </c>
      <c r="G41" t="s">
        <v>1021</v>
      </c>
      <c r="H41" s="1" t="s">
        <v>976</v>
      </c>
      <c r="I41" s="1">
        <v>23.48</v>
      </c>
      <c r="J41" s="20">
        <v>0</v>
      </c>
      <c r="K41" s="1">
        <v>23.48</v>
      </c>
      <c r="L41" s="1">
        <v>0</v>
      </c>
      <c r="M41" s="43" t="s">
        <v>2507</v>
      </c>
      <c r="O41" s="2" t="s">
        <v>2508</v>
      </c>
      <c r="Q41" t="s">
        <v>607</v>
      </c>
    </row>
    <row r="42" spans="1:17" ht="15" customHeight="1" x14ac:dyDescent="0.25">
      <c r="A42" s="3" t="s">
        <v>1026</v>
      </c>
      <c r="B42" s="4" t="s">
        <v>183</v>
      </c>
      <c r="C42" t="s">
        <v>973</v>
      </c>
      <c r="D42">
        <v>1</v>
      </c>
      <c r="E42" t="s">
        <v>974</v>
      </c>
      <c r="F42" t="s">
        <v>975</v>
      </c>
      <c r="G42" t="s">
        <v>1021</v>
      </c>
      <c r="H42" s="1" t="s">
        <v>976</v>
      </c>
      <c r="I42" s="1">
        <v>23.48</v>
      </c>
      <c r="J42" s="20">
        <v>23</v>
      </c>
      <c r="K42" s="1">
        <v>23.48</v>
      </c>
      <c r="L42" s="1">
        <v>540.04</v>
      </c>
      <c r="M42" s="43" t="s">
        <v>2507</v>
      </c>
      <c r="Q42" t="s">
        <v>183</v>
      </c>
    </row>
    <row r="43" spans="1:17" ht="15" customHeight="1" x14ac:dyDescent="0.25">
      <c r="A43" s="3" t="s">
        <v>1027</v>
      </c>
      <c r="B43" s="4" t="s">
        <v>2511</v>
      </c>
      <c r="C43" t="s">
        <v>973</v>
      </c>
      <c r="D43">
        <v>1</v>
      </c>
      <c r="E43" t="s">
        <v>974</v>
      </c>
      <c r="F43" t="s">
        <v>975</v>
      </c>
      <c r="G43" t="s">
        <v>1021</v>
      </c>
      <c r="H43" s="1" t="s">
        <v>976</v>
      </c>
      <c r="I43" s="1">
        <v>58.46</v>
      </c>
      <c r="J43" s="20">
        <v>0</v>
      </c>
      <c r="K43" s="1">
        <v>58.459820000000001</v>
      </c>
      <c r="L43" s="1">
        <v>0</v>
      </c>
      <c r="M43" s="43" t="s">
        <v>2510</v>
      </c>
      <c r="O43" s="2" t="s">
        <v>2508</v>
      </c>
      <c r="Q43" t="s">
        <v>608</v>
      </c>
    </row>
    <row r="44" spans="1:17" ht="15" customHeight="1" x14ac:dyDescent="0.25">
      <c r="A44" s="3" t="s">
        <v>1028</v>
      </c>
      <c r="B44" s="4" t="s">
        <v>2513</v>
      </c>
      <c r="C44" t="s">
        <v>973</v>
      </c>
      <c r="D44">
        <v>1</v>
      </c>
      <c r="E44" t="s">
        <v>974</v>
      </c>
      <c r="F44" t="s">
        <v>975</v>
      </c>
      <c r="G44" t="s">
        <v>1021</v>
      </c>
      <c r="H44" s="1" t="s">
        <v>976</v>
      </c>
      <c r="I44" s="1">
        <v>58.46</v>
      </c>
      <c r="J44" s="20">
        <v>0</v>
      </c>
      <c r="K44" s="1">
        <v>58.46</v>
      </c>
      <c r="L44" s="1">
        <v>0</v>
      </c>
      <c r="M44" s="43" t="s">
        <v>2512</v>
      </c>
      <c r="O44" s="2" t="s">
        <v>2482</v>
      </c>
      <c r="Q44" t="s">
        <v>609</v>
      </c>
    </row>
    <row r="45" spans="1:17" ht="15" customHeight="1" x14ac:dyDescent="0.25">
      <c r="A45" s="3" t="s">
        <v>1029</v>
      </c>
      <c r="B45" s="4" t="s">
        <v>2514</v>
      </c>
      <c r="C45" t="s">
        <v>973</v>
      </c>
      <c r="D45">
        <v>1</v>
      </c>
      <c r="E45" t="s">
        <v>974</v>
      </c>
      <c r="F45" t="s">
        <v>975</v>
      </c>
      <c r="G45" t="s">
        <v>976</v>
      </c>
      <c r="H45" s="1" t="s">
        <v>976</v>
      </c>
      <c r="I45" s="1">
        <v>96.950101000000004</v>
      </c>
      <c r="J45" s="20">
        <v>49.3</v>
      </c>
      <c r="K45" s="1">
        <v>96.950101000000004</v>
      </c>
      <c r="L45" s="1">
        <v>4779.6400000000003</v>
      </c>
      <c r="M45" s="43" t="s">
        <v>2512</v>
      </c>
      <c r="O45" s="2" t="s">
        <v>2463</v>
      </c>
      <c r="Q45" t="s">
        <v>610</v>
      </c>
    </row>
    <row r="46" spans="1:17" ht="15" customHeight="1" x14ac:dyDescent="0.25">
      <c r="A46" s="3" t="s">
        <v>1030</v>
      </c>
      <c r="B46" s="4" t="s">
        <v>2515</v>
      </c>
      <c r="C46" t="s">
        <v>973</v>
      </c>
      <c r="D46">
        <v>1</v>
      </c>
      <c r="E46" t="s">
        <v>974</v>
      </c>
      <c r="F46" t="s">
        <v>975</v>
      </c>
      <c r="G46" t="s">
        <v>976</v>
      </c>
      <c r="H46" s="1" t="s">
        <v>976</v>
      </c>
      <c r="I46" s="1">
        <v>96.95</v>
      </c>
      <c r="J46" s="20">
        <v>40</v>
      </c>
      <c r="K46" s="1">
        <v>96.95</v>
      </c>
      <c r="L46" s="1">
        <v>3878</v>
      </c>
      <c r="M46" s="43" t="s">
        <v>2512</v>
      </c>
      <c r="O46" s="2" t="s">
        <v>2472</v>
      </c>
      <c r="Q46" t="s">
        <v>611</v>
      </c>
    </row>
    <row r="47" spans="1:17" ht="15" customHeight="1" x14ac:dyDescent="0.25">
      <c r="A47" s="3" t="s">
        <v>1031</v>
      </c>
      <c r="B47" s="4" t="s">
        <v>184</v>
      </c>
      <c r="C47" t="s">
        <v>973</v>
      </c>
      <c r="D47">
        <v>1</v>
      </c>
      <c r="E47" t="s">
        <v>974</v>
      </c>
      <c r="F47" t="s">
        <v>975</v>
      </c>
      <c r="G47" t="s">
        <v>976</v>
      </c>
      <c r="H47" s="1" t="s">
        <v>976</v>
      </c>
      <c r="I47" s="1">
        <v>48.48</v>
      </c>
      <c r="J47" s="20">
        <v>0</v>
      </c>
      <c r="K47" s="1">
        <v>0</v>
      </c>
      <c r="L47" s="1">
        <v>0</v>
      </c>
      <c r="M47" s="43" t="s">
        <v>2516</v>
      </c>
      <c r="Q47" t="s">
        <v>184</v>
      </c>
    </row>
    <row r="48" spans="1:17" ht="15" customHeight="1" x14ac:dyDescent="0.25">
      <c r="A48" s="3" t="s">
        <v>1032</v>
      </c>
      <c r="B48" s="4" t="s">
        <v>2514</v>
      </c>
      <c r="C48" t="s">
        <v>973</v>
      </c>
      <c r="D48">
        <v>1</v>
      </c>
      <c r="E48" t="s">
        <v>974</v>
      </c>
      <c r="F48" t="s">
        <v>975</v>
      </c>
      <c r="G48" t="s">
        <v>976</v>
      </c>
      <c r="H48" s="1" t="s">
        <v>976</v>
      </c>
      <c r="I48" s="1">
        <v>79.790053999999998</v>
      </c>
      <c r="J48" s="20">
        <v>55.3</v>
      </c>
      <c r="K48" s="1">
        <v>79.790053999999998</v>
      </c>
      <c r="L48" s="1">
        <v>4412.3900000000003</v>
      </c>
      <c r="M48" s="43" t="s">
        <v>2516</v>
      </c>
      <c r="O48" s="2" t="s">
        <v>2447</v>
      </c>
      <c r="Q48" t="s">
        <v>612</v>
      </c>
    </row>
    <row r="49" spans="1:17" ht="15" customHeight="1" x14ac:dyDescent="0.25">
      <c r="A49" s="3" t="s">
        <v>1033</v>
      </c>
      <c r="B49" s="4" t="s">
        <v>185</v>
      </c>
      <c r="C49" t="s">
        <v>973</v>
      </c>
      <c r="D49">
        <v>1</v>
      </c>
      <c r="E49" t="s">
        <v>974</v>
      </c>
      <c r="F49" t="s">
        <v>975</v>
      </c>
      <c r="G49" t="s">
        <v>976</v>
      </c>
      <c r="H49" s="1" t="s">
        <v>976</v>
      </c>
      <c r="I49" s="1">
        <v>79.790097000000003</v>
      </c>
      <c r="J49" s="20">
        <v>41.4</v>
      </c>
      <c r="K49" s="1">
        <v>79.790097000000003</v>
      </c>
      <c r="L49" s="1">
        <v>3303.31</v>
      </c>
      <c r="M49" s="43" t="s">
        <v>2516</v>
      </c>
      <c r="Q49" t="s">
        <v>185</v>
      </c>
    </row>
    <row r="50" spans="1:17" ht="15" customHeight="1" x14ac:dyDescent="0.25">
      <c r="A50" s="3" t="s">
        <v>1034</v>
      </c>
      <c r="B50" s="4" t="s">
        <v>186</v>
      </c>
      <c r="C50" t="s">
        <v>973</v>
      </c>
      <c r="D50">
        <v>1</v>
      </c>
      <c r="E50" t="s">
        <v>974</v>
      </c>
      <c r="F50" t="s">
        <v>975</v>
      </c>
      <c r="G50" t="s">
        <v>976</v>
      </c>
      <c r="H50" s="1" t="s">
        <v>976</v>
      </c>
      <c r="I50" s="1">
        <v>39.979999999999997</v>
      </c>
      <c r="J50" s="20">
        <v>60</v>
      </c>
      <c r="K50" s="1">
        <v>39.979999999999997</v>
      </c>
      <c r="L50" s="1">
        <v>2398.8000000000002</v>
      </c>
      <c r="M50" s="43" t="s">
        <v>2517</v>
      </c>
      <c r="Q50" t="s">
        <v>186</v>
      </c>
    </row>
    <row r="51" spans="1:17" ht="15" customHeight="1" x14ac:dyDescent="0.25">
      <c r="A51" s="42" t="s">
        <v>1034</v>
      </c>
      <c r="B51" s="3" t="s">
        <v>186</v>
      </c>
      <c r="C51" s="42" t="s">
        <v>973</v>
      </c>
      <c r="D51">
        <v>4</v>
      </c>
      <c r="E51" t="s">
        <v>1018</v>
      </c>
      <c r="F51" t="s">
        <v>975</v>
      </c>
      <c r="G51" t="s">
        <v>976</v>
      </c>
      <c r="H51" s="1" t="s">
        <v>976</v>
      </c>
      <c r="I51" s="1">
        <v>39.979999999999997</v>
      </c>
      <c r="J51" s="20">
        <v>30</v>
      </c>
      <c r="K51" s="1">
        <v>39.979999999999997</v>
      </c>
      <c r="L51" s="1">
        <v>1199.4000000000001</v>
      </c>
      <c r="M51" s="43" t="s">
        <v>2517</v>
      </c>
      <c r="Q51" t="s">
        <v>186</v>
      </c>
    </row>
    <row r="52" spans="1:17" ht="15" customHeight="1" x14ac:dyDescent="0.25">
      <c r="A52" s="3" t="s">
        <v>1035</v>
      </c>
      <c r="B52" s="4" t="s">
        <v>2519</v>
      </c>
      <c r="C52" t="s">
        <v>973</v>
      </c>
      <c r="D52">
        <v>1</v>
      </c>
      <c r="E52" t="s">
        <v>974</v>
      </c>
      <c r="F52" t="s">
        <v>975</v>
      </c>
      <c r="G52" t="s">
        <v>976</v>
      </c>
      <c r="H52" s="1" t="s">
        <v>976</v>
      </c>
      <c r="I52" s="1">
        <v>39.9</v>
      </c>
      <c r="J52" s="20">
        <v>100</v>
      </c>
      <c r="K52" s="1">
        <v>39.9</v>
      </c>
      <c r="L52" s="1">
        <v>3990</v>
      </c>
      <c r="M52" s="43" t="s">
        <v>2518</v>
      </c>
      <c r="O52" s="2" t="s">
        <v>2463</v>
      </c>
      <c r="Q52" t="s">
        <v>613</v>
      </c>
    </row>
    <row r="53" spans="1:17" ht="15" customHeight="1" x14ac:dyDescent="0.25">
      <c r="A53" s="3" t="s">
        <v>1036</v>
      </c>
      <c r="B53" s="4" t="s">
        <v>2521</v>
      </c>
      <c r="C53" t="s">
        <v>973</v>
      </c>
      <c r="D53">
        <v>1</v>
      </c>
      <c r="E53" t="s">
        <v>974</v>
      </c>
      <c r="F53" t="s">
        <v>975</v>
      </c>
      <c r="G53" t="s">
        <v>976</v>
      </c>
      <c r="H53" s="1" t="s">
        <v>976</v>
      </c>
      <c r="I53" s="1">
        <v>39.9</v>
      </c>
      <c r="J53" s="20">
        <v>50</v>
      </c>
      <c r="K53" s="1">
        <v>39.9</v>
      </c>
      <c r="L53" s="1">
        <v>1995</v>
      </c>
      <c r="M53" s="43" t="s">
        <v>2520</v>
      </c>
      <c r="O53" s="2" t="s">
        <v>2508</v>
      </c>
      <c r="Q53" t="s">
        <v>614</v>
      </c>
    </row>
    <row r="54" spans="1:17" ht="15" customHeight="1" x14ac:dyDescent="0.25">
      <c r="A54" s="3" t="s">
        <v>1037</v>
      </c>
      <c r="B54" s="4" t="s">
        <v>2523</v>
      </c>
      <c r="C54" t="s">
        <v>973</v>
      </c>
      <c r="D54">
        <v>1</v>
      </c>
      <c r="E54" t="s">
        <v>974</v>
      </c>
      <c r="F54" t="s">
        <v>975</v>
      </c>
      <c r="G54" t="s">
        <v>976</v>
      </c>
      <c r="H54" s="1" t="s">
        <v>976</v>
      </c>
      <c r="I54" s="1">
        <v>0</v>
      </c>
      <c r="J54" s="20">
        <v>0</v>
      </c>
      <c r="K54" s="1">
        <v>0</v>
      </c>
      <c r="L54" s="1">
        <v>0</v>
      </c>
      <c r="M54" s="43" t="s">
        <v>2522</v>
      </c>
      <c r="O54" s="2" t="s">
        <v>2467</v>
      </c>
      <c r="Q54" t="s">
        <v>615</v>
      </c>
    </row>
    <row r="55" spans="1:17" ht="15" customHeight="1" x14ac:dyDescent="0.25">
      <c r="A55" s="3" t="s">
        <v>1038</v>
      </c>
      <c r="B55" s="4" t="s">
        <v>2525</v>
      </c>
      <c r="C55" t="s">
        <v>976</v>
      </c>
      <c r="D55">
        <v>1</v>
      </c>
      <c r="E55" t="s">
        <v>974</v>
      </c>
      <c r="F55" t="s">
        <v>975</v>
      </c>
      <c r="G55" t="s">
        <v>976</v>
      </c>
      <c r="H55" s="1" t="s">
        <v>976</v>
      </c>
      <c r="I55" s="1">
        <v>59</v>
      </c>
      <c r="J55" s="20">
        <v>3</v>
      </c>
      <c r="K55" s="1">
        <v>56.05</v>
      </c>
      <c r="L55" s="1">
        <v>168.15</v>
      </c>
      <c r="M55" s="43" t="s">
        <v>2524</v>
      </c>
      <c r="O55" s="2" t="s">
        <v>2443</v>
      </c>
      <c r="Q55" t="s">
        <v>187</v>
      </c>
    </row>
    <row r="56" spans="1:17" ht="15" customHeight="1" x14ac:dyDescent="0.25">
      <c r="A56" s="3" t="s">
        <v>1039</v>
      </c>
      <c r="B56" s="4" t="s">
        <v>2527</v>
      </c>
      <c r="C56" t="s">
        <v>973</v>
      </c>
      <c r="D56">
        <v>1</v>
      </c>
      <c r="E56" t="s">
        <v>974</v>
      </c>
      <c r="F56" t="s">
        <v>975</v>
      </c>
      <c r="G56" t="s">
        <v>976</v>
      </c>
      <c r="H56" s="1" t="s">
        <v>976</v>
      </c>
      <c r="I56" s="1">
        <v>59.96</v>
      </c>
      <c r="J56" s="20">
        <v>0</v>
      </c>
      <c r="K56" s="1">
        <v>0</v>
      </c>
      <c r="L56" s="1">
        <v>0</v>
      </c>
      <c r="M56" s="43" t="s">
        <v>2526</v>
      </c>
      <c r="O56" s="2" t="s">
        <v>2447</v>
      </c>
      <c r="Q56" t="s">
        <v>616</v>
      </c>
    </row>
    <row r="57" spans="1:17" ht="15" customHeight="1" x14ac:dyDescent="0.25">
      <c r="A57" s="3" t="s">
        <v>1040</v>
      </c>
      <c r="B57" s="4" t="s">
        <v>2527</v>
      </c>
      <c r="C57" t="s">
        <v>973</v>
      </c>
      <c r="D57">
        <v>1</v>
      </c>
      <c r="E57" t="s">
        <v>974</v>
      </c>
      <c r="F57" t="s">
        <v>975</v>
      </c>
      <c r="G57" t="s">
        <v>976</v>
      </c>
      <c r="H57" s="1" t="s">
        <v>976</v>
      </c>
      <c r="I57" s="1">
        <v>59.96</v>
      </c>
      <c r="J57" s="20">
        <v>0</v>
      </c>
      <c r="K57" s="1">
        <v>0</v>
      </c>
      <c r="L57" s="1">
        <v>0</v>
      </c>
      <c r="M57" s="43" t="s">
        <v>2526</v>
      </c>
      <c r="O57" s="2" t="s">
        <v>2482</v>
      </c>
      <c r="Q57" t="s">
        <v>617</v>
      </c>
    </row>
    <row r="58" spans="1:17" ht="15" customHeight="1" x14ac:dyDescent="0.25">
      <c r="A58" s="3" t="s">
        <v>1041</v>
      </c>
      <c r="B58" s="4" t="s">
        <v>2527</v>
      </c>
      <c r="C58" t="s">
        <v>973</v>
      </c>
      <c r="D58">
        <v>1</v>
      </c>
      <c r="E58" t="s">
        <v>974</v>
      </c>
      <c r="F58" t="s">
        <v>975</v>
      </c>
      <c r="G58" t="s">
        <v>976</v>
      </c>
      <c r="H58" s="1" t="s">
        <v>976</v>
      </c>
      <c r="I58" s="1">
        <v>59.96</v>
      </c>
      <c r="J58" s="20">
        <v>0</v>
      </c>
      <c r="K58" s="1">
        <v>0</v>
      </c>
      <c r="L58" s="1">
        <v>0</v>
      </c>
      <c r="M58" s="43" t="s">
        <v>2526</v>
      </c>
      <c r="O58" s="2" t="s">
        <v>2528</v>
      </c>
      <c r="Q58" t="s">
        <v>618</v>
      </c>
    </row>
    <row r="59" spans="1:17" ht="15" customHeight="1" x14ac:dyDescent="0.25">
      <c r="A59" s="3" t="s">
        <v>2208</v>
      </c>
      <c r="B59" s="4" t="s">
        <v>544</v>
      </c>
      <c r="C59" t="s">
        <v>973</v>
      </c>
      <c r="D59">
        <v>1</v>
      </c>
      <c r="E59" t="s">
        <v>974</v>
      </c>
      <c r="F59" t="s">
        <v>975</v>
      </c>
      <c r="G59" t="s">
        <v>976</v>
      </c>
      <c r="H59" s="1" t="s">
        <v>976</v>
      </c>
      <c r="I59" s="1">
        <v>59.96</v>
      </c>
      <c r="J59" s="20">
        <v>0</v>
      </c>
      <c r="K59" s="1">
        <v>0</v>
      </c>
      <c r="L59" s="1">
        <v>0</v>
      </c>
      <c r="M59" s="43" t="s">
        <v>2526</v>
      </c>
      <c r="Q59" t="s">
        <v>544</v>
      </c>
    </row>
    <row r="60" spans="1:17" ht="15" customHeight="1" x14ac:dyDescent="0.25">
      <c r="A60" s="3" t="s">
        <v>1042</v>
      </c>
      <c r="B60" s="4" t="s">
        <v>2527</v>
      </c>
      <c r="C60" t="s">
        <v>973</v>
      </c>
      <c r="D60">
        <v>1</v>
      </c>
      <c r="E60" t="s">
        <v>974</v>
      </c>
      <c r="F60" t="s">
        <v>975</v>
      </c>
      <c r="G60" t="s">
        <v>976</v>
      </c>
      <c r="H60" s="1" t="s">
        <v>976</v>
      </c>
      <c r="I60" s="1">
        <v>59.96</v>
      </c>
      <c r="J60" s="20">
        <v>44</v>
      </c>
      <c r="K60" s="1">
        <v>59.96</v>
      </c>
      <c r="L60" s="1">
        <v>2638.24</v>
      </c>
      <c r="M60" s="43" t="s">
        <v>2526</v>
      </c>
      <c r="O60" s="2" t="s">
        <v>2472</v>
      </c>
      <c r="Q60" t="s">
        <v>619</v>
      </c>
    </row>
    <row r="61" spans="1:17" ht="15" customHeight="1" x14ac:dyDescent="0.25">
      <c r="A61" s="3" t="s">
        <v>1043</v>
      </c>
      <c r="B61" s="4" t="s">
        <v>188</v>
      </c>
      <c r="C61" t="s">
        <v>973</v>
      </c>
      <c r="D61">
        <v>1</v>
      </c>
      <c r="E61" t="s">
        <v>974</v>
      </c>
      <c r="F61" t="s">
        <v>975</v>
      </c>
      <c r="G61" t="s">
        <v>1021</v>
      </c>
      <c r="H61" s="1" t="s">
        <v>976</v>
      </c>
      <c r="I61" s="1">
        <v>68.400000000000006</v>
      </c>
      <c r="J61" s="20">
        <v>0</v>
      </c>
      <c r="K61" s="1">
        <v>0</v>
      </c>
      <c r="L61" s="1">
        <v>0</v>
      </c>
      <c r="M61" s="43" t="s">
        <v>2529</v>
      </c>
      <c r="Q61" t="s">
        <v>188</v>
      </c>
    </row>
    <row r="62" spans="1:17" ht="15" customHeight="1" x14ac:dyDescent="0.25">
      <c r="A62" s="3" t="s">
        <v>1044</v>
      </c>
      <c r="B62" s="4" t="s">
        <v>2530</v>
      </c>
      <c r="C62" t="s">
        <v>973</v>
      </c>
      <c r="D62">
        <v>1</v>
      </c>
      <c r="E62" t="s">
        <v>974</v>
      </c>
      <c r="F62" t="s">
        <v>975</v>
      </c>
      <c r="G62" t="s">
        <v>1021</v>
      </c>
      <c r="H62" s="1" t="s">
        <v>976</v>
      </c>
      <c r="I62" s="1">
        <v>68.400000000000006</v>
      </c>
      <c r="J62" s="20">
        <v>0</v>
      </c>
      <c r="K62" s="1">
        <v>0</v>
      </c>
      <c r="L62" s="1">
        <v>0</v>
      </c>
      <c r="M62" s="43" t="s">
        <v>2529</v>
      </c>
      <c r="O62" s="2" t="s">
        <v>2482</v>
      </c>
      <c r="Q62" t="s">
        <v>620</v>
      </c>
    </row>
    <row r="63" spans="1:17" ht="15" customHeight="1" x14ac:dyDescent="0.25">
      <c r="A63" s="3" t="s">
        <v>1045</v>
      </c>
      <c r="B63" s="4" t="s">
        <v>2530</v>
      </c>
      <c r="C63" t="s">
        <v>973</v>
      </c>
      <c r="D63">
        <v>1</v>
      </c>
      <c r="E63" t="s">
        <v>974</v>
      </c>
      <c r="F63" t="s">
        <v>975</v>
      </c>
      <c r="G63" t="s">
        <v>1021</v>
      </c>
      <c r="H63" s="1" t="s">
        <v>976</v>
      </c>
      <c r="I63" s="1">
        <v>68.400000000000006</v>
      </c>
      <c r="J63" s="20">
        <v>0</v>
      </c>
      <c r="K63" s="1">
        <v>0</v>
      </c>
      <c r="L63" s="1">
        <v>0</v>
      </c>
      <c r="M63" s="43" t="s">
        <v>2529</v>
      </c>
      <c r="O63" s="2" t="s">
        <v>2472</v>
      </c>
      <c r="Q63" t="s">
        <v>621</v>
      </c>
    </row>
    <row r="64" spans="1:17" ht="15" customHeight="1" x14ac:dyDescent="0.25">
      <c r="A64" s="3" t="s">
        <v>1046</v>
      </c>
      <c r="B64" s="4" t="s">
        <v>2532</v>
      </c>
      <c r="C64" t="s">
        <v>973</v>
      </c>
      <c r="D64">
        <v>1</v>
      </c>
      <c r="E64" t="s">
        <v>974</v>
      </c>
      <c r="F64" t="s">
        <v>975</v>
      </c>
      <c r="G64" t="s">
        <v>1021</v>
      </c>
      <c r="H64" s="1" t="s">
        <v>976</v>
      </c>
      <c r="I64" s="1">
        <v>72.58</v>
      </c>
      <c r="J64" s="20">
        <v>1.5</v>
      </c>
      <c r="K64" s="1">
        <v>72.58</v>
      </c>
      <c r="L64" s="1">
        <v>108.87</v>
      </c>
      <c r="M64" s="43" t="s">
        <v>2531</v>
      </c>
      <c r="O64" s="2" t="s">
        <v>2482</v>
      </c>
      <c r="Q64" t="s">
        <v>622</v>
      </c>
    </row>
    <row r="65" spans="1:17" ht="15" customHeight="1" x14ac:dyDescent="0.25">
      <c r="A65" s="3" t="s">
        <v>1047</v>
      </c>
      <c r="B65" s="4" t="s">
        <v>2533</v>
      </c>
      <c r="C65" t="s">
        <v>973</v>
      </c>
      <c r="D65">
        <v>1</v>
      </c>
      <c r="E65" t="s">
        <v>974</v>
      </c>
      <c r="F65" t="s">
        <v>975</v>
      </c>
      <c r="G65" t="s">
        <v>1021</v>
      </c>
      <c r="H65" s="1" t="s">
        <v>976</v>
      </c>
      <c r="I65" s="1">
        <v>72.58</v>
      </c>
      <c r="J65" s="20">
        <v>0</v>
      </c>
      <c r="K65" s="1">
        <v>0</v>
      </c>
      <c r="L65" s="1">
        <v>0</v>
      </c>
      <c r="M65" s="43" t="s">
        <v>2531</v>
      </c>
      <c r="O65" s="2" t="s">
        <v>2528</v>
      </c>
      <c r="Q65" t="s">
        <v>623</v>
      </c>
    </row>
    <row r="66" spans="1:17" ht="15" customHeight="1" x14ac:dyDescent="0.25">
      <c r="A66" s="3" t="s">
        <v>1048</v>
      </c>
      <c r="B66" s="4" t="s">
        <v>2533</v>
      </c>
      <c r="C66" t="s">
        <v>973</v>
      </c>
      <c r="D66">
        <v>1</v>
      </c>
      <c r="E66" t="s">
        <v>974</v>
      </c>
      <c r="F66" t="s">
        <v>975</v>
      </c>
      <c r="G66" t="s">
        <v>1021</v>
      </c>
      <c r="H66" s="1" t="s">
        <v>976</v>
      </c>
      <c r="I66" s="1">
        <v>72.58</v>
      </c>
      <c r="J66" s="20">
        <v>0</v>
      </c>
      <c r="K66" s="1">
        <v>0</v>
      </c>
      <c r="L66" s="1">
        <v>0</v>
      </c>
      <c r="M66" s="43" t="s">
        <v>2534</v>
      </c>
      <c r="O66" s="2" t="s">
        <v>2447</v>
      </c>
      <c r="Q66" t="s">
        <v>624</v>
      </c>
    </row>
    <row r="67" spans="1:17" ht="15" customHeight="1" x14ac:dyDescent="0.25">
      <c r="A67" s="3" t="s">
        <v>1049</v>
      </c>
      <c r="B67" s="4" t="s">
        <v>189</v>
      </c>
      <c r="C67" t="s">
        <v>973</v>
      </c>
      <c r="D67">
        <v>1</v>
      </c>
      <c r="E67" t="s">
        <v>974</v>
      </c>
      <c r="F67" t="s">
        <v>975</v>
      </c>
      <c r="G67" t="s">
        <v>1021</v>
      </c>
      <c r="H67" s="1" t="s">
        <v>976</v>
      </c>
      <c r="I67" s="1">
        <v>72.58</v>
      </c>
      <c r="J67" s="20">
        <v>0</v>
      </c>
      <c r="K67" s="1">
        <v>0</v>
      </c>
      <c r="L67" s="1">
        <v>0</v>
      </c>
      <c r="M67" s="43" t="s">
        <v>2534</v>
      </c>
      <c r="Q67" t="s">
        <v>189</v>
      </c>
    </row>
    <row r="68" spans="1:17" ht="15" customHeight="1" x14ac:dyDescent="0.25">
      <c r="A68" s="3" t="s">
        <v>1050</v>
      </c>
      <c r="B68" s="4" t="s">
        <v>2532</v>
      </c>
      <c r="C68" t="s">
        <v>973</v>
      </c>
      <c r="D68">
        <v>1</v>
      </c>
      <c r="E68" t="s">
        <v>974</v>
      </c>
      <c r="F68" t="s">
        <v>975</v>
      </c>
      <c r="G68" t="s">
        <v>1021</v>
      </c>
      <c r="H68" s="1" t="s">
        <v>976</v>
      </c>
      <c r="I68" s="1">
        <v>72.58</v>
      </c>
      <c r="J68" s="20">
        <v>0</v>
      </c>
      <c r="K68" s="1">
        <v>0</v>
      </c>
      <c r="L68" s="1">
        <v>0</v>
      </c>
      <c r="M68" s="43" t="s">
        <v>2534</v>
      </c>
      <c r="O68" s="2" t="s">
        <v>2472</v>
      </c>
      <c r="Q68" t="s">
        <v>625</v>
      </c>
    </row>
    <row r="69" spans="1:17" ht="15" customHeight="1" x14ac:dyDescent="0.25">
      <c r="A69" s="3" t="s">
        <v>1051</v>
      </c>
      <c r="B69" s="4" t="s">
        <v>2532</v>
      </c>
      <c r="C69" t="s">
        <v>973</v>
      </c>
      <c r="D69">
        <v>1</v>
      </c>
      <c r="E69" t="s">
        <v>974</v>
      </c>
      <c r="F69" t="s">
        <v>975</v>
      </c>
      <c r="G69" t="s">
        <v>1021</v>
      </c>
      <c r="H69" s="1" t="s">
        <v>976</v>
      </c>
      <c r="I69" s="1">
        <v>72.58</v>
      </c>
      <c r="J69" s="20">
        <v>0</v>
      </c>
      <c r="K69" s="1">
        <v>0</v>
      </c>
      <c r="L69" s="1">
        <v>0</v>
      </c>
      <c r="M69" s="43" t="s">
        <v>2534</v>
      </c>
      <c r="O69" s="2" t="s">
        <v>2463</v>
      </c>
      <c r="Q69" t="s">
        <v>626</v>
      </c>
    </row>
    <row r="70" spans="1:17" ht="15" customHeight="1" x14ac:dyDescent="0.25">
      <c r="A70" s="3" t="s">
        <v>1052</v>
      </c>
      <c r="B70" s="4" t="s">
        <v>2533</v>
      </c>
      <c r="C70" t="s">
        <v>973</v>
      </c>
      <c r="D70">
        <v>1</v>
      </c>
      <c r="E70" t="s">
        <v>974</v>
      </c>
      <c r="F70" t="s">
        <v>975</v>
      </c>
      <c r="G70" t="s">
        <v>1021</v>
      </c>
      <c r="H70" s="1" t="s">
        <v>976</v>
      </c>
      <c r="I70" s="1">
        <v>72.58</v>
      </c>
      <c r="J70" s="20">
        <v>0</v>
      </c>
      <c r="K70" s="1">
        <v>72.58</v>
      </c>
      <c r="L70" s="1">
        <v>0</v>
      </c>
      <c r="M70" s="43" t="s">
        <v>2534</v>
      </c>
      <c r="O70" s="2" t="s">
        <v>2535</v>
      </c>
      <c r="Q70" t="s">
        <v>627</v>
      </c>
    </row>
    <row r="71" spans="1:17" ht="15" customHeight="1" x14ac:dyDescent="0.25">
      <c r="A71" s="3" t="s">
        <v>1053</v>
      </c>
      <c r="B71" s="4" t="s">
        <v>2537</v>
      </c>
      <c r="C71" t="s">
        <v>973</v>
      </c>
      <c r="D71">
        <v>1</v>
      </c>
      <c r="E71" t="s">
        <v>974</v>
      </c>
      <c r="F71" t="s">
        <v>975</v>
      </c>
      <c r="G71" t="s">
        <v>1021</v>
      </c>
      <c r="H71" s="1" t="s">
        <v>976</v>
      </c>
      <c r="I71" s="1">
        <v>68.98</v>
      </c>
      <c r="J71" s="20">
        <v>-7.5</v>
      </c>
      <c r="K71" s="1">
        <v>0</v>
      </c>
      <c r="L71" s="1">
        <v>0</v>
      </c>
      <c r="M71" s="43" t="s">
        <v>2536</v>
      </c>
      <c r="O71" s="2" t="s">
        <v>2447</v>
      </c>
      <c r="Q71" t="s">
        <v>628</v>
      </c>
    </row>
    <row r="72" spans="1:17" ht="15" customHeight="1" x14ac:dyDescent="0.25">
      <c r="A72" s="3" t="s">
        <v>1054</v>
      </c>
      <c r="B72" s="4" t="s">
        <v>2537</v>
      </c>
      <c r="C72" t="s">
        <v>973</v>
      </c>
      <c r="D72">
        <v>1</v>
      </c>
      <c r="E72" t="s">
        <v>974</v>
      </c>
      <c r="F72" t="s">
        <v>975</v>
      </c>
      <c r="G72" t="s">
        <v>1021</v>
      </c>
      <c r="H72" s="1" t="s">
        <v>976</v>
      </c>
      <c r="I72" s="1">
        <v>68.98</v>
      </c>
      <c r="J72" s="20">
        <v>-5</v>
      </c>
      <c r="K72" s="1">
        <v>0</v>
      </c>
      <c r="L72" s="1">
        <v>0</v>
      </c>
      <c r="M72" s="43" t="s">
        <v>2536</v>
      </c>
      <c r="O72" s="2" t="s">
        <v>2472</v>
      </c>
      <c r="Q72" t="s">
        <v>629</v>
      </c>
    </row>
    <row r="73" spans="1:17" ht="15" customHeight="1" x14ac:dyDescent="0.25">
      <c r="A73" s="3" t="s">
        <v>1055</v>
      </c>
      <c r="B73" s="4" t="s">
        <v>2537</v>
      </c>
      <c r="C73" t="s">
        <v>973</v>
      </c>
      <c r="D73">
        <v>1</v>
      </c>
      <c r="E73" t="s">
        <v>974</v>
      </c>
      <c r="F73" t="s">
        <v>975</v>
      </c>
      <c r="G73" t="s">
        <v>1021</v>
      </c>
      <c r="H73" s="1" t="s">
        <v>976</v>
      </c>
      <c r="I73" s="1">
        <v>68.98</v>
      </c>
      <c r="J73" s="20">
        <v>-4</v>
      </c>
      <c r="K73" s="1">
        <v>0</v>
      </c>
      <c r="L73" s="1">
        <v>0</v>
      </c>
      <c r="M73" s="43" t="s">
        <v>2536</v>
      </c>
      <c r="O73" s="2" t="s">
        <v>2463</v>
      </c>
      <c r="Q73" t="s">
        <v>630</v>
      </c>
    </row>
    <row r="74" spans="1:17" ht="15" customHeight="1" x14ac:dyDescent="0.25">
      <c r="A74" s="3" t="s">
        <v>2033</v>
      </c>
      <c r="B74" s="4" t="s">
        <v>474</v>
      </c>
      <c r="C74" t="s">
        <v>973</v>
      </c>
      <c r="D74">
        <v>1</v>
      </c>
      <c r="E74" t="s">
        <v>974</v>
      </c>
      <c r="F74" t="s">
        <v>975</v>
      </c>
      <c r="G74" t="s">
        <v>1010</v>
      </c>
      <c r="H74" s="1" t="s">
        <v>976</v>
      </c>
      <c r="I74" s="1">
        <v>22.7</v>
      </c>
      <c r="J74" s="20">
        <v>0</v>
      </c>
      <c r="K74" s="1">
        <v>23.8</v>
      </c>
      <c r="L74" s="1">
        <v>0</v>
      </c>
      <c r="M74" s="43" t="s">
        <v>2538</v>
      </c>
      <c r="Q74" t="s">
        <v>474</v>
      </c>
    </row>
    <row r="75" spans="1:17" ht="15" customHeight="1" x14ac:dyDescent="0.25">
      <c r="A75" s="3" t="s">
        <v>2034</v>
      </c>
      <c r="B75" s="4" t="s">
        <v>475</v>
      </c>
      <c r="C75" t="s">
        <v>973</v>
      </c>
      <c r="D75">
        <v>1</v>
      </c>
      <c r="E75" t="s">
        <v>974</v>
      </c>
      <c r="F75" t="s">
        <v>975</v>
      </c>
      <c r="G75" t="s">
        <v>1010</v>
      </c>
      <c r="H75" s="1" t="s">
        <v>976</v>
      </c>
      <c r="I75" s="1">
        <v>23.8</v>
      </c>
      <c r="J75" s="20">
        <v>21</v>
      </c>
      <c r="K75" s="1">
        <v>23.8</v>
      </c>
      <c r="L75" s="1">
        <v>499.8</v>
      </c>
      <c r="M75" s="43" t="s">
        <v>2539</v>
      </c>
      <c r="Q75" t="s">
        <v>475</v>
      </c>
    </row>
    <row r="76" spans="1:17" ht="15" customHeight="1" x14ac:dyDescent="0.25">
      <c r="A76" s="3" t="s">
        <v>2035</v>
      </c>
      <c r="B76" s="4" t="s">
        <v>2541</v>
      </c>
      <c r="C76" t="s">
        <v>973</v>
      </c>
      <c r="D76">
        <v>1</v>
      </c>
      <c r="E76" t="s">
        <v>974</v>
      </c>
      <c r="F76" t="s">
        <v>975</v>
      </c>
      <c r="G76" t="s">
        <v>1010</v>
      </c>
      <c r="H76" s="1" t="s">
        <v>976</v>
      </c>
      <c r="I76" s="1">
        <v>59</v>
      </c>
      <c r="J76" s="20">
        <v>0</v>
      </c>
      <c r="K76" s="1">
        <v>0</v>
      </c>
      <c r="L76" s="1">
        <v>0</v>
      </c>
      <c r="M76" s="43" t="s">
        <v>2540</v>
      </c>
      <c r="O76" s="2" t="s">
        <v>2463</v>
      </c>
      <c r="Q76" t="s">
        <v>631</v>
      </c>
    </row>
    <row r="77" spans="1:17" ht="15" customHeight="1" x14ac:dyDescent="0.25">
      <c r="A77" s="3" t="s">
        <v>2036</v>
      </c>
      <c r="B77" s="4" t="s">
        <v>2541</v>
      </c>
      <c r="C77" t="s">
        <v>973</v>
      </c>
      <c r="D77">
        <v>1</v>
      </c>
      <c r="E77" t="s">
        <v>974</v>
      </c>
      <c r="F77" t="s">
        <v>975</v>
      </c>
      <c r="G77" t="s">
        <v>1010</v>
      </c>
      <c r="H77" s="1" t="s">
        <v>976</v>
      </c>
      <c r="I77" s="1">
        <v>58.5</v>
      </c>
      <c r="J77" s="20">
        <v>58.5</v>
      </c>
      <c r="K77" s="1">
        <v>23.6</v>
      </c>
      <c r="L77" s="1">
        <v>1380.6</v>
      </c>
      <c r="M77" s="43" t="s">
        <v>2542</v>
      </c>
      <c r="O77" s="2" t="s">
        <v>2463</v>
      </c>
      <c r="Q77" t="s">
        <v>631</v>
      </c>
    </row>
    <row r="78" spans="1:17" ht="15" customHeight="1" x14ac:dyDescent="0.25">
      <c r="A78" s="3" t="s">
        <v>2037</v>
      </c>
      <c r="B78" s="4" t="s">
        <v>2544</v>
      </c>
      <c r="C78" t="s">
        <v>973</v>
      </c>
      <c r="D78">
        <v>1</v>
      </c>
      <c r="E78" t="s">
        <v>974</v>
      </c>
      <c r="F78" t="s">
        <v>975</v>
      </c>
      <c r="G78" t="s">
        <v>976</v>
      </c>
      <c r="H78" s="1" t="s">
        <v>976</v>
      </c>
      <c r="I78" s="1">
        <v>28.4</v>
      </c>
      <c r="J78" s="20">
        <v>111.2</v>
      </c>
      <c r="K78" s="1">
        <v>28.4</v>
      </c>
      <c r="L78" s="1">
        <v>3158.08</v>
      </c>
      <c r="M78" s="43" t="s">
        <v>2543</v>
      </c>
      <c r="O78" s="2" t="s">
        <v>2467</v>
      </c>
      <c r="Q78" t="s">
        <v>632</v>
      </c>
    </row>
    <row r="79" spans="1:17" ht="15" customHeight="1" x14ac:dyDescent="0.25">
      <c r="A79" s="3" t="s">
        <v>2038</v>
      </c>
      <c r="B79" s="4" t="s">
        <v>2546</v>
      </c>
      <c r="C79" t="s">
        <v>973</v>
      </c>
      <c r="D79">
        <v>1</v>
      </c>
      <c r="E79" t="s">
        <v>974</v>
      </c>
      <c r="F79" t="s">
        <v>975</v>
      </c>
      <c r="G79" t="s">
        <v>976</v>
      </c>
      <c r="H79" s="1" t="s">
        <v>976</v>
      </c>
      <c r="I79" s="1">
        <v>29.9</v>
      </c>
      <c r="J79" s="20">
        <v>117.5</v>
      </c>
      <c r="K79" s="1">
        <v>29.9</v>
      </c>
      <c r="L79" s="1">
        <v>3513.25</v>
      </c>
      <c r="M79" s="43" t="s">
        <v>2545</v>
      </c>
      <c r="O79" s="2" t="s">
        <v>2463</v>
      </c>
      <c r="Q79" t="s">
        <v>633</v>
      </c>
    </row>
    <row r="80" spans="1:17" ht="15" customHeight="1" x14ac:dyDescent="0.25">
      <c r="A80" s="3" t="s">
        <v>2039</v>
      </c>
      <c r="B80" s="4" t="s">
        <v>2544</v>
      </c>
      <c r="C80" t="s">
        <v>973</v>
      </c>
      <c r="D80">
        <v>1</v>
      </c>
      <c r="E80" t="s">
        <v>974</v>
      </c>
      <c r="F80" t="s">
        <v>975</v>
      </c>
      <c r="G80" t="s">
        <v>976</v>
      </c>
      <c r="H80" s="1" t="s">
        <v>976</v>
      </c>
      <c r="I80" s="1">
        <v>29.9</v>
      </c>
      <c r="J80" s="20">
        <v>112.1</v>
      </c>
      <c r="K80" s="1">
        <v>29.9</v>
      </c>
      <c r="L80" s="1">
        <v>3351.79</v>
      </c>
      <c r="M80" s="43" t="s">
        <v>2547</v>
      </c>
      <c r="O80" s="2" t="s">
        <v>2467</v>
      </c>
      <c r="Q80" t="s">
        <v>632</v>
      </c>
    </row>
    <row r="81" spans="1:17" ht="15" customHeight="1" x14ac:dyDescent="0.25">
      <c r="A81" s="3" t="s">
        <v>2040</v>
      </c>
      <c r="B81" s="4" t="s">
        <v>2549</v>
      </c>
      <c r="C81" t="s">
        <v>973</v>
      </c>
      <c r="D81">
        <v>1</v>
      </c>
      <c r="E81" t="s">
        <v>974</v>
      </c>
      <c r="F81" t="s">
        <v>975</v>
      </c>
      <c r="G81" t="s">
        <v>1010</v>
      </c>
      <c r="H81" s="1" t="s">
        <v>976</v>
      </c>
      <c r="I81" s="1">
        <v>34.6</v>
      </c>
      <c r="J81" s="20">
        <v>60</v>
      </c>
      <c r="K81" s="1">
        <v>34.6</v>
      </c>
      <c r="L81" s="1">
        <v>2076</v>
      </c>
      <c r="M81" s="43" t="s">
        <v>2548</v>
      </c>
      <c r="O81" s="2" t="s">
        <v>2447</v>
      </c>
      <c r="Q81" t="s">
        <v>634</v>
      </c>
    </row>
    <row r="82" spans="1:17" ht="15" customHeight="1" x14ac:dyDescent="0.25">
      <c r="A82" s="3" t="s">
        <v>2041</v>
      </c>
      <c r="B82" s="4" t="s">
        <v>2549</v>
      </c>
      <c r="C82" t="s">
        <v>973</v>
      </c>
      <c r="D82">
        <v>1</v>
      </c>
      <c r="E82" t="s">
        <v>974</v>
      </c>
      <c r="F82" t="s">
        <v>975</v>
      </c>
      <c r="G82" t="s">
        <v>1010</v>
      </c>
      <c r="H82" s="1" t="s">
        <v>976</v>
      </c>
      <c r="I82" s="1">
        <v>34.6</v>
      </c>
      <c r="J82" s="20">
        <v>60</v>
      </c>
      <c r="K82" s="1">
        <v>34.6</v>
      </c>
      <c r="L82" s="1">
        <v>2076</v>
      </c>
      <c r="M82" s="43" t="s">
        <v>2550</v>
      </c>
      <c r="O82" s="2" t="s">
        <v>2535</v>
      </c>
      <c r="Q82" t="s">
        <v>635</v>
      </c>
    </row>
    <row r="83" spans="1:17" ht="15" customHeight="1" x14ac:dyDescent="0.25">
      <c r="A83" s="3" t="s">
        <v>2245</v>
      </c>
      <c r="B83" s="4" t="s">
        <v>2552</v>
      </c>
      <c r="C83" t="s">
        <v>973</v>
      </c>
      <c r="D83">
        <v>1</v>
      </c>
      <c r="E83" t="s">
        <v>974</v>
      </c>
      <c r="F83" t="s">
        <v>975</v>
      </c>
      <c r="G83" t="s">
        <v>976</v>
      </c>
      <c r="H83" s="1" t="s">
        <v>976</v>
      </c>
      <c r="I83" s="1">
        <v>43.9</v>
      </c>
      <c r="J83" s="20">
        <v>4.5</v>
      </c>
      <c r="K83" s="1">
        <v>41.704999999999998</v>
      </c>
      <c r="L83" s="1">
        <v>187.67</v>
      </c>
      <c r="M83" s="43" t="s">
        <v>2551</v>
      </c>
      <c r="O83" s="2" t="s">
        <v>2482</v>
      </c>
      <c r="Q83" t="s">
        <v>636</v>
      </c>
    </row>
    <row r="84" spans="1:17" ht="15" customHeight="1" x14ac:dyDescent="0.25">
      <c r="A84" s="42" t="s">
        <v>2245</v>
      </c>
      <c r="B84" s="3" t="s">
        <v>2552</v>
      </c>
      <c r="C84" s="42" t="s">
        <v>973</v>
      </c>
      <c r="D84">
        <v>4</v>
      </c>
      <c r="E84" t="s">
        <v>1018</v>
      </c>
      <c r="F84" t="s">
        <v>975</v>
      </c>
      <c r="G84" t="s">
        <v>976</v>
      </c>
      <c r="H84" s="1" t="s">
        <v>976</v>
      </c>
      <c r="I84" s="1">
        <v>43.9</v>
      </c>
      <c r="J84" s="20">
        <v>0</v>
      </c>
      <c r="K84" s="1">
        <v>43.9</v>
      </c>
      <c r="L84" s="1">
        <v>0</v>
      </c>
      <c r="M84" s="43" t="s">
        <v>2551</v>
      </c>
      <c r="O84" s="2" t="s">
        <v>2482</v>
      </c>
      <c r="Q84" t="s">
        <v>636</v>
      </c>
    </row>
    <row r="85" spans="1:17" ht="15" customHeight="1" x14ac:dyDescent="0.25">
      <c r="A85" s="3" t="s">
        <v>1056</v>
      </c>
      <c r="B85" s="4" t="s">
        <v>190</v>
      </c>
      <c r="C85" t="s">
        <v>973</v>
      </c>
      <c r="D85">
        <v>1</v>
      </c>
      <c r="E85" t="s">
        <v>974</v>
      </c>
      <c r="F85" t="s">
        <v>975</v>
      </c>
      <c r="G85" t="s">
        <v>976</v>
      </c>
      <c r="H85" s="1" t="s">
        <v>976</v>
      </c>
      <c r="I85" s="1">
        <v>51.42</v>
      </c>
      <c r="J85" s="20">
        <v>0</v>
      </c>
      <c r="K85" s="1">
        <v>51.42</v>
      </c>
      <c r="L85" s="1">
        <v>0</v>
      </c>
      <c r="M85" s="43" t="s">
        <v>2553</v>
      </c>
      <c r="Q85" t="s">
        <v>190</v>
      </c>
    </row>
    <row r="86" spans="1:17" ht="15" customHeight="1" x14ac:dyDescent="0.25">
      <c r="A86" s="3" t="s">
        <v>2042</v>
      </c>
      <c r="B86" s="4" t="s">
        <v>476</v>
      </c>
      <c r="C86" t="s">
        <v>973</v>
      </c>
      <c r="D86">
        <v>1</v>
      </c>
      <c r="E86" t="s">
        <v>974</v>
      </c>
      <c r="F86" t="s">
        <v>975</v>
      </c>
      <c r="G86" t="s">
        <v>976</v>
      </c>
      <c r="H86" s="1" t="s">
        <v>976</v>
      </c>
      <c r="I86" s="1">
        <v>75</v>
      </c>
      <c r="J86" s="20">
        <v>60.5</v>
      </c>
      <c r="K86" s="1">
        <v>71.652891999999994</v>
      </c>
      <c r="L86" s="1">
        <v>4335</v>
      </c>
      <c r="M86" s="43" t="s">
        <v>2554</v>
      </c>
      <c r="Q86" t="s">
        <v>476</v>
      </c>
    </row>
    <row r="87" spans="1:17" ht="15" customHeight="1" x14ac:dyDescent="0.25">
      <c r="A87" s="3" t="s">
        <v>1057</v>
      </c>
      <c r="B87" s="4" t="s">
        <v>2556</v>
      </c>
      <c r="C87" t="s">
        <v>973</v>
      </c>
      <c r="D87">
        <v>1</v>
      </c>
      <c r="E87" t="s">
        <v>974</v>
      </c>
      <c r="F87" t="s">
        <v>975</v>
      </c>
      <c r="G87" t="s">
        <v>976</v>
      </c>
      <c r="H87" s="1" t="s">
        <v>976</v>
      </c>
      <c r="I87" s="1">
        <v>66</v>
      </c>
      <c r="J87" s="20">
        <v>7.9</v>
      </c>
      <c r="K87" s="1">
        <v>66</v>
      </c>
      <c r="L87" s="1">
        <v>521.4</v>
      </c>
      <c r="M87" s="43" t="s">
        <v>2555</v>
      </c>
      <c r="O87" s="2" t="s">
        <v>2472</v>
      </c>
      <c r="Q87" t="s">
        <v>637</v>
      </c>
    </row>
    <row r="88" spans="1:17" ht="15" customHeight="1" x14ac:dyDescent="0.25">
      <c r="A88" s="42" t="s">
        <v>1057</v>
      </c>
      <c r="B88" s="3" t="s">
        <v>2556</v>
      </c>
      <c r="C88" s="42" t="s">
        <v>973</v>
      </c>
      <c r="D88">
        <v>4</v>
      </c>
      <c r="E88" t="s">
        <v>1018</v>
      </c>
      <c r="F88" t="s">
        <v>975</v>
      </c>
      <c r="G88" t="s">
        <v>976</v>
      </c>
      <c r="H88" s="1" t="s">
        <v>976</v>
      </c>
      <c r="I88" s="1">
        <v>66</v>
      </c>
      <c r="J88" s="20">
        <v>61.4</v>
      </c>
      <c r="K88" s="1">
        <v>66</v>
      </c>
      <c r="L88" s="1">
        <v>4052.4</v>
      </c>
      <c r="M88" s="43" t="s">
        <v>2555</v>
      </c>
      <c r="O88" s="2" t="s">
        <v>2472</v>
      </c>
      <c r="Q88" t="s">
        <v>637</v>
      </c>
    </row>
    <row r="89" spans="1:17" ht="15" customHeight="1" x14ac:dyDescent="0.25">
      <c r="A89" s="3" t="s">
        <v>2209</v>
      </c>
      <c r="B89" s="4" t="s">
        <v>545</v>
      </c>
      <c r="C89" t="s">
        <v>973</v>
      </c>
      <c r="D89">
        <v>1</v>
      </c>
      <c r="E89" t="s">
        <v>974</v>
      </c>
      <c r="F89" t="s">
        <v>975</v>
      </c>
      <c r="G89" t="s">
        <v>976</v>
      </c>
      <c r="H89" s="1" t="s">
        <v>976</v>
      </c>
      <c r="I89" s="1">
        <v>66</v>
      </c>
      <c r="J89" s="20">
        <v>19</v>
      </c>
      <c r="K89" s="1">
        <v>66</v>
      </c>
      <c r="L89" s="1">
        <v>1254</v>
      </c>
      <c r="M89" s="43" t="s">
        <v>2557</v>
      </c>
      <c r="Q89" t="s">
        <v>545</v>
      </c>
    </row>
    <row r="90" spans="1:17" ht="15" customHeight="1" x14ac:dyDescent="0.25">
      <c r="A90" s="3" t="s">
        <v>2043</v>
      </c>
      <c r="B90" s="4" t="s">
        <v>2559</v>
      </c>
      <c r="C90" t="s">
        <v>973</v>
      </c>
      <c r="D90">
        <v>1</v>
      </c>
      <c r="E90" t="s">
        <v>974</v>
      </c>
      <c r="F90" t="s">
        <v>975</v>
      </c>
      <c r="G90" t="s">
        <v>976</v>
      </c>
      <c r="H90" s="1" t="s">
        <v>976</v>
      </c>
      <c r="I90" s="1">
        <v>85.9</v>
      </c>
      <c r="J90" s="20">
        <v>0</v>
      </c>
      <c r="K90" s="1">
        <v>0</v>
      </c>
      <c r="L90" s="1">
        <v>0</v>
      </c>
      <c r="M90" s="43" t="s">
        <v>2558</v>
      </c>
      <c r="O90" s="2" t="s">
        <v>2472</v>
      </c>
      <c r="Q90" t="s">
        <v>638</v>
      </c>
    </row>
    <row r="91" spans="1:17" ht="15" customHeight="1" x14ac:dyDescent="0.25">
      <c r="A91" s="3" t="s">
        <v>2044</v>
      </c>
      <c r="B91" s="4" t="s">
        <v>2561</v>
      </c>
      <c r="C91" t="s">
        <v>973</v>
      </c>
      <c r="D91">
        <v>1</v>
      </c>
      <c r="E91" t="s">
        <v>974</v>
      </c>
      <c r="F91" t="s">
        <v>975</v>
      </c>
      <c r="G91" t="s">
        <v>976</v>
      </c>
      <c r="H91" s="1" t="s">
        <v>976</v>
      </c>
      <c r="I91" s="1">
        <v>85.6</v>
      </c>
      <c r="J91" s="20">
        <v>14.5</v>
      </c>
      <c r="K91" s="1">
        <v>5</v>
      </c>
      <c r="L91" s="1">
        <v>72.5</v>
      </c>
      <c r="M91" s="43" t="s">
        <v>2560</v>
      </c>
      <c r="O91" s="2" t="s">
        <v>2472</v>
      </c>
      <c r="Q91" t="s">
        <v>639</v>
      </c>
    </row>
    <row r="92" spans="1:17" ht="15" customHeight="1" x14ac:dyDescent="0.25">
      <c r="A92" s="3" t="s">
        <v>2045</v>
      </c>
      <c r="B92" s="4" t="s">
        <v>2561</v>
      </c>
      <c r="C92" t="s">
        <v>973</v>
      </c>
      <c r="D92">
        <v>1</v>
      </c>
      <c r="E92" t="s">
        <v>974</v>
      </c>
      <c r="F92" t="s">
        <v>975</v>
      </c>
      <c r="G92" t="s">
        <v>976</v>
      </c>
      <c r="H92" s="1" t="s">
        <v>976</v>
      </c>
      <c r="I92" s="1">
        <v>85.6</v>
      </c>
      <c r="J92" s="20">
        <v>8.6</v>
      </c>
      <c r="K92" s="1">
        <v>5</v>
      </c>
      <c r="L92" s="1">
        <v>43</v>
      </c>
      <c r="M92" s="43" t="s">
        <v>2562</v>
      </c>
      <c r="O92" s="2" t="s">
        <v>2472</v>
      </c>
      <c r="Q92" t="s">
        <v>639</v>
      </c>
    </row>
    <row r="93" spans="1:17" ht="15" customHeight="1" x14ac:dyDescent="0.25">
      <c r="A93" s="3" t="s">
        <v>1058</v>
      </c>
      <c r="B93" s="4" t="s">
        <v>191</v>
      </c>
      <c r="C93" t="s">
        <v>973</v>
      </c>
      <c r="D93">
        <v>1</v>
      </c>
      <c r="E93" t="s">
        <v>974</v>
      </c>
      <c r="F93" t="s">
        <v>975</v>
      </c>
      <c r="G93" t="s">
        <v>976</v>
      </c>
      <c r="H93" s="1" t="s">
        <v>976</v>
      </c>
      <c r="I93" s="1">
        <v>86.4</v>
      </c>
      <c r="J93" s="20">
        <v>103.3</v>
      </c>
      <c r="K93" s="1">
        <v>86.4</v>
      </c>
      <c r="L93" s="1">
        <v>8925.1200000000008</v>
      </c>
      <c r="M93" s="43" t="s">
        <v>2563</v>
      </c>
      <c r="Q93" t="s">
        <v>191</v>
      </c>
    </row>
    <row r="94" spans="1:17" ht="15" customHeight="1" x14ac:dyDescent="0.25">
      <c r="A94" s="3" t="s">
        <v>1059</v>
      </c>
      <c r="B94" s="4" t="s">
        <v>2565</v>
      </c>
      <c r="C94" t="s">
        <v>973</v>
      </c>
      <c r="D94">
        <v>1</v>
      </c>
      <c r="E94" t="s">
        <v>974</v>
      </c>
      <c r="F94" t="s">
        <v>975</v>
      </c>
      <c r="G94" t="s">
        <v>976</v>
      </c>
      <c r="H94" s="1" t="s">
        <v>976</v>
      </c>
      <c r="I94" s="1">
        <v>62.96</v>
      </c>
      <c r="J94" s="20">
        <v>52.8</v>
      </c>
      <c r="K94" s="1">
        <v>62.959921999999999</v>
      </c>
      <c r="L94" s="1">
        <v>3324.28</v>
      </c>
      <c r="M94" s="43" t="s">
        <v>2564</v>
      </c>
      <c r="O94" s="2" t="s">
        <v>2443</v>
      </c>
      <c r="Q94" t="s">
        <v>640</v>
      </c>
    </row>
    <row r="95" spans="1:17" ht="15" customHeight="1" x14ac:dyDescent="0.25">
      <c r="A95" s="42" t="s">
        <v>1059</v>
      </c>
      <c r="B95" s="3" t="s">
        <v>2565</v>
      </c>
      <c r="C95" s="42" t="s">
        <v>973</v>
      </c>
      <c r="D95">
        <v>4</v>
      </c>
      <c r="E95" t="s">
        <v>1018</v>
      </c>
      <c r="F95" t="s">
        <v>975</v>
      </c>
      <c r="G95" t="s">
        <v>976</v>
      </c>
      <c r="H95" s="1" t="s">
        <v>976</v>
      </c>
      <c r="I95" s="1">
        <v>62.96</v>
      </c>
      <c r="J95" s="20">
        <v>99</v>
      </c>
      <c r="K95" s="1">
        <v>62.96</v>
      </c>
      <c r="L95" s="1">
        <v>6233.04</v>
      </c>
      <c r="M95" s="43" t="s">
        <v>2564</v>
      </c>
      <c r="O95" s="2" t="s">
        <v>2443</v>
      </c>
      <c r="Q95" t="s">
        <v>640</v>
      </c>
    </row>
    <row r="96" spans="1:17" ht="15" customHeight="1" x14ac:dyDescent="0.25">
      <c r="A96" s="3" t="s">
        <v>1060</v>
      </c>
      <c r="B96" s="4" t="s">
        <v>2565</v>
      </c>
      <c r="C96" t="s">
        <v>973</v>
      </c>
      <c r="D96">
        <v>1</v>
      </c>
      <c r="E96" t="s">
        <v>974</v>
      </c>
      <c r="F96" t="s">
        <v>975</v>
      </c>
      <c r="G96" t="s">
        <v>976</v>
      </c>
      <c r="H96" s="1" t="s">
        <v>976</v>
      </c>
      <c r="I96" s="1">
        <v>62.96</v>
      </c>
      <c r="J96" s="20">
        <v>0.3</v>
      </c>
      <c r="K96" s="1">
        <v>62.960025999999999</v>
      </c>
      <c r="L96" s="1">
        <v>18.89</v>
      </c>
      <c r="M96" s="43" t="s">
        <v>2564</v>
      </c>
      <c r="O96" s="2" t="s">
        <v>2447</v>
      </c>
      <c r="Q96" t="s">
        <v>641</v>
      </c>
    </row>
    <row r="97" spans="1:17" ht="15" customHeight="1" x14ac:dyDescent="0.25">
      <c r="A97" s="42" t="s">
        <v>1060</v>
      </c>
      <c r="B97" s="3" t="s">
        <v>2565</v>
      </c>
      <c r="C97" s="42" t="s">
        <v>973</v>
      </c>
      <c r="D97">
        <v>4</v>
      </c>
      <c r="E97" t="s">
        <v>1018</v>
      </c>
      <c r="F97" t="s">
        <v>975</v>
      </c>
      <c r="G97" t="s">
        <v>976</v>
      </c>
      <c r="H97" s="1" t="s">
        <v>976</v>
      </c>
      <c r="I97" s="1">
        <v>62.96</v>
      </c>
      <c r="J97" s="20">
        <v>70</v>
      </c>
      <c r="K97" s="1">
        <v>62.96</v>
      </c>
      <c r="L97" s="1">
        <v>4407.2</v>
      </c>
      <c r="M97" s="43" t="s">
        <v>2564</v>
      </c>
      <c r="O97" s="2" t="s">
        <v>2447</v>
      </c>
      <c r="Q97" t="s">
        <v>641</v>
      </c>
    </row>
    <row r="98" spans="1:17" ht="15" customHeight="1" x14ac:dyDescent="0.25">
      <c r="A98" s="3" t="s">
        <v>1061</v>
      </c>
      <c r="B98" s="4" t="s">
        <v>2565</v>
      </c>
      <c r="C98" t="s">
        <v>973</v>
      </c>
      <c r="D98">
        <v>1</v>
      </c>
      <c r="E98" t="s">
        <v>974</v>
      </c>
      <c r="F98" t="s">
        <v>975</v>
      </c>
      <c r="G98" t="s">
        <v>976</v>
      </c>
      <c r="H98" s="1" t="s">
        <v>976</v>
      </c>
      <c r="I98" s="1">
        <v>62.96</v>
      </c>
      <c r="J98" s="20">
        <v>40.9</v>
      </c>
      <c r="K98" s="1">
        <v>62.959949999999999</v>
      </c>
      <c r="L98" s="1">
        <v>2575.06</v>
      </c>
      <c r="M98" s="43" t="s">
        <v>2564</v>
      </c>
      <c r="O98" s="2" t="s">
        <v>2482</v>
      </c>
      <c r="Q98" t="s">
        <v>642</v>
      </c>
    </row>
    <row r="99" spans="1:17" ht="15" customHeight="1" x14ac:dyDescent="0.25">
      <c r="A99" s="42" t="s">
        <v>1061</v>
      </c>
      <c r="B99" s="3" t="s">
        <v>2565</v>
      </c>
      <c r="C99" s="42" t="s">
        <v>973</v>
      </c>
      <c r="D99">
        <v>4</v>
      </c>
      <c r="E99" t="s">
        <v>1018</v>
      </c>
      <c r="F99" t="s">
        <v>975</v>
      </c>
      <c r="G99" t="s">
        <v>976</v>
      </c>
      <c r="H99" s="1" t="s">
        <v>976</v>
      </c>
      <c r="I99" s="1">
        <v>62.96</v>
      </c>
      <c r="J99" s="20">
        <v>70</v>
      </c>
      <c r="K99" s="1">
        <v>62.96</v>
      </c>
      <c r="L99" s="1">
        <v>4407.2</v>
      </c>
      <c r="M99" s="43" t="s">
        <v>2564</v>
      </c>
      <c r="O99" s="2" t="s">
        <v>2482</v>
      </c>
      <c r="Q99" t="s">
        <v>642</v>
      </c>
    </row>
    <row r="100" spans="1:17" ht="15" customHeight="1" x14ac:dyDescent="0.25">
      <c r="A100" s="3" t="s">
        <v>1062</v>
      </c>
      <c r="B100" s="4" t="s">
        <v>192</v>
      </c>
      <c r="C100" t="s">
        <v>973</v>
      </c>
      <c r="D100">
        <v>1</v>
      </c>
      <c r="E100" t="s">
        <v>974</v>
      </c>
      <c r="F100" t="s">
        <v>975</v>
      </c>
      <c r="G100" t="s">
        <v>976</v>
      </c>
      <c r="H100" s="1" t="s">
        <v>976</v>
      </c>
      <c r="I100" s="1">
        <v>62.96</v>
      </c>
      <c r="J100" s="20">
        <v>0.5</v>
      </c>
      <c r="K100" s="1">
        <v>62.96</v>
      </c>
      <c r="L100" s="1">
        <v>31.48</v>
      </c>
      <c r="M100" s="43" t="s">
        <v>2564</v>
      </c>
      <c r="Q100" t="s">
        <v>192</v>
      </c>
    </row>
    <row r="101" spans="1:17" ht="15" customHeight="1" x14ac:dyDescent="0.25">
      <c r="A101" s="42" t="s">
        <v>1062</v>
      </c>
      <c r="B101" s="3" t="s">
        <v>192</v>
      </c>
      <c r="C101" s="42" t="s">
        <v>973</v>
      </c>
      <c r="D101">
        <v>4</v>
      </c>
      <c r="E101" t="s">
        <v>1018</v>
      </c>
      <c r="F101" t="s">
        <v>975</v>
      </c>
      <c r="G101" t="s">
        <v>976</v>
      </c>
      <c r="H101" s="1" t="s">
        <v>976</v>
      </c>
      <c r="I101" s="1">
        <v>62.96</v>
      </c>
      <c r="J101" s="20">
        <v>70</v>
      </c>
      <c r="K101" s="1">
        <v>62.96</v>
      </c>
      <c r="L101" s="1">
        <v>4407.2</v>
      </c>
      <c r="M101" s="43" t="s">
        <v>2564</v>
      </c>
      <c r="Q101" t="s">
        <v>192</v>
      </c>
    </row>
    <row r="102" spans="1:17" ht="15" customHeight="1" x14ac:dyDescent="0.25">
      <c r="A102" s="3" t="s">
        <v>1063</v>
      </c>
      <c r="B102" s="4" t="s">
        <v>2567</v>
      </c>
      <c r="C102" t="s">
        <v>973</v>
      </c>
      <c r="D102">
        <v>1</v>
      </c>
      <c r="E102" t="s">
        <v>974</v>
      </c>
      <c r="F102" t="s">
        <v>975</v>
      </c>
      <c r="G102" t="s">
        <v>976</v>
      </c>
      <c r="H102" s="1" t="s">
        <v>976</v>
      </c>
      <c r="I102" s="1">
        <v>28.77</v>
      </c>
      <c r="J102" s="20">
        <v>0</v>
      </c>
      <c r="K102" s="1">
        <v>28.77</v>
      </c>
      <c r="L102" s="1">
        <v>0</v>
      </c>
      <c r="M102" s="43" t="s">
        <v>2566</v>
      </c>
      <c r="O102" s="2" t="s">
        <v>2482</v>
      </c>
      <c r="Q102" t="s">
        <v>643</v>
      </c>
    </row>
    <row r="103" spans="1:17" ht="15" customHeight="1" x14ac:dyDescent="0.25">
      <c r="A103" s="3" t="s">
        <v>2046</v>
      </c>
      <c r="B103" s="4" t="s">
        <v>2569</v>
      </c>
      <c r="C103" t="s">
        <v>973</v>
      </c>
      <c r="D103">
        <v>1</v>
      </c>
      <c r="E103" t="s">
        <v>974</v>
      </c>
      <c r="F103" t="s">
        <v>975</v>
      </c>
      <c r="G103" t="s">
        <v>1010</v>
      </c>
      <c r="H103" s="1" t="s">
        <v>976</v>
      </c>
      <c r="I103" s="1">
        <v>37.299999999999997</v>
      </c>
      <c r="J103" s="20">
        <v>62.5</v>
      </c>
      <c r="K103" s="1">
        <v>37.299999999999997</v>
      </c>
      <c r="L103" s="1">
        <v>2331.25</v>
      </c>
      <c r="M103" s="43" t="s">
        <v>2568</v>
      </c>
      <c r="O103" s="2" t="s">
        <v>2463</v>
      </c>
      <c r="Q103" t="s">
        <v>644</v>
      </c>
    </row>
    <row r="104" spans="1:17" ht="15" customHeight="1" x14ac:dyDescent="0.25">
      <c r="A104" s="3" t="s">
        <v>2047</v>
      </c>
      <c r="B104" s="4" t="s">
        <v>477</v>
      </c>
      <c r="C104" t="s">
        <v>973</v>
      </c>
      <c r="D104">
        <v>1</v>
      </c>
      <c r="E104" t="s">
        <v>974</v>
      </c>
      <c r="F104" t="s">
        <v>975</v>
      </c>
      <c r="G104" t="s">
        <v>1010</v>
      </c>
      <c r="H104" s="1" t="s">
        <v>976</v>
      </c>
      <c r="I104" s="1">
        <v>34.5</v>
      </c>
      <c r="J104" s="20">
        <v>0</v>
      </c>
      <c r="K104" s="1">
        <v>0</v>
      </c>
      <c r="L104" s="1">
        <v>0</v>
      </c>
      <c r="M104" s="43" t="s">
        <v>2570</v>
      </c>
      <c r="Q104" t="s">
        <v>477</v>
      </c>
    </row>
    <row r="105" spans="1:17" ht="15" customHeight="1" x14ac:dyDescent="0.25">
      <c r="A105" s="3" t="s">
        <v>2048</v>
      </c>
      <c r="B105" s="4" t="s">
        <v>478</v>
      </c>
      <c r="C105" t="s">
        <v>973</v>
      </c>
      <c r="D105">
        <v>1</v>
      </c>
      <c r="E105" t="s">
        <v>974</v>
      </c>
      <c r="F105" t="s">
        <v>975</v>
      </c>
      <c r="G105" t="s">
        <v>1010</v>
      </c>
      <c r="H105" s="1" t="s">
        <v>976</v>
      </c>
      <c r="I105" s="1">
        <v>58</v>
      </c>
      <c r="J105" s="20">
        <v>-39.5</v>
      </c>
      <c r="K105" s="1">
        <v>58</v>
      </c>
      <c r="L105" s="1">
        <v>-2291</v>
      </c>
      <c r="M105" s="43" t="s">
        <v>2571</v>
      </c>
      <c r="Q105" t="s">
        <v>478</v>
      </c>
    </row>
    <row r="106" spans="1:17" ht="15" customHeight="1" x14ac:dyDescent="0.25">
      <c r="A106" s="42" t="s">
        <v>2048</v>
      </c>
      <c r="B106" s="3" t="s">
        <v>478</v>
      </c>
      <c r="C106" s="42" t="s">
        <v>973</v>
      </c>
      <c r="D106">
        <v>4</v>
      </c>
      <c r="E106" t="s">
        <v>1018</v>
      </c>
      <c r="F106" t="s">
        <v>975</v>
      </c>
      <c r="G106" t="s">
        <v>1010</v>
      </c>
      <c r="H106" s="1" t="s">
        <v>976</v>
      </c>
      <c r="I106" s="1">
        <v>58</v>
      </c>
      <c r="J106" s="20">
        <v>102</v>
      </c>
      <c r="K106" s="1">
        <v>58</v>
      </c>
      <c r="L106" s="1">
        <v>5916</v>
      </c>
      <c r="M106" s="43" t="s">
        <v>2571</v>
      </c>
      <c r="Q106" t="s">
        <v>478</v>
      </c>
    </row>
    <row r="107" spans="1:17" ht="15" customHeight="1" x14ac:dyDescent="0.25">
      <c r="A107" s="3" t="s">
        <v>2049</v>
      </c>
      <c r="B107" s="4" t="s">
        <v>479</v>
      </c>
      <c r="C107" t="s">
        <v>973</v>
      </c>
      <c r="D107">
        <v>1</v>
      </c>
      <c r="E107" t="s">
        <v>974</v>
      </c>
      <c r="F107" t="s">
        <v>975</v>
      </c>
      <c r="G107" t="s">
        <v>1010</v>
      </c>
      <c r="H107" s="1" t="s">
        <v>976</v>
      </c>
      <c r="I107" s="1">
        <v>58</v>
      </c>
      <c r="J107" s="20">
        <v>0</v>
      </c>
      <c r="K107" s="1">
        <v>58.758113000000002</v>
      </c>
      <c r="L107" s="1">
        <v>0</v>
      </c>
      <c r="M107" s="43" t="s">
        <v>2572</v>
      </c>
      <c r="Q107" t="s">
        <v>479</v>
      </c>
    </row>
    <row r="108" spans="1:17" ht="15" customHeight="1" x14ac:dyDescent="0.25">
      <c r="A108" s="3" t="s">
        <v>2246</v>
      </c>
      <c r="B108" s="4" t="s">
        <v>2574</v>
      </c>
      <c r="C108" t="s">
        <v>973</v>
      </c>
      <c r="D108">
        <v>1</v>
      </c>
      <c r="E108" t="s">
        <v>974</v>
      </c>
      <c r="F108" t="s">
        <v>975</v>
      </c>
      <c r="G108" t="s">
        <v>1010</v>
      </c>
      <c r="H108" s="1" t="s">
        <v>976</v>
      </c>
      <c r="I108" s="1">
        <v>45.9</v>
      </c>
      <c r="J108" s="20">
        <v>0</v>
      </c>
      <c r="K108" s="1">
        <v>45.9</v>
      </c>
      <c r="L108" s="1">
        <v>0</v>
      </c>
      <c r="M108" s="43" t="s">
        <v>2573</v>
      </c>
      <c r="O108" s="2" t="s">
        <v>2463</v>
      </c>
      <c r="Q108" t="s">
        <v>645</v>
      </c>
    </row>
    <row r="109" spans="1:17" ht="15" customHeight="1" x14ac:dyDescent="0.25">
      <c r="A109" s="3" t="s">
        <v>2050</v>
      </c>
      <c r="B109" s="4" t="s">
        <v>2559</v>
      </c>
      <c r="C109" t="s">
        <v>973</v>
      </c>
      <c r="D109">
        <v>1</v>
      </c>
      <c r="E109" t="s">
        <v>974</v>
      </c>
      <c r="F109" t="s">
        <v>975</v>
      </c>
      <c r="G109" t="s">
        <v>976</v>
      </c>
      <c r="H109" s="1" t="s">
        <v>976</v>
      </c>
      <c r="I109" s="1">
        <v>73.2</v>
      </c>
      <c r="J109" s="20">
        <v>8</v>
      </c>
      <c r="K109" s="1">
        <v>5</v>
      </c>
      <c r="L109" s="1">
        <v>40</v>
      </c>
      <c r="M109" s="43" t="s">
        <v>2575</v>
      </c>
      <c r="O109" s="2" t="s">
        <v>2443</v>
      </c>
      <c r="Q109" t="s">
        <v>646</v>
      </c>
    </row>
    <row r="110" spans="1:17" ht="15" customHeight="1" x14ac:dyDescent="0.25">
      <c r="A110" s="42" t="s">
        <v>2050</v>
      </c>
      <c r="B110" s="3" t="s">
        <v>2559</v>
      </c>
      <c r="C110" s="42" t="s">
        <v>973</v>
      </c>
      <c r="D110">
        <v>4</v>
      </c>
      <c r="E110" t="s">
        <v>1018</v>
      </c>
      <c r="F110" t="s">
        <v>975</v>
      </c>
      <c r="G110" t="s">
        <v>976</v>
      </c>
      <c r="H110" s="1" t="s">
        <v>976</v>
      </c>
      <c r="I110" s="1">
        <v>73.2</v>
      </c>
      <c r="J110" s="20">
        <v>2</v>
      </c>
      <c r="K110" s="1">
        <v>73.2</v>
      </c>
      <c r="L110" s="1">
        <v>146.4</v>
      </c>
      <c r="M110" s="43" t="s">
        <v>2575</v>
      </c>
      <c r="O110" s="2" t="s">
        <v>2443</v>
      </c>
      <c r="Q110" t="s">
        <v>646</v>
      </c>
    </row>
    <row r="111" spans="1:17" ht="15" customHeight="1" x14ac:dyDescent="0.25">
      <c r="A111" s="3" t="s">
        <v>2051</v>
      </c>
      <c r="B111" s="4" t="s">
        <v>2577</v>
      </c>
      <c r="C111" t="s">
        <v>973</v>
      </c>
      <c r="D111">
        <v>1</v>
      </c>
      <c r="E111" t="s">
        <v>974</v>
      </c>
      <c r="F111" t="s">
        <v>975</v>
      </c>
      <c r="G111" t="s">
        <v>976</v>
      </c>
      <c r="H111" s="1" t="s">
        <v>976</v>
      </c>
      <c r="I111" s="1">
        <v>73.2</v>
      </c>
      <c r="J111" s="20">
        <v>9</v>
      </c>
      <c r="K111" s="1">
        <v>5</v>
      </c>
      <c r="L111" s="1">
        <v>45</v>
      </c>
      <c r="M111" s="43" t="s">
        <v>2576</v>
      </c>
      <c r="O111" s="2" t="s">
        <v>2443</v>
      </c>
      <c r="Q111" t="s">
        <v>647</v>
      </c>
    </row>
    <row r="112" spans="1:17" ht="15" customHeight="1" x14ac:dyDescent="0.25">
      <c r="A112" s="3" t="s">
        <v>2052</v>
      </c>
      <c r="B112" s="4" t="s">
        <v>2580</v>
      </c>
      <c r="C112" t="s">
        <v>973</v>
      </c>
      <c r="D112">
        <v>1</v>
      </c>
      <c r="E112" t="s">
        <v>974</v>
      </c>
      <c r="F112" t="s">
        <v>975</v>
      </c>
      <c r="G112" t="s">
        <v>976</v>
      </c>
      <c r="H112" s="1" t="s">
        <v>976</v>
      </c>
      <c r="I112" s="1">
        <v>91.79</v>
      </c>
      <c r="J112" s="20">
        <v>9.5</v>
      </c>
      <c r="K112" s="1">
        <v>5</v>
      </c>
      <c r="L112" s="1">
        <v>47.5</v>
      </c>
      <c r="M112" s="43" t="s">
        <v>2578</v>
      </c>
      <c r="O112" s="2" t="s">
        <v>2579</v>
      </c>
      <c r="Q112" t="s">
        <v>648</v>
      </c>
    </row>
    <row r="113" spans="1:17" ht="15" customHeight="1" x14ac:dyDescent="0.25">
      <c r="A113" s="3" t="s">
        <v>2053</v>
      </c>
      <c r="B113" s="4" t="s">
        <v>2580</v>
      </c>
      <c r="C113" t="s">
        <v>973</v>
      </c>
      <c r="D113">
        <v>1</v>
      </c>
      <c r="E113" t="s">
        <v>974</v>
      </c>
      <c r="F113" t="s">
        <v>975</v>
      </c>
      <c r="G113" t="s">
        <v>976</v>
      </c>
      <c r="H113" s="1" t="s">
        <v>976</v>
      </c>
      <c r="I113" s="1">
        <v>91.79</v>
      </c>
      <c r="J113" s="20">
        <v>9.5</v>
      </c>
      <c r="K113" s="1">
        <v>5</v>
      </c>
      <c r="L113" s="1">
        <v>47.5</v>
      </c>
      <c r="M113" s="43" t="s">
        <v>2581</v>
      </c>
      <c r="O113" s="2" t="s">
        <v>2579</v>
      </c>
      <c r="Q113" t="s">
        <v>648</v>
      </c>
    </row>
    <row r="114" spans="1:17" ht="15" customHeight="1" x14ac:dyDescent="0.25">
      <c r="A114" s="3" t="s">
        <v>2054</v>
      </c>
      <c r="B114" s="4" t="s">
        <v>2583</v>
      </c>
      <c r="C114" t="s">
        <v>973</v>
      </c>
      <c r="D114">
        <v>1</v>
      </c>
      <c r="E114" t="s">
        <v>974</v>
      </c>
      <c r="F114" t="s">
        <v>975</v>
      </c>
      <c r="G114" t="s">
        <v>976</v>
      </c>
      <c r="H114" s="1" t="s">
        <v>976</v>
      </c>
      <c r="I114" s="1">
        <v>98.57</v>
      </c>
      <c r="J114" s="20">
        <v>11.5</v>
      </c>
      <c r="K114" s="1">
        <v>5</v>
      </c>
      <c r="L114" s="1">
        <v>57.5</v>
      </c>
      <c r="M114" s="43" t="s">
        <v>2582</v>
      </c>
      <c r="O114" s="2" t="s">
        <v>2528</v>
      </c>
      <c r="Q114" t="s">
        <v>649</v>
      </c>
    </row>
    <row r="115" spans="1:17" ht="15" customHeight="1" x14ac:dyDescent="0.25">
      <c r="A115" s="3" t="s">
        <v>2055</v>
      </c>
      <c r="B115" s="4" t="s">
        <v>2544</v>
      </c>
      <c r="C115" t="s">
        <v>973</v>
      </c>
      <c r="D115">
        <v>1</v>
      </c>
      <c r="E115" t="s">
        <v>974</v>
      </c>
      <c r="F115" t="s">
        <v>975</v>
      </c>
      <c r="G115" t="s">
        <v>976</v>
      </c>
      <c r="H115" s="1" t="s">
        <v>976</v>
      </c>
      <c r="I115" s="1">
        <v>91.79</v>
      </c>
      <c r="J115" s="20">
        <v>5.3</v>
      </c>
      <c r="K115" s="1">
        <v>5</v>
      </c>
      <c r="L115" s="1">
        <v>26.5</v>
      </c>
      <c r="M115" s="43" t="s">
        <v>2584</v>
      </c>
      <c r="O115" s="2" t="s">
        <v>2467</v>
      </c>
      <c r="Q115" t="s">
        <v>632</v>
      </c>
    </row>
    <row r="116" spans="1:17" ht="15" customHeight="1" x14ac:dyDescent="0.25">
      <c r="A116" s="3" t="s">
        <v>2056</v>
      </c>
      <c r="B116" s="4" t="s">
        <v>2544</v>
      </c>
      <c r="C116" t="s">
        <v>973</v>
      </c>
      <c r="D116">
        <v>1</v>
      </c>
      <c r="E116" t="s">
        <v>974</v>
      </c>
      <c r="F116" t="s">
        <v>975</v>
      </c>
      <c r="G116" t="s">
        <v>976</v>
      </c>
      <c r="H116" s="1" t="s">
        <v>976</v>
      </c>
      <c r="I116" s="1">
        <v>91.79</v>
      </c>
      <c r="J116" s="20">
        <v>0</v>
      </c>
      <c r="K116" s="1">
        <v>5</v>
      </c>
      <c r="L116" s="1">
        <v>0</v>
      </c>
      <c r="M116" s="43" t="s">
        <v>2584</v>
      </c>
      <c r="O116" s="2" t="s">
        <v>2467</v>
      </c>
      <c r="Q116" t="s">
        <v>632</v>
      </c>
    </row>
    <row r="117" spans="1:17" ht="15" customHeight="1" x14ac:dyDescent="0.25">
      <c r="A117" s="42" t="s">
        <v>2056</v>
      </c>
      <c r="B117" s="3" t="s">
        <v>2544</v>
      </c>
      <c r="C117" s="42" t="s">
        <v>973</v>
      </c>
      <c r="D117">
        <v>4</v>
      </c>
      <c r="E117" t="s">
        <v>1018</v>
      </c>
      <c r="F117" t="s">
        <v>975</v>
      </c>
      <c r="G117" t="s">
        <v>976</v>
      </c>
      <c r="H117" s="1" t="s">
        <v>976</v>
      </c>
      <c r="I117" s="1">
        <v>91.79</v>
      </c>
      <c r="J117" s="20">
        <v>5.3</v>
      </c>
      <c r="K117" s="1">
        <v>26.5</v>
      </c>
      <c r="L117" s="1">
        <v>140.44999999999999</v>
      </c>
      <c r="M117" s="43" t="s">
        <v>2584</v>
      </c>
      <c r="O117" s="2" t="s">
        <v>2467</v>
      </c>
      <c r="Q117" t="s">
        <v>632</v>
      </c>
    </row>
    <row r="118" spans="1:17" ht="15" customHeight="1" x14ac:dyDescent="0.25">
      <c r="A118" s="3" t="s">
        <v>2057</v>
      </c>
      <c r="B118" s="4" t="s">
        <v>2544</v>
      </c>
      <c r="C118" t="s">
        <v>973</v>
      </c>
      <c r="D118">
        <v>1</v>
      </c>
      <c r="E118" t="s">
        <v>974</v>
      </c>
      <c r="F118" t="s">
        <v>975</v>
      </c>
      <c r="G118" t="s">
        <v>976</v>
      </c>
      <c r="H118" s="1" t="s">
        <v>976</v>
      </c>
      <c r="I118" s="1">
        <v>91.79</v>
      </c>
      <c r="J118" s="20">
        <v>6.9</v>
      </c>
      <c r="K118" s="1">
        <v>5</v>
      </c>
      <c r="L118" s="1">
        <v>34.5</v>
      </c>
      <c r="M118" s="43" t="s">
        <v>2584</v>
      </c>
      <c r="O118" s="2" t="s">
        <v>2467</v>
      </c>
      <c r="Q118" t="s">
        <v>632</v>
      </c>
    </row>
    <row r="119" spans="1:17" ht="15" customHeight="1" x14ac:dyDescent="0.25">
      <c r="A119" s="3" t="s">
        <v>2058</v>
      </c>
      <c r="B119" s="4" t="s">
        <v>2583</v>
      </c>
      <c r="C119" t="s">
        <v>973</v>
      </c>
      <c r="D119">
        <v>1</v>
      </c>
      <c r="E119" t="s">
        <v>974</v>
      </c>
      <c r="F119" t="s">
        <v>975</v>
      </c>
      <c r="G119" t="s">
        <v>976</v>
      </c>
      <c r="H119" s="1" t="s">
        <v>976</v>
      </c>
      <c r="I119" s="1">
        <v>93.88</v>
      </c>
      <c r="J119" s="20">
        <v>5</v>
      </c>
      <c r="K119" s="1">
        <v>5</v>
      </c>
      <c r="L119" s="1">
        <v>25</v>
      </c>
      <c r="M119" s="43" t="s">
        <v>2585</v>
      </c>
      <c r="O119" s="2" t="s">
        <v>2447</v>
      </c>
      <c r="Q119" t="s">
        <v>650</v>
      </c>
    </row>
    <row r="120" spans="1:17" ht="15" customHeight="1" x14ac:dyDescent="0.25">
      <c r="A120" s="42" t="s">
        <v>2058</v>
      </c>
      <c r="B120" s="3" t="s">
        <v>2583</v>
      </c>
      <c r="C120" s="42" t="s">
        <v>973</v>
      </c>
      <c r="D120">
        <v>4</v>
      </c>
      <c r="E120" t="s">
        <v>1018</v>
      </c>
      <c r="F120" t="s">
        <v>975</v>
      </c>
      <c r="G120" t="s">
        <v>976</v>
      </c>
      <c r="H120" s="1" t="s">
        <v>976</v>
      </c>
      <c r="I120" s="1">
        <v>93.88</v>
      </c>
      <c r="J120" s="20">
        <v>6.5</v>
      </c>
      <c r="K120" s="1">
        <v>57.5</v>
      </c>
      <c r="L120" s="1">
        <v>373.75</v>
      </c>
      <c r="M120" s="43" t="s">
        <v>2585</v>
      </c>
      <c r="O120" s="2" t="s">
        <v>2447</v>
      </c>
      <c r="Q120" t="s">
        <v>650</v>
      </c>
    </row>
    <row r="121" spans="1:17" ht="15" customHeight="1" x14ac:dyDescent="0.25">
      <c r="A121" s="3" t="s">
        <v>2059</v>
      </c>
      <c r="B121" s="4" t="s">
        <v>480</v>
      </c>
      <c r="C121" t="s">
        <v>973</v>
      </c>
      <c r="D121">
        <v>1</v>
      </c>
      <c r="E121" t="s">
        <v>974</v>
      </c>
      <c r="F121" t="s">
        <v>975</v>
      </c>
      <c r="G121" t="s">
        <v>976</v>
      </c>
      <c r="H121" s="1" t="s">
        <v>976</v>
      </c>
      <c r="I121" s="1">
        <v>133.04</v>
      </c>
      <c r="J121" s="20">
        <v>7.1</v>
      </c>
      <c r="K121" s="1">
        <v>5</v>
      </c>
      <c r="L121" s="1">
        <v>35.5</v>
      </c>
      <c r="M121" s="43" t="s">
        <v>2586</v>
      </c>
      <c r="Q121" t="s">
        <v>480</v>
      </c>
    </row>
    <row r="122" spans="1:17" ht="15" customHeight="1" x14ac:dyDescent="0.25">
      <c r="A122" s="3" t="s">
        <v>1064</v>
      </c>
      <c r="B122" s="4" t="s">
        <v>193</v>
      </c>
      <c r="C122" t="s">
        <v>973</v>
      </c>
      <c r="D122">
        <v>1</v>
      </c>
      <c r="E122" t="s">
        <v>974</v>
      </c>
      <c r="F122" t="s">
        <v>975</v>
      </c>
      <c r="G122" t="s">
        <v>1015</v>
      </c>
      <c r="H122" s="1" t="s">
        <v>976</v>
      </c>
      <c r="I122" s="1">
        <v>19.5</v>
      </c>
      <c r="J122" s="20">
        <v>0</v>
      </c>
      <c r="K122" s="1">
        <v>19.5</v>
      </c>
      <c r="L122" s="1">
        <v>0</v>
      </c>
      <c r="M122" s="43" t="s">
        <v>2587</v>
      </c>
      <c r="Q122" t="s">
        <v>193</v>
      </c>
    </row>
    <row r="123" spans="1:17" ht="15" customHeight="1" x14ac:dyDescent="0.25">
      <c r="A123" s="3" t="s">
        <v>1065</v>
      </c>
      <c r="B123" s="4" t="s">
        <v>194</v>
      </c>
      <c r="C123" t="s">
        <v>1066</v>
      </c>
      <c r="D123">
        <v>1</v>
      </c>
      <c r="E123" t="s">
        <v>974</v>
      </c>
      <c r="F123" t="s">
        <v>975</v>
      </c>
      <c r="G123" t="s">
        <v>976</v>
      </c>
      <c r="H123" s="1" t="s">
        <v>976</v>
      </c>
      <c r="I123" s="1">
        <v>1.65</v>
      </c>
      <c r="J123" s="20">
        <v>18</v>
      </c>
      <c r="K123" s="1">
        <v>1.63</v>
      </c>
      <c r="L123" s="1">
        <v>29.34</v>
      </c>
      <c r="M123" s="43" t="s">
        <v>2588</v>
      </c>
      <c r="Q123" t="s">
        <v>194</v>
      </c>
    </row>
    <row r="124" spans="1:17" ht="15" customHeight="1" x14ac:dyDescent="0.25">
      <c r="A124" s="42" t="s">
        <v>1065</v>
      </c>
      <c r="B124" s="3" t="s">
        <v>194</v>
      </c>
      <c r="C124" s="42" t="s">
        <v>1066</v>
      </c>
      <c r="D124">
        <v>4</v>
      </c>
      <c r="E124" t="s">
        <v>1018</v>
      </c>
      <c r="F124" t="s">
        <v>975</v>
      </c>
      <c r="G124" t="s">
        <v>976</v>
      </c>
      <c r="H124" s="1" t="s">
        <v>976</v>
      </c>
      <c r="I124" s="1">
        <v>1.65</v>
      </c>
      <c r="J124" s="20">
        <v>2</v>
      </c>
      <c r="K124" s="1">
        <v>1.65</v>
      </c>
      <c r="L124" s="1">
        <v>3.3</v>
      </c>
      <c r="M124" s="43" t="s">
        <v>2588</v>
      </c>
      <c r="Q124" t="s">
        <v>194</v>
      </c>
    </row>
    <row r="125" spans="1:17" ht="15" customHeight="1" x14ac:dyDescent="0.25">
      <c r="A125" s="3" t="s">
        <v>1067</v>
      </c>
      <c r="B125" s="4" t="s">
        <v>2590</v>
      </c>
      <c r="C125" t="s">
        <v>973</v>
      </c>
      <c r="D125">
        <v>1</v>
      </c>
      <c r="E125" t="s">
        <v>974</v>
      </c>
      <c r="F125" t="s">
        <v>975</v>
      </c>
      <c r="G125" t="s">
        <v>976</v>
      </c>
      <c r="H125" s="1" t="s">
        <v>976</v>
      </c>
      <c r="I125" s="1">
        <v>39.979999999999997</v>
      </c>
      <c r="J125" s="20">
        <v>0</v>
      </c>
      <c r="K125" s="1">
        <v>39.979999999999997</v>
      </c>
      <c r="L125" s="1">
        <v>0</v>
      </c>
      <c r="M125" s="43" t="s">
        <v>2589</v>
      </c>
      <c r="O125" s="2" t="s">
        <v>2447</v>
      </c>
      <c r="Q125" t="s">
        <v>651</v>
      </c>
    </row>
    <row r="126" spans="1:17" ht="15" customHeight="1" x14ac:dyDescent="0.25">
      <c r="A126" s="42" t="s">
        <v>1067</v>
      </c>
      <c r="B126" s="3" t="s">
        <v>2590</v>
      </c>
      <c r="C126" s="42" t="s">
        <v>973</v>
      </c>
      <c r="D126">
        <v>4</v>
      </c>
      <c r="E126" t="s">
        <v>1018</v>
      </c>
      <c r="F126" t="s">
        <v>975</v>
      </c>
      <c r="G126" t="s">
        <v>976</v>
      </c>
      <c r="H126" s="1" t="s">
        <v>976</v>
      </c>
      <c r="I126" s="1">
        <v>39.979999999999997</v>
      </c>
      <c r="J126" s="20">
        <v>30</v>
      </c>
      <c r="K126" s="1">
        <v>39.979999999999997</v>
      </c>
      <c r="L126" s="1">
        <v>1199.4000000000001</v>
      </c>
      <c r="M126" s="43" t="s">
        <v>2589</v>
      </c>
      <c r="O126" s="2" t="s">
        <v>2447</v>
      </c>
      <c r="Q126" t="s">
        <v>651</v>
      </c>
    </row>
    <row r="127" spans="1:17" ht="15" customHeight="1" x14ac:dyDescent="0.25">
      <c r="A127" s="3" t="s">
        <v>1068</v>
      </c>
      <c r="B127" s="4" t="s">
        <v>195</v>
      </c>
      <c r="C127" t="s">
        <v>973</v>
      </c>
      <c r="D127">
        <v>1</v>
      </c>
      <c r="E127" t="s">
        <v>974</v>
      </c>
      <c r="F127" t="s">
        <v>975</v>
      </c>
      <c r="G127" t="s">
        <v>1021</v>
      </c>
      <c r="H127" s="1" t="s">
        <v>976</v>
      </c>
      <c r="I127" s="1">
        <v>0.1</v>
      </c>
      <c r="J127" s="20">
        <v>-5</v>
      </c>
      <c r="K127" s="1">
        <v>0</v>
      </c>
      <c r="L127" s="1">
        <v>0</v>
      </c>
      <c r="M127" s="43" t="s">
        <v>2591</v>
      </c>
      <c r="Q127" t="s">
        <v>195</v>
      </c>
    </row>
    <row r="128" spans="1:17" ht="15" customHeight="1" x14ac:dyDescent="0.25">
      <c r="A128" s="3" t="s">
        <v>1069</v>
      </c>
      <c r="B128" s="4" t="s">
        <v>2593</v>
      </c>
      <c r="C128" t="s">
        <v>973</v>
      </c>
      <c r="D128">
        <v>1</v>
      </c>
      <c r="E128" t="s">
        <v>974</v>
      </c>
      <c r="F128" t="s">
        <v>975</v>
      </c>
      <c r="G128" t="s">
        <v>976</v>
      </c>
      <c r="H128" s="1" t="s">
        <v>976</v>
      </c>
      <c r="I128" s="1">
        <v>64.900000000000006</v>
      </c>
      <c r="J128" s="20">
        <v>0</v>
      </c>
      <c r="K128" s="1">
        <v>0</v>
      </c>
      <c r="L128" s="1">
        <v>0</v>
      </c>
      <c r="M128" s="43" t="s">
        <v>2592</v>
      </c>
      <c r="O128" s="2" t="s">
        <v>2528</v>
      </c>
      <c r="Q128" t="s">
        <v>652</v>
      </c>
    </row>
    <row r="129" spans="1:17" ht="15" customHeight="1" x14ac:dyDescent="0.25">
      <c r="A129" s="3" t="s">
        <v>1070</v>
      </c>
      <c r="B129" s="4" t="s">
        <v>2593</v>
      </c>
      <c r="C129" t="s">
        <v>973</v>
      </c>
      <c r="D129">
        <v>1</v>
      </c>
      <c r="E129" t="s">
        <v>974</v>
      </c>
      <c r="F129" t="s">
        <v>975</v>
      </c>
      <c r="G129" t="s">
        <v>1021</v>
      </c>
      <c r="H129" s="1" t="s">
        <v>976</v>
      </c>
      <c r="I129" s="1">
        <v>64.900000000000006</v>
      </c>
      <c r="J129" s="20">
        <v>0</v>
      </c>
      <c r="K129" s="1">
        <v>54.5</v>
      </c>
      <c r="L129" s="1">
        <v>0</v>
      </c>
      <c r="M129" s="43" t="s">
        <v>2592</v>
      </c>
      <c r="O129" s="2" t="s">
        <v>2447</v>
      </c>
      <c r="Q129" t="s">
        <v>653</v>
      </c>
    </row>
    <row r="130" spans="1:17" ht="15" customHeight="1" x14ac:dyDescent="0.25">
      <c r="A130" s="42" t="s">
        <v>1070</v>
      </c>
      <c r="B130" s="3" t="s">
        <v>2593</v>
      </c>
      <c r="C130" s="42" t="s">
        <v>973</v>
      </c>
      <c r="D130">
        <v>4</v>
      </c>
      <c r="E130" t="s">
        <v>1018</v>
      </c>
      <c r="F130" t="s">
        <v>975</v>
      </c>
      <c r="G130" t="s">
        <v>1021</v>
      </c>
      <c r="H130" s="1" t="s">
        <v>976</v>
      </c>
      <c r="I130" s="1">
        <v>64.900000000000006</v>
      </c>
      <c r="J130" s="20">
        <v>70.599999999999994</v>
      </c>
      <c r="K130" s="1">
        <v>55.573653999999998</v>
      </c>
      <c r="L130" s="1">
        <v>3923.5</v>
      </c>
      <c r="M130" s="43" t="s">
        <v>2592</v>
      </c>
      <c r="O130" s="2" t="s">
        <v>2447</v>
      </c>
      <c r="Q130" t="s">
        <v>653</v>
      </c>
    </row>
    <row r="131" spans="1:17" ht="15" customHeight="1" x14ac:dyDescent="0.25">
      <c r="A131" s="3" t="s">
        <v>1071</v>
      </c>
      <c r="B131" s="4" t="s">
        <v>2593</v>
      </c>
      <c r="C131" t="s">
        <v>973</v>
      </c>
      <c r="D131">
        <v>1</v>
      </c>
      <c r="E131" t="s">
        <v>974</v>
      </c>
      <c r="F131" t="s">
        <v>975</v>
      </c>
      <c r="G131" t="s">
        <v>976</v>
      </c>
      <c r="H131" s="1" t="s">
        <v>976</v>
      </c>
      <c r="I131" s="1">
        <v>54.5</v>
      </c>
      <c r="J131" s="20">
        <v>0</v>
      </c>
      <c r="K131" s="1">
        <v>54.5</v>
      </c>
      <c r="L131" s="1">
        <v>0</v>
      </c>
      <c r="M131" s="43" t="s">
        <v>2592</v>
      </c>
      <c r="O131" s="2" t="s">
        <v>2482</v>
      </c>
      <c r="Q131" t="s">
        <v>654</v>
      </c>
    </row>
    <row r="132" spans="1:17" ht="15" customHeight="1" x14ac:dyDescent="0.25">
      <c r="A132" s="42" t="s">
        <v>1071</v>
      </c>
      <c r="B132" s="3" t="s">
        <v>2593</v>
      </c>
      <c r="C132" s="42" t="s">
        <v>973</v>
      </c>
      <c r="D132">
        <v>4</v>
      </c>
      <c r="E132" t="s">
        <v>1018</v>
      </c>
      <c r="F132" t="s">
        <v>975</v>
      </c>
      <c r="G132" t="s">
        <v>976</v>
      </c>
      <c r="H132" s="1" t="s">
        <v>976</v>
      </c>
      <c r="I132" s="1">
        <v>54.5</v>
      </c>
      <c r="J132" s="20">
        <v>75.400000000000006</v>
      </c>
      <c r="K132" s="1">
        <v>55.573607000000003</v>
      </c>
      <c r="L132" s="1">
        <v>4190.25</v>
      </c>
      <c r="M132" s="43" t="s">
        <v>2592</v>
      </c>
      <c r="O132" s="2" t="s">
        <v>2482</v>
      </c>
      <c r="Q132" t="s">
        <v>654</v>
      </c>
    </row>
    <row r="133" spans="1:17" ht="15" customHeight="1" x14ac:dyDescent="0.25">
      <c r="A133" s="3" t="s">
        <v>1072</v>
      </c>
      <c r="B133" s="4" t="s">
        <v>2595</v>
      </c>
      <c r="C133" t="s">
        <v>973</v>
      </c>
      <c r="D133">
        <v>1</v>
      </c>
      <c r="E133" t="s">
        <v>974</v>
      </c>
      <c r="F133" t="s">
        <v>975</v>
      </c>
      <c r="G133" t="s">
        <v>1021</v>
      </c>
      <c r="H133" s="1" t="s">
        <v>976</v>
      </c>
      <c r="I133" s="1">
        <v>48.6</v>
      </c>
      <c r="J133" s="20">
        <v>0</v>
      </c>
      <c r="K133" s="1">
        <v>48.6</v>
      </c>
      <c r="L133" s="1">
        <v>0</v>
      </c>
      <c r="M133" s="43" t="s">
        <v>2594</v>
      </c>
      <c r="O133" s="2" t="s">
        <v>2447</v>
      </c>
      <c r="Q133" t="s">
        <v>655</v>
      </c>
    </row>
    <row r="134" spans="1:17" ht="15" customHeight="1" x14ac:dyDescent="0.25">
      <c r="A134" s="3" t="s">
        <v>1073</v>
      </c>
      <c r="B134" s="4" t="s">
        <v>2595</v>
      </c>
      <c r="C134" t="s">
        <v>973</v>
      </c>
      <c r="D134">
        <v>1</v>
      </c>
      <c r="E134" t="s">
        <v>974</v>
      </c>
      <c r="F134" t="s">
        <v>975</v>
      </c>
      <c r="G134" t="s">
        <v>1021</v>
      </c>
      <c r="H134" s="1" t="s">
        <v>976</v>
      </c>
      <c r="I134" s="1">
        <v>48.6</v>
      </c>
      <c r="J134" s="20">
        <v>0</v>
      </c>
      <c r="K134" s="1">
        <v>48.6</v>
      </c>
      <c r="L134" s="1">
        <v>0</v>
      </c>
      <c r="M134" s="43" t="s">
        <v>2594</v>
      </c>
      <c r="O134" s="2" t="s">
        <v>2437</v>
      </c>
      <c r="Q134" t="s">
        <v>656</v>
      </c>
    </row>
    <row r="135" spans="1:17" ht="15" customHeight="1" x14ac:dyDescent="0.25">
      <c r="A135" s="3" t="s">
        <v>1074</v>
      </c>
      <c r="B135" s="4" t="s">
        <v>2597</v>
      </c>
      <c r="C135" t="s">
        <v>973</v>
      </c>
      <c r="D135">
        <v>1</v>
      </c>
      <c r="E135" t="s">
        <v>974</v>
      </c>
      <c r="F135" t="s">
        <v>975</v>
      </c>
      <c r="G135" t="s">
        <v>1021</v>
      </c>
      <c r="H135" s="1" t="s">
        <v>976</v>
      </c>
      <c r="I135" s="1">
        <v>62.86</v>
      </c>
      <c r="J135" s="20">
        <v>3</v>
      </c>
      <c r="K135" s="1">
        <v>62.859960000000001</v>
      </c>
      <c r="L135" s="1">
        <v>188.58</v>
      </c>
      <c r="M135" s="43" t="s">
        <v>2596</v>
      </c>
      <c r="O135" s="2" t="s">
        <v>2482</v>
      </c>
      <c r="Q135" t="s">
        <v>657</v>
      </c>
    </row>
    <row r="136" spans="1:17" ht="15" customHeight="1" x14ac:dyDescent="0.25">
      <c r="A136" s="42" t="s">
        <v>1074</v>
      </c>
      <c r="B136" s="3" t="s">
        <v>2597</v>
      </c>
      <c r="C136" s="42" t="s">
        <v>973</v>
      </c>
      <c r="D136">
        <v>4</v>
      </c>
      <c r="E136" t="s">
        <v>1018</v>
      </c>
      <c r="F136" t="s">
        <v>975</v>
      </c>
      <c r="G136" t="s">
        <v>1021</v>
      </c>
      <c r="H136" s="1" t="s">
        <v>976</v>
      </c>
      <c r="I136" s="1">
        <v>62.86</v>
      </c>
      <c r="J136" s="20">
        <v>46.7</v>
      </c>
      <c r="K136" s="1">
        <v>62.859957000000001</v>
      </c>
      <c r="L136" s="1">
        <v>2935.56</v>
      </c>
      <c r="M136" s="43" t="s">
        <v>2596</v>
      </c>
      <c r="O136" s="2" t="s">
        <v>2482</v>
      </c>
      <c r="Q136" t="s">
        <v>657</v>
      </c>
    </row>
    <row r="137" spans="1:17" ht="15" customHeight="1" x14ac:dyDescent="0.25">
      <c r="A137" s="3" t="s">
        <v>1075</v>
      </c>
      <c r="B137" s="4" t="s">
        <v>196</v>
      </c>
      <c r="C137" t="s">
        <v>973</v>
      </c>
      <c r="D137">
        <v>1</v>
      </c>
      <c r="E137" t="s">
        <v>974</v>
      </c>
      <c r="F137" t="s">
        <v>975</v>
      </c>
      <c r="G137" t="s">
        <v>1021</v>
      </c>
      <c r="H137" s="1" t="s">
        <v>976</v>
      </c>
      <c r="I137" s="1">
        <v>62.86</v>
      </c>
      <c r="J137" s="20">
        <v>48.9</v>
      </c>
      <c r="K137" s="1">
        <v>62.859918</v>
      </c>
      <c r="L137" s="1">
        <v>3073.85</v>
      </c>
      <c r="M137" s="43" t="s">
        <v>2596</v>
      </c>
      <c r="Q137" t="s">
        <v>196</v>
      </c>
    </row>
    <row r="138" spans="1:17" ht="15" customHeight="1" x14ac:dyDescent="0.25">
      <c r="A138" s="3" t="s">
        <v>1076</v>
      </c>
      <c r="B138" s="4" t="s">
        <v>2599</v>
      </c>
      <c r="C138" t="s">
        <v>973</v>
      </c>
      <c r="D138">
        <v>1</v>
      </c>
      <c r="E138" t="s">
        <v>974</v>
      </c>
      <c r="F138" t="s">
        <v>975</v>
      </c>
      <c r="G138" t="s">
        <v>976</v>
      </c>
      <c r="H138" s="1" t="s">
        <v>976</v>
      </c>
      <c r="I138" s="1">
        <v>19</v>
      </c>
      <c r="J138" s="20">
        <v>20</v>
      </c>
      <c r="K138" s="1">
        <v>0</v>
      </c>
      <c r="L138" s="1">
        <v>0</v>
      </c>
      <c r="M138" s="43" t="s">
        <v>2598</v>
      </c>
      <c r="O138" s="2" t="s">
        <v>2528</v>
      </c>
      <c r="Q138" t="s">
        <v>658</v>
      </c>
    </row>
    <row r="139" spans="1:17" ht="15" customHeight="1" x14ac:dyDescent="0.25">
      <c r="A139" s="3" t="s">
        <v>1077</v>
      </c>
      <c r="B139" s="4" t="s">
        <v>197</v>
      </c>
      <c r="C139" t="s">
        <v>973</v>
      </c>
      <c r="D139">
        <v>1</v>
      </c>
      <c r="E139" t="s">
        <v>974</v>
      </c>
      <c r="F139" t="s">
        <v>975</v>
      </c>
      <c r="G139" t="s">
        <v>1078</v>
      </c>
      <c r="H139" s="1" t="s">
        <v>976</v>
      </c>
      <c r="I139" s="1">
        <v>39.58</v>
      </c>
      <c r="J139" s="20">
        <v>0</v>
      </c>
      <c r="K139" s="1">
        <v>39.580005999999997</v>
      </c>
      <c r="L139" s="1">
        <v>0</v>
      </c>
      <c r="M139" s="43" t="s">
        <v>2600</v>
      </c>
      <c r="Q139" t="s">
        <v>197</v>
      </c>
    </row>
    <row r="140" spans="1:17" ht="15" customHeight="1" x14ac:dyDescent="0.25">
      <c r="A140" s="3" t="s">
        <v>2060</v>
      </c>
      <c r="B140" s="4" t="s">
        <v>2602</v>
      </c>
      <c r="C140" t="s">
        <v>973</v>
      </c>
      <c r="D140">
        <v>1</v>
      </c>
      <c r="E140" t="s">
        <v>974</v>
      </c>
      <c r="F140" t="s">
        <v>975</v>
      </c>
      <c r="G140" t="s">
        <v>1079</v>
      </c>
      <c r="H140" s="1" t="s">
        <v>976</v>
      </c>
      <c r="I140" s="1">
        <v>60.9</v>
      </c>
      <c r="J140" s="20">
        <v>0</v>
      </c>
      <c r="K140" s="1">
        <v>60.9</v>
      </c>
      <c r="L140" s="1">
        <v>0</v>
      </c>
      <c r="M140" s="43" t="s">
        <v>2601</v>
      </c>
      <c r="O140" s="2" t="s">
        <v>2508</v>
      </c>
      <c r="Q140" t="s">
        <v>659</v>
      </c>
    </row>
    <row r="141" spans="1:17" ht="15" customHeight="1" x14ac:dyDescent="0.25">
      <c r="A141" s="3" t="s">
        <v>1080</v>
      </c>
      <c r="B141" s="4" t="s">
        <v>2604</v>
      </c>
      <c r="C141" t="s">
        <v>973</v>
      </c>
      <c r="D141">
        <v>1</v>
      </c>
      <c r="E141" t="s">
        <v>974</v>
      </c>
      <c r="F141" t="s">
        <v>975</v>
      </c>
      <c r="G141" t="s">
        <v>976</v>
      </c>
      <c r="H141" s="1" t="s">
        <v>976</v>
      </c>
      <c r="I141" s="1">
        <v>56.7</v>
      </c>
      <c r="J141" s="20">
        <v>9.1</v>
      </c>
      <c r="K141" s="1">
        <v>55.7</v>
      </c>
      <c r="L141" s="1">
        <v>506.87</v>
      </c>
      <c r="M141" s="43" t="s">
        <v>2603</v>
      </c>
      <c r="O141" s="2" t="s">
        <v>2463</v>
      </c>
      <c r="Q141" t="s">
        <v>660</v>
      </c>
    </row>
    <row r="142" spans="1:17" ht="15" customHeight="1" x14ac:dyDescent="0.25">
      <c r="A142" s="42" t="s">
        <v>1080</v>
      </c>
      <c r="B142" s="3" t="s">
        <v>2604</v>
      </c>
      <c r="C142" s="42" t="s">
        <v>973</v>
      </c>
      <c r="D142">
        <v>4</v>
      </c>
      <c r="E142" t="s">
        <v>1018</v>
      </c>
      <c r="F142" t="s">
        <v>975</v>
      </c>
      <c r="G142" t="s">
        <v>976</v>
      </c>
      <c r="H142" s="1" t="s">
        <v>976</v>
      </c>
      <c r="I142" s="1">
        <v>56.7</v>
      </c>
      <c r="J142" s="20">
        <v>42.7</v>
      </c>
      <c r="K142" s="1">
        <v>56.7</v>
      </c>
      <c r="L142" s="1">
        <v>2421.09</v>
      </c>
      <c r="M142" s="43" t="s">
        <v>2603</v>
      </c>
      <c r="O142" s="2" t="s">
        <v>2463</v>
      </c>
      <c r="Q142" t="s">
        <v>660</v>
      </c>
    </row>
    <row r="143" spans="1:17" ht="15" customHeight="1" x14ac:dyDescent="0.25">
      <c r="A143" s="3" t="s">
        <v>1081</v>
      </c>
      <c r="B143" s="4" t="s">
        <v>2606</v>
      </c>
      <c r="C143" t="s">
        <v>973</v>
      </c>
      <c r="D143">
        <v>1</v>
      </c>
      <c r="E143" t="s">
        <v>974</v>
      </c>
      <c r="F143" t="s">
        <v>975</v>
      </c>
      <c r="G143" t="s">
        <v>976</v>
      </c>
      <c r="H143" s="1" t="s">
        <v>976</v>
      </c>
      <c r="I143" s="1">
        <v>44.09</v>
      </c>
      <c r="J143" s="20">
        <v>0</v>
      </c>
      <c r="K143" s="1">
        <v>41.885666000000001</v>
      </c>
      <c r="L143" s="1">
        <v>0</v>
      </c>
      <c r="M143" s="43" t="s">
        <v>2605</v>
      </c>
      <c r="O143" s="2" t="s">
        <v>2482</v>
      </c>
      <c r="Q143" t="s">
        <v>661</v>
      </c>
    </row>
    <row r="144" spans="1:17" ht="15" customHeight="1" x14ac:dyDescent="0.25">
      <c r="A144" s="42" t="s">
        <v>1081</v>
      </c>
      <c r="B144" s="3" t="s">
        <v>2606</v>
      </c>
      <c r="C144" s="42" t="s">
        <v>973</v>
      </c>
      <c r="D144">
        <v>4</v>
      </c>
      <c r="E144" t="s">
        <v>1018</v>
      </c>
      <c r="F144" t="s">
        <v>975</v>
      </c>
      <c r="G144" t="s">
        <v>976</v>
      </c>
      <c r="H144" s="1" t="s">
        <v>976</v>
      </c>
      <c r="I144" s="1">
        <v>44.09</v>
      </c>
      <c r="J144" s="20">
        <v>14</v>
      </c>
      <c r="K144" s="1">
        <v>44.09</v>
      </c>
      <c r="L144" s="1">
        <v>617.26</v>
      </c>
      <c r="M144" s="43" t="s">
        <v>2605</v>
      </c>
      <c r="O144" s="2" t="s">
        <v>2482</v>
      </c>
      <c r="Q144" t="s">
        <v>661</v>
      </c>
    </row>
    <row r="145" spans="1:17" ht="15" customHeight="1" x14ac:dyDescent="0.25">
      <c r="A145" s="3" t="s">
        <v>2247</v>
      </c>
      <c r="B145" s="4" t="s">
        <v>555</v>
      </c>
      <c r="C145" t="s">
        <v>1066</v>
      </c>
      <c r="D145">
        <v>1</v>
      </c>
      <c r="E145" t="s">
        <v>974</v>
      </c>
      <c r="F145" t="s">
        <v>975</v>
      </c>
      <c r="G145" t="s">
        <v>976</v>
      </c>
      <c r="H145" s="1" t="s">
        <v>976</v>
      </c>
      <c r="I145" s="1">
        <v>0.3</v>
      </c>
      <c r="J145" s="20">
        <v>0</v>
      </c>
      <c r="K145" s="1">
        <v>0.3</v>
      </c>
      <c r="L145" s="1">
        <v>0</v>
      </c>
      <c r="M145" s="43" t="s">
        <v>2607</v>
      </c>
      <c r="Q145" t="s">
        <v>555</v>
      </c>
    </row>
    <row r="146" spans="1:17" ht="15" customHeight="1" x14ac:dyDescent="0.25">
      <c r="A146" s="42" t="s">
        <v>2247</v>
      </c>
      <c r="B146" s="3" t="s">
        <v>555</v>
      </c>
      <c r="C146" s="42" t="s">
        <v>1066</v>
      </c>
      <c r="D146">
        <v>4</v>
      </c>
      <c r="E146" t="s">
        <v>1018</v>
      </c>
      <c r="F146" t="s">
        <v>975</v>
      </c>
      <c r="G146" t="s">
        <v>976</v>
      </c>
      <c r="H146" s="1" t="s">
        <v>976</v>
      </c>
      <c r="I146" s="1">
        <v>0.3</v>
      </c>
      <c r="J146" s="20">
        <v>462</v>
      </c>
      <c r="K146" s="1">
        <v>0.3</v>
      </c>
      <c r="L146" s="1">
        <v>138.6</v>
      </c>
      <c r="M146" s="43" t="s">
        <v>2607</v>
      </c>
      <c r="Q146" t="s">
        <v>555</v>
      </c>
    </row>
    <row r="147" spans="1:17" ht="15" customHeight="1" x14ac:dyDescent="0.25">
      <c r="A147" s="3" t="s">
        <v>1082</v>
      </c>
      <c r="B147" s="4" t="s">
        <v>198</v>
      </c>
      <c r="C147" t="s">
        <v>973</v>
      </c>
      <c r="D147">
        <v>1</v>
      </c>
      <c r="E147" t="s">
        <v>974</v>
      </c>
      <c r="F147" t="s">
        <v>975</v>
      </c>
      <c r="G147" t="s">
        <v>1078</v>
      </c>
      <c r="H147" s="1" t="s">
        <v>976</v>
      </c>
      <c r="I147" s="1">
        <v>53.880063</v>
      </c>
      <c r="J147" s="20">
        <v>-31.85</v>
      </c>
      <c r="K147" s="1">
        <v>53.880063</v>
      </c>
      <c r="L147" s="1">
        <v>-1716.08</v>
      </c>
      <c r="M147" s="43" t="s">
        <v>2608</v>
      </c>
      <c r="Q147" t="s">
        <v>198</v>
      </c>
    </row>
    <row r="148" spans="1:17" ht="15" customHeight="1" x14ac:dyDescent="0.25">
      <c r="A148" s="42" t="s">
        <v>1082</v>
      </c>
      <c r="B148" s="3" t="s">
        <v>198</v>
      </c>
      <c r="C148" s="42" t="s">
        <v>973</v>
      </c>
      <c r="D148">
        <v>4</v>
      </c>
      <c r="E148" t="s">
        <v>1018</v>
      </c>
      <c r="F148" t="s">
        <v>975</v>
      </c>
      <c r="G148" t="s">
        <v>1078</v>
      </c>
      <c r="H148" s="1" t="s">
        <v>976</v>
      </c>
      <c r="I148" s="1">
        <v>53.880063</v>
      </c>
      <c r="J148" s="20">
        <v>10.6</v>
      </c>
      <c r="K148" s="1">
        <v>43.580188999999997</v>
      </c>
      <c r="L148" s="1">
        <v>461.95</v>
      </c>
      <c r="M148" s="43" t="s">
        <v>2608</v>
      </c>
      <c r="Q148" t="s">
        <v>198</v>
      </c>
    </row>
    <row r="149" spans="1:17" ht="15" customHeight="1" x14ac:dyDescent="0.25">
      <c r="A149" s="3" t="s">
        <v>1083</v>
      </c>
      <c r="B149" s="4" t="s">
        <v>2610</v>
      </c>
      <c r="C149" t="s">
        <v>973</v>
      </c>
      <c r="D149">
        <v>1</v>
      </c>
      <c r="E149" t="s">
        <v>974</v>
      </c>
      <c r="F149" t="s">
        <v>975</v>
      </c>
      <c r="G149" t="s">
        <v>1078</v>
      </c>
      <c r="H149" s="1" t="s">
        <v>976</v>
      </c>
      <c r="I149" s="1">
        <v>49.98</v>
      </c>
      <c r="J149" s="20">
        <v>0</v>
      </c>
      <c r="K149" s="1">
        <v>49.979979999999998</v>
      </c>
      <c r="L149" s="1">
        <v>0</v>
      </c>
      <c r="M149" s="43" t="s">
        <v>2609</v>
      </c>
      <c r="O149" s="2" t="s">
        <v>2443</v>
      </c>
      <c r="Q149" t="s">
        <v>662</v>
      </c>
    </row>
    <row r="150" spans="1:17" ht="15" customHeight="1" x14ac:dyDescent="0.25">
      <c r="A150" s="3" t="s">
        <v>1084</v>
      </c>
      <c r="B150" s="4" t="s">
        <v>2612</v>
      </c>
      <c r="C150" t="s">
        <v>973</v>
      </c>
      <c r="D150">
        <v>1</v>
      </c>
      <c r="E150" t="s">
        <v>974</v>
      </c>
      <c r="F150" t="s">
        <v>975</v>
      </c>
      <c r="G150" t="s">
        <v>1078</v>
      </c>
      <c r="H150" s="1" t="s">
        <v>976</v>
      </c>
      <c r="I150" s="1">
        <v>56.780126000000003</v>
      </c>
      <c r="J150" s="20">
        <v>-35.020000000000003</v>
      </c>
      <c r="K150" s="1">
        <v>56.780126000000003</v>
      </c>
      <c r="L150" s="1">
        <v>-1988.44</v>
      </c>
      <c r="M150" s="43" t="s">
        <v>2611</v>
      </c>
      <c r="O150" s="2" t="s">
        <v>2437</v>
      </c>
      <c r="Q150" t="s">
        <v>663</v>
      </c>
    </row>
    <row r="151" spans="1:17" ht="15" customHeight="1" x14ac:dyDescent="0.25">
      <c r="A151" s="42" t="s">
        <v>1084</v>
      </c>
      <c r="B151" s="3" t="s">
        <v>2612</v>
      </c>
      <c r="C151" s="42" t="s">
        <v>973</v>
      </c>
      <c r="D151">
        <v>4</v>
      </c>
      <c r="E151" t="s">
        <v>1018</v>
      </c>
      <c r="F151" t="s">
        <v>975</v>
      </c>
      <c r="G151" t="s">
        <v>1078</v>
      </c>
      <c r="H151" s="1" t="s">
        <v>976</v>
      </c>
      <c r="I151" s="1">
        <v>56.780126000000003</v>
      </c>
      <c r="J151" s="20">
        <v>20.75</v>
      </c>
      <c r="K151" s="1">
        <v>46.780239999999999</v>
      </c>
      <c r="L151" s="1">
        <v>970.69</v>
      </c>
      <c r="M151" s="43" t="s">
        <v>2611</v>
      </c>
      <c r="O151" s="2" t="s">
        <v>2437</v>
      </c>
      <c r="Q151" t="s">
        <v>663</v>
      </c>
    </row>
    <row r="152" spans="1:17" ht="15" customHeight="1" x14ac:dyDescent="0.25">
      <c r="A152" s="3" t="s">
        <v>1085</v>
      </c>
      <c r="B152" s="4" t="s">
        <v>199</v>
      </c>
      <c r="C152" t="s">
        <v>973</v>
      </c>
      <c r="D152">
        <v>1</v>
      </c>
      <c r="E152" t="s">
        <v>974</v>
      </c>
      <c r="F152" t="s">
        <v>975</v>
      </c>
      <c r="G152" t="s">
        <v>1078</v>
      </c>
      <c r="H152" s="1" t="s">
        <v>976</v>
      </c>
      <c r="I152" s="1">
        <v>64.679930999999996</v>
      </c>
      <c r="J152" s="20">
        <v>-34.93</v>
      </c>
      <c r="K152" s="1">
        <v>64.679930999999996</v>
      </c>
      <c r="L152" s="1">
        <v>-2259.27</v>
      </c>
      <c r="M152" s="43" t="s">
        <v>2613</v>
      </c>
      <c r="Q152" t="s">
        <v>199</v>
      </c>
    </row>
    <row r="153" spans="1:17" ht="15" customHeight="1" x14ac:dyDescent="0.25">
      <c r="A153" s="42" t="s">
        <v>1085</v>
      </c>
      <c r="B153" s="3" t="s">
        <v>199</v>
      </c>
      <c r="C153" s="42" t="s">
        <v>973</v>
      </c>
      <c r="D153">
        <v>4</v>
      </c>
      <c r="E153" t="s">
        <v>1018</v>
      </c>
      <c r="F153" t="s">
        <v>975</v>
      </c>
      <c r="G153" t="s">
        <v>1078</v>
      </c>
      <c r="H153" s="1" t="s">
        <v>976</v>
      </c>
      <c r="I153" s="1">
        <v>64.679930999999996</v>
      </c>
      <c r="J153" s="20">
        <v>24.45</v>
      </c>
      <c r="K153" s="1">
        <v>53.480162999999997</v>
      </c>
      <c r="L153" s="1">
        <v>1307.5899999999999</v>
      </c>
      <c r="M153" s="43" t="s">
        <v>2613</v>
      </c>
      <c r="Q153" t="s">
        <v>199</v>
      </c>
    </row>
    <row r="154" spans="1:17" ht="15" customHeight="1" x14ac:dyDescent="0.25">
      <c r="A154" s="3" t="s">
        <v>1086</v>
      </c>
      <c r="B154" s="4" t="s">
        <v>2612</v>
      </c>
      <c r="C154" t="s">
        <v>973</v>
      </c>
      <c r="D154">
        <v>1</v>
      </c>
      <c r="E154" t="s">
        <v>974</v>
      </c>
      <c r="F154" t="s">
        <v>975</v>
      </c>
      <c r="G154" t="s">
        <v>1078</v>
      </c>
      <c r="H154" s="1" t="s">
        <v>976</v>
      </c>
      <c r="I154" s="1">
        <v>57.48</v>
      </c>
      <c r="J154" s="20">
        <v>41.76</v>
      </c>
      <c r="K154" s="1">
        <v>57.479936000000002</v>
      </c>
      <c r="L154" s="1">
        <v>2400.36</v>
      </c>
      <c r="M154" s="43" t="s">
        <v>2613</v>
      </c>
      <c r="O154" s="2" t="s">
        <v>2614</v>
      </c>
      <c r="Q154" t="s">
        <v>664</v>
      </c>
    </row>
    <row r="155" spans="1:17" ht="15" customHeight="1" x14ac:dyDescent="0.25">
      <c r="A155" s="3" t="s">
        <v>2061</v>
      </c>
      <c r="C155" t="s">
        <v>973</v>
      </c>
      <c r="D155">
        <v>1</v>
      </c>
      <c r="E155" t="s">
        <v>974</v>
      </c>
      <c r="F155" t="s">
        <v>975</v>
      </c>
      <c r="G155" t="s">
        <v>1079</v>
      </c>
      <c r="H155" s="1" t="s">
        <v>976</v>
      </c>
      <c r="I155" s="1">
        <v>84.2</v>
      </c>
      <c r="J155" s="20">
        <v>0.4</v>
      </c>
      <c r="K155" s="1">
        <v>84.2</v>
      </c>
      <c r="L155" s="1">
        <v>33.68</v>
      </c>
      <c r="M155" s="43" t="s">
        <v>2615</v>
      </c>
      <c r="N155" s="1" t="s">
        <v>2616</v>
      </c>
    </row>
    <row r="156" spans="1:17" ht="15" customHeight="1" x14ac:dyDescent="0.25">
      <c r="A156" s="3" t="s">
        <v>1087</v>
      </c>
      <c r="B156" s="4" t="s">
        <v>200</v>
      </c>
      <c r="C156" t="s">
        <v>1066</v>
      </c>
      <c r="D156">
        <v>1</v>
      </c>
      <c r="E156" t="s">
        <v>974</v>
      </c>
      <c r="F156" t="s">
        <v>975</v>
      </c>
      <c r="G156" t="s">
        <v>976</v>
      </c>
      <c r="H156" s="1" t="s">
        <v>976</v>
      </c>
      <c r="I156" s="1">
        <v>4.25</v>
      </c>
      <c r="J156" s="20">
        <v>-73</v>
      </c>
      <c r="K156" s="1">
        <v>4.8195360000000003</v>
      </c>
      <c r="L156" s="1">
        <v>-351.83</v>
      </c>
      <c r="M156" s="43" t="s">
        <v>2617</v>
      </c>
      <c r="Q156" t="s">
        <v>200</v>
      </c>
    </row>
    <row r="157" spans="1:17" ht="15" customHeight="1" x14ac:dyDescent="0.25">
      <c r="A157" s="42" t="s">
        <v>1087</v>
      </c>
      <c r="B157" s="3" t="s">
        <v>200</v>
      </c>
      <c r="C157" s="42" t="s">
        <v>1066</v>
      </c>
      <c r="D157">
        <v>4</v>
      </c>
      <c r="E157" t="s">
        <v>1018</v>
      </c>
      <c r="F157" t="s">
        <v>975</v>
      </c>
      <c r="G157" t="s">
        <v>976</v>
      </c>
      <c r="H157" s="1" t="s">
        <v>976</v>
      </c>
      <c r="I157" s="1">
        <v>4.25</v>
      </c>
      <c r="J157" s="20">
        <v>614</v>
      </c>
      <c r="K157" s="1">
        <v>4.25</v>
      </c>
      <c r="L157" s="1">
        <v>2609.5</v>
      </c>
      <c r="M157" s="43" t="s">
        <v>2617</v>
      </c>
      <c r="Q157" t="s">
        <v>200</v>
      </c>
    </row>
    <row r="158" spans="1:17" ht="15" customHeight="1" x14ac:dyDescent="0.25">
      <c r="A158" s="3" t="s">
        <v>2062</v>
      </c>
      <c r="B158" s="4" t="s">
        <v>2619</v>
      </c>
      <c r="C158" t="s">
        <v>973</v>
      </c>
      <c r="D158">
        <v>1</v>
      </c>
      <c r="E158" t="s">
        <v>974</v>
      </c>
      <c r="F158" t="s">
        <v>975</v>
      </c>
      <c r="G158" t="s">
        <v>1079</v>
      </c>
      <c r="H158" s="1" t="s">
        <v>976</v>
      </c>
      <c r="I158" s="1">
        <v>60.9</v>
      </c>
      <c r="J158" s="20">
        <v>0</v>
      </c>
      <c r="K158" s="1">
        <v>60.9</v>
      </c>
      <c r="L158" s="1">
        <v>0</v>
      </c>
      <c r="M158" s="43" t="s">
        <v>2618</v>
      </c>
      <c r="O158" s="2" t="s">
        <v>2472</v>
      </c>
      <c r="Q158" t="s">
        <v>481</v>
      </c>
    </row>
    <row r="159" spans="1:17" ht="15" customHeight="1" x14ac:dyDescent="0.25">
      <c r="A159" s="3" t="s">
        <v>1088</v>
      </c>
      <c r="B159" s="4" t="s">
        <v>2621</v>
      </c>
      <c r="C159" t="s">
        <v>973</v>
      </c>
      <c r="D159">
        <v>1</v>
      </c>
      <c r="E159" t="s">
        <v>974</v>
      </c>
      <c r="F159" t="s">
        <v>975</v>
      </c>
      <c r="G159" t="s">
        <v>1089</v>
      </c>
      <c r="H159" s="1" t="s">
        <v>976</v>
      </c>
      <c r="I159" s="1">
        <v>12.06</v>
      </c>
      <c r="J159" s="20">
        <v>0</v>
      </c>
      <c r="K159" s="1">
        <v>12.06</v>
      </c>
      <c r="L159" s="1">
        <v>0</v>
      </c>
      <c r="M159" s="43" t="s">
        <v>2620</v>
      </c>
      <c r="O159" s="2" t="s">
        <v>2437</v>
      </c>
      <c r="Q159" t="s">
        <v>665</v>
      </c>
    </row>
    <row r="160" spans="1:17" ht="15" customHeight="1" x14ac:dyDescent="0.25">
      <c r="A160" s="3" t="s">
        <v>2063</v>
      </c>
      <c r="B160" s="4" t="s">
        <v>2623</v>
      </c>
      <c r="C160" t="s">
        <v>973</v>
      </c>
      <c r="D160">
        <v>1</v>
      </c>
      <c r="E160" t="s">
        <v>974</v>
      </c>
      <c r="F160" t="s">
        <v>975</v>
      </c>
      <c r="G160" t="s">
        <v>1090</v>
      </c>
      <c r="H160" s="1" t="s">
        <v>976</v>
      </c>
      <c r="I160" s="1">
        <v>25.14</v>
      </c>
      <c r="J160" s="20">
        <v>0</v>
      </c>
      <c r="K160" s="1">
        <v>25.14</v>
      </c>
      <c r="L160" s="1">
        <v>0</v>
      </c>
      <c r="M160" s="43" t="s">
        <v>2622</v>
      </c>
      <c r="O160" s="2" t="s">
        <v>2447</v>
      </c>
      <c r="Q160" t="s">
        <v>666</v>
      </c>
    </row>
    <row r="161" spans="1:17" ht="15" customHeight="1" x14ac:dyDescent="0.25">
      <c r="A161" s="3" t="s">
        <v>2064</v>
      </c>
      <c r="B161" s="4" t="s">
        <v>2625</v>
      </c>
      <c r="C161" t="s">
        <v>973</v>
      </c>
      <c r="D161">
        <v>1</v>
      </c>
      <c r="E161" t="s">
        <v>974</v>
      </c>
      <c r="F161" t="s">
        <v>975</v>
      </c>
      <c r="G161" t="s">
        <v>1079</v>
      </c>
      <c r="H161" s="1" t="s">
        <v>976</v>
      </c>
      <c r="I161" s="1">
        <v>60.9</v>
      </c>
      <c r="J161" s="20">
        <v>0</v>
      </c>
      <c r="K161" s="1">
        <v>60.9</v>
      </c>
      <c r="L161" s="1">
        <v>0</v>
      </c>
      <c r="M161" s="43" t="s">
        <v>2624</v>
      </c>
      <c r="O161" s="2" t="s">
        <v>2447</v>
      </c>
      <c r="Q161" t="s">
        <v>667</v>
      </c>
    </row>
    <row r="162" spans="1:17" ht="15" customHeight="1" x14ac:dyDescent="0.25">
      <c r="A162" s="3" t="s">
        <v>1091</v>
      </c>
      <c r="B162" s="4" t="s">
        <v>2627</v>
      </c>
      <c r="C162" t="s">
        <v>973</v>
      </c>
      <c r="D162">
        <v>1</v>
      </c>
      <c r="E162" t="s">
        <v>974</v>
      </c>
      <c r="F162" t="s">
        <v>975</v>
      </c>
      <c r="G162" t="s">
        <v>976</v>
      </c>
      <c r="H162" s="1" t="s">
        <v>976</v>
      </c>
      <c r="I162" s="1">
        <v>52</v>
      </c>
      <c r="J162" s="20">
        <v>0</v>
      </c>
      <c r="K162" s="1">
        <v>51.155000000000001</v>
      </c>
      <c r="L162" s="1">
        <v>0</v>
      </c>
      <c r="M162" s="43" t="s">
        <v>2626</v>
      </c>
      <c r="O162" s="2" t="s">
        <v>2482</v>
      </c>
      <c r="Q162" t="s">
        <v>668</v>
      </c>
    </row>
    <row r="163" spans="1:17" ht="15" customHeight="1" x14ac:dyDescent="0.25">
      <c r="A163" s="42" t="s">
        <v>1091</v>
      </c>
      <c r="B163" s="3" t="s">
        <v>2627</v>
      </c>
      <c r="C163" s="42" t="s">
        <v>973</v>
      </c>
      <c r="D163">
        <v>4</v>
      </c>
      <c r="E163" t="s">
        <v>1018</v>
      </c>
      <c r="F163" t="s">
        <v>975</v>
      </c>
      <c r="G163" t="s">
        <v>976</v>
      </c>
      <c r="H163" s="1" t="s">
        <v>976</v>
      </c>
      <c r="I163" s="1">
        <v>52</v>
      </c>
      <c r="J163" s="20">
        <v>80</v>
      </c>
      <c r="K163" s="1">
        <v>52</v>
      </c>
      <c r="L163" s="1">
        <v>4160</v>
      </c>
      <c r="M163" s="43" t="s">
        <v>2626</v>
      </c>
      <c r="O163" s="2" t="s">
        <v>2482</v>
      </c>
      <c r="Q163" t="s">
        <v>668</v>
      </c>
    </row>
    <row r="164" spans="1:17" ht="15" customHeight="1" x14ac:dyDescent="0.25">
      <c r="A164" s="3" t="s">
        <v>2065</v>
      </c>
      <c r="B164" s="4" t="s">
        <v>2629</v>
      </c>
      <c r="C164" t="s">
        <v>973</v>
      </c>
      <c r="D164">
        <v>1</v>
      </c>
      <c r="E164" t="s">
        <v>974</v>
      </c>
      <c r="F164" t="s">
        <v>975</v>
      </c>
      <c r="G164" t="s">
        <v>976</v>
      </c>
      <c r="H164" s="1" t="s">
        <v>976</v>
      </c>
      <c r="I164" s="1">
        <v>34</v>
      </c>
      <c r="J164" s="20">
        <v>0</v>
      </c>
      <c r="K164" s="1">
        <v>34</v>
      </c>
      <c r="L164" s="1">
        <v>0</v>
      </c>
      <c r="M164" s="43" t="s">
        <v>2628</v>
      </c>
      <c r="O164" s="2" t="s">
        <v>2472</v>
      </c>
      <c r="Q164" t="s">
        <v>669</v>
      </c>
    </row>
    <row r="165" spans="1:17" ht="15" customHeight="1" x14ac:dyDescent="0.25">
      <c r="A165" s="42" t="s">
        <v>2065</v>
      </c>
      <c r="B165" s="3" t="s">
        <v>2629</v>
      </c>
      <c r="C165" s="42" t="s">
        <v>973</v>
      </c>
      <c r="D165">
        <v>4</v>
      </c>
      <c r="E165" t="s">
        <v>1018</v>
      </c>
      <c r="F165" t="s">
        <v>975</v>
      </c>
      <c r="G165" t="s">
        <v>976</v>
      </c>
      <c r="H165" s="1" t="s">
        <v>976</v>
      </c>
      <c r="I165" s="1">
        <v>34</v>
      </c>
      <c r="J165" s="20">
        <v>17.3</v>
      </c>
      <c r="K165" s="1">
        <v>34</v>
      </c>
      <c r="L165" s="1">
        <v>588.20000000000005</v>
      </c>
      <c r="M165" s="43" t="s">
        <v>2628</v>
      </c>
      <c r="O165" s="2" t="s">
        <v>2472</v>
      </c>
      <c r="Q165" t="s">
        <v>669</v>
      </c>
    </row>
    <row r="166" spans="1:17" ht="15" customHeight="1" x14ac:dyDescent="0.25">
      <c r="A166" s="3" t="s">
        <v>1092</v>
      </c>
      <c r="B166" s="4" t="s">
        <v>2631</v>
      </c>
      <c r="C166" t="s">
        <v>973</v>
      </c>
      <c r="D166">
        <v>1</v>
      </c>
      <c r="E166" t="s">
        <v>974</v>
      </c>
      <c r="F166" t="s">
        <v>975</v>
      </c>
      <c r="G166" t="s">
        <v>985</v>
      </c>
      <c r="H166" s="1" t="s">
        <v>976</v>
      </c>
      <c r="I166" s="1">
        <v>54</v>
      </c>
      <c r="J166" s="20">
        <v>20.8</v>
      </c>
      <c r="K166" s="1">
        <v>54</v>
      </c>
      <c r="L166" s="1">
        <v>1123.2</v>
      </c>
      <c r="M166" s="43" t="s">
        <v>2630</v>
      </c>
      <c r="O166" s="2" t="s">
        <v>2508</v>
      </c>
      <c r="Q166" t="s">
        <v>670</v>
      </c>
    </row>
    <row r="167" spans="1:17" ht="15" customHeight="1" x14ac:dyDescent="0.25">
      <c r="A167" s="3" t="s">
        <v>1093</v>
      </c>
      <c r="B167" s="4" t="s">
        <v>2633</v>
      </c>
      <c r="C167" t="s">
        <v>973</v>
      </c>
      <c r="D167">
        <v>1</v>
      </c>
      <c r="E167" t="s">
        <v>974</v>
      </c>
      <c r="F167" t="s">
        <v>975</v>
      </c>
      <c r="G167" t="s">
        <v>985</v>
      </c>
      <c r="H167" s="1" t="s">
        <v>976</v>
      </c>
      <c r="I167" s="1">
        <v>46.5</v>
      </c>
      <c r="J167" s="20">
        <v>21.5</v>
      </c>
      <c r="K167" s="1">
        <v>46.5</v>
      </c>
      <c r="L167" s="1">
        <v>999.75</v>
      </c>
      <c r="M167" s="43" t="s">
        <v>2632</v>
      </c>
      <c r="O167" s="2" t="s">
        <v>2508</v>
      </c>
      <c r="Q167" t="s">
        <v>671</v>
      </c>
    </row>
    <row r="168" spans="1:17" ht="15" customHeight="1" x14ac:dyDescent="0.25">
      <c r="A168" s="3" t="s">
        <v>1094</v>
      </c>
      <c r="B168" s="4" t="s">
        <v>201</v>
      </c>
      <c r="C168" t="s">
        <v>973</v>
      </c>
      <c r="D168">
        <v>1</v>
      </c>
      <c r="E168" t="s">
        <v>974</v>
      </c>
      <c r="F168" t="s">
        <v>975</v>
      </c>
      <c r="G168" t="s">
        <v>985</v>
      </c>
      <c r="H168" s="1" t="s">
        <v>976</v>
      </c>
      <c r="I168" s="1">
        <v>46.5</v>
      </c>
      <c r="J168" s="20">
        <v>21.5</v>
      </c>
      <c r="K168" s="1">
        <v>46.5</v>
      </c>
      <c r="L168" s="1">
        <v>999.75</v>
      </c>
      <c r="M168" s="43" t="s">
        <v>2634</v>
      </c>
      <c r="Q168" t="s">
        <v>201</v>
      </c>
    </row>
    <row r="169" spans="1:17" ht="15" customHeight="1" x14ac:dyDescent="0.25">
      <c r="A169" s="3" t="s">
        <v>1095</v>
      </c>
      <c r="B169" s="4" t="s">
        <v>202</v>
      </c>
      <c r="C169" t="s">
        <v>973</v>
      </c>
      <c r="D169">
        <v>1</v>
      </c>
      <c r="E169" t="s">
        <v>974</v>
      </c>
      <c r="F169" t="s">
        <v>975</v>
      </c>
      <c r="G169" t="s">
        <v>985</v>
      </c>
      <c r="H169" s="1" t="s">
        <v>976</v>
      </c>
      <c r="I169" s="1">
        <v>46.5</v>
      </c>
      <c r="J169" s="20">
        <v>21.8</v>
      </c>
      <c r="K169" s="1">
        <v>46.5</v>
      </c>
      <c r="L169" s="1">
        <v>1013.7</v>
      </c>
      <c r="M169" s="43" t="s">
        <v>2635</v>
      </c>
      <c r="Q169" t="s">
        <v>202</v>
      </c>
    </row>
    <row r="170" spans="1:17" ht="15" customHeight="1" x14ac:dyDescent="0.25">
      <c r="A170" s="3" t="s">
        <v>2248</v>
      </c>
      <c r="B170" s="4" t="s">
        <v>556</v>
      </c>
      <c r="C170" t="s">
        <v>1066</v>
      </c>
      <c r="D170">
        <v>1</v>
      </c>
      <c r="E170" t="s">
        <v>974</v>
      </c>
      <c r="F170" t="s">
        <v>975</v>
      </c>
      <c r="G170" t="s">
        <v>976</v>
      </c>
      <c r="H170" s="1" t="s">
        <v>976</v>
      </c>
      <c r="I170" s="1">
        <v>0.82</v>
      </c>
      <c r="J170" s="20">
        <v>161</v>
      </c>
      <c r="K170" s="1">
        <v>0.82</v>
      </c>
      <c r="L170" s="1">
        <v>132.02000000000001</v>
      </c>
      <c r="M170" s="43" t="s">
        <v>2636</v>
      </c>
      <c r="Q170" t="s">
        <v>556</v>
      </c>
    </row>
    <row r="171" spans="1:17" ht="15" customHeight="1" x14ac:dyDescent="0.25">
      <c r="A171" s="42" t="s">
        <v>2248</v>
      </c>
      <c r="B171" s="3" t="s">
        <v>556</v>
      </c>
      <c r="C171" s="42" t="s">
        <v>1066</v>
      </c>
      <c r="D171">
        <v>4</v>
      </c>
      <c r="E171" t="s">
        <v>1018</v>
      </c>
      <c r="F171" t="s">
        <v>975</v>
      </c>
      <c r="G171" t="s">
        <v>976</v>
      </c>
      <c r="H171" s="1" t="s">
        <v>976</v>
      </c>
      <c r="I171" s="1">
        <v>0.82</v>
      </c>
      <c r="J171" s="20">
        <v>12</v>
      </c>
      <c r="K171" s="1">
        <v>0.82</v>
      </c>
      <c r="L171" s="1">
        <v>9.84</v>
      </c>
      <c r="M171" s="43" t="s">
        <v>2636</v>
      </c>
      <c r="Q171" t="s">
        <v>556</v>
      </c>
    </row>
    <row r="172" spans="1:17" ht="15" customHeight="1" x14ac:dyDescent="0.25">
      <c r="A172" s="3" t="s">
        <v>1096</v>
      </c>
      <c r="B172" s="4" t="s">
        <v>2638</v>
      </c>
      <c r="C172" t="s">
        <v>973</v>
      </c>
      <c r="D172">
        <v>1</v>
      </c>
      <c r="E172" t="s">
        <v>974</v>
      </c>
      <c r="F172" t="s">
        <v>975</v>
      </c>
      <c r="G172" t="s">
        <v>976</v>
      </c>
      <c r="H172" s="1" t="s">
        <v>976</v>
      </c>
      <c r="I172" s="1">
        <v>34</v>
      </c>
      <c r="J172" s="20">
        <v>21.1</v>
      </c>
      <c r="K172" s="1">
        <v>34</v>
      </c>
      <c r="L172" s="1">
        <v>717.4</v>
      </c>
      <c r="M172" s="43" t="s">
        <v>2637</v>
      </c>
      <c r="O172" s="2" t="s">
        <v>2472</v>
      </c>
      <c r="Q172" t="s">
        <v>672</v>
      </c>
    </row>
    <row r="173" spans="1:17" ht="15" customHeight="1" x14ac:dyDescent="0.25">
      <c r="A173" s="3" t="s">
        <v>1097</v>
      </c>
      <c r="B173" s="4" t="s">
        <v>2640</v>
      </c>
      <c r="C173" t="s">
        <v>973</v>
      </c>
      <c r="D173">
        <v>1</v>
      </c>
      <c r="E173" t="s">
        <v>974</v>
      </c>
      <c r="F173" t="s">
        <v>975</v>
      </c>
      <c r="G173" t="s">
        <v>976</v>
      </c>
      <c r="H173" s="1" t="s">
        <v>976</v>
      </c>
      <c r="I173" s="1">
        <v>91</v>
      </c>
      <c r="J173" s="20">
        <v>20.6</v>
      </c>
      <c r="K173" s="1">
        <v>91.6</v>
      </c>
      <c r="L173" s="1">
        <v>1886.96</v>
      </c>
      <c r="M173" s="43" t="s">
        <v>2639</v>
      </c>
      <c r="O173" s="2" t="s">
        <v>2472</v>
      </c>
      <c r="Q173" t="s">
        <v>673</v>
      </c>
    </row>
    <row r="174" spans="1:17" ht="15" customHeight="1" x14ac:dyDescent="0.25">
      <c r="A174" s="3" t="s">
        <v>1098</v>
      </c>
      <c r="B174" s="4" t="s">
        <v>2640</v>
      </c>
      <c r="C174" t="s">
        <v>973</v>
      </c>
      <c r="D174">
        <v>1</v>
      </c>
      <c r="E174" t="s">
        <v>974</v>
      </c>
      <c r="F174" t="s">
        <v>975</v>
      </c>
      <c r="G174" t="s">
        <v>976</v>
      </c>
      <c r="H174" s="1" t="s">
        <v>976</v>
      </c>
      <c r="I174" s="1">
        <v>91</v>
      </c>
      <c r="J174" s="20">
        <v>110.9</v>
      </c>
      <c r="K174" s="1">
        <v>91</v>
      </c>
      <c r="L174" s="1">
        <v>10091.9</v>
      </c>
      <c r="M174" s="43" t="s">
        <v>2641</v>
      </c>
      <c r="O174" s="2" t="s">
        <v>2447</v>
      </c>
      <c r="Q174" t="s">
        <v>674</v>
      </c>
    </row>
    <row r="175" spans="1:17" ht="15" customHeight="1" x14ac:dyDescent="0.25">
      <c r="A175" s="3" t="s">
        <v>2066</v>
      </c>
      <c r="B175" s="4" t="s">
        <v>2643</v>
      </c>
      <c r="C175" t="s">
        <v>973</v>
      </c>
      <c r="D175">
        <v>1</v>
      </c>
      <c r="E175" t="s">
        <v>974</v>
      </c>
      <c r="F175" t="s">
        <v>975</v>
      </c>
      <c r="G175" t="s">
        <v>976</v>
      </c>
      <c r="H175" s="1" t="s">
        <v>976</v>
      </c>
      <c r="I175" s="1">
        <v>55</v>
      </c>
      <c r="J175" s="20">
        <v>20</v>
      </c>
      <c r="K175" s="1">
        <v>55</v>
      </c>
      <c r="L175" s="1">
        <v>1100</v>
      </c>
      <c r="M175" s="43" t="s">
        <v>2642</v>
      </c>
      <c r="O175" s="2" t="s">
        <v>2472</v>
      </c>
      <c r="Q175" t="s">
        <v>675</v>
      </c>
    </row>
    <row r="176" spans="1:17" ht="15" customHeight="1" x14ac:dyDescent="0.25">
      <c r="A176" s="3" t="s">
        <v>2249</v>
      </c>
      <c r="B176" s="4" t="s">
        <v>2645</v>
      </c>
      <c r="C176" t="s">
        <v>973</v>
      </c>
      <c r="D176">
        <v>1</v>
      </c>
      <c r="E176" t="s">
        <v>974</v>
      </c>
      <c r="F176" t="s">
        <v>975</v>
      </c>
      <c r="G176" t="s">
        <v>976</v>
      </c>
      <c r="H176" s="1" t="s">
        <v>976</v>
      </c>
      <c r="I176" s="1">
        <v>52</v>
      </c>
      <c r="J176" s="20">
        <v>30</v>
      </c>
      <c r="K176" s="1">
        <v>51.773913</v>
      </c>
      <c r="L176" s="1">
        <v>1553.22</v>
      </c>
      <c r="M176" s="43" t="s">
        <v>2644</v>
      </c>
      <c r="O176" s="2" t="s">
        <v>2447</v>
      </c>
      <c r="Q176" t="s">
        <v>676</v>
      </c>
    </row>
    <row r="177" spans="1:17" ht="15" customHeight="1" x14ac:dyDescent="0.25">
      <c r="A177" s="42" t="s">
        <v>2249</v>
      </c>
      <c r="B177" s="3" t="s">
        <v>2645</v>
      </c>
      <c r="C177" s="42" t="s">
        <v>973</v>
      </c>
      <c r="D177">
        <v>4</v>
      </c>
      <c r="E177" t="s">
        <v>1018</v>
      </c>
      <c r="F177" t="s">
        <v>975</v>
      </c>
      <c r="G177" t="s">
        <v>976</v>
      </c>
      <c r="H177" s="1" t="s">
        <v>976</v>
      </c>
      <c r="I177" s="1">
        <v>52</v>
      </c>
      <c r="J177" s="20">
        <v>0</v>
      </c>
      <c r="K177" s="1">
        <v>52</v>
      </c>
      <c r="L177" s="1">
        <v>0</v>
      </c>
      <c r="M177" s="43" t="s">
        <v>2644</v>
      </c>
      <c r="O177" s="2" t="s">
        <v>2447</v>
      </c>
      <c r="Q177" t="s">
        <v>676</v>
      </c>
    </row>
    <row r="178" spans="1:17" ht="15" customHeight="1" x14ac:dyDescent="0.25">
      <c r="A178" s="3" t="s">
        <v>2067</v>
      </c>
      <c r="B178" s="4" t="s">
        <v>2647</v>
      </c>
      <c r="C178" t="s">
        <v>973</v>
      </c>
      <c r="D178">
        <v>2</v>
      </c>
      <c r="E178" t="s">
        <v>1017</v>
      </c>
      <c r="F178" t="s">
        <v>975</v>
      </c>
      <c r="G178" t="s">
        <v>1099</v>
      </c>
      <c r="H178" s="1" t="s">
        <v>976</v>
      </c>
      <c r="I178" s="1">
        <v>27.9</v>
      </c>
      <c r="J178" s="20">
        <v>30.8</v>
      </c>
      <c r="K178" s="1">
        <v>27.9</v>
      </c>
      <c r="L178" s="1">
        <v>859.32</v>
      </c>
      <c r="M178" s="43" t="s">
        <v>2646</v>
      </c>
      <c r="O178" s="2" t="s">
        <v>2437</v>
      </c>
      <c r="Q178" t="s">
        <v>677</v>
      </c>
    </row>
    <row r="179" spans="1:17" ht="15" customHeight="1" x14ac:dyDescent="0.25">
      <c r="A179" s="3" t="s">
        <v>2068</v>
      </c>
      <c r="B179" s="4" t="s">
        <v>2647</v>
      </c>
      <c r="C179" t="s">
        <v>973</v>
      </c>
      <c r="D179">
        <v>2</v>
      </c>
      <c r="E179" t="s">
        <v>1017</v>
      </c>
      <c r="F179" t="s">
        <v>975</v>
      </c>
      <c r="G179" t="s">
        <v>1099</v>
      </c>
      <c r="H179" s="1" t="s">
        <v>976</v>
      </c>
      <c r="I179" s="1">
        <v>26.7</v>
      </c>
      <c r="J179" s="20">
        <v>14.8</v>
      </c>
      <c r="K179" s="1">
        <v>26.7</v>
      </c>
      <c r="L179" s="1">
        <v>395.16</v>
      </c>
      <c r="M179" s="43" t="s">
        <v>2648</v>
      </c>
      <c r="O179" s="2" t="s">
        <v>2528</v>
      </c>
      <c r="Q179" t="s">
        <v>678</v>
      </c>
    </row>
    <row r="180" spans="1:17" ht="15" customHeight="1" x14ac:dyDescent="0.25">
      <c r="A180" s="3" t="s">
        <v>2069</v>
      </c>
      <c r="B180" s="4" t="s">
        <v>482</v>
      </c>
      <c r="C180" t="s">
        <v>973</v>
      </c>
      <c r="D180">
        <v>2</v>
      </c>
      <c r="E180" t="s">
        <v>1017</v>
      </c>
      <c r="F180" t="s">
        <v>975</v>
      </c>
      <c r="G180" t="s">
        <v>1099</v>
      </c>
      <c r="H180" s="1" t="s">
        <v>976</v>
      </c>
      <c r="I180" s="1">
        <v>26.7</v>
      </c>
      <c r="J180" s="20">
        <v>14.9</v>
      </c>
      <c r="K180" s="1">
        <v>26.7</v>
      </c>
      <c r="L180" s="1">
        <v>397.83</v>
      </c>
      <c r="M180" s="43" t="s">
        <v>2649</v>
      </c>
      <c r="Q180" t="s">
        <v>482</v>
      </c>
    </row>
    <row r="181" spans="1:17" ht="15" customHeight="1" x14ac:dyDescent="0.25">
      <c r="A181" s="3" t="s">
        <v>2070</v>
      </c>
      <c r="B181" s="4" t="s">
        <v>2647</v>
      </c>
      <c r="C181" t="s">
        <v>973</v>
      </c>
      <c r="D181">
        <v>1</v>
      </c>
      <c r="E181" t="s">
        <v>974</v>
      </c>
      <c r="F181" t="s">
        <v>975</v>
      </c>
      <c r="G181" t="s">
        <v>1099</v>
      </c>
      <c r="H181" s="1" t="s">
        <v>976</v>
      </c>
      <c r="I181" s="1">
        <v>32.4</v>
      </c>
      <c r="J181" s="20">
        <v>15</v>
      </c>
      <c r="K181" s="1">
        <v>32.4</v>
      </c>
      <c r="L181" s="1">
        <v>486</v>
      </c>
      <c r="M181" s="43" t="s">
        <v>2650</v>
      </c>
      <c r="O181" s="2" t="s">
        <v>2447</v>
      </c>
      <c r="Q181" t="s">
        <v>679</v>
      </c>
    </row>
    <row r="182" spans="1:17" ht="15" customHeight="1" x14ac:dyDescent="0.25">
      <c r="A182" s="42" t="s">
        <v>2070</v>
      </c>
      <c r="B182" s="3" t="s">
        <v>2647</v>
      </c>
      <c r="C182" s="42" t="s">
        <v>973</v>
      </c>
      <c r="D182">
        <v>2</v>
      </c>
      <c r="E182" t="s">
        <v>1017</v>
      </c>
      <c r="F182" t="s">
        <v>975</v>
      </c>
      <c r="G182" t="s">
        <v>1099</v>
      </c>
      <c r="H182" s="1" t="s">
        <v>976</v>
      </c>
      <c r="I182" s="1">
        <v>32.4</v>
      </c>
      <c r="J182" s="20">
        <v>0</v>
      </c>
      <c r="K182" s="1">
        <v>32.4</v>
      </c>
      <c r="L182" s="1">
        <v>0</v>
      </c>
      <c r="M182" s="43" t="s">
        <v>2650</v>
      </c>
      <c r="O182" s="2" t="s">
        <v>2447</v>
      </c>
      <c r="Q182" t="s">
        <v>679</v>
      </c>
    </row>
    <row r="183" spans="1:17" ht="15" customHeight="1" x14ac:dyDescent="0.25">
      <c r="A183" s="3" t="s">
        <v>2071</v>
      </c>
      <c r="B183" s="4" t="s">
        <v>2652</v>
      </c>
      <c r="C183" t="s">
        <v>973</v>
      </c>
      <c r="D183">
        <v>2</v>
      </c>
      <c r="E183" t="s">
        <v>1017</v>
      </c>
      <c r="F183" t="s">
        <v>975</v>
      </c>
      <c r="G183" t="s">
        <v>1099</v>
      </c>
      <c r="H183" s="1" t="s">
        <v>976</v>
      </c>
      <c r="I183" s="1">
        <v>22.1</v>
      </c>
      <c r="J183" s="20">
        <v>29.7</v>
      </c>
      <c r="K183" s="1">
        <v>22.1</v>
      </c>
      <c r="L183" s="1">
        <v>656.37</v>
      </c>
      <c r="M183" s="43" t="s">
        <v>2651</v>
      </c>
      <c r="O183" s="2" t="s">
        <v>2467</v>
      </c>
      <c r="Q183" t="s">
        <v>680</v>
      </c>
    </row>
    <row r="184" spans="1:17" ht="15" customHeight="1" x14ac:dyDescent="0.25">
      <c r="A184" s="3" t="s">
        <v>2072</v>
      </c>
      <c r="B184" s="4" t="s">
        <v>2652</v>
      </c>
      <c r="C184" t="s">
        <v>973</v>
      </c>
      <c r="D184">
        <v>2</v>
      </c>
      <c r="E184" t="s">
        <v>1017</v>
      </c>
      <c r="F184" t="s">
        <v>975</v>
      </c>
      <c r="G184" t="s">
        <v>1099</v>
      </c>
      <c r="H184" s="1" t="s">
        <v>976</v>
      </c>
      <c r="I184" s="1">
        <v>22.1</v>
      </c>
      <c r="J184" s="20">
        <v>34.799999999999997</v>
      </c>
      <c r="K184" s="1">
        <v>22.1</v>
      </c>
      <c r="L184" s="1">
        <v>769.08</v>
      </c>
      <c r="M184" s="43" t="s">
        <v>2653</v>
      </c>
      <c r="O184" s="2" t="s">
        <v>2467</v>
      </c>
      <c r="Q184" t="s">
        <v>680</v>
      </c>
    </row>
    <row r="185" spans="1:17" ht="15" customHeight="1" x14ac:dyDescent="0.25">
      <c r="A185" s="3" t="s">
        <v>2073</v>
      </c>
      <c r="B185" s="4" t="s">
        <v>2647</v>
      </c>
      <c r="C185" t="s">
        <v>973</v>
      </c>
      <c r="D185">
        <v>1</v>
      </c>
      <c r="E185" t="s">
        <v>974</v>
      </c>
      <c r="F185" t="s">
        <v>975</v>
      </c>
      <c r="G185" t="s">
        <v>1099</v>
      </c>
      <c r="H185" s="1" t="s">
        <v>976</v>
      </c>
      <c r="I185" s="1">
        <v>39.700000000000003</v>
      </c>
      <c r="J185" s="20">
        <v>50</v>
      </c>
      <c r="K185" s="1">
        <v>39.700000000000003</v>
      </c>
      <c r="L185" s="1">
        <v>1985</v>
      </c>
      <c r="M185" s="43" t="s">
        <v>2654</v>
      </c>
      <c r="O185" s="2" t="s">
        <v>2482</v>
      </c>
      <c r="Q185" t="s">
        <v>681</v>
      </c>
    </row>
    <row r="186" spans="1:17" ht="15" customHeight="1" x14ac:dyDescent="0.25">
      <c r="A186" s="3" t="s">
        <v>2074</v>
      </c>
      <c r="B186" s="4" t="s">
        <v>2652</v>
      </c>
      <c r="C186" t="s">
        <v>973</v>
      </c>
      <c r="D186">
        <v>1</v>
      </c>
      <c r="E186" t="s">
        <v>974</v>
      </c>
      <c r="F186" t="s">
        <v>975</v>
      </c>
      <c r="G186" t="s">
        <v>1099</v>
      </c>
      <c r="H186" s="1" t="s">
        <v>976</v>
      </c>
      <c r="I186" s="1">
        <v>39.700000000000003</v>
      </c>
      <c r="J186" s="20">
        <v>70</v>
      </c>
      <c r="K186" s="1">
        <v>39.700000000000003</v>
      </c>
      <c r="L186" s="1">
        <v>2779</v>
      </c>
      <c r="M186" s="43" t="s">
        <v>2655</v>
      </c>
      <c r="O186" s="2" t="s">
        <v>2467</v>
      </c>
      <c r="Q186" t="s">
        <v>680</v>
      </c>
    </row>
    <row r="187" spans="1:17" ht="15" customHeight="1" x14ac:dyDescent="0.25">
      <c r="A187" s="3" t="s">
        <v>2075</v>
      </c>
      <c r="B187" s="4" t="s">
        <v>2657</v>
      </c>
      <c r="C187" t="s">
        <v>973</v>
      </c>
      <c r="D187">
        <v>1</v>
      </c>
      <c r="E187" t="s">
        <v>974</v>
      </c>
      <c r="F187" t="s">
        <v>975</v>
      </c>
      <c r="G187" t="s">
        <v>1090</v>
      </c>
      <c r="H187" s="1" t="s">
        <v>976</v>
      </c>
      <c r="I187" s="1">
        <v>25.14</v>
      </c>
      <c r="J187" s="20">
        <v>0</v>
      </c>
      <c r="K187" s="1">
        <v>25.14</v>
      </c>
      <c r="L187" s="1">
        <v>0</v>
      </c>
      <c r="M187" s="43" t="s">
        <v>2656</v>
      </c>
      <c r="O187" s="2" t="s">
        <v>2482</v>
      </c>
      <c r="Q187" t="s">
        <v>682</v>
      </c>
    </row>
    <row r="188" spans="1:17" ht="15" customHeight="1" x14ac:dyDescent="0.25">
      <c r="A188" s="3" t="s">
        <v>1100</v>
      </c>
      <c r="B188" s="4" t="s">
        <v>203</v>
      </c>
      <c r="C188" t="s">
        <v>973</v>
      </c>
      <c r="D188">
        <v>1</v>
      </c>
      <c r="E188" t="s">
        <v>974</v>
      </c>
      <c r="F188" t="s">
        <v>975</v>
      </c>
      <c r="G188" t="s">
        <v>976</v>
      </c>
      <c r="H188" s="1" t="s">
        <v>976</v>
      </c>
      <c r="I188" s="1">
        <v>43.9</v>
      </c>
      <c r="J188" s="20">
        <v>3</v>
      </c>
      <c r="K188" s="1">
        <v>41.705091000000003</v>
      </c>
      <c r="L188" s="1">
        <v>125.12</v>
      </c>
      <c r="M188" s="43" t="s">
        <v>2658</v>
      </c>
      <c r="Q188" t="s">
        <v>203</v>
      </c>
    </row>
    <row r="189" spans="1:17" ht="15" customHeight="1" x14ac:dyDescent="0.25">
      <c r="A189" s="42" t="s">
        <v>1100</v>
      </c>
      <c r="B189" s="3" t="s">
        <v>203</v>
      </c>
      <c r="C189" s="42" t="s">
        <v>973</v>
      </c>
      <c r="D189">
        <v>4</v>
      </c>
      <c r="E189" t="s">
        <v>1018</v>
      </c>
      <c r="F189" t="s">
        <v>975</v>
      </c>
      <c r="G189" t="s">
        <v>976</v>
      </c>
      <c r="H189" s="1" t="s">
        <v>976</v>
      </c>
      <c r="I189" s="1">
        <v>43.9</v>
      </c>
      <c r="J189" s="20">
        <v>52</v>
      </c>
      <c r="K189" s="1">
        <v>43.9</v>
      </c>
      <c r="L189" s="1">
        <v>2282.8000000000002</v>
      </c>
      <c r="M189" s="43" t="s">
        <v>2658</v>
      </c>
      <c r="Q189" t="s">
        <v>203</v>
      </c>
    </row>
    <row r="190" spans="1:17" ht="15" customHeight="1" x14ac:dyDescent="0.25">
      <c r="A190" s="3" t="s">
        <v>1101</v>
      </c>
      <c r="B190" s="4" t="s">
        <v>204</v>
      </c>
      <c r="C190" t="s">
        <v>1066</v>
      </c>
      <c r="D190">
        <v>1</v>
      </c>
      <c r="E190" t="s">
        <v>974</v>
      </c>
      <c r="F190" t="s">
        <v>975</v>
      </c>
      <c r="G190" t="s">
        <v>976</v>
      </c>
      <c r="H190" s="1" t="s">
        <v>976</v>
      </c>
      <c r="I190" s="1">
        <v>5.5</v>
      </c>
      <c r="J190" s="20">
        <v>257.91000000000003</v>
      </c>
      <c r="K190" s="1">
        <v>5.3517049999999999</v>
      </c>
      <c r="L190" s="1">
        <v>1380.26</v>
      </c>
      <c r="M190" s="43" t="s">
        <v>2659</v>
      </c>
      <c r="Q190" t="s">
        <v>204</v>
      </c>
    </row>
    <row r="191" spans="1:17" ht="15" customHeight="1" x14ac:dyDescent="0.25">
      <c r="A191" s="42" t="s">
        <v>1101</v>
      </c>
      <c r="B191" s="3" t="s">
        <v>204</v>
      </c>
      <c r="C191" s="42" t="s">
        <v>1066</v>
      </c>
      <c r="D191">
        <v>4</v>
      </c>
      <c r="E191" t="s">
        <v>1018</v>
      </c>
      <c r="F191" t="s">
        <v>975</v>
      </c>
      <c r="G191" t="s">
        <v>976</v>
      </c>
      <c r="H191" s="1" t="s">
        <v>976</v>
      </c>
      <c r="I191" s="1">
        <v>5.5</v>
      </c>
      <c r="J191" s="20">
        <v>631</v>
      </c>
      <c r="K191" s="1">
        <v>5.5</v>
      </c>
      <c r="L191" s="1">
        <v>3470.5</v>
      </c>
      <c r="M191" s="43" t="s">
        <v>2659</v>
      </c>
      <c r="Q191" t="s">
        <v>204</v>
      </c>
    </row>
    <row r="192" spans="1:17" ht="15" customHeight="1" x14ac:dyDescent="0.25">
      <c r="A192" s="3" t="s">
        <v>2210</v>
      </c>
      <c r="B192" s="4" t="s">
        <v>546</v>
      </c>
      <c r="C192" t="s">
        <v>1066</v>
      </c>
      <c r="D192">
        <v>1</v>
      </c>
      <c r="E192" t="s">
        <v>974</v>
      </c>
      <c r="F192" t="s">
        <v>975</v>
      </c>
      <c r="G192" t="s">
        <v>976</v>
      </c>
      <c r="H192" s="1" t="s">
        <v>976</v>
      </c>
      <c r="I192" s="1">
        <v>2.85</v>
      </c>
      <c r="J192" s="20">
        <v>1036</v>
      </c>
      <c r="K192" s="1">
        <v>2.85</v>
      </c>
      <c r="L192" s="1">
        <v>2952.6</v>
      </c>
      <c r="M192" s="43" t="s">
        <v>2660</v>
      </c>
      <c r="Q192" t="s">
        <v>546</v>
      </c>
    </row>
    <row r="193" spans="1:17" ht="15" customHeight="1" x14ac:dyDescent="0.25">
      <c r="A193" s="42" t="s">
        <v>2210</v>
      </c>
      <c r="B193" s="3" t="s">
        <v>546</v>
      </c>
      <c r="C193" s="42" t="s">
        <v>1066</v>
      </c>
      <c r="D193">
        <v>4</v>
      </c>
      <c r="E193" t="s">
        <v>1018</v>
      </c>
      <c r="F193" t="s">
        <v>975</v>
      </c>
      <c r="G193" t="s">
        <v>976</v>
      </c>
      <c r="H193" s="1" t="s">
        <v>976</v>
      </c>
      <c r="I193" s="1">
        <v>2.85</v>
      </c>
      <c r="J193" s="20">
        <v>1850</v>
      </c>
      <c r="K193" s="1">
        <v>2.85</v>
      </c>
      <c r="L193" s="1">
        <v>5272.5</v>
      </c>
      <c r="M193" s="43" t="s">
        <v>2660</v>
      </c>
      <c r="Q193" t="s">
        <v>546</v>
      </c>
    </row>
    <row r="194" spans="1:17" ht="15" customHeight="1" x14ac:dyDescent="0.25">
      <c r="A194" s="3" t="s">
        <v>1102</v>
      </c>
      <c r="B194" s="4" t="s">
        <v>205</v>
      </c>
      <c r="C194" t="s">
        <v>1066</v>
      </c>
      <c r="D194">
        <v>1</v>
      </c>
      <c r="E194" t="s">
        <v>974</v>
      </c>
      <c r="F194" t="s">
        <v>975</v>
      </c>
      <c r="G194" t="s">
        <v>976</v>
      </c>
      <c r="H194" s="1" t="s">
        <v>976</v>
      </c>
      <c r="I194" s="1">
        <v>3.43</v>
      </c>
      <c r="J194" s="20">
        <v>385</v>
      </c>
      <c r="K194" s="1">
        <v>3.43</v>
      </c>
      <c r="L194" s="1">
        <v>1320.55</v>
      </c>
      <c r="M194" s="43" t="s">
        <v>2661</v>
      </c>
      <c r="Q194" t="s">
        <v>205</v>
      </c>
    </row>
    <row r="195" spans="1:17" ht="15" customHeight="1" x14ac:dyDescent="0.25">
      <c r="A195" s="42" t="s">
        <v>1102</v>
      </c>
      <c r="B195" s="3" t="s">
        <v>205</v>
      </c>
      <c r="C195" s="42" t="s">
        <v>1066</v>
      </c>
      <c r="D195">
        <v>4</v>
      </c>
      <c r="E195" t="s">
        <v>1018</v>
      </c>
      <c r="F195" t="s">
        <v>975</v>
      </c>
      <c r="G195" t="s">
        <v>976</v>
      </c>
      <c r="H195" s="1" t="s">
        <v>976</v>
      </c>
      <c r="I195" s="1">
        <v>3.43</v>
      </c>
      <c r="J195" s="20">
        <v>511</v>
      </c>
      <c r="K195" s="1">
        <v>3.43</v>
      </c>
      <c r="L195" s="1">
        <v>1752.73</v>
      </c>
      <c r="M195" s="43" t="s">
        <v>2661</v>
      </c>
      <c r="Q195" t="s">
        <v>205</v>
      </c>
    </row>
    <row r="196" spans="1:17" ht="15" customHeight="1" x14ac:dyDescent="0.25">
      <c r="A196" s="3" t="s">
        <v>1103</v>
      </c>
      <c r="B196" s="4" t="s">
        <v>2663</v>
      </c>
      <c r="C196" t="s">
        <v>973</v>
      </c>
      <c r="D196">
        <v>1</v>
      </c>
      <c r="E196" t="s">
        <v>974</v>
      </c>
      <c r="F196" t="s">
        <v>975</v>
      </c>
      <c r="G196" t="s">
        <v>1089</v>
      </c>
      <c r="H196" s="1" t="s">
        <v>976</v>
      </c>
      <c r="I196" s="1">
        <v>14.04</v>
      </c>
      <c r="J196" s="20">
        <v>0</v>
      </c>
      <c r="K196" s="1">
        <v>14.039959</v>
      </c>
      <c r="L196" s="1">
        <v>0</v>
      </c>
      <c r="M196" s="43" t="s">
        <v>2662</v>
      </c>
      <c r="O196" s="2" t="s">
        <v>2467</v>
      </c>
      <c r="Q196" t="s">
        <v>683</v>
      </c>
    </row>
    <row r="197" spans="1:17" ht="15" customHeight="1" x14ac:dyDescent="0.25">
      <c r="A197" s="3" t="s">
        <v>1104</v>
      </c>
      <c r="B197" s="4" t="s">
        <v>206</v>
      </c>
      <c r="C197" t="s">
        <v>1066</v>
      </c>
      <c r="D197">
        <v>1</v>
      </c>
      <c r="E197" t="s">
        <v>974</v>
      </c>
      <c r="F197" t="s">
        <v>975</v>
      </c>
      <c r="G197" t="s">
        <v>976</v>
      </c>
      <c r="H197" s="1" t="s">
        <v>976</v>
      </c>
      <c r="I197" s="1">
        <v>2.98</v>
      </c>
      <c r="J197" s="20">
        <v>400</v>
      </c>
      <c r="K197" s="1">
        <v>3.28</v>
      </c>
      <c r="L197" s="1">
        <v>1312</v>
      </c>
      <c r="M197" s="43" t="s">
        <v>2664</v>
      </c>
      <c r="Q197" t="s">
        <v>206</v>
      </c>
    </row>
    <row r="198" spans="1:17" ht="15" customHeight="1" x14ac:dyDescent="0.25">
      <c r="A198" s="42" t="s">
        <v>1104</v>
      </c>
      <c r="B198" s="3" t="s">
        <v>206</v>
      </c>
      <c r="C198" s="42" t="s">
        <v>1066</v>
      </c>
      <c r="D198">
        <v>4</v>
      </c>
      <c r="E198" t="s">
        <v>1018</v>
      </c>
      <c r="F198" t="s">
        <v>975</v>
      </c>
      <c r="G198" t="s">
        <v>976</v>
      </c>
      <c r="H198" s="1" t="s">
        <v>976</v>
      </c>
      <c r="I198" s="1">
        <v>2.98</v>
      </c>
      <c r="J198" s="20">
        <v>600</v>
      </c>
      <c r="K198" s="1">
        <v>3.28</v>
      </c>
      <c r="L198" s="1">
        <v>1968</v>
      </c>
      <c r="M198" s="43" t="s">
        <v>2664</v>
      </c>
      <c r="Q198" t="s">
        <v>206</v>
      </c>
    </row>
    <row r="199" spans="1:17" ht="15" customHeight="1" x14ac:dyDescent="0.25">
      <c r="A199" s="3" t="s">
        <v>1105</v>
      </c>
      <c r="B199" s="4" t="s">
        <v>2666</v>
      </c>
      <c r="C199" t="s">
        <v>973</v>
      </c>
      <c r="D199">
        <v>1</v>
      </c>
      <c r="E199" t="s">
        <v>974</v>
      </c>
      <c r="F199" t="s">
        <v>975</v>
      </c>
      <c r="G199" t="s">
        <v>1106</v>
      </c>
      <c r="H199" s="1" t="s">
        <v>976</v>
      </c>
      <c r="I199" s="1">
        <v>14.04</v>
      </c>
      <c r="J199" s="20">
        <v>51.7</v>
      </c>
      <c r="K199" s="1">
        <v>14.040039</v>
      </c>
      <c r="L199" s="1">
        <v>725.87</v>
      </c>
      <c r="M199" s="43" t="s">
        <v>2665</v>
      </c>
      <c r="O199" s="2" t="s">
        <v>2433</v>
      </c>
      <c r="Q199" t="s">
        <v>684</v>
      </c>
    </row>
    <row r="200" spans="1:17" ht="15" customHeight="1" x14ac:dyDescent="0.25">
      <c r="A200" s="3" t="s">
        <v>1107</v>
      </c>
      <c r="B200" s="4" t="s">
        <v>207</v>
      </c>
      <c r="C200" t="s">
        <v>973</v>
      </c>
      <c r="D200">
        <v>1</v>
      </c>
      <c r="E200" t="s">
        <v>974</v>
      </c>
      <c r="F200" t="s">
        <v>975</v>
      </c>
      <c r="G200" t="s">
        <v>1106</v>
      </c>
      <c r="H200" s="1" t="s">
        <v>976</v>
      </c>
      <c r="I200" s="1">
        <v>14.04</v>
      </c>
      <c r="J200" s="20">
        <v>50</v>
      </c>
      <c r="K200" s="1">
        <v>14.04</v>
      </c>
      <c r="L200" s="1">
        <v>702</v>
      </c>
      <c r="M200" s="43" t="s">
        <v>2667</v>
      </c>
      <c r="Q200" t="s">
        <v>207</v>
      </c>
    </row>
    <row r="201" spans="1:17" ht="15" customHeight="1" x14ac:dyDescent="0.25">
      <c r="A201" s="3" t="s">
        <v>1108</v>
      </c>
      <c r="B201" s="4" t="s">
        <v>2669</v>
      </c>
      <c r="C201" t="s">
        <v>973</v>
      </c>
      <c r="D201">
        <v>1</v>
      </c>
      <c r="E201" t="s">
        <v>974</v>
      </c>
      <c r="F201" t="s">
        <v>975</v>
      </c>
      <c r="G201" t="s">
        <v>1089</v>
      </c>
      <c r="H201" s="1" t="s">
        <v>976</v>
      </c>
      <c r="I201" s="1">
        <v>14.04</v>
      </c>
      <c r="J201" s="20">
        <v>50</v>
      </c>
      <c r="K201" s="1">
        <v>14.04</v>
      </c>
      <c r="L201" s="1">
        <v>702</v>
      </c>
      <c r="M201" s="43" t="s">
        <v>2668</v>
      </c>
      <c r="O201" s="2" t="s">
        <v>2508</v>
      </c>
      <c r="Q201" t="s">
        <v>685</v>
      </c>
    </row>
    <row r="202" spans="1:17" ht="15" customHeight="1" x14ac:dyDescent="0.25">
      <c r="A202" s="3" t="s">
        <v>1109</v>
      </c>
      <c r="B202" s="4" t="s">
        <v>2552</v>
      </c>
      <c r="C202" t="s">
        <v>973</v>
      </c>
      <c r="D202">
        <v>1</v>
      </c>
      <c r="E202" t="s">
        <v>974</v>
      </c>
      <c r="F202" t="s">
        <v>975</v>
      </c>
      <c r="G202" t="s">
        <v>976</v>
      </c>
      <c r="H202" s="1" t="s">
        <v>976</v>
      </c>
      <c r="I202" s="1">
        <v>43.9</v>
      </c>
      <c r="J202" s="20">
        <v>0</v>
      </c>
      <c r="K202" s="1">
        <v>41.704999999999998</v>
      </c>
      <c r="L202" s="1">
        <v>0</v>
      </c>
      <c r="M202" s="43" t="s">
        <v>2670</v>
      </c>
      <c r="O202" s="2" t="s">
        <v>2614</v>
      </c>
      <c r="Q202" t="s">
        <v>686</v>
      </c>
    </row>
    <row r="203" spans="1:17" ht="15" customHeight="1" x14ac:dyDescent="0.25">
      <c r="A203" s="42" t="s">
        <v>1109</v>
      </c>
      <c r="B203" s="3" t="s">
        <v>2552</v>
      </c>
      <c r="C203" s="42" t="s">
        <v>973</v>
      </c>
      <c r="D203">
        <v>4</v>
      </c>
      <c r="E203" t="s">
        <v>1018</v>
      </c>
      <c r="F203" t="s">
        <v>975</v>
      </c>
      <c r="G203" t="s">
        <v>976</v>
      </c>
      <c r="H203" s="1" t="s">
        <v>976</v>
      </c>
      <c r="I203" s="1">
        <v>43.9</v>
      </c>
      <c r="J203" s="20">
        <v>0</v>
      </c>
      <c r="K203" s="1">
        <v>43.9</v>
      </c>
      <c r="L203" s="1">
        <v>0</v>
      </c>
      <c r="M203" s="43" t="s">
        <v>2670</v>
      </c>
      <c r="O203" s="2" t="s">
        <v>2614</v>
      </c>
      <c r="Q203" t="s">
        <v>686</v>
      </c>
    </row>
    <row r="204" spans="1:17" ht="15" customHeight="1" x14ac:dyDescent="0.25">
      <c r="A204" s="3" t="s">
        <v>1110</v>
      </c>
      <c r="B204" s="4" t="s">
        <v>2672</v>
      </c>
      <c r="C204" t="s">
        <v>973</v>
      </c>
      <c r="D204">
        <v>1</v>
      </c>
      <c r="E204" t="s">
        <v>974</v>
      </c>
      <c r="F204" t="s">
        <v>975</v>
      </c>
      <c r="G204" t="s">
        <v>976</v>
      </c>
      <c r="H204" s="1" t="s">
        <v>976</v>
      </c>
      <c r="I204" s="1">
        <v>69</v>
      </c>
      <c r="J204" s="20">
        <v>10</v>
      </c>
      <c r="K204" s="1">
        <v>69</v>
      </c>
      <c r="L204" s="1">
        <v>690</v>
      </c>
      <c r="M204" s="43" t="s">
        <v>2671</v>
      </c>
      <c r="O204" s="2" t="s">
        <v>2433</v>
      </c>
      <c r="Q204" t="s">
        <v>687</v>
      </c>
    </row>
    <row r="205" spans="1:17" ht="15" customHeight="1" x14ac:dyDescent="0.25">
      <c r="A205" s="3" t="s">
        <v>2076</v>
      </c>
      <c r="B205" s="4" t="s">
        <v>483</v>
      </c>
      <c r="C205" t="s">
        <v>973</v>
      </c>
      <c r="D205">
        <v>1</v>
      </c>
      <c r="E205" t="s">
        <v>974</v>
      </c>
      <c r="F205" t="s">
        <v>975</v>
      </c>
      <c r="G205" t="s">
        <v>976</v>
      </c>
      <c r="H205" s="1" t="s">
        <v>976</v>
      </c>
      <c r="I205" s="1">
        <v>36.4</v>
      </c>
      <c r="J205" s="20">
        <v>35.1</v>
      </c>
      <c r="K205" s="1">
        <v>35.759829000000003</v>
      </c>
      <c r="L205" s="1">
        <v>1255.17</v>
      </c>
      <c r="M205" s="43" t="s">
        <v>2673</v>
      </c>
      <c r="Q205" t="s">
        <v>483</v>
      </c>
    </row>
    <row r="206" spans="1:17" ht="15" customHeight="1" x14ac:dyDescent="0.25">
      <c r="A206" s="42" t="s">
        <v>2076</v>
      </c>
      <c r="B206" s="3" t="s">
        <v>483</v>
      </c>
      <c r="C206" s="42" t="s">
        <v>973</v>
      </c>
      <c r="D206">
        <v>4</v>
      </c>
      <c r="E206" t="s">
        <v>1018</v>
      </c>
      <c r="F206" t="s">
        <v>975</v>
      </c>
      <c r="G206" t="s">
        <v>976</v>
      </c>
      <c r="H206" s="1" t="s">
        <v>976</v>
      </c>
      <c r="I206" s="1">
        <v>36.4</v>
      </c>
      <c r="J206" s="20">
        <v>40.9</v>
      </c>
      <c r="K206" s="1">
        <v>36.4</v>
      </c>
      <c r="L206" s="1">
        <v>1488.76</v>
      </c>
      <c r="M206" s="43" t="s">
        <v>2673</v>
      </c>
      <c r="Q206" t="s">
        <v>483</v>
      </c>
    </row>
    <row r="207" spans="1:17" ht="15" customHeight="1" x14ac:dyDescent="0.25">
      <c r="A207" s="3" t="s">
        <v>2250</v>
      </c>
      <c r="B207" s="4" t="s">
        <v>2645</v>
      </c>
      <c r="C207" t="s">
        <v>973</v>
      </c>
      <c r="D207">
        <v>1</v>
      </c>
      <c r="E207" t="s">
        <v>974</v>
      </c>
      <c r="F207" t="s">
        <v>975</v>
      </c>
      <c r="G207" t="s">
        <v>976</v>
      </c>
      <c r="H207" s="1" t="s">
        <v>976</v>
      </c>
      <c r="I207" s="1">
        <v>52</v>
      </c>
      <c r="J207" s="20">
        <v>0</v>
      </c>
      <c r="K207" s="1">
        <v>49.4</v>
      </c>
      <c r="L207" s="1">
        <v>0</v>
      </c>
      <c r="M207" s="43" t="s">
        <v>2674</v>
      </c>
      <c r="O207" s="2" t="s">
        <v>2676</v>
      </c>
      <c r="Q207" t="s">
        <v>688</v>
      </c>
    </row>
    <row r="208" spans="1:17" ht="15" customHeight="1" x14ac:dyDescent="0.25">
      <c r="A208" s="42" t="s">
        <v>2250</v>
      </c>
      <c r="B208" s="3" t="s">
        <v>2645</v>
      </c>
      <c r="C208" s="42" t="s">
        <v>973</v>
      </c>
      <c r="D208">
        <v>4</v>
      </c>
      <c r="E208" t="s">
        <v>1018</v>
      </c>
      <c r="F208" t="s">
        <v>975</v>
      </c>
      <c r="G208" t="s">
        <v>976</v>
      </c>
      <c r="H208" s="1" t="s">
        <v>976</v>
      </c>
      <c r="I208" s="1">
        <v>52</v>
      </c>
      <c r="J208" s="20">
        <v>0</v>
      </c>
      <c r="K208" s="1">
        <v>52</v>
      </c>
      <c r="L208" s="1">
        <v>0</v>
      </c>
      <c r="M208" s="43" t="s">
        <v>2674</v>
      </c>
      <c r="O208" s="2" t="s">
        <v>2676</v>
      </c>
      <c r="Q208" t="s">
        <v>688</v>
      </c>
    </row>
    <row r="209" spans="1:17" ht="15" customHeight="1" x14ac:dyDescent="0.25">
      <c r="A209" s="3" t="s">
        <v>1111</v>
      </c>
      <c r="B209" s="4" t="s">
        <v>2678</v>
      </c>
      <c r="C209" t="s">
        <v>973</v>
      </c>
      <c r="D209">
        <v>1</v>
      </c>
      <c r="E209" t="s">
        <v>974</v>
      </c>
      <c r="F209" t="s">
        <v>975</v>
      </c>
      <c r="G209" t="s">
        <v>976</v>
      </c>
      <c r="H209" s="1" t="s">
        <v>976</v>
      </c>
      <c r="I209" s="1">
        <v>59.6</v>
      </c>
      <c r="J209" s="20">
        <v>4</v>
      </c>
      <c r="K209" s="1">
        <v>56.62</v>
      </c>
      <c r="L209" s="1">
        <v>226.48</v>
      </c>
      <c r="M209" s="43" t="s">
        <v>2677</v>
      </c>
      <c r="O209" s="2" t="s">
        <v>2443</v>
      </c>
      <c r="Q209" t="s">
        <v>689</v>
      </c>
    </row>
    <row r="210" spans="1:17" ht="15" customHeight="1" x14ac:dyDescent="0.25">
      <c r="A210" s="42" t="s">
        <v>1111</v>
      </c>
      <c r="B210" s="3" t="s">
        <v>2678</v>
      </c>
      <c r="C210" s="42" t="s">
        <v>973</v>
      </c>
      <c r="D210">
        <v>4</v>
      </c>
      <c r="E210" t="s">
        <v>1018</v>
      </c>
      <c r="F210" t="s">
        <v>975</v>
      </c>
      <c r="G210" t="s">
        <v>976</v>
      </c>
      <c r="H210" s="1" t="s">
        <v>976</v>
      </c>
      <c r="I210" s="1">
        <v>59.6</v>
      </c>
      <c r="J210" s="20">
        <v>10</v>
      </c>
      <c r="K210" s="1">
        <v>59.6</v>
      </c>
      <c r="L210" s="1">
        <v>596</v>
      </c>
      <c r="M210" s="43" t="s">
        <v>2677</v>
      </c>
      <c r="O210" s="2" t="s">
        <v>2443</v>
      </c>
      <c r="Q210" t="s">
        <v>689</v>
      </c>
    </row>
    <row r="211" spans="1:17" ht="15" customHeight="1" x14ac:dyDescent="0.25">
      <c r="A211" s="3" t="s">
        <v>2077</v>
      </c>
      <c r="B211" s="4" t="s">
        <v>2652</v>
      </c>
      <c r="C211" t="s">
        <v>973</v>
      </c>
      <c r="D211">
        <v>1</v>
      </c>
      <c r="E211" t="s">
        <v>974</v>
      </c>
      <c r="F211" t="s">
        <v>975</v>
      </c>
      <c r="G211" t="s">
        <v>1099</v>
      </c>
      <c r="H211" s="1" t="s">
        <v>976</v>
      </c>
      <c r="I211" s="1">
        <v>51.5</v>
      </c>
      <c r="J211" s="20">
        <v>15</v>
      </c>
      <c r="K211" s="1">
        <v>54.378</v>
      </c>
      <c r="L211" s="1">
        <v>815.67</v>
      </c>
      <c r="M211" s="43" t="s">
        <v>2679</v>
      </c>
      <c r="O211" s="2" t="s">
        <v>2467</v>
      </c>
      <c r="Q211" t="s">
        <v>680</v>
      </c>
    </row>
    <row r="212" spans="1:17" ht="15" customHeight="1" x14ac:dyDescent="0.25">
      <c r="A212" s="3" t="s">
        <v>1112</v>
      </c>
      <c r="C212" t="s">
        <v>973</v>
      </c>
      <c r="D212">
        <v>1</v>
      </c>
      <c r="E212" t="s">
        <v>974</v>
      </c>
      <c r="F212" t="s">
        <v>975</v>
      </c>
      <c r="G212" t="s">
        <v>1079</v>
      </c>
      <c r="H212" s="1" t="s">
        <v>976</v>
      </c>
      <c r="I212" s="1">
        <v>79.099999999999994</v>
      </c>
      <c r="J212" s="20">
        <v>0.5</v>
      </c>
      <c r="K212" s="1">
        <v>79.099999999999994</v>
      </c>
      <c r="L212" s="1">
        <v>39.549999999999997</v>
      </c>
      <c r="M212" s="43" t="s">
        <v>2680</v>
      </c>
      <c r="N212" s="1" t="s">
        <v>2616</v>
      </c>
    </row>
    <row r="213" spans="1:17" ht="15" customHeight="1" x14ac:dyDescent="0.25">
      <c r="A213" s="3" t="s">
        <v>1113</v>
      </c>
      <c r="B213" s="4" t="s">
        <v>2682</v>
      </c>
      <c r="C213" t="s">
        <v>973</v>
      </c>
      <c r="D213">
        <v>1</v>
      </c>
      <c r="E213" t="s">
        <v>974</v>
      </c>
      <c r="F213" t="s">
        <v>975</v>
      </c>
      <c r="G213" t="s">
        <v>976</v>
      </c>
      <c r="H213" s="1" t="s">
        <v>976</v>
      </c>
      <c r="I213" s="1">
        <v>38.35</v>
      </c>
      <c r="J213" s="20">
        <v>0</v>
      </c>
      <c r="K213" s="1">
        <v>36.432453000000002</v>
      </c>
      <c r="L213" s="1">
        <v>0</v>
      </c>
      <c r="M213" s="43" t="s">
        <v>2681</v>
      </c>
      <c r="O213" s="2" t="s">
        <v>2472</v>
      </c>
      <c r="Q213" t="s">
        <v>690</v>
      </c>
    </row>
    <row r="214" spans="1:17" ht="15" customHeight="1" x14ac:dyDescent="0.25">
      <c r="A214" s="42" t="s">
        <v>1113</v>
      </c>
      <c r="B214" s="3" t="s">
        <v>2682</v>
      </c>
      <c r="C214" s="42" t="s">
        <v>973</v>
      </c>
      <c r="D214">
        <v>4</v>
      </c>
      <c r="E214" t="s">
        <v>1018</v>
      </c>
      <c r="F214" t="s">
        <v>975</v>
      </c>
      <c r="G214" t="s">
        <v>976</v>
      </c>
      <c r="H214" s="1" t="s">
        <v>976</v>
      </c>
      <c r="I214" s="1">
        <v>38.35</v>
      </c>
      <c r="J214" s="20">
        <v>53</v>
      </c>
      <c r="K214" s="1">
        <v>38.35</v>
      </c>
      <c r="L214" s="1">
        <v>2032.55</v>
      </c>
      <c r="M214" s="43" t="s">
        <v>2681</v>
      </c>
      <c r="O214" s="2" t="s">
        <v>2472</v>
      </c>
      <c r="Q214" t="s">
        <v>690</v>
      </c>
    </row>
    <row r="215" spans="1:17" ht="15" customHeight="1" x14ac:dyDescent="0.25">
      <c r="A215" s="3" t="s">
        <v>1114</v>
      </c>
      <c r="B215" s="4" t="s">
        <v>2645</v>
      </c>
      <c r="C215" t="s">
        <v>973</v>
      </c>
      <c r="D215">
        <v>1</v>
      </c>
      <c r="E215" t="s">
        <v>974</v>
      </c>
      <c r="F215" t="s">
        <v>975</v>
      </c>
      <c r="G215" t="s">
        <v>976</v>
      </c>
      <c r="H215" s="1" t="s">
        <v>976</v>
      </c>
      <c r="I215" s="1">
        <v>52</v>
      </c>
      <c r="J215" s="20">
        <v>48</v>
      </c>
      <c r="K215" s="1">
        <v>48.36</v>
      </c>
      <c r="L215" s="1">
        <v>2321.2800000000002</v>
      </c>
      <c r="M215" s="43" t="s">
        <v>2683</v>
      </c>
      <c r="O215" s="2" t="s">
        <v>2495</v>
      </c>
      <c r="Q215" t="s">
        <v>691</v>
      </c>
    </row>
    <row r="216" spans="1:17" ht="15" customHeight="1" x14ac:dyDescent="0.25">
      <c r="A216" s="3" t="s">
        <v>2078</v>
      </c>
      <c r="B216" s="4" t="s">
        <v>2685</v>
      </c>
      <c r="C216" t="s">
        <v>973</v>
      </c>
      <c r="D216">
        <v>1</v>
      </c>
      <c r="E216" t="s">
        <v>974</v>
      </c>
      <c r="F216" t="s">
        <v>975</v>
      </c>
      <c r="G216" t="s">
        <v>976</v>
      </c>
      <c r="H216" s="1" t="s">
        <v>976</v>
      </c>
      <c r="I216" s="1">
        <v>23.98</v>
      </c>
      <c r="J216" s="20">
        <v>0</v>
      </c>
      <c r="K216" s="1">
        <v>23.98</v>
      </c>
      <c r="L216" s="1">
        <v>0</v>
      </c>
      <c r="M216" s="43" t="s">
        <v>2684</v>
      </c>
      <c r="O216" s="2" t="s">
        <v>2443</v>
      </c>
      <c r="Q216" t="s">
        <v>692</v>
      </c>
    </row>
    <row r="217" spans="1:17" ht="15" customHeight="1" x14ac:dyDescent="0.25">
      <c r="A217" s="42" t="s">
        <v>2078</v>
      </c>
      <c r="B217" s="3" t="s">
        <v>2685</v>
      </c>
      <c r="C217" s="42" t="s">
        <v>973</v>
      </c>
      <c r="D217">
        <v>4</v>
      </c>
      <c r="E217" t="s">
        <v>1018</v>
      </c>
      <c r="F217" t="s">
        <v>975</v>
      </c>
      <c r="G217" t="s">
        <v>976</v>
      </c>
      <c r="H217" s="1" t="s">
        <v>976</v>
      </c>
      <c r="I217" s="1">
        <v>23.98</v>
      </c>
      <c r="J217" s="20">
        <v>54</v>
      </c>
      <c r="K217" s="1">
        <v>23.98</v>
      </c>
      <c r="L217" s="1">
        <v>1294.92</v>
      </c>
      <c r="M217" s="43" t="s">
        <v>2684</v>
      </c>
      <c r="O217" s="2" t="s">
        <v>2443</v>
      </c>
      <c r="Q217" t="s">
        <v>692</v>
      </c>
    </row>
    <row r="218" spans="1:17" ht="15" customHeight="1" x14ac:dyDescent="0.25">
      <c r="A218" s="3" t="s">
        <v>1115</v>
      </c>
      <c r="B218" s="4" t="s">
        <v>208</v>
      </c>
      <c r="C218" t="s">
        <v>976</v>
      </c>
      <c r="D218">
        <v>1</v>
      </c>
      <c r="E218" t="s">
        <v>974</v>
      </c>
      <c r="F218" t="s">
        <v>975</v>
      </c>
      <c r="G218" t="s">
        <v>976</v>
      </c>
      <c r="H218" s="1" t="s">
        <v>976</v>
      </c>
      <c r="I218" s="1">
        <v>66</v>
      </c>
      <c r="J218" s="20">
        <v>0</v>
      </c>
      <c r="K218" s="1">
        <v>66</v>
      </c>
      <c r="L218" s="1">
        <v>0</v>
      </c>
      <c r="M218" s="43" t="s">
        <v>2686</v>
      </c>
      <c r="Q218" t="s">
        <v>208</v>
      </c>
    </row>
    <row r="219" spans="1:17" ht="15" customHeight="1" x14ac:dyDescent="0.25">
      <c r="A219" s="3" t="s">
        <v>2079</v>
      </c>
      <c r="B219" s="4" t="s">
        <v>2688</v>
      </c>
      <c r="C219" t="s">
        <v>973</v>
      </c>
      <c r="D219">
        <v>1</v>
      </c>
      <c r="E219" t="s">
        <v>974</v>
      </c>
      <c r="F219" t="s">
        <v>975</v>
      </c>
      <c r="G219" t="s">
        <v>976</v>
      </c>
      <c r="H219" s="1" t="s">
        <v>976</v>
      </c>
      <c r="I219" s="1">
        <v>53.4</v>
      </c>
      <c r="J219" s="20">
        <v>0</v>
      </c>
      <c r="K219" s="1">
        <v>49.967142000000003</v>
      </c>
      <c r="L219" s="1">
        <v>0</v>
      </c>
      <c r="M219" s="43" t="s">
        <v>2687</v>
      </c>
      <c r="O219" s="2" t="s">
        <v>2675</v>
      </c>
      <c r="Q219" t="s">
        <v>693</v>
      </c>
    </row>
    <row r="220" spans="1:17" ht="15" customHeight="1" x14ac:dyDescent="0.25">
      <c r="A220" s="42" t="s">
        <v>2079</v>
      </c>
      <c r="B220" s="3" t="s">
        <v>2688</v>
      </c>
      <c r="C220" s="42" t="s">
        <v>973</v>
      </c>
      <c r="D220">
        <v>4</v>
      </c>
      <c r="E220" t="s">
        <v>1018</v>
      </c>
      <c r="F220" t="s">
        <v>975</v>
      </c>
      <c r="G220" t="s">
        <v>976</v>
      </c>
      <c r="H220" s="1" t="s">
        <v>976</v>
      </c>
      <c r="I220" s="1">
        <v>53.4</v>
      </c>
      <c r="J220" s="20">
        <v>105</v>
      </c>
      <c r="K220" s="1">
        <v>53.4</v>
      </c>
      <c r="L220" s="1">
        <v>5607</v>
      </c>
      <c r="M220" s="43" t="s">
        <v>2687</v>
      </c>
      <c r="O220" s="2" t="s">
        <v>2675</v>
      </c>
      <c r="Q220" t="s">
        <v>693</v>
      </c>
    </row>
    <row r="221" spans="1:17" ht="15" customHeight="1" x14ac:dyDescent="0.25">
      <c r="A221" s="3" t="s">
        <v>2080</v>
      </c>
      <c r="C221" t="s">
        <v>973</v>
      </c>
      <c r="D221">
        <v>1</v>
      </c>
      <c r="E221" t="s">
        <v>974</v>
      </c>
      <c r="F221" t="s">
        <v>975</v>
      </c>
      <c r="G221" t="s">
        <v>1079</v>
      </c>
      <c r="H221" s="1" t="s">
        <v>976</v>
      </c>
      <c r="I221" s="1">
        <v>94.4</v>
      </c>
      <c r="J221" s="20">
        <v>0.45</v>
      </c>
      <c r="K221" s="1">
        <v>94.4</v>
      </c>
      <c r="L221" s="1">
        <v>42.48</v>
      </c>
      <c r="M221" s="43" t="s">
        <v>2689</v>
      </c>
      <c r="N221" s="1" t="s">
        <v>2616</v>
      </c>
    </row>
    <row r="222" spans="1:17" ht="15" customHeight="1" x14ac:dyDescent="0.25">
      <c r="A222" s="3" t="s">
        <v>2081</v>
      </c>
      <c r="B222" s="4" t="s">
        <v>2652</v>
      </c>
      <c r="C222" t="s">
        <v>973</v>
      </c>
      <c r="D222">
        <v>1</v>
      </c>
      <c r="E222" t="s">
        <v>974</v>
      </c>
      <c r="F222" t="s">
        <v>975</v>
      </c>
      <c r="G222" t="s">
        <v>1099</v>
      </c>
      <c r="H222" s="1" t="s">
        <v>976</v>
      </c>
      <c r="I222" s="1">
        <v>49.5</v>
      </c>
      <c r="J222" s="20">
        <v>15</v>
      </c>
      <c r="K222" s="1">
        <v>52.688667000000002</v>
      </c>
      <c r="L222" s="1">
        <v>790.33</v>
      </c>
      <c r="M222" s="43" t="s">
        <v>2690</v>
      </c>
      <c r="O222" s="2" t="s">
        <v>2467</v>
      </c>
      <c r="Q222" t="s">
        <v>680</v>
      </c>
    </row>
    <row r="223" spans="1:17" ht="15" customHeight="1" x14ac:dyDescent="0.25">
      <c r="A223" s="3" t="s">
        <v>1116</v>
      </c>
      <c r="B223" s="4" t="s">
        <v>2692</v>
      </c>
      <c r="C223" t="s">
        <v>973</v>
      </c>
      <c r="D223">
        <v>1</v>
      </c>
      <c r="E223" t="s">
        <v>974</v>
      </c>
      <c r="F223" t="s">
        <v>975</v>
      </c>
      <c r="G223" t="s">
        <v>976</v>
      </c>
      <c r="H223" s="1" t="s">
        <v>976</v>
      </c>
      <c r="I223" s="1">
        <v>39.979999999999997</v>
      </c>
      <c r="J223" s="20">
        <v>0</v>
      </c>
      <c r="K223" s="1">
        <v>39.979999999999997</v>
      </c>
      <c r="L223" s="1">
        <v>0</v>
      </c>
      <c r="M223" s="43" t="s">
        <v>2691</v>
      </c>
      <c r="O223" s="2" t="s">
        <v>2482</v>
      </c>
      <c r="Q223" t="s">
        <v>694</v>
      </c>
    </row>
    <row r="224" spans="1:17" ht="15" customHeight="1" x14ac:dyDescent="0.25">
      <c r="A224" s="42" t="s">
        <v>1116</v>
      </c>
      <c r="B224" s="3" t="s">
        <v>2692</v>
      </c>
      <c r="C224" s="42" t="s">
        <v>973</v>
      </c>
      <c r="D224">
        <v>4</v>
      </c>
      <c r="E224" t="s">
        <v>1018</v>
      </c>
      <c r="F224" t="s">
        <v>975</v>
      </c>
      <c r="G224" t="s">
        <v>976</v>
      </c>
      <c r="H224" s="1" t="s">
        <v>976</v>
      </c>
      <c r="I224" s="1">
        <v>39.979999999999997</v>
      </c>
      <c r="J224" s="20">
        <v>30</v>
      </c>
      <c r="K224" s="1">
        <v>39.979999999999997</v>
      </c>
      <c r="L224" s="1">
        <v>1199.4000000000001</v>
      </c>
      <c r="M224" s="43" t="s">
        <v>2691</v>
      </c>
      <c r="O224" s="2" t="s">
        <v>2482</v>
      </c>
      <c r="Q224" t="s">
        <v>694</v>
      </c>
    </row>
    <row r="225" spans="1:17" ht="15" customHeight="1" x14ac:dyDescent="0.25">
      <c r="A225" s="3" t="s">
        <v>1117</v>
      </c>
      <c r="B225" s="4" t="s">
        <v>2694</v>
      </c>
      <c r="C225" t="s">
        <v>973</v>
      </c>
      <c r="D225">
        <v>1</v>
      </c>
      <c r="E225" t="s">
        <v>974</v>
      </c>
      <c r="F225" t="s">
        <v>975</v>
      </c>
      <c r="G225" t="s">
        <v>976</v>
      </c>
      <c r="H225" s="1" t="s">
        <v>976</v>
      </c>
      <c r="I225" s="1">
        <v>45.9</v>
      </c>
      <c r="J225" s="20">
        <v>198</v>
      </c>
      <c r="K225" s="1">
        <v>42.686999999999998</v>
      </c>
      <c r="L225" s="1">
        <v>8452.0300000000007</v>
      </c>
      <c r="M225" s="43" t="s">
        <v>2693</v>
      </c>
      <c r="O225" s="2" t="s">
        <v>2528</v>
      </c>
      <c r="Q225" t="s">
        <v>695</v>
      </c>
    </row>
    <row r="226" spans="1:17" ht="15" customHeight="1" x14ac:dyDescent="0.25">
      <c r="A226" s="3" t="s">
        <v>1118</v>
      </c>
      <c r="B226" s="4" t="s">
        <v>2696</v>
      </c>
      <c r="C226" t="s">
        <v>973</v>
      </c>
      <c r="D226">
        <v>1</v>
      </c>
      <c r="E226" t="s">
        <v>974</v>
      </c>
      <c r="F226" t="s">
        <v>975</v>
      </c>
      <c r="G226" t="s">
        <v>1106</v>
      </c>
      <c r="H226" s="1" t="s">
        <v>976</v>
      </c>
      <c r="I226" s="1">
        <v>15.12</v>
      </c>
      <c r="J226" s="20">
        <v>50</v>
      </c>
      <c r="K226" s="1">
        <v>15.12</v>
      </c>
      <c r="L226" s="1">
        <v>756</v>
      </c>
      <c r="M226" s="43" t="s">
        <v>2695</v>
      </c>
      <c r="O226" s="2" t="s">
        <v>2433</v>
      </c>
      <c r="Q226" t="s">
        <v>696</v>
      </c>
    </row>
    <row r="227" spans="1:17" ht="15" customHeight="1" x14ac:dyDescent="0.25">
      <c r="A227" s="3" t="s">
        <v>1119</v>
      </c>
      <c r="B227" s="4" t="s">
        <v>2698</v>
      </c>
      <c r="C227" t="s">
        <v>973</v>
      </c>
      <c r="D227">
        <v>1</v>
      </c>
      <c r="E227" t="s">
        <v>974</v>
      </c>
      <c r="F227" t="s">
        <v>975</v>
      </c>
      <c r="G227" t="s">
        <v>976</v>
      </c>
      <c r="H227" s="1" t="s">
        <v>976</v>
      </c>
      <c r="I227" s="1">
        <v>35.520000000000003</v>
      </c>
      <c r="J227" s="20">
        <v>0</v>
      </c>
      <c r="K227" s="1">
        <v>35.520000000000003</v>
      </c>
      <c r="L227" s="1">
        <v>0</v>
      </c>
      <c r="M227" s="43" t="s">
        <v>2697</v>
      </c>
      <c r="O227" s="2" t="s">
        <v>2443</v>
      </c>
      <c r="Q227" t="s">
        <v>697</v>
      </c>
    </row>
    <row r="228" spans="1:17" ht="15" customHeight="1" x14ac:dyDescent="0.25">
      <c r="A228" s="42" t="s">
        <v>1119</v>
      </c>
      <c r="B228" s="3" t="s">
        <v>2698</v>
      </c>
      <c r="C228" s="42" t="s">
        <v>973</v>
      </c>
      <c r="D228">
        <v>4</v>
      </c>
      <c r="E228" t="s">
        <v>1018</v>
      </c>
      <c r="F228" t="s">
        <v>975</v>
      </c>
      <c r="G228" t="s">
        <v>976</v>
      </c>
      <c r="H228" s="1" t="s">
        <v>976</v>
      </c>
      <c r="I228" s="1">
        <v>35.520000000000003</v>
      </c>
      <c r="J228" s="20">
        <v>23</v>
      </c>
      <c r="K228" s="1">
        <v>35.520000000000003</v>
      </c>
      <c r="L228" s="1">
        <v>816.96</v>
      </c>
      <c r="M228" s="43" t="s">
        <v>2697</v>
      </c>
      <c r="O228" s="2" t="s">
        <v>2443</v>
      </c>
      <c r="Q228" t="s">
        <v>697</v>
      </c>
    </row>
    <row r="229" spans="1:17" ht="15" customHeight="1" x14ac:dyDescent="0.25">
      <c r="A229" s="3" t="s">
        <v>2082</v>
      </c>
      <c r="B229" s="4" t="s">
        <v>2700</v>
      </c>
      <c r="C229" t="s">
        <v>973</v>
      </c>
      <c r="D229">
        <v>1</v>
      </c>
      <c r="E229" t="s">
        <v>974</v>
      </c>
      <c r="F229" t="s">
        <v>975</v>
      </c>
      <c r="G229" t="s">
        <v>1079</v>
      </c>
      <c r="H229" s="1" t="s">
        <v>976</v>
      </c>
      <c r="I229" s="1">
        <v>60.9</v>
      </c>
      <c r="J229" s="20">
        <v>0</v>
      </c>
      <c r="K229" s="1">
        <v>60.9</v>
      </c>
      <c r="L229" s="1">
        <v>0</v>
      </c>
      <c r="M229" s="43" t="s">
        <v>2699</v>
      </c>
      <c r="O229" s="2" t="s">
        <v>2437</v>
      </c>
      <c r="Q229" t="s">
        <v>484</v>
      </c>
    </row>
    <row r="230" spans="1:17" ht="15" customHeight="1" x14ac:dyDescent="0.25">
      <c r="A230" s="42" t="s">
        <v>2082</v>
      </c>
      <c r="B230" s="3" t="s">
        <v>2700</v>
      </c>
      <c r="C230" s="42" t="s">
        <v>973</v>
      </c>
      <c r="D230">
        <v>4</v>
      </c>
      <c r="E230" t="s">
        <v>1018</v>
      </c>
      <c r="F230" t="s">
        <v>975</v>
      </c>
      <c r="G230" t="s">
        <v>1079</v>
      </c>
      <c r="H230" s="1" t="s">
        <v>976</v>
      </c>
      <c r="I230" s="1">
        <v>60.9</v>
      </c>
      <c r="J230" s="20">
        <v>14</v>
      </c>
      <c r="K230" s="1">
        <v>60.9</v>
      </c>
      <c r="L230" s="1">
        <v>852.6</v>
      </c>
      <c r="M230" s="43" t="s">
        <v>2699</v>
      </c>
      <c r="O230" s="2" t="s">
        <v>2437</v>
      </c>
      <c r="Q230" t="s">
        <v>484</v>
      </c>
    </row>
    <row r="231" spans="1:17" ht="15" customHeight="1" x14ac:dyDescent="0.25">
      <c r="A231" s="3" t="s">
        <v>1120</v>
      </c>
      <c r="B231" s="4" t="s">
        <v>2702</v>
      </c>
      <c r="C231" t="s">
        <v>973</v>
      </c>
      <c r="D231">
        <v>1</v>
      </c>
      <c r="E231" t="s">
        <v>974</v>
      </c>
      <c r="F231" t="s">
        <v>975</v>
      </c>
      <c r="G231" t="s">
        <v>976</v>
      </c>
      <c r="H231" s="1" t="s">
        <v>976</v>
      </c>
      <c r="I231" s="1">
        <v>54.950040000000001</v>
      </c>
      <c r="J231" s="20">
        <v>123.9</v>
      </c>
      <c r="K231" s="1">
        <v>54.950040000000001</v>
      </c>
      <c r="L231" s="1">
        <v>6808.31</v>
      </c>
      <c r="M231" s="43" t="s">
        <v>2701</v>
      </c>
      <c r="O231" s="2" t="s">
        <v>2579</v>
      </c>
      <c r="Q231" t="s">
        <v>698</v>
      </c>
    </row>
    <row r="232" spans="1:17" ht="15" customHeight="1" x14ac:dyDescent="0.25">
      <c r="A232" s="3" t="s">
        <v>1121</v>
      </c>
      <c r="B232" s="4" t="s">
        <v>209</v>
      </c>
      <c r="C232" t="s">
        <v>976</v>
      </c>
      <c r="D232">
        <v>1</v>
      </c>
      <c r="E232" t="s">
        <v>974</v>
      </c>
      <c r="F232" t="s">
        <v>975</v>
      </c>
      <c r="G232" t="s">
        <v>976</v>
      </c>
      <c r="H232" s="1" t="s">
        <v>976</v>
      </c>
      <c r="I232" s="1">
        <v>608</v>
      </c>
      <c r="J232" s="20">
        <v>2</v>
      </c>
      <c r="K232" s="1">
        <v>608</v>
      </c>
      <c r="L232" s="1">
        <v>1216</v>
      </c>
      <c r="M232" s="43" t="s">
        <v>2703</v>
      </c>
      <c r="Q232" t="s">
        <v>209</v>
      </c>
    </row>
    <row r="233" spans="1:17" ht="15" customHeight="1" x14ac:dyDescent="0.25">
      <c r="A233" s="3" t="s">
        <v>1122</v>
      </c>
      <c r="B233" s="4" t="s">
        <v>2705</v>
      </c>
      <c r="C233" t="s">
        <v>973</v>
      </c>
      <c r="D233">
        <v>1</v>
      </c>
      <c r="E233" t="s">
        <v>974</v>
      </c>
      <c r="F233" t="s">
        <v>975</v>
      </c>
      <c r="G233" t="s">
        <v>976</v>
      </c>
      <c r="H233" s="1" t="s">
        <v>976</v>
      </c>
      <c r="I233" s="1">
        <v>54.95</v>
      </c>
      <c r="J233" s="20">
        <v>120.9</v>
      </c>
      <c r="K233" s="1">
        <v>54.950040999999999</v>
      </c>
      <c r="L233" s="1">
        <v>6643.46</v>
      </c>
      <c r="M233" s="43" t="s">
        <v>2704</v>
      </c>
      <c r="O233" s="2" t="s">
        <v>2472</v>
      </c>
      <c r="Q233" t="s">
        <v>699</v>
      </c>
    </row>
    <row r="234" spans="1:17" ht="15" customHeight="1" x14ac:dyDescent="0.25">
      <c r="A234" s="3" t="s">
        <v>1123</v>
      </c>
      <c r="B234" s="4" t="s">
        <v>2707</v>
      </c>
      <c r="C234" t="s">
        <v>973</v>
      </c>
      <c r="D234">
        <v>1</v>
      </c>
      <c r="E234" t="s">
        <v>974</v>
      </c>
      <c r="F234" t="s">
        <v>975</v>
      </c>
      <c r="G234" t="s">
        <v>1106</v>
      </c>
      <c r="H234" s="1" t="s">
        <v>976</v>
      </c>
      <c r="I234" s="1">
        <v>14.04</v>
      </c>
      <c r="J234" s="20">
        <v>50</v>
      </c>
      <c r="K234" s="1">
        <v>14.04</v>
      </c>
      <c r="L234" s="1">
        <v>702</v>
      </c>
      <c r="M234" s="43" t="s">
        <v>2706</v>
      </c>
      <c r="O234" s="2" t="s">
        <v>2467</v>
      </c>
      <c r="Q234" t="s">
        <v>700</v>
      </c>
    </row>
    <row r="235" spans="1:17" ht="15" customHeight="1" x14ac:dyDescent="0.25">
      <c r="A235" s="3" t="s">
        <v>2083</v>
      </c>
      <c r="B235" s="4" t="s">
        <v>2709</v>
      </c>
      <c r="C235" t="s">
        <v>973</v>
      </c>
      <c r="D235">
        <v>1</v>
      </c>
      <c r="E235" t="s">
        <v>974</v>
      </c>
      <c r="F235" t="s">
        <v>975</v>
      </c>
      <c r="G235" t="s">
        <v>976</v>
      </c>
      <c r="H235" s="1" t="s">
        <v>976</v>
      </c>
      <c r="I235" s="1">
        <v>55</v>
      </c>
      <c r="J235" s="20">
        <v>22.6</v>
      </c>
      <c r="K235" s="1">
        <v>55</v>
      </c>
      <c r="L235" s="1">
        <v>1243</v>
      </c>
      <c r="M235" s="43" t="s">
        <v>2708</v>
      </c>
      <c r="O235" s="2" t="s">
        <v>2447</v>
      </c>
      <c r="Q235" t="s">
        <v>701</v>
      </c>
    </row>
    <row r="236" spans="1:17" ht="15" customHeight="1" x14ac:dyDescent="0.25">
      <c r="A236" s="3" t="s">
        <v>2084</v>
      </c>
      <c r="B236" s="4" t="s">
        <v>2711</v>
      </c>
      <c r="C236" t="s">
        <v>973</v>
      </c>
      <c r="D236">
        <v>1</v>
      </c>
      <c r="E236" t="s">
        <v>974</v>
      </c>
      <c r="F236" t="s">
        <v>975</v>
      </c>
      <c r="G236" t="s">
        <v>976</v>
      </c>
      <c r="H236" s="1" t="s">
        <v>976</v>
      </c>
      <c r="I236" s="1">
        <v>90.88</v>
      </c>
      <c r="J236" s="20">
        <v>0</v>
      </c>
      <c r="K236" s="1">
        <v>90.88</v>
      </c>
      <c r="L236" s="1">
        <v>0</v>
      </c>
      <c r="M236" s="43" t="s">
        <v>2710</v>
      </c>
      <c r="O236" s="2" t="s">
        <v>2528</v>
      </c>
      <c r="Q236" t="s">
        <v>702</v>
      </c>
    </row>
    <row r="237" spans="1:17" ht="15" customHeight="1" x14ac:dyDescent="0.25">
      <c r="A237" s="42" t="s">
        <v>2084</v>
      </c>
      <c r="B237" s="3" t="s">
        <v>2711</v>
      </c>
      <c r="C237" s="42" t="s">
        <v>973</v>
      </c>
      <c r="D237">
        <v>4</v>
      </c>
      <c r="E237" t="s">
        <v>1018</v>
      </c>
      <c r="F237" t="s">
        <v>975</v>
      </c>
      <c r="G237" t="s">
        <v>976</v>
      </c>
      <c r="H237" s="1" t="s">
        <v>976</v>
      </c>
      <c r="I237" s="1">
        <v>90.88</v>
      </c>
      <c r="J237" s="20">
        <v>2</v>
      </c>
      <c r="K237" s="1">
        <v>90.88</v>
      </c>
      <c r="L237" s="1">
        <v>181.76</v>
      </c>
      <c r="M237" s="43" t="s">
        <v>2710</v>
      </c>
      <c r="O237" s="2" t="s">
        <v>2528</v>
      </c>
      <c r="Q237" t="s">
        <v>702</v>
      </c>
    </row>
    <row r="238" spans="1:17" ht="15" customHeight="1" x14ac:dyDescent="0.25">
      <c r="A238" s="3" t="s">
        <v>2211</v>
      </c>
      <c r="B238" s="4" t="s">
        <v>2711</v>
      </c>
      <c r="C238" t="s">
        <v>973</v>
      </c>
      <c r="D238">
        <v>1</v>
      </c>
      <c r="E238" t="s">
        <v>974</v>
      </c>
      <c r="F238" t="s">
        <v>975</v>
      </c>
      <c r="G238" t="s">
        <v>976</v>
      </c>
      <c r="H238" s="1" t="s">
        <v>976</v>
      </c>
      <c r="I238" s="1">
        <v>89.91</v>
      </c>
      <c r="J238" s="20">
        <v>0</v>
      </c>
      <c r="K238" s="1">
        <v>89.909980000000004</v>
      </c>
      <c r="L238" s="1">
        <v>0</v>
      </c>
      <c r="M238" s="43" t="s">
        <v>2712</v>
      </c>
      <c r="O238" s="2" t="s">
        <v>2447</v>
      </c>
      <c r="Q238" t="s">
        <v>703</v>
      </c>
    </row>
    <row r="239" spans="1:17" ht="15" customHeight="1" x14ac:dyDescent="0.25">
      <c r="A239" s="42" t="s">
        <v>2211</v>
      </c>
      <c r="B239" s="3" t="s">
        <v>2711</v>
      </c>
      <c r="C239" s="42" t="s">
        <v>973</v>
      </c>
      <c r="D239">
        <v>4</v>
      </c>
      <c r="E239" t="s">
        <v>1018</v>
      </c>
      <c r="F239" t="s">
        <v>975</v>
      </c>
      <c r="G239" t="s">
        <v>976</v>
      </c>
      <c r="H239" s="1" t="s">
        <v>976</v>
      </c>
      <c r="I239" s="1">
        <v>89.91</v>
      </c>
      <c r="J239" s="20">
        <v>2</v>
      </c>
      <c r="K239" s="1">
        <v>89.91</v>
      </c>
      <c r="L239" s="1">
        <v>179.82</v>
      </c>
      <c r="M239" s="43" t="s">
        <v>2712</v>
      </c>
      <c r="O239" s="2" t="s">
        <v>2447</v>
      </c>
      <c r="Q239" t="s">
        <v>703</v>
      </c>
    </row>
    <row r="240" spans="1:17" ht="15" customHeight="1" x14ac:dyDescent="0.25">
      <c r="A240" s="3" t="s">
        <v>2207</v>
      </c>
      <c r="B240" s="4" t="s">
        <v>543</v>
      </c>
      <c r="C240" t="s">
        <v>973</v>
      </c>
      <c r="D240">
        <v>1</v>
      </c>
      <c r="E240" t="s">
        <v>974</v>
      </c>
      <c r="F240" t="s">
        <v>975</v>
      </c>
      <c r="G240" t="s">
        <v>976</v>
      </c>
      <c r="H240" s="1" t="s">
        <v>976</v>
      </c>
      <c r="I240" s="1">
        <v>90.42</v>
      </c>
      <c r="J240" s="20">
        <v>123.9</v>
      </c>
      <c r="K240" s="1">
        <v>90.420016000000004</v>
      </c>
      <c r="L240" s="1">
        <v>11203.04</v>
      </c>
      <c r="M240" s="43" t="s">
        <v>2713</v>
      </c>
      <c r="Q240" t="s">
        <v>543</v>
      </c>
    </row>
    <row r="241" spans="1:17" ht="15" customHeight="1" x14ac:dyDescent="0.25">
      <c r="A241" s="3" t="s">
        <v>1124</v>
      </c>
      <c r="B241" s="4" t="s">
        <v>2715</v>
      </c>
      <c r="C241" t="s">
        <v>973</v>
      </c>
      <c r="D241">
        <v>1</v>
      </c>
      <c r="E241" t="s">
        <v>974</v>
      </c>
      <c r="F241" t="s">
        <v>975</v>
      </c>
      <c r="G241" t="s">
        <v>976</v>
      </c>
      <c r="H241" s="1" t="s">
        <v>976</v>
      </c>
      <c r="I241" s="1">
        <v>17.95</v>
      </c>
      <c r="J241" s="20">
        <v>80</v>
      </c>
      <c r="K241" s="1">
        <v>17.052499999999998</v>
      </c>
      <c r="L241" s="1">
        <v>1364.2</v>
      </c>
      <c r="M241" s="43" t="s">
        <v>2714</v>
      </c>
      <c r="O241" s="2" t="s">
        <v>2433</v>
      </c>
      <c r="Q241" t="s">
        <v>210</v>
      </c>
    </row>
    <row r="242" spans="1:17" ht="15" customHeight="1" x14ac:dyDescent="0.25">
      <c r="A242" s="3" t="s">
        <v>1125</v>
      </c>
      <c r="B242" s="4" t="s">
        <v>2717</v>
      </c>
      <c r="C242" t="s">
        <v>973</v>
      </c>
      <c r="D242">
        <v>1</v>
      </c>
      <c r="E242" t="s">
        <v>974</v>
      </c>
      <c r="F242" t="s">
        <v>975</v>
      </c>
      <c r="G242" t="s">
        <v>976</v>
      </c>
      <c r="H242" s="1" t="s">
        <v>976</v>
      </c>
      <c r="I242" s="1">
        <v>47.5</v>
      </c>
      <c r="J242" s="20">
        <v>87</v>
      </c>
      <c r="K242" s="1">
        <v>47.5</v>
      </c>
      <c r="L242" s="1">
        <v>4132.5</v>
      </c>
      <c r="M242" s="43" t="s">
        <v>2716</v>
      </c>
      <c r="O242" s="2" t="s">
        <v>2482</v>
      </c>
      <c r="Q242" t="s">
        <v>704</v>
      </c>
    </row>
    <row r="243" spans="1:17" ht="15" customHeight="1" x14ac:dyDescent="0.25">
      <c r="A243" s="3" t="s">
        <v>1126</v>
      </c>
      <c r="C243" t="s">
        <v>973</v>
      </c>
      <c r="D243">
        <v>1</v>
      </c>
      <c r="E243" t="s">
        <v>974</v>
      </c>
      <c r="F243" t="s">
        <v>975</v>
      </c>
      <c r="G243" t="s">
        <v>1079</v>
      </c>
      <c r="H243" s="1" t="s">
        <v>976</v>
      </c>
      <c r="I243" s="1">
        <v>83.8</v>
      </c>
      <c r="J243" s="20">
        <v>0.35</v>
      </c>
      <c r="K243" s="1">
        <v>83.8</v>
      </c>
      <c r="L243" s="1">
        <v>29.33</v>
      </c>
      <c r="M243" s="43" t="s">
        <v>2718</v>
      </c>
      <c r="N243" s="1" t="s">
        <v>2616</v>
      </c>
    </row>
    <row r="244" spans="1:17" ht="15" customHeight="1" x14ac:dyDescent="0.25">
      <c r="A244" s="3" t="s">
        <v>2085</v>
      </c>
      <c r="C244" t="s">
        <v>973</v>
      </c>
      <c r="D244">
        <v>1</v>
      </c>
      <c r="E244" t="s">
        <v>974</v>
      </c>
      <c r="F244" t="s">
        <v>975</v>
      </c>
      <c r="G244" t="s">
        <v>1079</v>
      </c>
      <c r="H244" s="1" t="s">
        <v>976</v>
      </c>
      <c r="I244" s="1">
        <v>79.900000000000006</v>
      </c>
      <c r="J244" s="20">
        <v>1.8</v>
      </c>
      <c r="K244" s="1">
        <v>79.900000000000006</v>
      </c>
      <c r="L244" s="1">
        <v>143.82</v>
      </c>
      <c r="M244" s="43" t="s">
        <v>2719</v>
      </c>
      <c r="N244" s="1" t="s">
        <v>2616</v>
      </c>
    </row>
    <row r="245" spans="1:17" ht="15" customHeight="1" x14ac:dyDescent="0.25">
      <c r="A245" s="3" t="s">
        <v>1127</v>
      </c>
      <c r="B245" s="4" t="s">
        <v>2721</v>
      </c>
      <c r="C245" t="s">
        <v>973</v>
      </c>
      <c r="D245">
        <v>1</v>
      </c>
      <c r="E245" t="s">
        <v>974</v>
      </c>
      <c r="F245" t="s">
        <v>975</v>
      </c>
      <c r="G245" t="s">
        <v>976</v>
      </c>
      <c r="H245" s="1" t="s">
        <v>976</v>
      </c>
      <c r="I245" s="1">
        <v>88.22</v>
      </c>
      <c r="J245" s="20">
        <v>0</v>
      </c>
      <c r="K245" s="1">
        <v>88.22</v>
      </c>
      <c r="L245" s="1">
        <v>0</v>
      </c>
      <c r="M245" s="43" t="s">
        <v>2720</v>
      </c>
      <c r="O245" s="2" t="s">
        <v>2443</v>
      </c>
      <c r="Q245" t="s">
        <v>705</v>
      </c>
    </row>
    <row r="246" spans="1:17" ht="15" customHeight="1" x14ac:dyDescent="0.25">
      <c r="A246" s="3" t="s">
        <v>1128</v>
      </c>
      <c r="B246" s="4" t="s">
        <v>2723</v>
      </c>
      <c r="C246" t="s">
        <v>973</v>
      </c>
      <c r="D246">
        <v>1</v>
      </c>
      <c r="E246" t="s">
        <v>974</v>
      </c>
      <c r="F246" t="s">
        <v>975</v>
      </c>
      <c r="G246" t="s">
        <v>1129</v>
      </c>
      <c r="H246" s="1" t="s">
        <v>976</v>
      </c>
      <c r="I246" s="1">
        <v>13.41</v>
      </c>
      <c r="J246" s="20">
        <v>0</v>
      </c>
      <c r="K246" s="1">
        <v>13.41</v>
      </c>
      <c r="L246" s="1">
        <v>0</v>
      </c>
      <c r="M246" s="43" t="s">
        <v>2722</v>
      </c>
      <c r="O246" s="2" t="s">
        <v>2443</v>
      </c>
      <c r="Q246" t="s">
        <v>706</v>
      </c>
    </row>
    <row r="247" spans="1:17" ht="15" customHeight="1" x14ac:dyDescent="0.25">
      <c r="A247" s="3" t="s">
        <v>2086</v>
      </c>
      <c r="B247" s="4" t="s">
        <v>2725</v>
      </c>
      <c r="C247" t="s">
        <v>973</v>
      </c>
      <c r="D247">
        <v>1</v>
      </c>
      <c r="E247" t="s">
        <v>974</v>
      </c>
      <c r="F247" t="s">
        <v>975</v>
      </c>
      <c r="G247" t="s">
        <v>1089</v>
      </c>
      <c r="H247" s="1" t="s">
        <v>976</v>
      </c>
      <c r="I247" s="1">
        <v>14.31</v>
      </c>
      <c r="J247" s="20">
        <v>0</v>
      </c>
      <c r="K247" s="1">
        <v>14.310048</v>
      </c>
      <c r="L247" s="1">
        <v>0</v>
      </c>
      <c r="M247" s="43" t="s">
        <v>2724</v>
      </c>
      <c r="O247" s="2" t="s">
        <v>2467</v>
      </c>
      <c r="Q247" t="s">
        <v>707</v>
      </c>
    </row>
    <row r="248" spans="1:17" ht="15" customHeight="1" x14ac:dyDescent="0.25">
      <c r="A248" s="3" t="s">
        <v>1130</v>
      </c>
      <c r="B248" s="4" t="s">
        <v>2728</v>
      </c>
      <c r="C248" t="s">
        <v>973</v>
      </c>
      <c r="D248">
        <v>1</v>
      </c>
      <c r="E248" t="s">
        <v>974</v>
      </c>
      <c r="F248" t="s">
        <v>975</v>
      </c>
      <c r="G248" t="s">
        <v>1089</v>
      </c>
      <c r="H248" s="1" t="s">
        <v>976</v>
      </c>
      <c r="I248" s="1">
        <v>13.41</v>
      </c>
      <c r="J248" s="20">
        <v>50</v>
      </c>
      <c r="K248" s="1">
        <v>13.41</v>
      </c>
      <c r="L248" s="1">
        <v>670.5</v>
      </c>
      <c r="M248" s="43" t="s">
        <v>2726</v>
      </c>
      <c r="O248" s="2" t="s">
        <v>2727</v>
      </c>
      <c r="Q248" t="s">
        <v>708</v>
      </c>
    </row>
    <row r="249" spans="1:17" ht="15" customHeight="1" x14ac:dyDescent="0.25">
      <c r="A249" s="3" t="s">
        <v>1131</v>
      </c>
      <c r="B249" s="4" t="s">
        <v>2730</v>
      </c>
      <c r="C249" t="s">
        <v>973</v>
      </c>
      <c r="D249">
        <v>1</v>
      </c>
      <c r="E249" t="s">
        <v>974</v>
      </c>
      <c r="F249" t="s">
        <v>975</v>
      </c>
      <c r="G249" t="s">
        <v>1089</v>
      </c>
      <c r="H249" s="1" t="s">
        <v>976</v>
      </c>
      <c r="I249" s="1">
        <v>13.41</v>
      </c>
      <c r="J249" s="20">
        <v>50</v>
      </c>
      <c r="K249" s="1">
        <v>13.41</v>
      </c>
      <c r="L249" s="1">
        <v>670.5</v>
      </c>
      <c r="M249" s="43" t="s">
        <v>2729</v>
      </c>
      <c r="O249" s="2" t="s">
        <v>2482</v>
      </c>
      <c r="Q249" t="s">
        <v>709</v>
      </c>
    </row>
    <row r="250" spans="1:17" ht="15" customHeight="1" x14ac:dyDescent="0.25">
      <c r="A250" s="3" t="s">
        <v>1132</v>
      </c>
      <c r="B250" s="4" t="s">
        <v>2732</v>
      </c>
      <c r="C250" t="s">
        <v>973</v>
      </c>
      <c r="D250">
        <v>1</v>
      </c>
      <c r="E250" t="s">
        <v>974</v>
      </c>
      <c r="F250" t="s">
        <v>975</v>
      </c>
      <c r="G250" t="s">
        <v>1133</v>
      </c>
      <c r="H250" s="1" t="s">
        <v>976</v>
      </c>
      <c r="I250" s="1">
        <v>14</v>
      </c>
      <c r="J250" s="20">
        <v>5.76</v>
      </c>
      <c r="K250" s="1">
        <v>14</v>
      </c>
      <c r="L250" s="1">
        <v>80.64</v>
      </c>
      <c r="M250" s="43" t="s">
        <v>2731</v>
      </c>
      <c r="O250" s="2" t="s">
        <v>2443</v>
      </c>
      <c r="Q250" t="s">
        <v>710</v>
      </c>
    </row>
    <row r="251" spans="1:17" ht="15" customHeight="1" x14ac:dyDescent="0.25">
      <c r="A251" s="3" t="s">
        <v>1134</v>
      </c>
      <c r="B251" s="4" t="s">
        <v>2735</v>
      </c>
      <c r="C251" t="s">
        <v>973</v>
      </c>
      <c r="D251">
        <v>1</v>
      </c>
      <c r="E251" t="s">
        <v>974</v>
      </c>
      <c r="F251" t="s">
        <v>975</v>
      </c>
      <c r="G251" t="s">
        <v>976</v>
      </c>
      <c r="H251" s="1" t="s">
        <v>976</v>
      </c>
      <c r="I251" s="1">
        <v>34</v>
      </c>
      <c r="J251" s="20">
        <v>39.6</v>
      </c>
      <c r="K251" s="1">
        <v>34</v>
      </c>
      <c r="L251" s="1">
        <v>1346.4</v>
      </c>
      <c r="M251" s="43" t="s">
        <v>2733</v>
      </c>
      <c r="O251" s="2" t="s">
        <v>2734</v>
      </c>
      <c r="Q251" t="s">
        <v>711</v>
      </c>
    </row>
    <row r="252" spans="1:17" ht="15" customHeight="1" x14ac:dyDescent="0.25">
      <c r="A252" s="3" t="s">
        <v>1135</v>
      </c>
      <c r="C252" t="s">
        <v>973</v>
      </c>
      <c r="D252">
        <v>1</v>
      </c>
      <c r="E252" t="s">
        <v>974</v>
      </c>
      <c r="F252" t="s">
        <v>975</v>
      </c>
      <c r="G252" t="s">
        <v>1079</v>
      </c>
      <c r="H252" s="1" t="s">
        <v>976</v>
      </c>
      <c r="I252" s="1">
        <v>79.900000000000006</v>
      </c>
      <c r="J252" s="20">
        <v>0.5</v>
      </c>
      <c r="K252" s="1">
        <v>79.900000000000006</v>
      </c>
      <c r="L252" s="1">
        <v>39.950000000000003</v>
      </c>
      <c r="M252" s="43" t="s">
        <v>2736</v>
      </c>
      <c r="N252" s="1" t="s">
        <v>2616</v>
      </c>
    </row>
    <row r="253" spans="1:17" ht="15" customHeight="1" x14ac:dyDescent="0.25">
      <c r="A253" s="3" t="s">
        <v>2087</v>
      </c>
      <c r="B253" s="4" t="s">
        <v>2738</v>
      </c>
      <c r="C253" t="s">
        <v>973</v>
      </c>
      <c r="D253">
        <v>1</v>
      </c>
      <c r="E253" t="s">
        <v>974</v>
      </c>
      <c r="F253" t="s">
        <v>975</v>
      </c>
      <c r="G253" t="s">
        <v>976</v>
      </c>
      <c r="H253" s="1" t="s">
        <v>976</v>
      </c>
      <c r="I253" s="1">
        <v>55</v>
      </c>
      <c r="J253" s="20">
        <v>18.2</v>
      </c>
      <c r="K253" s="1">
        <v>55</v>
      </c>
      <c r="L253" s="1">
        <v>1001</v>
      </c>
      <c r="M253" s="43" t="s">
        <v>2737</v>
      </c>
      <c r="O253" s="2" t="s">
        <v>2495</v>
      </c>
      <c r="Q253" t="s">
        <v>712</v>
      </c>
    </row>
    <row r="254" spans="1:17" ht="15" customHeight="1" x14ac:dyDescent="0.25">
      <c r="A254" s="3" t="s">
        <v>1136</v>
      </c>
      <c r="B254" s="4" t="s">
        <v>2740</v>
      </c>
      <c r="C254" t="s">
        <v>973</v>
      </c>
      <c r="D254">
        <v>1</v>
      </c>
      <c r="E254" t="s">
        <v>974</v>
      </c>
      <c r="F254" t="s">
        <v>975</v>
      </c>
      <c r="G254" t="s">
        <v>976</v>
      </c>
      <c r="H254" s="1" t="s">
        <v>976</v>
      </c>
      <c r="I254" s="1">
        <v>34</v>
      </c>
      <c r="J254" s="20">
        <v>44.6</v>
      </c>
      <c r="K254" s="1">
        <v>34</v>
      </c>
      <c r="L254" s="1">
        <v>1516.4</v>
      </c>
      <c r="M254" s="43" t="s">
        <v>2739</v>
      </c>
      <c r="O254" s="2" t="s">
        <v>2579</v>
      </c>
      <c r="Q254" t="s">
        <v>713</v>
      </c>
    </row>
    <row r="255" spans="1:17" ht="15" customHeight="1" x14ac:dyDescent="0.25">
      <c r="A255" s="3" t="s">
        <v>2088</v>
      </c>
      <c r="B255" s="4" t="s">
        <v>2742</v>
      </c>
      <c r="C255" t="s">
        <v>973</v>
      </c>
      <c r="D255">
        <v>1</v>
      </c>
      <c r="E255" t="s">
        <v>974</v>
      </c>
      <c r="F255" t="s">
        <v>975</v>
      </c>
      <c r="G255" t="s">
        <v>976</v>
      </c>
      <c r="H255" s="1" t="s">
        <v>976</v>
      </c>
      <c r="I255" s="1">
        <v>53.66</v>
      </c>
      <c r="J255" s="20">
        <v>18.100000000000001</v>
      </c>
      <c r="K255" s="1">
        <v>53.660221</v>
      </c>
      <c r="L255" s="1">
        <v>971.25</v>
      </c>
      <c r="M255" s="43" t="s">
        <v>2741</v>
      </c>
      <c r="O255" s="2" t="s">
        <v>2447</v>
      </c>
      <c r="Q255" t="s">
        <v>714</v>
      </c>
    </row>
    <row r="256" spans="1:17" ht="15" customHeight="1" x14ac:dyDescent="0.25">
      <c r="A256" s="3" t="s">
        <v>2089</v>
      </c>
      <c r="B256" s="4" t="s">
        <v>2744</v>
      </c>
      <c r="C256" t="s">
        <v>973</v>
      </c>
      <c r="D256">
        <v>1</v>
      </c>
      <c r="E256" t="s">
        <v>974</v>
      </c>
      <c r="F256" t="s">
        <v>975</v>
      </c>
      <c r="G256" t="s">
        <v>976</v>
      </c>
      <c r="H256" s="1" t="s">
        <v>976</v>
      </c>
      <c r="I256" s="1">
        <v>95</v>
      </c>
      <c r="J256" s="20">
        <v>21.9</v>
      </c>
      <c r="K256" s="1">
        <v>95</v>
      </c>
      <c r="L256" s="1">
        <v>2080.5</v>
      </c>
      <c r="M256" s="43" t="s">
        <v>2743</v>
      </c>
      <c r="O256" s="2" t="s">
        <v>2437</v>
      </c>
      <c r="Q256" t="s">
        <v>715</v>
      </c>
    </row>
    <row r="257" spans="1:17" ht="15" customHeight="1" x14ac:dyDescent="0.25">
      <c r="A257" s="3" t="s">
        <v>1137</v>
      </c>
      <c r="B257" s="4" t="s">
        <v>211</v>
      </c>
      <c r="C257" t="s">
        <v>1016</v>
      </c>
      <c r="D257">
        <v>1</v>
      </c>
      <c r="E257" t="s">
        <v>974</v>
      </c>
      <c r="F257" t="s">
        <v>975</v>
      </c>
      <c r="G257" t="s">
        <v>976</v>
      </c>
      <c r="H257" s="1" t="s">
        <v>976</v>
      </c>
      <c r="I257" s="1">
        <v>1.18</v>
      </c>
      <c r="J257" s="20">
        <v>375</v>
      </c>
      <c r="K257" s="1">
        <v>1.18</v>
      </c>
      <c r="L257" s="1">
        <v>442.5</v>
      </c>
      <c r="M257" s="43" t="s">
        <v>2745</v>
      </c>
      <c r="Q257" t="s">
        <v>211</v>
      </c>
    </row>
    <row r="258" spans="1:17" ht="15" customHeight="1" x14ac:dyDescent="0.25">
      <c r="A258" s="3" t="s">
        <v>1138</v>
      </c>
      <c r="B258" s="4" t="s">
        <v>212</v>
      </c>
      <c r="C258" t="s">
        <v>1016</v>
      </c>
      <c r="D258">
        <v>1</v>
      </c>
      <c r="E258" t="s">
        <v>974</v>
      </c>
      <c r="F258" t="s">
        <v>975</v>
      </c>
      <c r="G258" t="s">
        <v>976</v>
      </c>
      <c r="H258" s="1" t="s">
        <v>976</v>
      </c>
      <c r="I258" s="1">
        <v>0.44</v>
      </c>
      <c r="J258" s="20">
        <v>1095</v>
      </c>
      <c r="K258" s="1">
        <v>0.445662</v>
      </c>
      <c r="L258" s="1">
        <v>488</v>
      </c>
      <c r="M258" s="43" t="s">
        <v>2746</v>
      </c>
      <c r="Q258" t="s">
        <v>212</v>
      </c>
    </row>
    <row r="259" spans="1:17" ht="15" customHeight="1" x14ac:dyDescent="0.25">
      <c r="A259" s="42" t="s">
        <v>1138</v>
      </c>
      <c r="B259" s="3" t="s">
        <v>212</v>
      </c>
      <c r="C259" s="42" t="s">
        <v>1016</v>
      </c>
      <c r="D259">
        <v>4</v>
      </c>
      <c r="E259" t="s">
        <v>1018</v>
      </c>
      <c r="F259" t="s">
        <v>975</v>
      </c>
      <c r="G259" t="s">
        <v>976</v>
      </c>
      <c r="H259" s="1" t="s">
        <v>976</v>
      </c>
      <c r="I259" s="1">
        <v>0.44</v>
      </c>
      <c r="J259" s="20">
        <v>105</v>
      </c>
      <c r="K259" s="1">
        <v>0.44209500000000002</v>
      </c>
      <c r="L259" s="1">
        <v>46.42</v>
      </c>
      <c r="M259" s="43" t="s">
        <v>2746</v>
      </c>
      <c r="Q259" t="s">
        <v>212</v>
      </c>
    </row>
    <row r="260" spans="1:17" ht="15" customHeight="1" x14ac:dyDescent="0.25">
      <c r="A260" s="3" t="s">
        <v>1139</v>
      </c>
      <c r="B260" s="4" t="s">
        <v>213</v>
      </c>
      <c r="C260" t="s">
        <v>1016</v>
      </c>
      <c r="D260">
        <v>1</v>
      </c>
      <c r="E260" t="s">
        <v>974</v>
      </c>
      <c r="F260" t="s">
        <v>975</v>
      </c>
      <c r="G260" t="s">
        <v>976</v>
      </c>
      <c r="H260" s="1" t="s">
        <v>976</v>
      </c>
      <c r="I260" s="1">
        <v>0.44</v>
      </c>
      <c r="J260" s="20">
        <v>0</v>
      </c>
      <c r="K260" s="1">
        <v>0.44447599999999998</v>
      </c>
      <c r="L260" s="1">
        <v>0</v>
      </c>
      <c r="M260" s="43" t="s">
        <v>2747</v>
      </c>
      <c r="Q260" t="s">
        <v>213</v>
      </c>
    </row>
    <row r="261" spans="1:17" ht="15" customHeight="1" x14ac:dyDescent="0.25">
      <c r="A261" s="42" t="s">
        <v>1139</v>
      </c>
      <c r="B261" s="3" t="s">
        <v>213</v>
      </c>
      <c r="C261" s="42" t="s">
        <v>1016</v>
      </c>
      <c r="D261">
        <v>4</v>
      </c>
      <c r="E261" t="s">
        <v>1018</v>
      </c>
      <c r="F261" t="s">
        <v>975</v>
      </c>
      <c r="G261" t="s">
        <v>976</v>
      </c>
      <c r="H261" s="1" t="s">
        <v>976</v>
      </c>
      <c r="I261" s="1">
        <v>0.44</v>
      </c>
      <c r="J261" s="20">
        <v>100</v>
      </c>
      <c r="K261" s="1">
        <v>0.44</v>
      </c>
      <c r="L261" s="1">
        <v>44</v>
      </c>
      <c r="M261" s="43" t="s">
        <v>2747</v>
      </c>
      <c r="Q261" t="s">
        <v>213</v>
      </c>
    </row>
    <row r="262" spans="1:17" ht="15" customHeight="1" x14ac:dyDescent="0.25">
      <c r="A262" s="3" t="s">
        <v>1140</v>
      </c>
      <c r="B262" s="4" t="s">
        <v>214</v>
      </c>
      <c r="C262" t="s">
        <v>1016</v>
      </c>
      <c r="D262">
        <v>1</v>
      </c>
      <c r="E262" t="s">
        <v>974</v>
      </c>
      <c r="F262" t="s">
        <v>975</v>
      </c>
      <c r="G262" t="s">
        <v>976</v>
      </c>
      <c r="H262" s="1" t="s">
        <v>976</v>
      </c>
      <c r="I262" s="1">
        <v>1.08</v>
      </c>
      <c r="J262" s="20">
        <v>233</v>
      </c>
      <c r="K262" s="1">
        <v>1.08</v>
      </c>
      <c r="L262" s="1">
        <v>251.64</v>
      </c>
      <c r="M262" s="43" t="s">
        <v>2748</v>
      </c>
      <c r="Q262" t="s">
        <v>214</v>
      </c>
    </row>
    <row r="263" spans="1:17" ht="15" customHeight="1" x14ac:dyDescent="0.25">
      <c r="A263" s="3" t="s">
        <v>1141</v>
      </c>
      <c r="B263" s="4" t="s">
        <v>2694</v>
      </c>
      <c r="C263" t="s">
        <v>973</v>
      </c>
      <c r="D263">
        <v>1</v>
      </c>
      <c r="E263" t="s">
        <v>974</v>
      </c>
      <c r="F263" t="s">
        <v>975</v>
      </c>
      <c r="G263" t="s">
        <v>976</v>
      </c>
      <c r="H263" s="1" t="s">
        <v>976</v>
      </c>
      <c r="I263" s="1">
        <v>45.9</v>
      </c>
      <c r="J263" s="20">
        <v>204.5</v>
      </c>
      <c r="K263" s="1">
        <v>42.687004000000002</v>
      </c>
      <c r="L263" s="1">
        <v>8729.49</v>
      </c>
      <c r="M263" s="43" t="s">
        <v>2749</v>
      </c>
      <c r="O263" s="2" t="s">
        <v>2463</v>
      </c>
      <c r="Q263" t="s">
        <v>716</v>
      </c>
    </row>
    <row r="264" spans="1:17" ht="15" customHeight="1" x14ac:dyDescent="0.25">
      <c r="A264" s="3" t="s">
        <v>1142</v>
      </c>
      <c r="B264" s="4" t="s">
        <v>215</v>
      </c>
      <c r="C264" t="s">
        <v>973</v>
      </c>
      <c r="D264">
        <v>1</v>
      </c>
      <c r="E264" t="s">
        <v>974</v>
      </c>
      <c r="F264" t="s">
        <v>975</v>
      </c>
      <c r="G264" t="s">
        <v>976</v>
      </c>
      <c r="H264" s="1" t="s">
        <v>976</v>
      </c>
      <c r="I264" s="1">
        <v>45.9</v>
      </c>
      <c r="J264" s="20">
        <v>120</v>
      </c>
      <c r="K264" s="1">
        <v>42.686999999999998</v>
      </c>
      <c r="L264" s="1">
        <v>5122.4399999999996</v>
      </c>
      <c r="M264" s="43" t="s">
        <v>2750</v>
      </c>
      <c r="Q264" t="s">
        <v>215</v>
      </c>
    </row>
    <row r="265" spans="1:17" ht="15" customHeight="1" x14ac:dyDescent="0.25">
      <c r="A265" s="3" t="s">
        <v>1143</v>
      </c>
      <c r="B265" s="4" t="s">
        <v>216</v>
      </c>
      <c r="C265" t="s">
        <v>973</v>
      </c>
      <c r="D265">
        <v>1</v>
      </c>
      <c r="E265" t="s">
        <v>974</v>
      </c>
      <c r="F265" t="s">
        <v>975</v>
      </c>
      <c r="G265" t="s">
        <v>976</v>
      </c>
      <c r="H265" s="1" t="s">
        <v>976</v>
      </c>
      <c r="I265" s="1">
        <v>54.09</v>
      </c>
      <c r="J265" s="20">
        <v>-9</v>
      </c>
      <c r="K265" s="1">
        <v>51.385620000000003</v>
      </c>
      <c r="L265" s="1">
        <v>-462.47</v>
      </c>
      <c r="M265" s="43" t="s">
        <v>2751</v>
      </c>
      <c r="Q265" t="s">
        <v>216</v>
      </c>
    </row>
    <row r="266" spans="1:17" ht="15" customHeight="1" x14ac:dyDescent="0.25">
      <c r="A266" s="42" t="s">
        <v>1143</v>
      </c>
      <c r="B266" s="3" t="s">
        <v>216</v>
      </c>
      <c r="C266" s="42" t="s">
        <v>973</v>
      </c>
      <c r="D266">
        <v>4</v>
      </c>
      <c r="E266" t="s">
        <v>1018</v>
      </c>
      <c r="F266" t="s">
        <v>975</v>
      </c>
      <c r="G266" t="s">
        <v>976</v>
      </c>
      <c r="H266" s="1" t="s">
        <v>976</v>
      </c>
      <c r="I266" s="1">
        <v>54.09</v>
      </c>
      <c r="J266" s="20">
        <v>11</v>
      </c>
      <c r="K266" s="1">
        <v>54.09</v>
      </c>
      <c r="L266" s="1">
        <v>594.99</v>
      </c>
      <c r="M266" s="43" t="s">
        <v>2751</v>
      </c>
      <c r="Q266" t="s">
        <v>216</v>
      </c>
    </row>
    <row r="267" spans="1:17" ht="15" customHeight="1" x14ac:dyDescent="0.25">
      <c r="A267" s="3" t="s">
        <v>2090</v>
      </c>
      <c r="B267" s="4" t="s">
        <v>2753</v>
      </c>
      <c r="C267" t="s">
        <v>973</v>
      </c>
      <c r="D267">
        <v>1</v>
      </c>
      <c r="E267" t="s">
        <v>974</v>
      </c>
      <c r="F267" t="s">
        <v>975</v>
      </c>
      <c r="G267" t="s">
        <v>976</v>
      </c>
      <c r="H267" s="1" t="s">
        <v>976</v>
      </c>
      <c r="I267" s="1">
        <v>12.5</v>
      </c>
      <c r="J267" s="20">
        <v>56.699995999999999</v>
      </c>
      <c r="K267" s="1">
        <v>12.5</v>
      </c>
      <c r="L267" s="1">
        <v>708.75</v>
      </c>
      <c r="M267" s="43" t="s">
        <v>2752</v>
      </c>
      <c r="O267" s="2" t="s">
        <v>2482</v>
      </c>
      <c r="Q267" t="s">
        <v>717</v>
      </c>
    </row>
    <row r="268" spans="1:17" ht="15" customHeight="1" x14ac:dyDescent="0.25">
      <c r="A268" s="3" t="s">
        <v>1144</v>
      </c>
      <c r="B268" s="4" t="s">
        <v>2755</v>
      </c>
      <c r="C268" t="s">
        <v>973</v>
      </c>
      <c r="D268">
        <v>1</v>
      </c>
      <c r="E268" t="s">
        <v>974</v>
      </c>
      <c r="F268" t="s">
        <v>975</v>
      </c>
      <c r="G268" t="s">
        <v>976</v>
      </c>
      <c r="H268" s="1" t="s">
        <v>976</v>
      </c>
      <c r="I268" s="1">
        <v>17.690000000000001</v>
      </c>
      <c r="J268" s="20">
        <v>53.6</v>
      </c>
      <c r="K268" s="1">
        <v>17.689924999999999</v>
      </c>
      <c r="L268" s="1">
        <v>948.18</v>
      </c>
      <c r="M268" s="43" t="s">
        <v>2754</v>
      </c>
      <c r="O268" s="2" t="s">
        <v>2467</v>
      </c>
      <c r="Q268" t="s">
        <v>718</v>
      </c>
    </row>
    <row r="269" spans="1:17" ht="15" customHeight="1" x14ac:dyDescent="0.25">
      <c r="A269" s="3" t="s">
        <v>1145</v>
      </c>
      <c r="B269" s="4" t="s">
        <v>217</v>
      </c>
      <c r="C269" t="s">
        <v>976</v>
      </c>
      <c r="D269">
        <v>1</v>
      </c>
      <c r="E269" t="s">
        <v>974</v>
      </c>
      <c r="F269" t="s">
        <v>975</v>
      </c>
      <c r="G269" t="s">
        <v>976</v>
      </c>
      <c r="H269" s="1" t="s">
        <v>976</v>
      </c>
      <c r="I269" s="1">
        <v>19.07</v>
      </c>
      <c r="J269" s="20">
        <v>2</v>
      </c>
      <c r="K269" s="1">
        <v>19.07</v>
      </c>
      <c r="L269" s="1">
        <v>38.14</v>
      </c>
      <c r="M269" s="43" t="s">
        <v>2756</v>
      </c>
      <c r="Q269" t="s">
        <v>217</v>
      </c>
    </row>
    <row r="270" spans="1:17" ht="15" customHeight="1" x14ac:dyDescent="0.25">
      <c r="A270" s="3" t="s">
        <v>1146</v>
      </c>
      <c r="B270" s="4" t="s">
        <v>2758</v>
      </c>
      <c r="C270" t="s">
        <v>976</v>
      </c>
      <c r="D270">
        <v>1</v>
      </c>
      <c r="E270" t="s">
        <v>974</v>
      </c>
      <c r="F270" t="s">
        <v>975</v>
      </c>
      <c r="G270" t="s">
        <v>976</v>
      </c>
      <c r="H270" s="1" t="s">
        <v>976</v>
      </c>
      <c r="I270" s="1">
        <v>19.07</v>
      </c>
      <c r="J270" s="20">
        <v>2.8</v>
      </c>
      <c r="K270" s="1">
        <v>19.071428999999998</v>
      </c>
      <c r="L270" s="1">
        <v>53.4</v>
      </c>
      <c r="M270" s="43" t="s">
        <v>2757</v>
      </c>
      <c r="O270" s="2" t="s">
        <v>2437</v>
      </c>
      <c r="Q270" t="s">
        <v>719</v>
      </c>
    </row>
    <row r="271" spans="1:17" ht="15" customHeight="1" x14ac:dyDescent="0.25">
      <c r="A271" s="3" t="s">
        <v>1147</v>
      </c>
      <c r="B271" s="4" t="s">
        <v>218</v>
      </c>
      <c r="C271" t="s">
        <v>1148</v>
      </c>
      <c r="D271">
        <v>1</v>
      </c>
      <c r="E271" t="s">
        <v>974</v>
      </c>
      <c r="F271" t="s">
        <v>975</v>
      </c>
      <c r="G271" t="s">
        <v>180</v>
      </c>
      <c r="H271" s="1" t="s">
        <v>976</v>
      </c>
      <c r="I271" s="1">
        <v>950</v>
      </c>
      <c r="J271" s="20">
        <v>1</v>
      </c>
      <c r="K271" s="1">
        <v>316.27999999999997</v>
      </c>
      <c r="L271" s="1">
        <v>316.27999999999997</v>
      </c>
      <c r="M271" s="43" t="s">
        <v>2759</v>
      </c>
      <c r="Q271" t="s">
        <v>218</v>
      </c>
    </row>
    <row r="272" spans="1:17" ht="15" customHeight="1" x14ac:dyDescent="0.25">
      <c r="A272" s="3" t="s">
        <v>1149</v>
      </c>
      <c r="B272" s="4" t="s">
        <v>219</v>
      </c>
      <c r="C272" t="s">
        <v>1148</v>
      </c>
      <c r="D272">
        <v>1</v>
      </c>
      <c r="E272" t="s">
        <v>974</v>
      </c>
      <c r="F272" t="s">
        <v>975</v>
      </c>
      <c r="G272" t="s">
        <v>180</v>
      </c>
      <c r="H272" s="1" t="s">
        <v>976</v>
      </c>
      <c r="I272" s="1">
        <v>690</v>
      </c>
      <c r="J272" s="20">
        <v>5</v>
      </c>
      <c r="K272" s="1">
        <v>230.08</v>
      </c>
      <c r="L272" s="1">
        <v>1150.4000000000001</v>
      </c>
      <c r="M272" s="43" t="s">
        <v>2759</v>
      </c>
      <c r="Q272" t="s">
        <v>219</v>
      </c>
    </row>
    <row r="273" spans="1:17" ht="15" customHeight="1" x14ac:dyDescent="0.25">
      <c r="A273" s="3" t="s">
        <v>1150</v>
      </c>
      <c r="B273" s="4" t="s">
        <v>220</v>
      </c>
      <c r="C273" t="s">
        <v>1148</v>
      </c>
      <c r="D273">
        <v>1</v>
      </c>
      <c r="E273" t="s">
        <v>974</v>
      </c>
      <c r="F273" t="s">
        <v>975</v>
      </c>
      <c r="G273" t="s">
        <v>180</v>
      </c>
      <c r="H273" s="1" t="s">
        <v>976</v>
      </c>
      <c r="I273" s="1">
        <v>990</v>
      </c>
      <c r="J273" s="20">
        <v>1</v>
      </c>
      <c r="K273" s="1">
        <v>333.56</v>
      </c>
      <c r="L273" s="1">
        <v>333.56</v>
      </c>
      <c r="M273" s="43" t="s">
        <v>2759</v>
      </c>
      <c r="Q273" t="s">
        <v>220</v>
      </c>
    </row>
    <row r="274" spans="1:17" ht="15" customHeight="1" x14ac:dyDescent="0.25">
      <c r="A274" s="3" t="s">
        <v>1151</v>
      </c>
      <c r="B274" s="4" t="s">
        <v>221</v>
      </c>
      <c r="C274" t="s">
        <v>1152</v>
      </c>
      <c r="D274">
        <v>1</v>
      </c>
      <c r="E274" t="s">
        <v>974</v>
      </c>
      <c r="F274" t="s">
        <v>975</v>
      </c>
      <c r="G274" t="s">
        <v>180</v>
      </c>
      <c r="H274" s="1" t="s">
        <v>976</v>
      </c>
      <c r="I274" s="1">
        <v>4200</v>
      </c>
      <c r="J274" s="20">
        <v>11</v>
      </c>
      <c r="K274" s="1">
        <v>502.72727200000003</v>
      </c>
      <c r="L274" s="1">
        <v>5530</v>
      </c>
      <c r="M274" s="43" t="s">
        <v>2760</v>
      </c>
      <c r="P274" t="s">
        <v>24</v>
      </c>
      <c r="Q274" t="s">
        <v>221</v>
      </c>
    </row>
    <row r="275" spans="1:17" ht="15" customHeight="1" x14ac:dyDescent="0.25">
      <c r="A275" s="3" t="s">
        <v>1153</v>
      </c>
      <c r="B275" s="4" t="s">
        <v>222</v>
      </c>
      <c r="C275" t="s">
        <v>1152</v>
      </c>
      <c r="D275">
        <v>1</v>
      </c>
      <c r="E275" t="s">
        <v>974</v>
      </c>
      <c r="F275" t="s">
        <v>975</v>
      </c>
      <c r="G275" t="s">
        <v>180</v>
      </c>
      <c r="H275" s="1" t="s">
        <v>976</v>
      </c>
      <c r="I275" s="1">
        <v>4200</v>
      </c>
      <c r="J275" s="20">
        <v>5</v>
      </c>
      <c r="K275" s="1">
        <v>0</v>
      </c>
      <c r="L275" s="1">
        <v>0</v>
      </c>
      <c r="M275" s="43" t="s">
        <v>2760</v>
      </c>
      <c r="P275" t="s">
        <v>22</v>
      </c>
      <c r="Q275" t="s">
        <v>222</v>
      </c>
    </row>
    <row r="276" spans="1:17" ht="15" customHeight="1" x14ac:dyDescent="0.25">
      <c r="A276" s="3" t="s">
        <v>1154</v>
      </c>
      <c r="B276" s="4" t="s">
        <v>2761</v>
      </c>
      <c r="C276" t="s">
        <v>1152</v>
      </c>
      <c r="D276">
        <v>1</v>
      </c>
      <c r="E276" t="s">
        <v>974</v>
      </c>
      <c r="F276" t="s">
        <v>975</v>
      </c>
      <c r="G276" t="s">
        <v>180</v>
      </c>
      <c r="H276" s="1" t="s">
        <v>976</v>
      </c>
      <c r="I276" s="1">
        <v>4800</v>
      </c>
      <c r="J276" s="20">
        <v>4</v>
      </c>
      <c r="K276" s="1">
        <v>0</v>
      </c>
      <c r="L276" s="1">
        <v>0</v>
      </c>
      <c r="M276" s="43" t="s">
        <v>2760</v>
      </c>
      <c r="O276" s="2" t="s">
        <v>2495</v>
      </c>
      <c r="P276" t="s">
        <v>24</v>
      </c>
      <c r="Q276" t="s">
        <v>720</v>
      </c>
    </row>
    <row r="277" spans="1:17" ht="15" customHeight="1" x14ac:dyDescent="0.25">
      <c r="A277" s="3" t="s">
        <v>1155</v>
      </c>
      <c r="B277" s="4" t="s">
        <v>2761</v>
      </c>
      <c r="C277" t="s">
        <v>1152</v>
      </c>
      <c r="D277">
        <v>1</v>
      </c>
      <c r="E277" t="s">
        <v>974</v>
      </c>
      <c r="F277" t="s">
        <v>975</v>
      </c>
      <c r="G277" t="s">
        <v>180</v>
      </c>
      <c r="H277" s="1" t="s">
        <v>976</v>
      </c>
      <c r="I277" s="1">
        <v>4800</v>
      </c>
      <c r="J277" s="20">
        <v>3</v>
      </c>
      <c r="K277" s="1">
        <v>0</v>
      </c>
      <c r="L277" s="1">
        <v>0</v>
      </c>
      <c r="M277" s="43" t="s">
        <v>2760</v>
      </c>
      <c r="O277" s="2" t="s">
        <v>2495</v>
      </c>
      <c r="P277" t="s">
        <v>22</v>
      </c>
      <c r="Q277" t="s">
        <v>720</v>
      </c>
    </row>
    <row r="278" spans="1:17" ht="15" customHeight="1" x14ac:dyDescent="0.25">
      <c r="A278" s="3" t="s">
        <v>1156</v>
      </c>
      <c r="B278" s="4" t="s">
        <v>2762</v>
      </c>
      <c r="C278" t="s">
        <v>1152</v>
      </c>
      <c r="D278">
        <v>1</v>
      </c>
      <c r="E278" t="s">
        <v>974</v>
      </c>
      <c r="F278" t="s">
        <v>975</v>
      </c>
      <c r="G278" t="s">
        <v>180</v>
      </c>
      <c r="H278" s="1" t="s">
        <v>976</v>
      </c>
      <c r="I278" s="1">
        <v>3000</v>
      </c>
      <c r="J278" s="20">
        <v>-4</v>
      </c>
      <c r="K278" s="1">
        <v>0</v>
      </c>
      <c r="L278" s="1">
        <v>0</v>
      </c>
      <c r="M278" s="43" t="s">
        <v>2760</v>
      </c>
      <c r="O278" s="2" t="s">
        <v>2495</v>
      </c>
      <c r="P278" t="s">
        <v>22</v>
      </c>
      <c r="Q278" t="s">
        <v>721</v>
      </c>
    </row>
    <row r="279" spans="1:17" ht="15" customHeight="1" x14ac:dyDescent="0.25">
      <c r="A279" s="3" t="s">
        <v>1157</v>
      </c>
      <c r="B279" s="4" t="s">
        <v>223</v>
      </c>
      <c r="C279" t="s">
        <v>1152</v>
      </c>
      <c r="D279">
        <v>1</v>
      </c>
      <c r="E279" t="s">
        <v>974</v>
      </c>
      <c r="F279" t="s">
        <v>975</v>
      </c>
      <c r="G279" t="s">
        <v>180</v>
      </c>
      <c r="H279" s="1" t="s">
        <v>976</v>
      </c>
      <c r="I279" s="1">
        <v>14300</v>
      </c>
      <c r="J279" s="20">
        <v>3</v>
      </c>
      <c r="K279" s="1">
        <v>3100</v>
      </c>
      <c r="L279" s="1">
        <v>9300</v>
      </c>
      <c r="M279" s="43" t="s">
        <v>2763</v>
      </c>
      <c r="Q279" t="s">
        <v>223</v>
      </c>
    </row>
    <row r="280" spans="1:17" ht="15" customHeight="1" x14ac:dyDescent="0.25">
      <c r="A280" s="3" t="s">
        <v>1158</v>
      </c>
      <c r="B280" s="4" t="s">
        <v>2765</v>
      </c>
      <c r="C280" t="s">
        <v>1159</v>
      </c>
      <c r="D280">
        <v>1</v>
      </c>
      <c r="E280" t="s">
        <v>974</v>
      </c>
      <c r="F280" t="s">
        <v>975</v>
      </c>
      <c r="G280" t="s">
        <v>976</v>
      </c>
      <c r="H280" s="1" t="s">
        <v>976</v>
      </c>
      <c r="I280" s="1">
        <v>730</v>
      </c>
      <c r="J280" s="20">
        <v>-1</v>
      </c>
      <c r="K280" s="1">
        <v>0</v>
      </c>
      <c r="L280" s="1">
        <v>0</v>
      </c>
      <c r="M280" s="43" t="s">
        <v>2764</v>
      </c>
      <c r="N280" s="1" t="s">
        <v>2616</v>
      </c>
      <c r="O280" s="2" t="s">
        <v>2463</v>
      </c>
      <c r="Q280" t="s">
        <v>722</v>
      </c>
    </row>
    <row r="281" spans="1:17" ht="15" customHeight="1" x14ac:dyDescent="0.25">
      <c r="A281" s="3" t="s">
        <v>1160</v>
      </c>
      <c r="B281" s="4" t="s">
        <v>2766</v>
      </c>
      <c r="C281" t="s">
        <v>1159</v>
      </c>
      <c r="D281">
        <v>1</v>
      </c>
      <c r="E281" t="s">
        <v>974</v>
      </c>
      <c r="F281" t="s">
        <v>975</v>
      </c>
      <c r="G281" t="s">
        <v>976</v>
      </c>
      <c r="H281" s="1" t="s">
        <v>976</v>
      </c>
      <c r="I281" s="1">
        <v>810</v>
      </c>
      <c r="J281" s="20">
        <v>-1</v>
      </c>
      <c r="K281" s="1">
        <v>0</v>
      </c>
      <c r="L281" s="1">
        <v>0</v>
      </c>
      <c r="M281" s="43" t="s">
        <v>2764</v>
      </c>
      <c r="N281" s="1" t="s">
        <v>2616</v>
      </c>
      <c r="O281" s="2" t="s">
        <v>2443</v>
      </c>
      <c r="Q281" t="s">
        <v>723</v>
      </c>
    </row>
    <row r="282" spans="1:17" ht="15" customHeight="1" x14ac:dyDescent="0.25">
      <c r="A282" s="3" t="s">
        <v>1161</v>
      </c>
      <c r="B282" s="4" t="s">
        <v>2767</v>
      </c>
      <c r="C282" t="s">
        <v>1159</v>
      </c>
      <c r="D282">
        <v>1</v>
      </c>
      <c r="E282" t="s">
        <v>974</v>
      </c>
      <c r="F282" t="s">
        <v>975</v>
      </c>
      <c r="G282" t="s">
        <v>976</v>
      </c>
      <c r="H282" s="1" t="s">
        <v>976</v>
      </c>
      <c r="I282" s="1">
        <v>740</v>
      </c>
      <c r="J282" s="20">
        <v>0</v>
      </c>
      <c r="K282" s="1">
        <v>130</v>
      </c>
      <c r="L282" s="1">
        <v>0</v>
      </c>
      <c r="M282" s="43" t="s">
        <v>2764</v>
      </c>
      <c r="O282" s="2" t="s">
        <v>2463</v>
      </c>
      <c r="P282">
        <v>36</v>
      </c>
      <c r="Q282" t="s">
        <v>724</v>
      </c>
    </row>
    <row r="283" spans="1:17" ht="15" customHeight="1" x14ac:dyDescent="0.25">
      <c r="A283" s="3" t="s">
        <v>1162</v>
      </c>
      <c r="B283" s="4" t="s">
        <v>2767</v>
      </c>
      <c r="C283" t="s">
        <v>1159</v>
      </c>
      <c r="D283">
        <v>1</v>
      </c>
      <c r="E283" t="s">
        <v>974</v>
      </c>
      <c r="F283" t="s">
        <v>975</v>
      </c>
      <c r="G283" t="s">
        <v>976</v>
      </c>
      <c r="H283" s="1" t="s">
        <v>976</v>
      </c>
      <c r="I283" s="1">
        <v>740</v>
      </c>
      <c r="J283" s="20">
        <v>9</v>
      </c>
      <c r="K283" s="1">
        <v>130</v>
      </c>
      <c r="L283" s="1">
        <v>1170</v>
      </c>
      <c r="M283" s="43" t="s">
        <v>2764</v>
      </c>
      <c r="O283" s="2" t="s">
        <v>2463</v>
      </c>
      <c r="P283">
        <v>38</v>
      </c>
      <c r="Q283" t="s">
        <v>724</v>
      </c>
    </row>
    <row r="284" spans="1:17" ht="15" customHeight="1" x14ac:dyDescent="0.25">
      <c r="A284" s="3" t="s">
        <v>1163</v>
      </c>
      <c r="B284" s="4" t="s">
        <v>2767</v>
      </c>
      <c r="C284" t="s">
        <v>1159</v>
      </c>
      <c r="D284">
        <v>1</v>
      </c>
      <c r="E284" t="s">
        <v>974</v>
      </c>
      <c r="F284" t="s">
        <v>975</v>
      </c>
      <c r="G284" t="s">
        <v>976</v>
      </c>
      <c r="H284" s="1" t="s">
        <v>976</v>
      </c>
      <c r="I284" s="1">
        <v>740</v>
      </c>
      <c r="J284" s="20">
        <v>19</v>
      </c>
      <c r="K284" s="1">
        <v>130</v>
      </c>
      <c r="L284" s="1">
        <v>2470</v>
      </c>
      <c r="M284" s="43" t="s">
        <v>2764</v>
      </c>
      <c r="O284" s="2" t="s">
        <v>2463</v>
      </c>
      <c r="P284">
        <v>40</v>
      </c>
      <c r="Q284" t="s">
        <v>724</v>
      </c>
    </row>
    <row r="285" spans="1:17" ht="15" customHeight="1" x14ac:dyDescent="0.25">
      <c r="A285" s="3" t="s">
        <v>1164</v>
      </c>
      <c r="B285" s="4" t="s">
        <v>2767</v>
      </c>
      <c r="C285" t="s">
        <v>1159</v>
      </c>
      <c r="D285">
        <v>1</v>
      </c>
      <c r="E285" t="s">
        <v>974</v>
      </c>
      <c r="F285" t="s">
        <v>975</v>
      </c>
      <c r="G285" t="s">
        <v>976</v>
      </c>
      <c r="H285" s="1" t="s">
        <v>976</v>
      </c>
      <c r="I285" s="1">
        <v>740</v>
      </c>
      <c r="J285" s="20">
        <v>7</v>
      </c>
      <c r="K285" s="1">
        <v>130</v>
      </c>
      <c r="L285" s="1">
        <v>910</v>
      </c>
      <c r="M285" s="43" t="s">
        <v>2764</v>
      </c>
      <c r="O285" s="2" t="s">
        <v>2463</v>
      </c>
      <c r="P285">
        <v>42</v>
      </c>
      <c r="Q285" t="s">
        <v>724</v>
      </c>
    </row>
    <row r="286" spans="1:17" ht="15" customHeight="1" x14ac:dyDescent="0.25">
      <c r="A286" s="3" t="s">
        <v>1165</v>
      </c>
      <c r="B286" s="4" t="s">
        <v>2767</v>
      </c>
      <c r="C286" t="s">
        <v>1159</v>
      </c>
      <c r="D286">
        <v>1</v>
      </c>
      <c r="E286" t="s">
        <v>974</v>
      </c>
      <c r="F286" t="s">
        <v>975</v>
      </c>
      <c r="G286" t="s">
        <v>976</v>
      </c>
      <c r="H286" s="1" t="s">
        <v>976</v>
      </c>
      <c r="I286" s="1">
        <v>740</v>
      </c>
      <c r="J286" s="20">
        <v>3</v>
      </c>
      <c r="K286" s="1">
        <v>130</v>
      </c>
      <c r="L286" s="1">
        <v>390</v>
      </c>
      <c r="M286" s="43" t="s">
        <v>2764</v>
      </c>
      <c r="O286" s="2" t="s">
        <v>2463</v>
      </c>
      <c r="P286">
        <v>44</v>
      </c>
      <c r="Q286" t="s">
        <v>724</v>
      </c>
    </row>
    <row r="287" spans="1:17" ht="15" customHeight="1" x14ac:dyDescent="0.25">
      <c r="A287" s="3" t="s">
        <v>1166</v>
      </c>
      <c r="B287" s="4" t="s">
        <v>2767</v>
      </c>
      <c r="C287" t="s">
        <v>1159</v>
      </c>
      <c r="D287">
        <v>1</v>
      </c>
      <c r="E287" t="s">
        <v>974</v>
      </c>
      <c r="F287" t="s">
        <v>975</v>
      </c>
      <c r="G287" t="s">
        <v>976</v>
      </c>
      <c r="H287" s="1" t="s">
        <v>976</v>
      </c>
      <c r="I287" s="1">
        <v>740</v>
      </c>
      <c r="J287" s="20">
        <v>2</v>
      </c>
      <c r="K287" s="1">
        <v>130</v>
      </c>
      <c r="L287" s="1">
        <v>260</v>
      </c>
      <c r="M287" s="43" t="s">
        <v>2764</v>
      </c>
      <c r="O287" s="2" t="s">
        <v>2463</v>
      </c>
      <c r="P287">
        <v>46</v>
      </c>
      <c r="Q287" t="s">
        <v>724</v>
      </c>
    </row>
    <row r="288" spans="1:17" ht="15" customHeight="1" x14ac:dyDescent="0.25">
      <c r="A288" s="3" t="s">
        <v>1167</v>
      </c>
      <c r="B288" s="4" t="s">
        <v>224</v>
      </c>
      <c r="C288" t="s">
        <v>1159</v>
      </c>
      <c r="D288">
        <v>1</v>
      </c>
      <c r="E288" t="s">
        <v>974</v>
      </c>
      <c r="F288" t="s">
        <v>975</v>
      </c>
      <c r="G288" t="s">
        <v>180</v>
      </c>
      <c r="H288" s="1" t="s">
        <v>976</v>
      </c>
      <c r="I288" s="1">
        <v>599</v>
      </c>
      <c r="J288" s="20">
        <v>1</v>
      </c>
      <c r="K288" s="1">
        <v>0</v>
      </c>
      <c r="L288" s="1">
        <v>0</v>
      </c>
      <c r="M288" s="43" t="s">
        <v>2764</v>
      </c>
      <c r="P288" t="s">
        <v>24</v>
      </c>
      <c r="Q288" t="s">
        <v>224</v>
      </c>
    </row>
    <row r="289" spans="1:17" ht="15" customHeight="1" x14ac:dyDescent="0.25">
      <c r="A289" s="42" t="s">
        <v>1167</v>
      </c>
      <c r="B289" s="3" t="s">
        <v>224</v>
      </c>
      <c r="C289" s="42" t="s">
        <v>1159</v>
      </c>
      <c r="D289">
        <v>4</v>
      </c>
      <c r="E289" t="s">
        <v>1018</v>
      </c>
      <c r="F289" t="s">
        <v>975</v>
      </c>
      <c r="G289" t="s">
        <v>180</v>
      </c>
      <c r="H289" s="1" t="s">
        <v>976</v>
      </c>
      <c r="I289" s="1">
        <v>599</v>
      </c>
      <c r="J289" s="20">
        <v>0</v>
      </c>
      <c r="K289" s="1">
        <v>0</v>
      </c>
      <c r="L289" s="1">
        <v>0</v>
      </c>
      <c r="M289" s="43" t="s">
        <v>2764</v>
      </c>
      <c r="P289" t="s">
        <v>24</v>
      </c>
      <c r="Q289" t="s">
        <v>224</v>
      </c>
    </row>
    <row r="290" spans="1:17" ht="15" customHeight="1" x14ac:dyDescent="0.25">
      <c r="A290" s="3" t="s">
        <v>1168</v>
      </c>
      <c r="B290" s="4" t="s">
        <v>225</v>
      </c>
      <c r="C290" t="s">
        <v>1159</v>
      </c>
      <c r="D290">
        <v>1</v>
      </c>
      <c r="E290" t="s">
        <v>974</v>
      </c>
      <c r="F290" t="s">
        <v>975</v>
      </c>
      <c r="G290" t="s">
        <v>180</v>
      </c>
      <c r="H290" s="1" t="s">
        <v>976</v>
      </c>
      <c r="I290" s="1">
        <v>599</v>
      </c>
      <c r="J290" s="20">
        <v>0</v>
      </c>
      <c r="K290" s="1">
        <v>0</v>
      </c>
      <c r="L290" s="1">
        <v>0</v>
      </c>
      <c r="M290" s="43" t="s">
        <v>2764</v>
      </c>
      <c r="P290" t="s">
        <v>25</v>
      </c>
      <c r="Q290" t="s">
        <v>225</v>
      </c>
    </row>
    <row r="291" spans="1:17" ht="15" customHeight="1" x14ac:dyDescent="0.25">
      <c r="A291" s="3" t="s">
        <v>1169</v>
      </c>
      <c r="B291" s="4" t="s">
        <v>226</v>
      </c>
      <c r="C291" t="s">
        <v>1159</v>
      </c>
      <c r="D291">
        <v>1</v>
      </c>
      <c r="E291" t="s">
        <v>974</v>
      </c>
      <c r="F291" t="s">
        <v>975</v>
      </c>
      <c r="G291" t="s">
        <v>180</v>
      </c>
      <c r="H291" s="1" t="s">
        <v>976</v>
      </c>
      <c r="I291" s="1">
        <v>599</v>
      </c>
      <c r="J291" s="20">
        <v>2</v>
      </c>
      <c r="K291" s="1">
        <v>108.9</v>
      </c>
      <c r="L291" s="1">
        <v>217.8</v>
      </c>
      <c r="M291" s="43" t="s">
        <v>2764</v>
      </c>
      <c r="P291" t="s">
        <v>23</v>
      </c>
      <c r="Q291" t="s">
        <v>226</v>
      </c>
    </row>
    <row r="292" spans="1:17" ht="15" customHeight="1" x14ac:dyDescent="0.25">
      <c r="A292" s="3" t="s">
        <v>1170</v>
      </c>
      <c r="B292" s="4" t="s">
        <v>227</v>
      </c>
      <c r="C292" t="s">
        <v>1159</v>
      </c>
      <c r="D292">
        <v>1</v>
      </c>
      <c r="E292" t="s">
        <v>974</v>
      </c>
      <c r="F292" t="s">
        <v>975</v>
      </c>
      <c r="G292" t="s">
        <v>180</v>
      </c>
      <c r="H292" s="1" t="s">
        <v>976</v>
      </c>
      <c r="I292" s="1">
        <v>599</v>
      </c>
      <c r="J292" s="20">
        <v>1</v>
      </c>
      <c r="K292" s="1">
        <v>0</v>
      </c>
      <c r="L292" s="1">
        <v>0</v>
      </c>
      <c r="M292" s="43" t="s">
        <v>2764</v>
      </c>
      <c r="P292" t="s">
        <v>22</v>
      </c>
      <c r="Q292" t="s">
        <v>227</v>
      </c>
    </row>
    <row r="293" spans="1:17" ht="15" customHeight="1" x14ac:dyDescent="0.25">
      <c r="A293" s="3" t="s">
        <v>1171</v>
      </c>
      <c r="B293" s="4" t="s">
        <v>2768</v>
      </c>
      <c r="C293" t="s">
        <v>1159</v>
      </c>
      <c r="D293">
        <v>1</v>
      </c>
      <c r="E293" t="s">
        <v>974</v>
      </c>
      <c r="F293" t="s">
        <v>975</v>
      </c>
      <c r="G293" t="s">
        <v>180</v>
      </c>
      <c r="H293" s="1" t="s">
        <v>976</v>
      </c>
      <c r="I293" s="1">
        <v>599</v>
      </c>
      <c r="J293" s="20">
        <v>4</v>
      </c>
      <c r="K293" s="1">
        <v>0</v>
      </c>
      <c r="L293" s="1">
        <v>0</v>
      </c>
      <c r="M293" s="43" t="s">
        <v>2764</v>
      </c>
      <c r="O293" s="2" t="s">
        <v>2443</v>
      </c>
      <c r="P293" t="s">
        <v>24</v>
      </c>
      <c r="Q293" t="s">
        <v>725</v>
      </c>
    </row>
    <row r="294" spans="1:17" ht="15" customHeight="1" x14ac:dyDescent="0.25">
      <c r="A294" s="3" t="s">
        <v>1172</v>
      </c>
      <c r="B294" s="4" t="s">
        <v>2768</v>
      </c>
      <c r="C294" t="s">
        <v>1159</v>
      </c>
      <c r="D294">
        <v>1</v>
      </c>
      <c r="E294" t="s">
        <v>974</v>
      </c>
      <c r="F294" t="s">
        <v>975</v>
      </c>
      <c r="G294" t="s">
        <v>180</v>
      </c>
      <c r="H294" s="1" t="s">
        <v>976</v>
      </c>
      <c r="I294" s="1">
        <v>599</v>
      </c>
      <c r="J294" s="20">
        <v>0</v>
      </c>
      <c r="K294" s="1">
        <v>108.9</v>
      </c>
      <c r="L294" s="1">
        <v>0</v>
      </c>
      <c r="M294" s="43" t="s">
        <v>2764</v>
      </c>
      <c r="O294" s="2" t="s">
        <v>2443</v>
      </c>
      <c r="P294" t="s">
        <v>25</v>
      </c>
      <c r="Q294" t="s">
        <v>725</v>
      </c>
    </row>
    <row r="295" spans="1:17" ht="15" customHeight="1" x14ac:dyDescent="0.25">
      <c r="A295" s="3" t="s">
        <v>1173</v>
      </c>
      <c r="B295" s="4" t="s">
        <v>2768</v>
      </c>
      <c r="C295" t="s">
        <v>1159</v>
      </c>
      <c r="D295">
        <v>1</v>
      </c>
      <c r="E295" t="s">
        <v>974</v>
      </c>
      <c r="F295" t="s">
        <v>975</v>
      </c>
      <c r="G295" t="s">
        <v>180</v>
      </c>
      <c r="H295" s="1" t="s">
        <v>976</v>
      </c>
      <c r="I295" s="1">
        <v>599</v>
      </c>
      <c r="J295" s="20">
        <v>8</v>
      </c>
      <c r="K295" s="1">
        <v>127</v>
      </c>
      <c r="L295" s="1">
        <v>1016</v>
      </c>
      <c r="M295" s="43" t="s">
        <v>2764</v>
      </c>
      <c r="O295" s="2" t="s">
        <v>2443</v>
      </c>
      <c r="P295" t="s">
        <v>23</v>
      </c>
      <c r="Q295" t="s">
        <v>725</v>
      </c>
    </row>
    <row r="296" spans="1:17" ht="15" customHeight="1" x14ac:dyDescent="0.25">
      <c r="A296" s="3" t="s">
        <v>1174</v>
      </c>
      <c r="B296" s="4" t="s">
        <v>2768</v>
      </c>
      <c r="C296" t="s">
        <v>1159</v>
      </c>
      <c r="D296">
        <v>1</v>
      </c>
      <c r="E296" t="s">
        <v>974</v>
      </c>
      <c r="F296" t="s">
        <v>975</v>
      </c>
      <c r="G296" t="s">
        <v>180</v>
      </c>
      <c r="H296" s="1" t="s">
        <v>976</v>
      </c>
      <c r="I296" s="1">
        <v>599</v>
      </c>
      <c r="J296" s="20">
        <v>0</v>
      </c>
      <c r="K296" s="1">
        <v>108.9</v>
      </c>
      <c r="L296" s="1">
        <v>0</v>
      </c>
      <c r="M296" s="43" t="s">
        <v>2764</v>
      </c>
      <c r="O296" s="2" t="s">
        <v>2443</v>
      </c>
      <c r="P296" t="s">
        <v>22</v>
      </c>
      <c r="Q296" t="s">
        <v>725</v>
      </c>
    </row>
    <row r="297" spans="1:17" ht="15" customHeight="1" x14ac:dyDescent="0.25">
      <c r="A297" s="3" t="s">
        <v>1175</v>
      </c>
      <c r="B297" s="4" t="s">
        <v>2768</v>
      </c>
      <c r="C297" t="s">
        <v>1159</v>
      </c>
      <c r="D297">
        <v>1</v>
      </c>
      <c r="E297" t="s">
        <v>974</v>
      </c>
      <c r="F297" t="s">
        <v>975</v>
      </c>
      <c r="G297" t="s">
        <v>180</v>
      </c>
      <c r="H297" s="1" t="s">
        <v>976</v>
      </c>
      <c r="I297" s="1">
        <v>599</v>
      </c>
      <c r="J297" s="20">
        <v>3</v>
      </c>
      <c r="K297" s="1">
        <v>599</v>
      </c>
      <c r="L297" s="1">
        <v>1797</v>
      </c>
      <c r="M297" s="43" t="s">
        <v>2764</v>
      </c>
      <c r="O297" s="2" t="s">
        <v>2482</v>
      </c>
      <c r="P297" t="s">
        <v>24</v>
      </c>
      <c r="Q297" t="s">
        <v>726</v>
      </c>
    </row>
    <row r="298" spans="1:17" ht="15" customHeight="1" x14ac:dyDescent="0.25">
      <c r="A298" s="42" t="s">
        <v>1175</v>
      </c>
      <c r="B298" s="3" t="s">
        <v>2768</v>
      </c>
      <c r="C298" s="42" t="s">
        <v>1159</v>
      </c>
      <c r="D298">
        <v>2</v>
      </c>
      <c r="E298" t="s">
        <v>1017</v>
      </c>
      <c r="F298" t="s">
        <v>975</v>
      </c>
      <c r="G298" t="s">
        <v>180</v>
      </c>
      <c r="H298" s="1" t="s">
        <v>976</v>
      </c>
      <c r="I298" s="1">
        <v>599</v>
      </c>
      <c r="J298" s="20">
        <v>0</v>
      </c>
      <c r="K298" s="1">
        <v>599</v>
      </c>
      <c r="L298" s="1">
        <v>0</v>
      </c>
      <c r="M298" s="43" t="s">
        <v>2764</v>
      </c>
      <c r="O298" s="2" t="s">
        <v>2482</v>
      </c>
      <c r="P298" t="s">
        <v>24</v>
      </c>
      <c r="Q298" t="s">
        <v>726</v>
      </c>
    </row>
    <row r="299" spans="1:17" ht="15" customHeight="1" x14ac:dyDescent="0.25">
      <c r="A299" s="3" t="s">
        <v>1176</v>
      </c>
      <c r="B299" s="4" t="s">
        <v>2768</v>
      </c>
      <c r="C299" t="s">
        <v>1159</v>
      </c>
      <c r="D299">
        <v>1</v>
      </c>
      <c r="E299" t="s">
        <v>974</v>
      </c>
      <c r="F299" t="s">
        <v>975</v>
      </c>
      <c r="G299" t="s">
        <v>180</v>
      </c>
      <c r="H299" s="1" t="s">
        <v>976</v>
      </c>
      <c r="I299" s="1">
        <v>599</v>
      </c>
      <c r="J299" s="20">
        <v>0</v>
      </c>
      <c r="K299" s="1">
        <v>0</v>
      </c>
      <c r="L299" s="1">
        <v>0</v>
      </c>
      <c r="M299" s="43" t="s">
        <v>2764</v>
      </c>
      <c r="O299" s="2" t="s">
        <v>2482</v>
      </c>
      <c r="P299" t="s">
        <v>25</v>
      </c>
      <c r="Q299" t="s">
        <v>726</v>
      </c>
    </row>
    <row r="300" spans="1:17" ht="15" customHeight="1" x14ac:dyDescent="0.25">
      <c r="A300" s="3" t="s">
        <v>1177</v>
      </c>
      <c r="B300" s="4" t="s">
        <v>2768</v>
      </c>
      <c r="C300" t="s">
        <v>1159</v>
      </c>
      <c r="D300">
        <v>1</v>
      </c>
      <c r="E300" t="s">
        <v>974</v>
      </c>
      <c r="F300" t="s">
        <v>975</v>
      </c>
      <c r="G300" t="s">
        <v>180</v>
      </c>
      <c r="H300" s="1" t="s">
        <v>976</v>
      </c>
      <c r="I300" s="1">
        <v>599</v>
      </c>
      <c r="J300" s="20">
        <v>2</v>
      </c>
      <c r="K300" s="1">
        <v>0</v>
      </c>
      <c r="L300" s="1">
        <v>0</v>
      </c>
      <c r="M300" s="43" t="s">
        <v>2764</v>
      </c>
      <c r="O300" s="2" t="s">
        <v>2482</v>
      </c>
      <c r="P300" t="s">
        <v>23</v>
      </c>
      <c r="Q300" t="s">
        <v>726</v>
      </c>
    </row>
    <row r="301" spans="1:17" ht="15" customHeight="1" x14ac:dyDescent="0.25">
      <c r="A301" s="3" t="s">
        <v>1178</v>
      </c>
      <c r="B301" s="4" t="s">
        <v>2768</v>
      </c>
      <c r="C301" t="s">
        <v>1159</v>
      </c>
      <c r="D301">
        <v>1</v>
      </c>
      <c r="E301" t="s">
        <v>974</v>
      </c>
      <c r="F301" t="s">
        <v>975</v>
      </c>
      <c r="G301" t="s">
        <v>180</v>
      </c>
      <c r="H301" s="1" t="s">
        <v>976</v>
      </c>
      <c r="I301" s="1">
        <v>599</v>
      </c>
      <c r="J301" s="20">
        <v>2</v>
      </c>
      <c r="K301" s="1">
        <v>119</v>
      </c>
      <c r="L301" s="1">
        <v>238</v>
      </c>
      <c r="M301" s="43" t="s">
        <v>2764</v>
      </c>
      <c r="O301" s="2" t="s">
        <v>2482</v>
      </c>
      <c r="P301" t="s">
        <v>22</v>
      </c>
      <c r="Q301" t="s">
        <v>726</v>
      </c>
    </row>
    <row r="302" spans="1:17" ht="15" customHeight="1" x14ac:dyDescent="0.25">
      <c r="A302" s="3" t="s">
        <v>2251</v>
      </c>
      <c r="B302" s="4" t="s">
        <v>2769</v>
      </c>
      <c r="C302" t="s">
        <v>1159</v>
      </c>
      <c r="D302">
        <v>1</v>
      </c>
      <c r="E302" t="s">
        <v>974</v>
      </c>
      <c r="F302" t="s">
        <v>975</v>
      </c>
      <c r="G302" t="s">
        <v>180</v>
      </c>
      <c r="H302" s="1" t="s">
        <v>976</v>
      </c>
      <c r="I302" s="1">
        <v>490</v>
      </c>
      <c r="J302" s="20">
        <v>2</v>
      </c>
      <c r="K302" s="1">
        <v>94</v>
      </c>
      <c r="L302" s="1">
        <v>188</v>
      </c>
      <c r="M302" s="43" t="s">
        <v>2764</v>
      </c>
      <c r="O302" s="2" t="s">
        <v>2482</v>
      </c>
      <c r="P302" t="s">
        <v>23</v>
      </c>
      <c r="Q302" t="s">
        <v>727</v>
      </c>
    </row>
    <row r="303" spans="1:17" ht="15" customHeight="1" x14ac:dyDescent="0.25">
      <c r="A303" s="42" t="s">
        <v>2251</v>
      </c>
      <c r="B303" s="3" t="s">
        <v>2769</v>
      </c>
      <c r="C303" s="42" t="s">
        <v>1159</v>
      </c>
      <c r="D303">
        <v>3</v>
      </c>
      <c r="E303" t="s">
        <v>1179</v>
      </c>
      <c r="F303" t="s">
        <v>1180</v>
      </c>
      <c r="G303" t="s">
        <v>180</v>
      </c>
      <c r="H303" s="1" t="s">
        <v>976</v>
      </c>
      <c r="I303" s="1">
        <v>490</v>
      </c>
      <c r="J303" s="20">
        <v>0</v>
      </c>
      <c r="K303" s="1">
        <v>90</v>
      </c>
      <c r="L303" s="1">
        <v>0</v>
      </c>
      <c r="M303" s="43" t="s">
        <v>2764</v>
      </c>
      <c r="O303" s="2" t="s">
        <v>2482</v>
      </c>
      <c r="P303" t="s">
        <v>23</v>
      </c>
      <c r="Q303" t="s">
        <v>727</v>
      </c>
    </row>
    <row r="304" spans="1:17" ht="15" customHeight="1" x14ac:dyDescent="0.25">
      <c r="A304" s="3" t="s">
        <v>1181</v>
      </c>
      <c r="B304" s="4" t="s">
        <v>1159</v>
      </c>
      <c r="C304" t="s">
        <v>1159</v>
      </c>
      <c r="D304">
        <v>1</v>
      </c>
      <c r="E304" t="s">
        <v>974</v>
      </c>
      <c r="F304" t="s">
        <v>975</v>
      </c>
      <c r="G304" t="s">
        <v>180</v>
      </c>
      <c r="H304" s="1" t="s">
        <v>976</v>
      </c>
      <c r="I304" s="1">
        <v>460</v>
      </c>
      <c r="J304" s="20">
        <v>1</v>
      </c>
      <c r="K304" s="1">
        <v>80</v>
      </c>
      <c r="L304" s="1">
        <v>80</v>
      </c>
      <c r="M304" s="43" t="s">
        <v>2764</v>
      </c>
      <c r="O304" s="2" t="s">
        <v>2472</v>
      </c>
      <c r="Q304" t="s">
        <v>728</v>
      </c>
    </row>
    <row r="305" spans="1:17" ht="15" customHeight="1" x14ac:dyDescent="0.25">
      <c r="A305" s="3" t="s">
        <v>1182</v>
      </c>
      <c r="B305" s="4" t="s">
        <v>1159</v>
      </c>
      <c r="C305" t="s">
        <v>1159</v>
      </c>
      <c r="D305">
        <v>1</v>
      </c>
      <c r="E305" t="s">
        <v>974</v>
      </c>
      <c r="F305" t="s">
        <v>975</v>
      </c>
      <c r="G305" t="s">
        <v>180</v>
      </c>
      <c r="H305" s="1" t="s">
        <v>976</v>
      </c>
      <c r="I305" s="1">
        <v>460</v>
      </c>
      <c r="J305" s="20">
        <v>1</v>
      </c>
      <c r="K305" s="1">
        <v>80</v>
      </c>
      <c r="L305" s="1">
        <v>80</v>
      </c>
      <c r="M305" s="43" t="s">
        <v>2764</v>
      </c>
      <c r="O305" s="2" t="s">
        <v>2482</v>
      </c>
      <c r="P305" t="s">
        <v>24</v>
      </c>
      <c r="Q305" t="s">
        <v>729</v>
      </c>
    </row>
    <row r="306" spans="1:17" ht="15" customHeight="1" x14ac:dyDescent="0.25">
      <c r="A306" s="3" t="s">
        <v>1183</v>
      </c>
      <c r="B306" s="4" t="s">
        <v>1159</v>
      </c>
      <c r="C306" t="s">
        <v>1159</v>
      </c>
      <c r="D306">
        <v>1</v>
      </c>
      <c r="E306" t="s">
        <v>974</v>
      </c>
      <c r="F306" t="s">
        <v>975</v>
      </c>
      <c r="G306" t="s">
        <v>180</v>
      </c>
      <c r="H306" s="1" t="s">
        <v>976</v>
      </c>
      <c r="I306" s="1">
        <v>460</v>
      </c>
      <c r="J306" s="20">
        <v>0</v>
      </c>
      <c r="K306" s="1">
        <v>92</v>
      </c>
      <c r="L306" s="1">
        <v>0</v>
      </c>
      <c r="M306" s="43" t="s">
        <v>2764</v>
      </c>
      <c r="O306" s="2" t="s">
        <v>2482</v>
      </c>
      <c r="P306" t="s">
        <v>22</v>
      </c>
      <c r="Q306" t="s">
        <v>729</v>
      </c>
    </row>
    <row r="307" spans="1:17" ht="15" customHeight="1" x14ac:dyDescent="0.25">
      <c r="A307" s="3" t="s">
        <v>1184</v>
      </c>
      <c r="B307" s="4" t="s">
        <v>2765</v>
      </c>
      <c r="C307" t="s">
        <v>1159</v>
      </c>
      <c r="D307">
        <v>1</v>
      </c>
      <c r="E307" t="s">
        <v>974</v>
      </c>
      <c r="F307" t="s">
        <v>975</v>
      </c>
      <c r="G307" t="s">
        <v>976</v>
      </c>
      <c r="H307" s="1" t="s">
        <v>976</v>
      </c>
      <c r="I307" s="1">
        <v>730</v>
      </c>
      <c r="J307" s="20">
        <v>-1</v>
      </c>
      <c r="K307" s="1">
        <v>0</v>
      </c>
      <c r="L307" s="1">
        <v>0</v>
      </c>
      <c r="M307" s="43" t="s">
        <v>2764</v>
      </c>
      <c r="N307" s="1" t="s">
        <v>2616</v>
      </c>
      <c r="O307" s="2" t="s">
        <v>2447</v>
      </c>
      <c r="Q307" t="s">
        <v>730</v>
      </c>
    </row>
    <row r="308" spans="1:17" ht="15" customHeight="1" x14ac:dyDescent="0.25">
      <c r="A308" s="3" t="s">
        <v>1185</v>
      </c>
      <c r="B308" s="4" t="s">
        <v>2765</v>
      </c>
      <c r="C308" t="s">
        <v>1159</v>
      </c>
      <c r="D308">
        <v>1</v>
      </c>
      <c r="E308" t="s">
        <v>974</v>
      </c>
      <c r="F308" t="s">
        <v>975</v>
      </c>
      <c r="G308" t="s">
        <v>976</v>
      </c>
      <c r="H308" s="1" t="s">
        <v>976</v>
      </c>
      <c r="I308" s="1">
        <v>730</v>
      </c>
      <c r="J308" s="20">
        <v>1</v>
      </c>
      <c r="K308" s="1">
        <v>127</v>
      </c>
      <c r="L308" s="1">
        <v>127</v>
      </c>
      <c r="M308" s="43" t="s">
        <v>2764</v>
      </c>
      <c r="O308" s="2" t="s">
        <v>2463</v>
      </c>
      <c r="P308">
        <v>36</v>
      </c>
      <c r="Q308" t="s">
        <v>722</v>
      </c>
    </row>
    <row r="309" spans="1:17" ht="15" customHeight="1" x14ac:dyDescent="0.25">
      <c r="A309" s="3" t="s">
        <v>1186</v>
      </c>
      <c r="B309" s="4" t="s">
        <v>2765</v>
      </c>
      <c r="C309" t="s">
        <v>1159</v>
      </c>
      <c r="D309">
        <v>1</v>
      </c>
      <c r="E309" t="s">
        <v>974</v>
      </c>
      <c r="F309" t="s">
        <v>975</v>
      </c>
      <c r="G309" t="s">
        <v>976</v>
      </c>
      <c r="H309" s="1" t="s">
        <v>976</v>
      </c>
      <c r="I309" s="1">
        <v>730</v>
      </c>
      <c r="J309" s="20">
        <v>6</v>
      </c>
      <c r="K309" s="1">
        <v>127</v>
      </c>
      <c r="L309" s="1">
        <v>762</v>
      </c>
      <c r="M309" s="43" t="s">
        <v>2764</v>
      </c>
      <c r="O309" s="2" t="s">
        <v>2463</v>
      </c>
      <c r="P309">
        <v>38</v>
      </c>
      <c r="Q309" t="s">
        <v>722</v>
      </c>
    </row>
    <row r="310" spans="1:17" ht="15" customHeight="1" x14ac:dyDescent="0.25">
      <c r="A310" s="3" t="s">
        <v>1187</v>
      </c>
      <c r="B310" s="4" t="s">
        <v>2765</v>
      </c>
      <c r="C310" t="s">
        <v>1159</v>
      </c>
      <c r="D310">
        <v>1</v>
      </c>
      <c r="E310" t="s">
        <v>974</v>
      </c>
      <c r="F310" t="s">
        <v>975</v>
      </c>
      <c r="G310" t="s">
        <v>976</v>
      </c>
      <c r="H310" s="1" t="s">
        <v>976</v>
      </c>
      <c r="I310" s="1">
        <v>730</v>
      </c>
      <c r="J310" s="20">
        <v>8</v>
      </c>
      <c r="K310" s="1">
        <v>127</v>
      </c>
      <c r="L310" s="1">
        <v>1016</v>
      </c>
      <c r="M310" s="43" t="s">
        <v>2764</v>
      </c>
      <c r="O310" s="2" t="s">
        <v>2463</v>
      </c>
      <c r="P310">
        <v>40</v>
      </c>
      <c r="Q310" t="s">
        <v>722</v>
      </c>
    </row>
    <row r="311" spans="1:17" ht="15" customHeight="1" x14ac:dyDescent="0.25">
      <c r="A311" s="3" t="s">
        <v>1188</v>
      </c>
      <c r="B311" s="4" t="s">
        <v>2765</v>
      </c>
      <c r="C311" t="s">
        <v>1159</v>
      </c>
      <c r="D311">
        <v>1</v>
      </c>
      <c r="E311" t="s">
        <v>974</v>
      </c>
      <c r="F311" t="s">
        <v>975</v>
      </c>
      <c r="G311" t="s">
        <v>976</v>
      </c>
      <c r="H311" s="1" t="s">
        <v>976</v>
      </c>
      <c r="I311" s="1">
        <v>730</v>
      </c>
      <c r="J311" s="20">
        <v>3</v>
      </c>
      <c r="K311" s="1">
        <v>127</v>
      </c>
      <c r="L311" s="1">
        <v>381</v>
      </c>
      <c r="M311" s="43" t="s">
        <v>2764</v>
      </c>
      <c r="O311" s="2" t="s">
        <v>2463</v>
      </c>
      <c r="P311">
        <v>42</v>
      </c>
      <c r="Q311" t="s">
        <v>722</v>
      </c>
    </row>
    <row r="312" spans="1:17" ht="15" customHeight="1" x14ac:dyDescent="0.25">
      <c r="A312" s="3" t="s">
        <v>1189</v>
      </c>
      <c r="B312" s="4" t="s">
        <v>2765</v>
      </c>
      <c r="C312" t="s">
        <v>1159</v>
      </c>
      <c r="D312">
        <v>1</v>
      </c>
      <c r="E312" t="s">
        <v>974</v>
      </c>
      <c r="F312" t="s">
        <v>975</v>
      </c>
      <c r="G312" t="s">
        <v>976</v>
      </c>
      <c r="H312" s="1" t="s">
        <v>976</v>
      </c>
      <c r="I312" s="1">
        <v>730</v>
      </c>
      <c r="J312" s="20">
        <v>0</v>
      </c>
      <c r="K312" s="1">
        <v>127</v>
      </c>
      <c r="L312" s="1">
        <v>0</v>
      </c>
      <c r="M312" s="43" t="s">
        <v>2764</v>
      </c>
      <c r="O312" s="2" t="s">
        <v>2463</v>
      </c>
      <c r="P312">
        <v>44</v>
      </c>
      <c r="Q312" t="s">
        <v>722</v>
      </c>
    </row>
    <row r="313" spans="1:17" ht="15" customHeight="1" x14ac:dyDescent="0.25">
      <c r="A313" s="3" t="s">
        <v>1190</v>
      </c>
      <c r="B313" s="4" t="s">
        <v>2765</v>
      </c>
      <c r="C313" t="s">
        <v>1159</v>
      </c>
      <c r="D313">
        <v>1</v>
      </c>
      <c r="E313" t="s">
        <v>974</v>
      </c>
      <c r="F313" t="s">
        <v>975</v>
      </c>
      <c r="G313" t="s">
        <v>976</v>
      </c>
      <c r="H313" s="1" t="s">
        <v>976</v>
      </c>
      <c r="I313" s="1">
        <v>730</v>
      </c>
      <c r="J313" s="20">
        <v>2</v>
      </c>
      <c r="K313" s="1">
        <v>127</v>
      </c>
      <c r="L313" s="1">
        <v>254</v>
      </c>
      <c r="M313" s="43" t="s">
        <v>2764</v>
      </c>
      <c r="O313" s="2" t="s">
        <v>2447</v>
      </c>
      <c r="P313">
        <v>36</v>
      </c>
      <c r="Q313" t="s">
        <v>730</v>
      </c>
    </row>
    <row r="314" spans="1:17" ht="15" customHeight="1" x14ac:dyDescent="0.25">
      <c r="A314" s="3" t="s">
        <v>1191</v>
      </c>
      <c r="B314" s="4" t="s">
        <v>2765</v>
      </c>
      <c r="C314" t="s">
        <v>1159</v>
      </c>
      <c r="D314">
        <v>1</v>
      </c>
      <c r="E314" t="s">
        <v>974</v>
      </c>
      <c r="F314" t="s">
        <v>975</v>
      </c>
      <c r="G314" t="s">
        <v>976</v>
      </c>
      <c r="H314" s="1" t="s">
        <v>976</v>
      </c>
      <c r="I314" s="1">
        <v>730</v>
      </c>
      <c r="J314" s="20">
        <v>6</v>
      </c>
      <c r="K314" s="1">
        <v>127</v>
      </c>
      <c r="L314" s="1">
        <v>762</v>
      </c>
      <c r="M314" s="43" t="s">
        <v>2764</v>
      </c>
      <c r="O314" s="2" t="s">
        <v>2447</v>
      </c>
      <c r="P314">
        <v>38</v>
      </c>
      <c r="Q314" t="s">
        <v>730</v>
      </c>
    </row>
    <row r="315" spans="1:17" ht="15" customHeight="1" x14ac:dyDescent="0.25">
      <c r="A315" s="3" t="s">
        <v>1192</v>
      </c>
      <c r="B315" s="4" t="s">
        <v>2765</v>
      </c>
      <c r="C315" t="s">
        <v>1159</v>
      </c>
      <c r="D315">
        <v>1</v>
      </c>
      <c r="E315" t="s">
        <v>974</v>
      </c>
      <c r="F315" t="s">
        <v>975</v>
      </c>
      <c r="G315" t="s">
        <v>976</v>
      </c>
      <c r="H315" s="1" t="s">
        <v>976</v>
      </c>
      <c r="I315" s="1">
        <v>730</v>
      </c>
      <c r="J315" s="20">
        <v>10</v>
      </c>
      <c r="K315" s="1">
        <v>127</v>
      </c>
      <c r="L315" s="1">
        <v>1270</v>
      </c>
      <c r="M315" s="43" t="s">
        <v>2764</v>
      </c>
      <c r="O315" s="2" t="s">
        <v>2447</v>
      </c>
      <c r="P315">
        <v>40</v>
      </c>
      <c r="Q315" t="s">
        <v>730</v>
      </c>
    </row>
    <row r="316" spans="1:17" ht="15" customHeight="1" x14ac:dyDescent="0.25">
      <c r="A316" s="3" t="s">
        <v>1193</v>
      </c>
      <c r="B316" s="4" t="s">
        <v>2765</v>
      </c>
      <c r="C316" t="s">
        <v>1159</v>
      </c>
      <c r="D316">
        <v>1</v>
      </c>
      <c r="E316" t="s">
        <v>974</v>
      </c>
      <c r="F316" t="s">
        <v>975</v>
      </c>
      <c r="G316" t="s">
        <v>976</v>
      </c>
      <c r="H316" s="1" t="s">
        <v>976</v>
      </c>
      <c r="I316" s="1">
        <v>730</v>
      </c>
      <c r="J316" s="20">
        <v>3</v>
      </c>
      <c r="K316" s="1">
        <v>95.25</v>
      </c>
      <c r="L316" s="1">
        <v>285.75</v>
      </c>
      <c r="M316" s="43" t="s">
        <v>2764</v>
      </c>
      <c r="O316" s="2" t="s">
        <v>2447</v>
      </c>
      <c r="P316">
        <v>42</v>
      </c>
      <c r="Q316" t="s">
        <v>730</v>
      </c>
    </row>
    <row r="317" spans="1:17" ht="15" customHeight="1" x14ac:dyDescent="0.25">
      <c r="A317" s="3" t="s">
        <v>1194</v>
      </c>
      <c r="B317" s="4" t="s">
        <v>2765</v>
      </c>
      <c r="C317" t="s">
        <v>1159</v>
      </c>
      <c r="D317">
        <v>1</v>
      </c>
      <c r="E317" t="s">
        <v>974</v>
      </c>
      <c r="F317" t="s">
        <v>975</v>
      </c>
      <c r="G317" t="s">
        <v>976</v>
      </c>
      <c r="H317" s="1" t="s">
        <v>976</v>
      </c>
      <c r="I317" s="1">
        <v>730</v>
      </c>
      <c r="J317" s="20">
        <v>1</v>
      </c>
      <c r="K317" s="1">
        <v>127</v>
      </c>
      <c r="L317" s="1">
        <v>127</v>
      </c>
      <c r="M317" s="43" t="s">
        <v>2764</v>
      </c>
      <c r="O317" s="2" t="s">
        <v>2447</v>
      </c>
      <c r="P317">
        <v>44</v>
      </c>
      <c r="Q317" t="s">
        <v>730</v>
      </c>
    </row>
    <row r="318" spans="1:17" ht="15" customHeight="1" x14ac:dyDescent="0.25">
      <c r="A318" s="3" t="s">
        <v>1195</v>
      </c>
      <c r="B318" s="4" t="s">
        <v>731</v>
      </c>
      <c r="C318" t="s">
        <v>1196</v>
      </c>
      <c r="D318">
        <v>1</v>
      </c>
      <c r="E318" t="s">
        <v>974</v>
      </c>
      <c r="F318" t="s">
        <v>975</v>
      </c>
      <c r="G318" t="s">
        <v>976</v>
      </c>
      <c r="H318" s="1" t="s">
        <v>976</v>
      </c>
      <c r="I318" s="1">
        <v>980</v>
      </c>
      <c r="J318" s="20">
        <v>-1</v>
      </c>
      <c r="K318" s="1">
        <v>0</v>
      </c>
      <c r="L318" s="1">
        <v>0</v>
      </c>
      <c r="M318" s="43" t="s">
        <v>2764</v>
      </c>
      <c r="N318" s="1" t="s">
        <v>2616</v>
      </c>
      <c r="Q318" t="s">
        <v>731</v>
      </c>
    </row>
    <row r="319" spans="1:17" ht="15" customHeight="1" x14ac:dyDescent="0.25">
      <c r="A319" s="3" t="s">
        <v>1197</v>
      </c>
      <c r="B319" s="4" t="s">
        <v>2770</v>
      </c>
      <c r="C319" t="s">
        <v>1196</v>
      </c>
      <c r="D319">
        <v>1</v>
      </c>
      <c r="E319" t="s">
        <v>974</v>
      </c>
      <c r="F319" t="s">
        <v>975</v>
      </c>
      <c r="G319" t="s">
        <v>976</v>
      </c>
      <c r="H319" s="1" t="s">
        <v>976</v>
      </c>
      <c r="I319" s="1">
        <v>980</v>
      </c>
      <c r="J319" s="20">
        <v>0</v>
      </c>
      <c r="K319" s="1">
        <v>0</v>
      </c>
      <c r="L319" s="1">
        <v>0</v>
      </c>
      <c r="M319" s="43" t="s">
        <v>2764</v>
      </c>
      <c r="N319" s="1" t="s">
        <v>2616</v>
      </c>
      <c r="O319" s="2" t="s">
        <v>2482</v>
      </c>
      <c r="Q319" t="s">
        <v>732</v>
      </c>
    </row>
    <row r="320" spans="1:17" ht="15" customHeight="1" x14ac:dyDescent="0.25">
      <c r="A320" s="3" t="s">
        <v>1198</v>
      </c>
      <c r="B320" s="4" t="s">
        <v>1159</v>
      </c>
      <c r="C320" t="s">
        <v>1159</v>
      </c>
      <c r="D320">
        <v>1</v>
      </c>
      <c r="E320" t="s">
        <v>974</v>
      </c>
      <c r="F320" t="s">
        <v>975</v>
      </c>
      <c r="G320" t="s">
        <v>180</v>
      </c>
      <c r="H320" s="1" t="s">
        <v>976</v>
      </c>
      <c r="I320" s="1">
        <v>440</v>
      </c>
      <c r="J320" s="20">
        <v>0</v>
      </c>
      <c r="K320" s="1">
        <v>106</v>
      </c>
      <c r="L320" s="1">
        <v>0</v>
      </c>
      <c r="M320" s="43" t="s">
        <v>2764</v>
      </c>
      <c r="O320" s="2" t="s">
        <v>2579</v>
      </c>
      <c r="P320" t="s">
        <v>24</v>
      </c>
      <c r="Q320" t="s">
        <v>733</v>
      </c>
    </row>
    <row r="321" spans="1:17" ht="15" customHeight="1" x14ac:dyDescent="0.25">
      <c r="A321" s="42" t="s">
        <v>1198</v>
      </c>
      <c r="B321" s="3" t="s">
        <v>1159</v>
      </c>
      <c r="C321" s="42" t="s">
        <v>1159</v>
      </c>
      <c r="D321">
        <v>3</v>
      </c>
      <c r="E321" t="s">
        <v>1179</v>
      </c>
      <c r="F321" t="s">
        <v>1180</v>
      </c>
      <c r="G321" t="s">
        <v>180</v>
      </c>
      <c r="H321" s="1" t="s">
        <v>976</v>
      </c>
      <c r="I321" s="1">
        <v>440</v>
      </c>
      <c r="J321" s="20">
        <v>0</v>
      </c>
      <c r="K321" s="1">
        <v>106</v>
      </c>
      <c r="L321" s="1">
        <v>0</v>
      </c>
      <c r="M321" s="43" t="s">
        <v>2764</v>
      </c>
      <c r="O321" s="2" t="s">
        <v>2579</v>
      </c>
      <c r="P321" t="s">
        <v>24</v>
      </c>
      <c r="Q321" t="s">
        <v>733</v>
      </c>
    </row>
    <row r="322" spans="1:17" ht="15" customHeight="1" x14ac:dyDescent="0.25">
      <c r="A322" s="3" t="s">
        <v>1199</v>
      </c>
      <c r="B322" s="4" t="s">
        <v>1159</v>
      </c>
      <c r="C322" t="s">
        <v>1159</v>
      </c>
      <c r="D322">
        <v>1</v>
      </c>
      <c r="E322" t="s">
        <v>974</v>
      </c>
      <c r="F322" t="s">
        <v>975</v>
      </c>
      <c r="G322" t="s">
        <v>180</v>
      </c>
      <c r="H322" s="1" t="s">
        <v>976</v>
      </c>
      <c r="I322" s="1">
        <v>440</v>
      </c>
      <c r="J322" s="20">
        <v>0</v>
      </c>
      <c r="K322" s="1">
        <v>106</v>
      </c>
      <c r="L322" s="1">
        <v>0</v>
      </c>
      <c r="M322" s="43" t="s">
        <v>2764</v>
      </c>
      <c r="O322" s="2" t="s">
        <v>2579</v>
      </c>
      <c r="P322" t="s">
        <v>23</v>
      </c>
      <c r="Q322" t="s">
        <v>733</v>
      </c>
    </row>
    <row r="323" spans="1:17" ht="15" customHeight="1" x14ac:dyDescent="0.25">
      <c r="A323" s="42" t="s">
        <v>1199</v>
      </c>
      <c r="B323" s="3" t="s">
        <v>1159</v>
      </c>
      <c r="C323" s="42" t="s">
        <v>1159</v>
      </c>
      <c r="D323">
        <v>3</v>
      </c>
      <c r="E323" t="s">
        <v>1179</v>
      </c>
      <c r="F323" t="s">
        <v>1180</v>
      </c>
      <c r="G323" t="s">
        <v>180</v>
      </c>
      <c r="H323" s="1" t="s">
        <v>976</v>
      </c>
      <c r="I323" s="1">
        <v>440</v>
      </c>
      <c r="J323" s="20">
        <v>0</v>
      </c>
      <c r="K323" s="1">
        <v>106</v>
      </c>
      <c r="L323" s="1">
        <v>0</v>
      </c>
      <c r="M323" s="43" t="s">
        <v>2764</v>
      </c>
      <c r="O323" s="2" t="s">
        <v>2579</v>
      </c>
      <c r="P323" t="s">
        <v>23</v>
      </c>
      <c r="Q323" t="s">
        <v>733</v>
      </c>
    </row>
    <row r="324" spans="1:17" ht="15" customHeight="1" x14ac:dyDescent="0.25">
      <c r="A324" s="3" t="s">
        <v>1200</v>
      </c>
      <c r="B324" s="4" t="s">
        <v>1159</v>
      </c>
      <c r="C324" t="s">
        <v>1159</v>
      </c>
      <c r="D324">
        <v>1</v>
      </c>
      <c r="E324" t="s">
        <v>974</v>
      </c>
      <c r="F324" t="s">
        <v>975</v>
      </c>
      <c r="G324" t="s">
        <v>180</v>
      </c>
      <c r="H324" s="1" t="s">
        <v>976</v>
      </c>
      <c r="I324" s="1">
        <v>440</v>
      </c>
      <c r="J324" s="20">
        <v>0</v>
      </c>
      <c r="K324" s="1">
        <v>106</v>
      </c>
      <c r="L324" s="1">
        <v>0</v>
      </c>
      <c r="M324" s="43" t="s">
        <v>2764</v>
      </c>
      <c r="O324" s="2" t="s">
        <v>2579</v>
      </c>
      <c r="P324" t="s">
        <v>22</v>
      </c>
      <c r="Q324" t="s">
        <v>733</v>
      </c>
    </row>
    <row r="325" spans="1:17" ht="15" customHeight="1" x14ac:dyDescent="0.25">
      <c r="A325" s="42" t="s">
        <v>1200</v>
      </c>
      <c r="B325" s="3" t="s">
        <v>1159</v>
      </c>
      <c r="C325" s="42" t="s">
        <v>1159</v>
      </c>
      <c r="D325">
        <v>3</v>
      </c>
      <c r="E325" t="s">
        <v>1179</v>
      </c>
      <c r="F325" t="s">
        <v>1180</v>
      </c>
      <c r="G325" t="s">
        <v>180</v>
      </c>
      <c r="H325" s="1" t="s">
        <v>976</v>
      </c>
      <c r="I325" s="1">
        <v>440</v>
      </c>
      <c r="J325" s="20">
        <v>0</v>
      </c>
      <c r="K325" s="1">
        <v>106</v>
      </c>
      <c r="L325" s="1">
        <v>0</v>
      </c>
      <c r="M325" s="43" t="s">
        <v>2764</v>
      </c>
      <c r="O325" s="2" t="s">
        <v>2579</v>
      </c>
      <c r="P325" t="s">
        <v>22</v>
      </c>
      <c r="Q325" t="s">
        <v>733</v>
      </c>
    </row>
    <row r="326" spans="1:17" ht="15" customHeight="1" x14ac:dyDescent="0.25">
      <c r="A326" s="3" t="s">
        <v>1201</v>
      </c>
      <c r="B326" s="4" t="s">
        <v>2771</v>
      </c>
      <c r="C326" t="s">
        <v>1159</v>
      </c>
      <c r="D326">
        <v>1</v>
      </c>
      <c r="E326" t="s">
        <v>974</v>
      </c>
      <c r="F326" t="s">
        <v>975</v>
      </c>
      <c r="G326" t="s">
        <v>180</v>
      </c>
      <c r="H326" s="1" t="s">
        <v>976</v>
      </c>
      <c r="I326" s="1">
        <v>270</v>
      </c>
      <c r="J326" s="20">
        <v>0</v>
      </c>
      <c r="K326" s="1">
        <v>46.78</v>
      </c>
      <c r="L326" s="1">
        <v>0</v>
      </c>
      <c r="M326" s="43" t="s">
        <v>2764</v>
      </c>
      <c r="O326" s="2" t="s">
        <v>2443</v>
      </c>
      <c r="P326" t="s">
        <v>24</v>
      </c>
      <c r="Q326" t="s">
        <v>734</v>
      </c>
    </row>
    <row r="327" spans="1:17" ht="15" customHeight="1" x14ac:dyDescent="0.25">
      <c r="A327" s="3" t="s">
        <v>1202</v>
      </c>
      <c r="B327" s="4" t="s">
        <v>2771</v>
      </c>
      <c r="C327" t="s">
        <v>1159</v>
      </c>
      <c r="D327">
        <v>1</v>
      </c>
      <c r="E327" t="s">
        <v>974</v>
      </c>
      <c r="F327" t="s">
        <v>975</v>
      </c>
      <c r="G327" t="s">
        <v>180</v>
      </c>
      <c r="H327" s="1" t="s">
        <v>976</v>
      </c>
      <c r="I327" s="1">
        <v>270</v>
      </c>
      <c r="J327" s="20">
        <v>0</v>
      </c>
      <c r="K327" s="1">
        <v>46.78</v>
      </c>
      <c r="L327" s="1">
        <v>0</v>
      </c>
      <c r="M327" s="43" t="s">
        <v>2764</v>
      </c>
      <c r="O327" s="2" t="s">
        <v>2443</v>
      </c>
      <c r="P327" t="s">
        <v>25</v>
      </c>
      <c r="Q327" t="s">
        <v>734</v>
      </c>
    </row>
    <row r="328" spans="1:17" ht="15" customHeight="1" x14ac:dyDescent="0.25">
      <c r="A328" s="3" t="s">
        <v>1203</v>
      </c>
      <c r="B328" s="4" t="s">
        <v>2771</v>
      </c>
      <c r="C328" t="s">
        <v>1159</v>
      </c>
      <c r="D328">
        <v>1</v>
      </c>
      <c r="E328" t="s">
        <v>974</v>
      </c>
      <c r="F328" t="s">
        <v>975</v>
      </c>
      <c r="G328" t="s">
        <v>180</v>
      </c>
      <c r="H328" s="1" t="s">
        <v>976</v>
      </c>
      <c r="I328" s="1">
        <v>270</v>
      </c>
      <c r="J328" s="20">
        <v>0</v>
      </c>
      <c r="K328" s="1">
        <v>46.78</v>
      </c>
      <c r="L328" s="1">
        <v>0</v>
      </c>
      <c r="M328" s="43" t="s">
        <v>2764</v>
      </c>
      <c r="O328" s="2" t="s">
        <v>2443</v>
      </c>
      <c r="Q328" t="s">
        <v>734</v>
      </c>
    </row>
    <row r="329" spans="1:17" ht="15" customHeight="1" x14ac:dyDescent="0.25">
      <c r="A329" s="3" t="s">
        <v>1204</v>
      </c>
      <c r="B329" s="4" t="s">
        <v>2771</v>
      </c>
      <c r="C329" t="s">
        <v>1159</v>
      </c>
      <c r="D329">
        <v>1</v>
      </c>
      <c r="E329" t="s">
        <v>974</v>
      </c>
      <c r="F329" t="s">
        <v>975</v>
      </c>
      <c r="G329" t="s">
        <v>180</v>
      </c>
      <c r="H329" s="1" t="s">
        <v>976</v>
      </c>
      <c r="I329" s="1">
        <v>270</v>
      </c>
      <c r="J329" s="20">
        <v>0</v>
      </c>
      <c r="K329" s="1">
        <v>46.78</v>
      </c>
      <c r="L329" s="1">
        <v>0</v>
      </c>
      <c r="M329" s="43" t="s">
        <v>2764</v>
      </c>
      <c r="O329" s="2" t="s">
        <v>2443</v>
      </c>
      <c r="Q329" t="s">
        <v>734</v>
      </c>
    </row>
    <row r="330" spans="1:17" ht="15" customHeight="1" x14ac:dyDescent="0.25">
      <c r="A330" s="3" t="s">
        <v>1205</v>
      </c>
      <c r="B330" s="4" t="s">
        <v>228</v>
      </c>
      <c r="C330" t="s">
        <v>1159</v>
      </c>
      <c r="D330">
        <v>1</v>
      </c>
      <c r="E330" t="s">
        <v>974</v>
      </c>
      <c r="F330" t="s">
        <v>975</v>
      </c>
      <c r="G330" t="s">
        <v>180</v>
      </c>
      <c r="H330" s="1" t="s">
        <v>976</v>
      </c>
      <c r="I330" s="1">
        <v>390</v>
      </c>
      <c r="J330" s="20">
        <v>0</v>
      </c>
      <c r="K330" s="1">
        <v>62.23</v>
      </c>
      <c r="L330" s="1">
        <v>0</v>
      </c>
      <c r="M330" s="43" t="s">
        <v>2764</v>
      </c>
      <c r="P330" t="s">
        <v>24</v>
      </c>
      <c r="Q330" t="s">
        <v>228</v>
      </c>
    </row>
    <row r="331" spans="1:17" ht="15" customHeight="1" x14ac:dyDescent="0.25">
      <c r="A331" s="42" t="s">
        <v>1205</v>
      </c>
      <c r="B331" s="3" t="s">
        <v>228</v>
      </c>
      <c r="C331" s="42" t="s">
        <v>1159</v>
      </c>
      <c r="D331">
        <v>2</v>
      </c>
      <c r="E331" t="s">
        <v>1017</v>
      </c>
      <c r="F331" t="s">
        <v>975</v>
      </c>
      <c r="G331" t="s">
        <v>180</v>
      </c>
      <c r="H331" s="1" t="s">
        <v>976</v>
      </c>
      <c r="I331" s="1">
        <v>390</v>
      </c>
      <c r="J331" s="20">
        <v>0</v>
      </c>
      <c r="K331" s="1">
        <v>62.23</v>
      </c>
      <c r="L331" s="1">
        <v>0</v>
      </c>
      <c r="M331" s="43" t="s">
        <v>2764</v>
      </c>
      <c r="P331" t="s">
        <v>24</v>
      </c>
      <c r="Q331" t="s">
        <v>228</v>
      </c>
    </row>
    <row r="332" spans="1:17" ht="15" customHeight="1" x14ac:dyDescent="0.25">
      <c r="A332" s="42" t="s">
        <v>1205</v>
      </c>
      <c r="B332" s="3" t="s">
        <v>228</v>
      </c>
      <c r="C332" s="42" t="s">
        <v>1159</v>
      </c>
      <c r="D332">
        <v>3</v>
      </c>
      <c r="E332" t="s">
        <v>1179</v>
      </c>
      <c r="F332" t="s">
        <v>1180</v>
      </c>
      <c r="G332" t="s">
        <v>180</v>
      </c>
      <c r="H332" s="1" t="s">
        <v>976</v>
      </c>
      <c r="I332" s="1">
        <v>390</v>
      </c>
      <c r="J332" s="20">
        <v>0</v>
      </c>
      <c r="K332" s="1">
        <v>62.23</v>
      </c>
      <c r="L332" s="1">
        <v>0</v>
      </c>
      <c r="M332" s="43" t="s">
        <v>2764</v>
      </c>
      <c r="P332" t="s">
        <v>24</v>
      </c>
      <c r="Q332" t="s">
        <v>228</v>
      </c>
    </row>
    <row r="333" spans="1:17" ht="15" customHeight="1" x14ac:dyDescent="0.25">
      <c r="A333" s="3" t="s">
        <v>1206</v>
      </c>
      <c r="B333" s="4" t="s">
        <v>229</v>
      </c>
      <c r="C333" t="s">
        <v>1159</v>
      </c>
      <c r="D333">
        <v>1</v>
      </c>
      <c r="E333" t="s">
        <v>974</v>
      </c>
      <c r="F333" t="s">
        <v>975</v>
      </c>
      <c r="G333" t="s">
        <v>180</v>
      </c>
      <c r="H333" s="1" t="s">
        <v>976</v>
      </c>
      <c r="I333" s="1">
        <v>390</v>
      </c>
      <c r="J333" s="20">
        <v>0</v>
      </c>
      <c r="K333" s="1">
        <v>62.23</v>
      </c>
      <c r="L333" s="1">
        <v>0</v>
      </c>
      <c r="M333" s="43" t="s">
        <v>2764</v>
      </c>
      <c r="P333" t="s">
        <v>23</v>
      </c>
      <c r="Q333" t="s">
        <v>229</v>
      </c>
    </row>
    <row r="334" spans="1:17" ht="15" customHeight="1" x14ac:dyDescent="0.25">
      <c r="A334" s="42" t="s">
        <v>1206</v>
      </c>
      <c r="B334" s="3" t="s">
        <v>229</v>
      </c>
      <c r="C334" s="42" t="s">
        <v>1159</v>
      </c>
      <c r="D334">
        <v>3</v>
      </c>
      <c r="E334" t="s">
        <v>1179</v>
      </c>
      <c r="F334" t="s">
        <v>1180</v>
      </c>
      <c r="G334" t="s">
        <v>180</v>
      </c>
      <c r="H334" s="1" t="s">
        <v>976</v>
      </c>
      <c r="I334" s="1">
        <v>390</v>
      </c>
      <c r="J334" s="20">
        <v>0</v>
      </c>
      <c r="K334" s="1">
        <v>62.23</v>
      </c>
      <c r="L334" s="1">
        <v>0</v>
      </c>
      <c r="M334" s="43" t="s">
        <v>2764</v>
      </c>
      <c r="P334" t="s">
        <v>23</v>
      </c>
      <c r="Q334" t="s">
        <v>229</v>
      </c>
    </row>
    <row r="335" spans="1:17" ht="15" customHeight="1" x14ac:dyDescent="0.25">
      <c r="A335" s="3" t="s">
        <v>1207</v>
      </c>
      <c r="B335" s="4" t="s">
        <v>230</v>
      </c>
      <c r="C335" t="s">
        <v>1159</v>
      </c>
      <c r="D335">
        <v>1</v>
      </c>
      <c r="E335" t="s">
        <v>974</v>
      </c>
      <c r="F335" t="s">
        <v>975</v>
      </c>
      <c r="G335" t="s">
        <v>180</v>
      </c>
      <c r="H335" s="1" t="s">
        <v>976</v>
      </c>
      <c r="I335" s="1">
        <v>390</v>
      </c>
      <c r="J335" s="20">
        <v>0</v>
      </c>
      <c r="K335" s="1">
        <v>62.23</v>
      </c>
      <c r="L335" s="1">
        <v>0</v>
      </c>
      <c r="M335" s="43" t="s">
        <v>2764</v>
      </c>
      <c r="P335" t="s">
        <v>22</v>
      </c>
      <c r="Q335" t="s">
        <v>230</v>
      </c>
    </row>
    <row r="336" spans="1:17" ht="15" customHeight="1" x14ac:dyDescent="0.25">
      <c r="A336" s="42" t="s">
        <v>1207</v>
      </c>
      <c r="B336" s="3" t="s">
        <v>230</v>
      </c>
      <c r="C336" s="42" t="s">
        <v>1159</v>
      </c>
      <c r="D336">
        <v>3</v>
      </c>
      <c r="E336" t="s">
        <v>1179</v>
      </c>
      <c r="F336" t="s">
        <v>1180</v>
      </c>
      <c r="G336" t="s">
        <v>180</v>
      </c>
      <c r="H336" s="1" t="s">
        <v>976</v>
      </c>
      <c r="I336" s="1">
        <v>390</v>
      </c>
      <c r="J336" s="20">
        <v>0</v>
      </c>
      <c r="K336" s="1">
        <v>62.23</v>
      </c>
      <c r="L336" s="1">
        <v>0</v>
      </c>
      <c r="M336" s="43" t="s">
        <v>2764</v>
      </c>
      <c r="P336" t="s">
        <v>22</v>
      </c>
      <c r="Q336" t="s">
        <v>230</v>
      </c>
    </row>
    <row r="337" spans="1:17" ht="15" customHeight="1" x14ac:dyDescent="0.25">
      <c r="A337" s="3" t="s">
        <v>1208</v>
      </c>
      <c r="B337" s="4" t="s">
        <v>2772</v>
      </c>
      <c r="C337" t="s">
        <v>1159</v>
      </c>
      <c r="D337">
        <v>1</v>
      </c>
      <c r="E337" t="s">
        <v>974</v>
      </c>
      <c r="F337" t="s">
        <v>975</v>
      </c>
      <c r="G337" t="s">
        <v>180</v>
      </c>
      <c r="H337" s="1" t="s">
        <v>976</v>
      </c>
      <c r="I337" s="1">
        <v>390</v>
      </c>
      <c r="J337" s="20">
        <v>4</v>
      </c>
      <c r="K337" s="1">
        <v>60.83</v>
      </c>
      <c r="L337" s="1">
        <v>243.32</v>
      </c>
      <c r="M337" s="43" t="s">
        <v>2764</v>
      </c>
      <c r="O337" s="2" t="s">
        <v>2508</v>
      </c>
      <c r="P337" t="s">
        <v>24</v>
      </c>
      <c r="Q337" t="s">
        <v>735</v>
      </c>
    </row>
    <row r="338" spans="1:17" ht="15" customHeight="1" x14ac:dyDescent="0.25">
      <c r="A338" s="42" t="s">
        <v>1208</v>
      </c>
      <c r="B338" s="3" t="s">
        <v>2772</v>
      </c>
      <c r="C338" s="42" t="s">
        <v>1159</v>
      </c>
      <c r="D338">
        <v>3</v>
      </c>
      <c r="E338" t="s">
        <v>1179</v>
      </c>
      <c r="F338" t="s">
        <v>1180</v>
      </c>
      <c r="G338" t="s">
        <v>180</v>
      </c>
      <c r="H338" s="1" t="s">
        <v>976</v>
      </c>
      <c r="I338" s="1">
        <v>390</v>
      </c>
      <c r="J338" s="20">
        <v>0</v>
      </c>
      <c r="K338" s="1">
        <v>60.83</v>
      </c>
      <c r="L338" s="1">
        <v>0</v>
      </c>
      <c r="M338" s="43" t="s">
        <v>2764</v>
      </c>
      <c r="O338" s="2" t="s">
        <v>2508</v>
      </c>
      <c r="P338" t="s">
        <v>24</v>
      </c>
      <c r="Q338" t="s">
        <v>735</v>
      </c>
    </row>
    <row r="339" spans="1:17" ht="15" customHeight="1" x14ac:dyDescent="0.25">
      <c r="A339" s="3" t="s">
        <v>1209</v>
      </c>
      <c r="B339" s="4" t="s">
        <v>2772</v>
      </c>
      <c r="C339" t="s">
        <v>1159</v>
      </c>
      <c r="D339">
        <v>1</v>
      </c>
      <c r="E339" t="s">
        <v>974</v>
      </c>
      <c r="F339" t="s">
        <v>975</v>
      </c>
      <c r="G339" t="s">
        <v>180</v>
      </c>
      <c r="H339" s="1" t="s">
        <v>976</v>
      </c>
      <c r="I339" s="1">
        <v>390</v>
      </c>
      <c r="J339" s="20">
        <v>4</v>
      </c>
      <c r="K339" s="1">
        <v>60.83</v>
      </c>
      <c r="L339" s="1">
        <v>243.32</v>
      </c>
      <c r="M339" s="43" t="s">
        <v>2764</v>
      </c>
      <c r="O339" s="2" t="s">
        <v>2508</v>
      </c>
      <c r="P339" t="s">
        <v>23</v>
      </c>
      <c r="Q339" t="s">
        <v>735</v>
      </c>
    </row>
    <row r="340" spans="1:17" ht="15" customHeight="1" x14ac:dyDescent="0.25">
      <c r="A340" s="42" t="s">
        <v>1209</v>
      </c>
      <c r="B340" s="3" t="s">
        <v>2772</v>
      </c>
      <c r="C340" s="42" t="s">
        <v>1159</v>
      </c>
      <c r="D340">
        <v>3</v>
      </c>
      <c r="E340" t="s">
        <v>1179</v>
      </c>
      <c r="F340" t="s">
        <v>1180</v>
      </c>
      <c r="G340" t="s">
        <v>180</v>
      </c>
      <c r="H340" s="1" t="s">
        <v>976</v>
      </c>
      <c r="I340" s="1">
        <v>390</v>
      </c>
      <c r="J340" s="20">
        <v>0</v>
      </c>
      <c r="K340" s="1">
        <v>60.83</v>
      </c>
      <c r="L340" s="1">
        <v>0</v>
      </c>
      <c r="M340" s="43" t="s">
        <v>2764</v>
      </c>
      <c r="O340" s="2" t="s">
        <v>2508</v>
      </c>
      <c r="P340" t="s">
        <v>23</v>
      </c>
      <c r="Q340" t="s">
        <v>735</v>
      </c>
    </row>
    <row r="341" spans="1:17" ht="15" customHeight="1" x14ac:dyDescent="0.25">
      <c r="A341" s="3" t="s">
        <v>1210</v>
      </c>
      <c r="B341" s="4" t="s">
        <v>2772</v>
      </c>
      <c r="C341" t="s">
        <v>1159</v>
      </c>
      <c r="D341">
        <v>1</v>
      </c>
      <c r="E341" t="s">
        <v>974</v>
      </c>
      <c r="F341" t="s">
        <v>975</v>
      </c>
      <c r="G341" t="s">
        <v>180</v>
      </c>
      <c r="H341" s="1" t="s">
        <v>976</v>
      </c>
      <c r="I341" s="1">
        <v>390</v>
      </c>
      <c r="J341" s="20">
        <v>1</v>
      </c>
      <c r="K341" s="1">
        <v>60.83</v>
      </c>
      <c r="L341" s="1">
        <v>60.83</v>
      </c>
      <c r="M341" s="43" t="s">
        <v>2764</v>
      </c>
      <c r="O341" s="2" t="s">
        <v>2508</v>
      </c>
      <c r="P341" t="s">
        <v>22</v>
      </c>
      <c r="Q341" t="s">
        <v>735</v>
      </c>
    </row>
    <row r="342" spans="1:17" ht="15" customHeight="1" x14ac:dyDescent="0.25">
      <c r="A342" s="42" t="s">
        <v>1210</v>
      </c>
      <c r="B342" s="3" t="s">
        <v>2772</v>
      </c>
      <c r="C342" s="42" t="s">
        <v>1159</v>
      </c>
      <c r="D342">
        <v>3</v>
      </c>
      <c r="E342" t="s">
        <v>1179</v>
      </c>
      <c r="F342" t="s">
        <v>1180</v>
      </c>
      <c r="G342" t="s">
        <v>180</v>
      </c>
      <c r="H342" s="1" t="s">
        <v>976</v>
      </c>
      <c r="I342" s="1">
        <v>390</v>
      </c>
      <c r="J342" s="20">
        <v>0</v>
      </c>
      <c r="K342" s="1">
        <v>60.83</v>
      </c>
      <c r="L342" s="1">
        <v>0</v>
      </c>
      <c r="M342" s="43" t="s">
        <v>2764</v>
      </c>
      <c r="O342" s="2" t="s">
        <v>2508</v>
      </c>
      <c r="P342" t="s">
        <v>22</v>
      </c>
      <c r="Q342" t="s">
        <v>735</v>
      </c>
    </row>
    <row r="343" spans="1:17" ht="15" customHeight="1" x14ac:dyDescent="0.25">
      <c r="A343" s="3" t="s">
        <v>1211</v>
      </c>
      <c r="B343" s="4" t="s">
        <v>2773</v>
      </c>
      <c r="C343" t="s">
        <v>1159</v>
      </c>
      <c r="D343">
        <v>1</v>
      </c>
      <c r="E343" t="s">
        <v>974</v>
      </c>
      <c r="F343" t="s">
        <v>975</v>
      </c>
      <c r="G343" t="s">
        <v>180</v>
      </c>
      <c r="H343" s="1" t="s">
        <v>976</v>
      </c>
      <c r="I343" s="1">
        <v>980</v>
      </c>
      <c r="J343" s="20">
        <v>0</v>
      </c>
      <c r="K343" s="1">
        <v>0</v>
      </c>
      <c r="L343" s="1">
        <v>0</v>
      </c>
      <c r="M343" s="43" t="s">
        <v>2764</v>
      </c>
      <c r="N343" s="1" t="s">
        <v>2616</v>
      </c>
      <c r="O343" s="2" t="s">
        <v>2447</v>
      </c>
      <c r="Q343" t="s">
        <v>736</v>
      </c>
    </row>
    <row r="344" spans="1:17" ht="15" customHeight="1" x14ac:dyDescent="0.25">
      <c r="A344" s="3" t="s">
        <v>1212</v>
      </c>
      <c r="B344" s="4" t="s">
        <v>737</v>
      </c>
      <c r="C344" t="s">
        <v>1159</v>
      </c>
      <c r="D344">
        <v>1</v>
      </c>
      <c r="E344" t="s">
        <v>974</v>
      </c>
      <c r="F344" t="s">
        <v>975</v>
      </c>
      <c r="G344" t="s">
        <v>180</v>
      </c>
      <c r="H344" s="1" t="s">
        <v>976</v>
      </c>
      <c r="I344" s="1">
        <v>980</v>
      </c>
      <c r="J344" s="20">
        <v>0</v>
      </c>
      <c r="K344" s="1">
        <v>0</v>
      </c>
      <c r="L344" s="1">
        <v>0</v>
      </c>
      <c r="M344" s="43" t="s">
        <v>2764</v>
      </c>
      <c r="N344" s="1" t="s">
        <v>2616</v>
      </c>
      <c r="Q344" t="s">
        <v>737</v>
      </c>
    </row>
    <row r="345" spans="1:17" ht="15" customHeight="1" x14ac:dyDescent="0.25">
      <c r="A345" s="3" t="s">
        <v>1213</v>
      </c>
      <c r="B345" s="4" t="s">
        <v>2773</v>
      </c>
      <c r="C345" t="s">
        <v>1159</v>
      </c>
      <c r="D345">
        <v>1</v>
      </c>
      <c r="E345" t="s">
        <v>974</v>
      </c>
      <c r="F345" t="s">
        <v>975</v>
      </c>
      <c r="G345" t="s">
        <v>180</v>
      </c>
      <c r="H345" s="1" t="s">
        <v>976</v>
      </c>
      <c r="I345" s="1">
        <v>980</v>
      </c>
      <c r="J345" s="20">
        <v>-1</v>
      </c>
      <c r="K345" s="1">
        <v>0</v>
      </c>
      <c r="L345" s="1">
        <v>0</v>
      </c>
      <c r="M345" s="43" t="s">
        <v>2764</v>
      </c>
      <c r="N345" s="1" t="s">
        <v>2616</v>
      </c>
      <c r="O345" s="2" t="s">
        <v>2482</v>
      </c>
      <c r="Q345" t="s">
        <v>738</v>
      </c>
    </row>
    <row r="346" spans="1:17" ht="15" customHeight="1" x14ac:dyDescent="0.25">
      <c r="A346" s="3" t="s">
        <v>1214</v>
      </c>
      <c r="B346" s="4" t="s">
        <v>1159</v>
      </c>
      <c r="C346" t="s">
        <v>1159</v>
      </c>
      <c r="D346">
        <v>1</v>
      </c>
      <c r="E346" t="s">
        <v>974</v>
      </c>
      <c r="F346" t="s">
        <v>975</v>
      </c>
      <c r="G346" t="s">
        <v>180</v>
      </c>
      <c r="H346" s="1" t="s">
        <v>976</v>
      </c>
      <c r="I346" s="1">
        <v>270</v>
      </c>
      <c r="J346" s="20">
        <v>8</v>
      </c>
      <c r="K346" s="1">
        <v>45.8</v>
      </c>
      <c r="L346" s="1">
        <v>366.4</v>
      </c>
      <c r="M346" s="43" t="s">
        <v>2764</v>
      </c>
      <c r="O346" s="2" t="s">
        <v>2482</v>
      </c>
      <c r="P346" t="s">
        <v>24</v>
      </c>
      <c r="Q346" t="s">
        <v>729</v>
      </c>
    </row>
    <row r="347" spans="1:17" ht="15" customHeight="1" x14ac:dyDescent="0.25">
      <c r="A347" s="3" t="s">
        <v>1215</v>
      </c>
      <c r="B347" s="4" t="s">
        <v>1159</v>
      </c>
      <c r="C347" t="s">
        <v>1159</v>
      </c>
      <c r="D347">
        <v>1</v>
      </c>
      <c r="E347" t="s">
        <v>974</v>
      </c>
      <c r="F347" t="s">
        <v>975</v>
      </c>
      <c r="G347" t="s">
        <v>180</v>
      </c>
      <c r="H347" s="1" t="s">
        <v>976</v>
      </c>
      <c r="I347" s="1">
        <v>270</v>
      </c>
      <c r="J347" s="20">
        <v>3</v>
      </c>
      <c r="K347" s="1">
        <v>45.8</v>
      </c>
      <c r="L347" s="1">
        <v>137.4</v>
      </c>
      <c r="M347" s="43" t="s">
        <v>2764</v>
      </c>
      <c r="O347" s="2" t="s">
        <v>2482</v>
      </c>
      <c r="P347" t="s">
        <v>25</v>
      </c>
      <c r="Q347" t="s">
        <v>729</v>
      </c>
    </row>
    <row r="348" spans="1:17" ht="15" customHeight="1" x14ac:dyDescent="0.25">
      <c r="A348" s="3" t="s">
        <v>1216</v>
      </c>
      <c r="B348" s="4" t="s">
        <v>1159</v>
      </c>
      <c r="C348" t="s">
        <v>1159</v>
      </c>
      <c r="D348">
        <v>1</v>
      </c>
      <c r="E348" t="s">
        <v>974</v>
      </c>
      <c r="F348" t="s">
        <v>975</v>
      </c>
      <c r="G348" t="s">
        <v>180</v>
      </c>
      <c r="H348" s="1" t="s">
        <v>976</v>
      </c>
      <c r="I348" s="1">
        <v>270</v>
      </c>
      <c r="J348" s="20">
        <v>14</v>
      </c>
      <c r="K348" s="1">
        <v>45.8</v>
      </c>
      <c r="L348" s="1">
        <v>641.20000000000005</v>
      </c>
      <c r="M348" s="43" t="s">
        <v>2764</v>
      </c>
      <c r="O348" s="2" t="s">
        <v>2482</v>
      </c>
      <c r="Q348" t="s">
        <v>729</v>
      </c>
    </row>
    <row r="349" spans="1:17" ht="15" customHeight="1" x14ac:dyDescent="0.25">
      <c r="A349" s="3" t="s">
        <v>1217</v>
      </c>
      <c r="B349" s="4" t="s">
        <v>1159</v>
      </c>
      <c r="C349" t="s">
        <v>1159</v>
      </c>
      <c r="D349">
        <v>1</v>
      </c>
      <c r="E349" t="s">
        <v>974</v>
      </c>
      <c r="F349" t="s">
        <v>975</v>
      </c>
      <c r="G349" t="s">
        <v>180</v>
      </c>
      <c r="H349" s="1" t="s">
        <v>976</v>
      </c>
      <c r="I349" s="1">
        <v>270</v>
      </c>
      <c r="J349" s="20">
        <v>5</v>
      </c>
      <c r="K349" s="1">
        <v>45.8</v>
      </c>
      <c r="L349" s="1">
        <v>229</v>
      </c>
      <c r="M349" s="43" t="s">
        <v>2764</v>
      </c>
      <c r="O349" s="2" t="s">
        <v>2482</v>
      </c>
      <c r="Q349" t="s">
        <v>729</v>
      </c>
    </row>
    <row r="350" spans="1:17" ht="15" customHeight="1" x14ac:dyDescent="0.25">
      <c r="A350" s="3" t="s">
        <v>1218</v>
      </c>
      <c r="B350" s="4" t="s">
        <v>2774</v>
      </c>
      <c r="C350" t="s">
        <v>1219</v>
      </c>
      <c r="D350">
        <v>1</v>
      </c>
      <c r="E350" t="s">
        <v>974</v>
      </c>
      <c r="F350" t="s">
        <v>975</v>
      </c>
      <c r="G350" t="s">
        <v>976</v>
      </c>
      <c r="H350" s="1" t="s">
        <v>976</v>
      </c>
      <c r="I350" s="1">
        <v>348</v>
      </c>
      <c r="J350" s="20">
        <v>0</v>
      </c>
      <c r="K350" s="1">
        <v>64.11</v>
      </c>
      <c r="L350" s="1">
        <v>0</v>
      </c>
      <c r="M350" s="43" t="s">
        <v>2764</v>
      </c>
      <c r="O350" s="2" t="s">
        <v>2447</v>
      </c>
      <c r="P350" t="s">
        <v>24</v>
      </c>
      <c r="Q350" t="s">
        <v>739</v>
      </c>
    </row>
    <row r="351" spans="1:17" ht="15" customHeight="1" x14ac:dyDescent="0.25">
      <c r="A351" s="3" t="s">
        <v>1220</v>
      </c>
      <c r="B351" s="4" t="s">
        <v>2774</v>
      </c>
      <c r="C351" t="s">
        <v>1219</v>
      </c>
      <c r="D351">
        <v>1</v>
      </c>
      <c r="E351" t="s">
        <v>974</v>
      </c>
      <c r="F351" t="s">
        <v>975</v>
      </c>
      <c r="G351" t="s">
        <v>976</v>
      </c>
      <c r="H351" s="1" t="s">
        <v>976</v>
      </c>
      <c r="I351" s="1">
        <v>348</v>
      </c>
      <c r="J351" s="20">
        <v>2</v>
      </c>
      <c r="K351" s="1">
        <v>64.11</v>
      </c>
      <c r="L351" s="1">
        <v>128.22</v>
      </c>
      <c r="M351" s="43" t="s">
        <v>2764</v>
      </c>
      <c r="O351" s="2" t="s">
        <v>2447</v>
      </c>
      <c r="P351" t="s">
        <v>23</v>
      </c>
      <c r="Q351" t="s">
        <v>739</v>
      </c>
    </row>
    <row r="352" spans="1:17" ht="15" customHeight="1" x14ac:dyDescent="0.25">
      <c r="A352" s="3" t="s">
        <v>1221</v>
      </c>
      <c r="B352" s="4" t="s">
        <v>2774</v>
      </c>
      <c r="C352" t="s">
        <v>1219</v>
      </c>
      <c r="D352">
        <v>1</v>
      </c>
      <c r="E352" t="s">
        <v>974</v>
      </c>
      <c r="F352" t="s">
        <v>975</v>
      </c>
      <c r="G352" t="s">
        <v>976</v>
      </c>
      <c r="H352" s="1" t="s">
        <v>976</v>
      </c>
      <c r="I352" s="1">
        <v>348</v>
      </c>
      <c r="J352" s="20">
        <v>6</v>
      </c>
      <c r="K352" s="1">
        <v>64.11</v>
      </c>
      <c r="L352" s="1">
        <v>384.66</v>
      </c>
      <c r="M352" s="43" t="s">
        <v>2764</v>
      </c>
      <c r="O352" s="2" t="s">
        <v>2447</v>
      </c>
      <c r="P352" t="s">
        <v>22</v>
      </c>
      <c r="Q352" t="s">
        <v>739</v>
      </c>
    </row>
    <row r="353" spans="1:17" ht="15" customHeight="1" x14ac:dyDescent="0.25">
      <c r="A353" s="3" t="s">
        <v>1222</v>
      </c>
      <c r="B353" s="4" t="s">
        <v>2774</v>
      </c>
      <c r="C353" t="s">
        <v>1219</v>
      </c>
      <c r="D353">
        <v>1</v>
      </c>
      <c r="E353" t="s">
        <v>974</v>
      </c>
      <c r="F353" t="s">
        <v>975</v>
      </c>
      <c r="G353" t="s">
        <v>976</v>
      </c>
      <c r="H353" s="1" t="s">
        <v>976</v>
      </c>
      <c r="I353" s="1">
        <v>348</v>
      </c>
      <c r="J353" s="20">
        <v>1</v>
      </c>
      <c r="K353" s="1">
        <v>64.11</v>
      </c>
      <c r="L353" s="1">
        <v>64.11</v>
      </c>
      <c r="M353" s="43" t="s">
        <v>2764</v>
      </c>
      <c r="O353" s="2" t="s">
        <v>2447</v>
      </c>
      <c r="P353" t="s">
        <v>21</v>
      </c>
      <c r="Q353" t="s">
        <v>739</v>
      </c>
    </row>
    <row r="354" spans="1:17" ht="15" customHeight="1" x14ac:dyDescent="0.25">
      <c r="A354" s="3" t="s">
        <v>1223</v>
      </c>
      <c r="B354" s="4" t="s">
        <v>2774</v>
      </c>
      <c r="C354" t="s">
        <v>1219</v>
      </c>
      <c r="D354">
        <v>1</v>
      </c>
      <c r="E354" t="s">
        <v>974</v>
      </c>
      <c r="F354" t="s">
        <v>975</v>
      </c>
      <c r="G354" t="s">
        <v>976</v>
      </c>
      <c r="H354" s="1" t="s">
        <v>976</v>
      </c>
      <c r="I354" s="1">
        <v>348</v>
      </c>
      <c r="J354" s="20">
        <v>0</v>
      </c>
      <c r="K354" s="1">
        <v>64.11</v>
      </c>
      <c r="L354" s="1">
        <v>0</v>
      </c>
      <c r="M354" s="43" t="s">
        <v>2764</v>
      </c>
      <c r="O354" s="2" t="s">
        <v>2482</v>
      </c>
      <c r="P354" t="s">
        <v>24</v>
      </c>
      <c r="Q354" t="s">
        <v>740</v>
      </c>
    </row>
    <row r="355" spans="1:17" ht="15" customHeight="1" x14ac:dyDescent="0.25">
      <c r="A355" s="3" t="s">
        <v>1224</v>
      </c>
      <c r="B355" s="4" t="s">
        <v>2774</v>
      </c>
      <c r="C355" t="s">
        <v>1219</v>
      </c>
      <c r="D355">
        <v>1</v>
      </c>
      <c r="E355" t="s">
        <v>974</v>
      </c>
      <c r="F355" t="s">
        <v>975</v>
      </c>
      <c r="G355" t="s">
        <v>976</v>
      </c>
      <c r="H355" s="1" t="s">
        <v>976</v>
      </c>
      <c r="I355" s="1">
        <v>348</v>
      </c>
      <c r="J355" s="20">
        <v>1</v>
      </c>
      <c r="K355" s="1">
        <v>64.11</v>
      </c>
      <c r="L355" s="1">
        <v>64.11</v>
      </c>
      <c r="M355" s="43" t="s">
        <v>2764</v>
      </c>
      <c r="O355" s="2" t="s">
        <v>2482</v>
      </c>
      <c r="P355" t="s">
        <v>23</v>
      </c>
      <c r="Q355" t="s">
        <v>740</v>
      </c>
    </row>
    <row r="356" spans="1:17" ht="15" customHeight="1" x14ac:dyDescent="0.25">
      <c r="A356" s="3" t="s">
        <v>1225</v>
      </c>
      <c r="B356" s="4" t="s">
        <v>2774</v>
      </c>
      <c r="C356" t="s">
        <v>1219</v>
      </c>
      <c r="D356">
        <v>1</v>
      </c>
      <c r="E356" t="s">
        <v>974</v>
      </c>
      <c r="F356" t="s">
        <v>975</v>
      </c>
      <c r="G356" t="s">
        <v>976</v>
      </c>
      <c r="H356" s="1" t="s">
        <v>976</v>
      </c>
      <c r="I356" s="1">
        <v>348</v>
      </c>
      <c r="J356" s="20">
        <v>2</v>
      </c>
      <c r="K356" s="1">
        <v>64.11</v>
      </c>
      <c r="L356" s="1">
        <v>128.22</v>
      </c>
      <c r="M356" s="43" t="s">
        <v>2764</v>
      </c>
      <c r="O356" s="2" t="s">
        <v>2482</v>
      </c>
      <c r="P356" t="s">
        <v>22</v>
      </c>
      <c r="Q356" t="s">
        <v>740</v>
      </c>
    </row>
    <row r="357" spans="1:17" ht="15" customHeight="1" x14ac:dyDescent="0.25">
      <c r="A357" s="3" t="s">
        <v>1226</v>
      </c>
      <c r="B357" s="4" t="s">
        <v>2774</v>
      </c>
      <c r="C357" t="s">
        <v>1219</v>
      </c>
      <c r="D357">
        <v>1</v>
      </c>
      <c r="E357" t="s">
        <v>974</v>
      </c>
      <c r="F357" t="s">
        <v>975</v>
      </c>
      <c r="G357" t="s">
        <v>976</v>
      </c>
      <c r="H357" s="1" t="s">
        <v>976</v>
      </c>
      <c r="I357" s="1">
        <v>348</v>
      </c>
      <c r="J357" s="20">
        <v>2</v>
      </c>
      <c r="K357" s="1">
        <v>64.11</v>
      </c>
      <c r="L357" s="1">
        <v>128.22</v>
      </c>
      <c r="M357" s="43" t="s">
        <v>2764</v>
      </c>
      <c r="O357" s="2" t="s">
        <v>2482</v>
      </c>
      <c r="P357" t="s">
        <v>21</v>
      </c>
      <c r="Q357" t="s">
        <v>740</v>
      </c>
    </row>
    <row r="358" spans="1:17" ht="15" customHeight="1" x14ac:dyDescent="0.25">
      <c r="A358" s="3" t="s">
        <v>1227</v>
      </c>
      <c r="B358" s="4" t="s">
        <v>1159</v>
      </c>
      <c r="C358" t="s">
        <v>1159</v>
      </c>
      <c r="D358">
        <v>1</v>
      </c>
      <c r="E358" t="s">
        <v>974</v>
      </c>
      <c r="F358" t="s">
        <v>975</v>
      </c>
      <c r="G358" t="s">
        <v>180</v>
      </c>
      <c r="H358" s="1" t="s">
        <v>976</v>
      </c>
      <c r="I358" s="1">
        <v>599</v>
      </c>
      <c r="J358" s="20">
        <v>0</v>
      </c>
      <c r="K358" s="1">
        <v>120</v>
      </c>
      <c r="L358" s="1">
        <v>0</v>
      </c>
      <c r="M358" s="43" t="s">
        <v>2764</v>
      </c>
      <c r="O358" s="2" t="s">
        <v>2447</v>
      </c>
      <c r="Q358" t="s">
        <v>741</v>
      </c>
    </row>
    <row r="359" spans="1:17" ht="15" customHeight="1" x14ac:dyDescent="0.25">
      <c r="A359" s="3" t="s">
        <v>1228</v>
      </c>
      <c r="B359" s="4" t="s">
        <v>1159</v>
      </c>
      <c r="C359" t="s">
        <v>1159</v>
      </c>
      <c r="D359">
        <v>1</v>
      </c>
      <c r="E359" t="s">
        <v>974</v>
      </c>
      <c r="F359" t="s">
        <v>975</v>
      </c>
      <c r="G359" t="s">
        <v>180</v>
      </c>
      <c r="H359" s="1" t="s">
        <v>976</v>
      </c>
      <c r="I359" s="1">
        <v>599</v>
      </c>
      <c r="J359" s="20">
        <v>0</v>
      </c>
      <c r="K359" s="1">
        <v>120</v>
      </c>
      <c r="L359" s="1">
        <v>0</v>
      </c>
      <c r="M359" s="43" t="s">
        <v>2764</v>
      </c>
      <c r="O359" s="2" t="s">
        <v>2482</v>
      </c>
      <c r="P359" t="s">
        <v>24</v>
      </c>
      <c r="Q359" t="s">
        <v>729</v>
      </c>
    </row>
    <row r="360" spans="1:17" ht="15" customHeight="1" x14ac:dyDescent="0.25">
      <c r="A360" s="3" t="s">
        <v>1229</v>
      </c>
      <c r="B360" s="4" t="s">
        <v>1159</v>
      </c>
      <c r="C360" t="s">
        <v>1159</v>
      </c>
      <c r="D360">
        <v>1</v>
      </c>
      <c r="E360" t="s">
        <v>974</v>
      </c>
      <c r="F360" t="s">
        <v>975</v>
      </c>
      <c r="G360" t="s">
        <v>180</v>
      </c>
      <c r="H360" s="1" t="s">
        <v>976</v>
      </c>
      <c r="I360" s="1">
        <v>599</v>
      </c>
      <c r="J360" s="20">
        <v>0</v>
      </c>
      <c r="K360" s="1">
        <v>120</v>
      </c>
      <c r="L360" s="1">
        <v>0</v>
      </c>
      <c r="M360" s="43" t="s">
        <v>2764</v>
      </c>
      <c r="O360" s="2" t="s">
        <v>2482</v>
      </c>
      <c r="P360" t="s">
        <v>23</v>
      </c>
      <c r="Q360" t="s">
        <v>729</v>
      </c>
    </row>
    <row r="361" spans="1:17" ht="15" customHeight="1" x14ac:dyDescent="0.25">
      <c r="A361" s="3" t="s">
        <v>1230</v>
      </c>
      <c r="B361" s="4" t="s">
        <v>1159</v>
      </c>
      <c r="C361" t="s">
        <v>1159</v>
      </c>
      <c r="D361">
        <v>1</v>
      </c>
      <c r="E361" t="s">
        <v>974</v>
      </c>
      <c r="F361" t="s">
        <v>975</v>
      </c>
      <c r="G361" t="s">
        <v>180</v>
      </c>
      <c r="H361" s="1" t="s">
        <v>976</v>
      </c>
      <c r="I361" s="1">
        <v>599</v>
      </c>
      <c r="J361" s="20">
        <v>0</v>
      </c>
      <c r="K361" s="1">
        <v>120</v>
      </c>
      <c r="L361" s="1">
        <v>0</v>
      </c>
      <c r="M361" s="43" t="s">
        <v>2764</v>
      </c>
      <c r="O361" s="2" t="s">
        <v>2482</v>
      </c>
      <c r="Q361" t="s">
        <v>729</v>
      </c>
    </row>
    <row r="362" spans="1:17" ht="15" customHeight="1" x14ac:dyDescent="0.25">
      <c r="A362" s="3" t="s">
        <v>1231</v>
      </c>
      <c r="B362" s="4" t="s">
        <v>2775</v>
      </c>
      <c r="C362" t="s">
        <v>1159</v>
      </c>
      <c r="D362">
        <v>1</v>
      </c>
      <c r="E362" t="s">
        <v>974</v>
      </c>
      <c r="F362" t="s">
        <v>975</v>
      </c>
      <c r="G362" t="s">
        <v>976</v>
      </c>
      <c r="H362" s="1" t="s">
        <v>976</v>
      </c>
      <c r="I362" s="1">
        <v>910</v>
      </c>
      <c r="J362" s="20">
        <v>0</v>
      </c>
      <c r="K362" s="1">
        <v>0</v>
      </c>
      <c r="L362" s="1">
        <v>0</v>
      </c>
      <c r="M362" s="43" t="s">
        <v>2764</v>
      </c>
      <c r="N362" s="1" t="s">
        <v>2616</v>
      </c>
      <c r="O362" s="2" t="s">
        <v>2447</v>
      </c>
      <c r="Q362" t="s">
        <v>742</v>
      </c>
    </row>
    <row r="363" spans="1:17" ht="15" customHeight="1" x14ac:dyDescent="0.25">
      <c r="A363" s="3" t="s">
        <v>1232</v>
      </c>
      <c r="B363" s="4" t="s">
        <v>2775</v>
      </c>
      <c r="C363" t="s">
        <v>1159</v>
      </c>
      <c r="D363">
        <v>4</v>
      </c>
      <c r="E363" t="s">
        <v>1018</v>
      </c>
      <c r="F363" t="s">
        <v>975</v>
      </c>
      <c r="G363" t="s">
        <v>976</v>
      </c>
      <c r="H363" s="1" t="s">
        <v>976</v>
      </c>
      <c r="I363" s="1">
        <v>910</v>
      </c>
      <c r="J363" s="20">
        <v>0</v>
      </c>
      <c r="K363" s="1">
        <v>0</v>
      </c>
      <c r="L363" s="1">
        <v>0</v>
      </c>
      <c r="M363" s="43" t="s">
        <v>2764</v>
      </c>
      <c r="N363" s="1" t="s">
        <v>2616</v>
      </c>
      <c r="O363" s="2" t="s">
        <v>2482</v>
      </c>
      <c r="Q363" t="s">
        <v>743</v>
      </c>
    </row>
    <row r="364" spans="1:17" ht="15" customHeight="1" x14ac:dyDescent="0.25">
      <c r="A364" s="3" t="s">
        <v>2091</v>
      </c>
      <c r="B364" s="4" t="s">
        <v>2776</v>
      </c>
      <c r="C364" t="s">
        <v>1159</v>
      </c>
      <c r="D364">
        <v>1</v>
      </c>
      <c r="E364" t="s">
        <v>974</v>
      </c>
      <c r="F364" t="s">
        <v>975</v>
      </c>
      <c r="G364" t="s">
        <v>180</v>
      </c>
      <c r="H364" s="1" t="s">
        <v>976</v>
      </c>
      <c r="I364" s="1">
        <v>490</v>
      </c>
      <c r="J364" s="20">
        <v>0</v>
      </c>
      <c r="K364" s="1">
        <v>74.59</v>
      </c>
      <c r="L364" s="1">
        <v>0</v>
      </c>
      <c r="M364" s="43" t="s">
        <v>2764</v>
      </c>
      <c r="O364" s="2" t="s">
        <v>2472</v>
      </c>
      <c r="P364" t="s">
        <v>24</v>
      </c>
      <c r="Q364" t="s">
        <v>744</v>
      </c>
    </row>
    <row r="365" spans="1:17" ht="15" customHeight="1" x14ac:dyDescent="0.25">
      <c r="A365" s="3" t="s">
        <v>2092</v>
      </c>
      <c r="B365" s="4" t="s">
        <v>2776</v>
      </c>
      <c r="C365" t="s">
        <v>1159</v>
      </c>
      <c r="D365">
        <v>1</v>
      </c>
      <c r="E365" t="s">
        <v>974</v>
      </c>
      <c r="F365" t="s">
        <v>975</v>
      </c>
      <c r="G365" t="s">
        <v>180</v>
      </c>
      <c r="H365" s="1" t="s">
        <v>976</v>
      </c>
      <c r="I365" s="1">
        <v>490</v>
      </c>
      <c r="J365" s="20">
        <v>0</v>
      </c>
      <c r="K365" s="1">
        <v>0</v>
      </c>
      <c r="L365" s="1">
        <v>0</v>
      </c>
      <c r="M365" s="43" t="s">
        <v>2764</v>
      </c>
      <c r="O365" s="2" t="s">
        <v>2472</v>
      </c>
      <c r="P365" t="s">
        <v>23</v>
      </c>
      <c r="Q365" t="s">
        <v>744</v>
      </c>
    </row>
    <row r="366" spans="1:17" ht="15" customHeight="1" x14ac:dyDescent="0.25">
      <c r="A366" s="3" t="s">
        <v>2093</v>
      </c>
      <c r="B366" s="4" t="s">
        <v>2776</v>
      </c>
      <c r="C366" t="s">
        <v>1159</v>
      </c>
      <c r="D366">
        <v>1</v>
      </c>
      <c r="E366" t="s">
        <v>974</v>
      </c>
      <c r="F366" t="s">
        <v>975</v>
      </c>
      <c r="G366" t="s">
        <v>180</v>
      </c>
      <c r="H366" s="1" t="s">
        <v>976</v>
      </c>
      <c r="I366" s="1">
        <v>490</v>
      </c>
      <c r="J366" s="20">
        <v>0</v>
      </c>
      <c r="K366" s="1">
        <v>89</v>
      </c>
      <c r="L366" s="1">
        <v>0</v>
      </c>
      <c r="M366" s="43" t="s">
        <v>2764</v>
      </c>
      <c r="O366" s="2" t="s">
        <v>2472</v>
      </c>
      <c r="P366" t="s">
        <v>22</v>
      </c>
      <c r="Q366" t="s">
        <v>744</v>
      </c>
    </row>
    <row r="367" spans="1:17" ht="15" customHeight="1" x14ac:dyDescent="0.25">
      <c r="A367" s="42" t="s">
        <v>2093</v>
      </c>
      <c r="B367" s="3" t="s">
        <v>2776</v>
      </c>
      <c r="C367" s="42" t="s">
        <v>1159</v>
      </c>
      <c r="D367">
        <v>3</v>
      </c>
      <c r="E367" t="s">
        <v>1179</v>
      </c>
      <c r="F367" t="s">
        <v>1180</v>
      </c>
      <c r="G367" t="s">
        <v>180</v>
      </c>
      <c r="H367" s="1" t="s">
        <v>976</v>
      </c>
      <c r="I367" s="1">
        <v>490</v>
      </c>
      <c r="J367" s="20">
        <v>0</v>
      </c>
      <c r="K367" s="1">
        <v>74.59</v>
      </c>
      <c r="L367" s="1">
        <v>0</v>
      </c>
      <c r="M367" s="43" t="s">
        <v>2764</v>
      </c>
      <c r="O367" s="2" t="s">
        <v>2472</v>
      </c>
      <c r="P367" t="s">
        <v>22</v>
      </c>
      <c r="Q367" t="s">
        <v>744</v>
      </c>
    </row>
    <row r="368" spans="1:17" ht="15" customHeight="1" x14ac:dyDescent="0.25">
      <c r="A368" s="3" t="s">
        <v>2094</v>
      </c>
      <c r="B368" s="4" t="s">
        <v>2769</v>
      </c>
      <c r="C368" t="s">
        <v>1159</v>
      </c>
      <c r="D368">
        <v>1</v>
      </c>
      <c r="E368" t="s">
        <v>974</v>
      </c>
      <c r="F368" t="s">
        <v>975</v>
      </c>
      <c r="G368" t="s">
        <v>180</v>
      </c>
      <c r="H368" s="1" t="s">
        <v>976</v>
      </c>
      <c r="I368" s="1">
        <v>385</v>
      </c>
      <c r="J368" s="20">
        <v>0</v>
      </c>
      <c r="K368" s="1">
        <v>0</v>
      </c>
      <c r="L368" s="1">
        <v>0</v>
      </c>
      <c r="M368" s="43" t="s">
        <v>2764</v>
      </c>
      <c r="O368" s="2" t="s">
        <v>2443</v>
      </c>
      <c r="Q368" t="s">
        <v>745</v>
      </c>
    </row>
    <row r="369" spans="1:17" ht="15" customHeight="1" x14ac:dyDescent="0.25">
      <c r="A369" s="3" t="s">
        <v>2095</v>
      </c>
      <c r="B369" s="4" t="s">
        <v>2769</v>
      </c>
      <c r="C369" t="s">
        <v>1159</v>
      </c>
      <c r="D369">
        <v>1</v>
      </c>
      <c r="E369" t="s">
        <v>974</v>
      </c>
      <c r="F369" t="s">
        <v>975</v>
      </c>
      <c r="G369" t="s">
        <v>180</v>
      </c>
      <c r="H369" s="1" t="s">
        <v>976</v>
      </c>
      <c r="I369" s="1">
        <v>385</v>
      </c>
      <c r="J369" s="20">
        <v>0</v>
      </c>
      <c r="K369" s="1">
        <v>80</v>
      </c>
      <c r="L369" s="1">
        <v>0</v>
      </c>
      <c r="M369" s="43" t="s">
        <v>2764</v>
      </c>
      <c r="O369" s="2" t="s">
        <v>2443</v>
      </c>
      <c r="Q369" t="s">
        <v>745</v>
      </c>
    </row>
    <row r="370" spans="1:17" ht="15" customHeight="1" x14ac:dyDescent="0.25">
      <c r="A370" s="3" t="s">
        <v>2096</v>
      </c>
      <c r="B370" s="4" t="s">
        <v>2769</v>
      </c>
      <c r="C370" t="s">
        <v>1159</v>
      </c>
      <c r="D370">
        <v>1</v>
      </c>
      <c r="E370" t="s">
        <v>974</v>
      </c>
      <c r="F370" t="s">
        <v>975</v>
      </c>
      <c r="G370" t="s">
        <v>180</v>
      </c>
      <c r="H370" s="1" t="s">
        <v>976</v>
      </c>
      <c r="I370" s="1">
        <v>385</v>
      </c>
      <c r="J370" s="20">
        <v>0</v>
      </c>
      <c r="K370" s="1">
        <v>80</v>
      </c>
      <c r="L370" s="1">
        <v>0</v>
      </c>
      <c r="M370" s="43" t="s">
        <v>2764</v>
      </c>
      <c r="O370" s="2" t="s">
        <v>2443</v>
      </c>
      <c r="Q370" t="s">
        <v>745</v>
      </c>
    </row>
    <row r="371" spans="1:17" ht="15" customHeight="1" x14ac:dyDescent="0.25">
      <c r="A371" s="3" t="s">
        <v>2097</v>
      </c>
      <c r="B371" s="4" t="s">
        <v>2777</v>
      </c>
      <c r="C371" t="s">
        <v>1159</v>
      </c>
      <c r="D371">
        <v>1</v>
      </c>
      <c r="E371" t="s">
        <v>974</v>
      </c>
      <c r="F371" t="s">
        <v>975</v>
      </c>
      <c r="G371" t="s">
        <v>180</v>
      </c>
      <c r="H371" s="1" t="s">
        <v>976</v>
      </c>
      <c r="I371" s="1">
        <v>360</v>
      </c>
      <c r="J371" s="20">
        <v>12</v>
      </c>
      <c r="K371" s="1">
        <v>53.1</v>
      </c>
      <c r="L371" s="1">
        <v>637.20000000000005</v>
      </c>
      <c r="M371" s="43" t="s">
        <v>2764</v>
      </c>
      <c r="O371" s="2" t="s">
        <v>2482</v>
      </c>
      <c r="Q371" t="s">
        <v>746</v>
      </c>
    </row>
    <row r="372" spans="1:17" ht="15" customHeight="1" x14ac:dyDescent="0.25">
      <c r="A372" s="3" t="s">
        <v>2098</v>
      </c>
      <c r="B372" s="4" t="s">
        <v>2777</v>
      </c>
      <c r="C372" t="s">
        <v>1159</v>
      </c>
      <c r="D372">
        <v>1</v>
      </c>
      <c r="E372" t="s">
        <v>974</v>
      </c>
      <c r="F372" t="s">
        <v>975</v>
      </c>
      <c r="G372" t="s">
        <v>180</v>
      </c>
      <c r="H372" s="1" t="s">
        <v>976</v>
      </c>
      <c r="I372" s="1">
        <v>360</v>
      </c>
      <c r="J372" s="20">
        <v>2</v>
      </c>
      <c r="K372" s="1">
        <v>53.1</v>
      </c>
      <c r="L372" s="1">
        <v>106.2</v>
      </c>
      <c r="M372" s="43" t="s">
        <v>2764</v>
      </c>
      <c r="O372" s="2" t="s">
        <v>2482</v>
      </c>
      <c r="Q372" t="s">
        <v>746</v>
      </c>
    </row>
    <row r="373" spans="1:17" ht="15" customHeight="1" x14ac:dyDescent="0.25">
      <c r="A373" s="3" t="s">
        <v>2099</v>
      </c>
      <c r="B373" s="4" t="s">
        <v>2777</v>
      </c>
      <c r="C373" t="s">
        <v>1159</v>
      </c>
      <c r="D373">
        <v>1</v>
      </c>
      <c r="E373" t="s">
        <v>974</v>
      </c>
      <c r="F373" t="s">
        <v>975</v>
      </c>
      <c r="G373" t="s">
        <v>180</v>
      </c>
      <c r="H373" s="1" t="s">
        <v>976</v>
      </c>
      <c r="I373" s="1">
        <v>360</v>
      </c>
      <c r="J373" s="20">
        <v>17</v>
      </c>
      <c r="K373" s="1">
        <v>53.1</v>
      </c>
      <c r="L373" s="1">
        <v>902.7</v>
      </c>
      <c r="M373" s="43" t="s">
        <v>2764</v>
      </c>
      <c r="O373" s="2" t="s">
        <v>2482</v>
      </c>
      <c r="Q373" t="s">
        <v>746</v>
      </c>
    </row>
    <row r="374" spans="1:17" ht="15" customHeight="1" x14ac:dyDescent="0.25">
      <c r="A374" s="3" t="s">
        <v>2100</v>
      </c>
      <c r="B374" s="4" t="s">
        <v>2777</v>
      </c>
      <c r="C374" t="s">
        <v>1159</v>
      </c>
      <c r="D374">
        <v>1</v>
      </c>
      <c r="E374" t="s">
        <v>974</v>
      </c>
      <c r="F374" t="s">
        <v>975</v>
      </c>
      <c r="G374" t="s">
        <v>180</v>
      </c>
      <c r="H374" s="1" t="s">
        <v>976</v>
      </c>
      <c r="I374" s="1">
        <v>360</v>
      </c>
      <c r="J374" s="20">
        <v>1</v>
      </c>
      <c r="K374" s="1">
        <v>53.51</v>
      </c>
      <c r="L374" s="1">
        <v>53.51</v>
      </c>
      <c r="M374" s="43" t="s">
        <v>2764</v>
      </c>
      <c r="O374" s="2" t="s">
        <v>2482</v>
      </c>
      <c r="Q374" t="s">
        <v>746</v>
      </c>
    </row>
    <row r="375" spans="1:17" ht="15" customHeight="1" x14ac:dyDescent="0.25">
      <c r="A375" s="3" t="s">
        <v>1233</v>
      </c>
      <c r="B375" s="4" t="s">
        <v>2769</v>
      </c>
      <c r="C375" t="s">
        <v>1159</v>
      </c>
      <c r="D375">
        <v>1</v>
      </c>
      <c r="E375" t="s">
        <v>974</v>
      </c>
      <c r="F375" t="s">
        <v>975</v>
      </c>
      <c r="G375" t="s">
        <v>180</v>
      </c>
      <c r="H375" s="1" t="s">
        <v>976</v>
      </c>
      <c r="I375" s="1">
        <v>490</v>
      </c>
      <c r="J375" s="20">
        <v>2</v>
      </c>
      <c r="K375" s="1">
        <v>90</v>
      </c>
      <c r="L375" s="1">
        <v>180</v>
      </c>
      <c r="M375" s="43" t="s">
        <v>2764</v>
      </c>
      <c r="O375" s="2" t="s">
        <v>2472</v>
      </c>
      <c r="Q375" t="s">
        <v>747</v>
      </c>
    </row>
    <row r="376" spans="1:17" ht="15" customHeight="1" x14ac:dyDescent="0.25">
      <c r="A376" s="42" t="s">
        <v>1233</v>
      </c>
      <c r="B376" s="3" t="s">
        <v>2769</v>
      </c>
      <c r="C376" s="42" t="s">
        <v>1159</v>
      </c>
      <c r="D376">
        <v>3</v>
      </c>
      <c r="E376" t="s">
        <v>1179</v>
      </c>
      <c r="F376" t="s">
        <v>1180</v>
      </c>
      <c r="G376" t="s">
        <v>180</v>
      </c>
      <c r="H376" s="1" t="s">
        <v>976</v>
      </c>
      <c r="I376" s="1">
        <v>490</v>
      </c>
      <c r="J376" s="20">
        <v>0</v>
      </c>
      <c r="K376" s="1">
        <v>90</v>
      </c>
      <c r="L376" s="1">
        <v>0</v>
      </c>
      <c r="M376" s="43" t="s">
        <v>2764</v>
      </c>
      <c r="O376" s="2" t="s">
        <v>2472</v>
      </c>
      <c r="Q376" t="s">
        <v>747</v>
      </c>
    </row>
    <row r="377" spans="1:17" ht="15" customHeight="1" x14ac:dyDescent="0.25">
      <c r="A377" s="3" t="s">
        <v>1234</v>
      </c>
      <c r="B377" s="4" t="s">
        <v>2769</v>
      </c>
      <c r="C377" t="s">
        <v>1159</v>
      </c>
      <c r="D377">
        <v>1</v>
      </c>
      <c r="E377" t="s">
        <v>974</v>
      </c>
      <c r="F377" t="s">
        <v>975</v>
      </c>
      <c r="G377" t="s">
        <v>180</v>
      </c>
      <c r="H377" s="1" t="s">
        <v>976</v>
      </c>
      <c r="I377" s="1">
        <v>490</v>
      </c>
      <c r="J377" s="20">
        <v>8</v>
      </c>
      <c r="K377" s="1">
        <v>90</v>
      </c>
      <c r="L377" s="1">
        <v>720</v>
      </c>
      <c r="M377" s="43" t="s">
        <v>2764</v>
      </c>
      <c r="O377" s="2" t="s">
        <v>2472</v>
      </c>
      <c r="Q377" t="s">
        <v>747</v>
      </c>
    </row>
    <row r="378" spans="1:17" ht="15" customHeight="1" x14ac:dyDescent="0.25">
      <c r="A378" s="42" t="s">
        <v>1234</v>
      </c>
      <c r="B378" s="3" t="s">
        <v>2769</v>
      </c>
      <c r="C378" s="42" t="s">
        <v>1159</v>
      </c>
      <c r="D378">
        <v>3</v>
      </c>
      <c r="E378" t="s">
        <v>1179</v>
      </c>
      <c r="F378" t="s">
        <v>1180</v>
      </c>
      <c r="G378" t="s">
        <v>180</v>
      </c>
      <c r="H378" s="1" t="s">
        <v>976</v>
      </c>
      <c r="I378" s="1">
        <v>490</v>
      </c>
      <c r="J378" s="20">
        <v>0</v>
      </c>
      <c r="K378" s="1">
        <v>90</v>
      </c>
      <c r="L378" s="1">
        <v>0</v>
      </c>
      <c r="M378" s="43" t="s">
        <v>2764</v>
      </c>
      <c r="O378" s="2" t="s">
        <v>2472</v>
      </c>
      <c r="Q378" t="s">
        <v>747</v>
      </c>
    </row>
    <row r="379" spans="1:17" ht="15" customHeight="1" x14ac:dyDescent="0.25">
      <c r="A379" s="3" t="s">
        <v>1235</v>
      </c>
      <c r="B379" s="4" t="s">
        <v>2769</v>
      </c>
      <c r="C379" t="s">
        <v>1159</v>
      </c>
      <c r="D379">
        <v>1</v>
      </c>
      <c r="E379" t="s">
        <v>974</v>
      </c>
      <c r="F379" t="s">
        <v>975</v>
      </c>
      <c r="G379" t="s">
        <v>180</v>
      </c>
      <c r="H379" s="1" t="s">
        <v>976</v>
      </c>
      <c r="I379" s="1">
        <v>490</v>
      </c>
      <c r="J379" s="20">
        <v>2</v>
      </c>
      <c r="K379" s="1">
        <v>90</v>
      </c>
      <c r="L379" s="1">
        <v>180</v>
      </c>
      <c r="M379" s="43" t="s">
        <v>2764</v>
      </c>
      <c r="O379" s="2" t="s">
        <v>2472</v>
      </c>
      <c r="Q379" t="s">
        <v>747</v>
      </c>
    </row>
    <row r="380" spans="1:17" ht="15" customHeight="1" x14ac:dyDescent="0.25">
      <c r="A380" s="42" t="s">
        <v>1235</v>
      </c>
      <c r="B380" s="3" t="s">
        <v>2769</v>
      </c>
      <c r="C380" s="42" t="s">
        <v>1159</v>
      </c>
      <c r="D380">
        <v>3</v>
      </c>
      <c r="E380" t="s">
        <v>1179</v>
      </c>
      <c r="F380" t="s">
        <v>1180</v>
      </c>
      <c r="G380" t="s">
        <v>180</v>
      </c>
      <c r="H380" s="1" t="s">
        <v>976</v>
      </c>
      <c r="I380" s="1">
        <v>490</v>
      </c>
      <c r="J380" s="20">
        <v>0</v>
      </c>
      <c r="K380" s="1">
        <v>90</v>
      </c>
      <c r="L380" s="1">
        <v>0</v>
      </c>
      <c r="M380" s="43" t="s">
        <v>2764</v>
      </c>
      <c r="O380" s="2" t="s">
        <v>2472</v>
      </c>
      <c r="Q380" t="s">
        <v>747</v>
      </c>
    </row>
    <row r="381" spans="1:17" ht="15" customHeight="1" x14ac:dyDescent="0.25">
      <c r="A381" s="3" t="s">
        <v>1236</v>
      </c>
      <c r="B381" s="4" t="s">
        <v>231</v>
      </c>
      <c r="C381" t="s">
        <v>1219</v>
      </c>
      <c r="D381">
        <v>1</v>
      </c>
      <c r="E381" t="s">
        <v>974</v>
      </c>
      <c r="F381" t="s">
        <v>975</v>
      </c>
      <c r="G381" t="s">
        <v>976</v>
      </c>
      <c r="H381" s="1" t="s">
        <v>976</v>
      </c>
      <c r="I381" s="1">
        <v>468</v>
      </c>
      <c r="J381" s="20">
        <v>4</v>
      </c>
      <c r="K381" s="1">
        <v>90.02</v>
      </c>
      <c r="L381" s="1">
        <v>360.08</v>
      </c>
      <c r="M381" s="43" t="s">
        <v>2778</v>
      </c>
      <c r="P381" t="s">
        <v>24</v>
      </c>
      <c r="Q381" t="s">
        <v>231</v>
      </c>
    </row>
    <row r="382" spans="1:17" ht="15" customHeight="1" x14ac:dyDescent="0.25">
      <c r="A382" s="3" t="s">
        <v>1237</v>
      </c>
      <c r="B382" s="4" t="s">
        <v>232</v>
      </c>
      <c r="C382" t="s">
        <v>1219</v>
      </c>
      <c r="D382">
        <v>1</v>
      </c>
      <c r="E382" t="s">
        <v>974</v>
      </c>
      <c r="F382" t="s">
        <v>975</v>
      </c>
      <c r="G382" t="s">
        <v>976</v>
      </c>
      <c r="H382" s="1" t="s">
        <v>976</v>
      </c>
      <c r="I382" s="1">
        <v>468</v>
      </c>
      <c r="J382" s="20">
        <v>8</v>
      </c>
      <c r="K382" s="1">
        <v>90.02</v>
      </c>
      <c r="L382" s="1">
        <v>720.16</v>
      </c>
      <c r="M382" s="43" t="s">
        <v>2778</v>
      </c>
      <c r="P382" t="s">
        <v>25</v>
      </c>
      <c r="Q382" t="s">
        <v>232</v>
      </c>
    </row>
    <row r="383" spans="1:17" ht="15" customHeight="1" x14ac:dyDescent="0.25">
      <c r="A383" s="3" t="s">
        <v>1238</v>
      </c>
      <c r="B383" s="4" t="s">
        <v>233</v>
      </c>
      <c r="C383" t="s">
        <v>1219</v>
      </c>
      <c r="D383">
        <v>1</v>
      </c>
      <c r="E383" t="s">
        <v>974</v>
      </c>
      <c r="F383" t="s">
        <v>975</v>
      </c>
      <c r="G383" t="s">
        <v>976</v>
      </c>
      <c r="H383" s="1" t="s">
        <v>976</v>
      </c>
      <c r="I383" s="1">
        <v>468</v>
      </c>
      <c r="J383" s="20">
        <v>2</v>
      </c>
      <c r="K383" s="1">
        <v>90.02</v>
      </c>
      <c r="L383" s="1">
        <v>180.04</v>
      </c>
      <c r="M383" s="43" t="s">
        <v>2778</v>
      </c>
      <c r="P383" t="s">
        <v>23</v>
      </c>
      <c r="Q383" t="s">
        <v>233</v>
      </c>
    </row>
    <row r="384" spans="1:17" ht="15" customHeight="1" x14ac:dyDescent="0.25">
      <c r="A384" s="3" t="s">
        <v>1239</v>
      </c>
      <c r="B384" s="4" t="s">
        <v>234</v>
      </c>
      <c r="C384" t="s">
        <v>1219</v>
      </c>
      <c r="D384">
        <v>1</v>
      </c>
      <c r="E384" t="s">
        <v>974</v>
      </c>
      <c r="F384" t="s">
        <v>975</v>
      </c>
      <c r="G384" t="s">
        <v>976</v>
      </c>
      <c r="H384" s="1" t="s">
        <v>976</v>
      </c>
      <c r="I384" s="1">
        <v>468</v>
      </c>
      <c r="J384" s="20">
        <v>6</v>
      </c>
      <c r="K384" s="1">
        <v>90.02</v>
      </c>
      <c r="L384" s="1">
        <v>540.12</v>
      </c>
      <c r="M384" s="43" t="s">
        <v>2778</v>
      </c>
      <c r="P384" t="s">
        <v>22</v>
      </c>
      <c r="Q384" t="s">
        <v>234</v>
      </c>
    </row>
    <row r="385" spans="1:17" ht="15" customHeight="1" x14ac:dyDescent="0.25">
      <c r="A385" s="3" t="s">
        <v>1240</v>
      </c>
      <c r="B385" s="4" t="s">
        <v>2780</v>
      </c>
      <c r="C385" t="s">
        <v>1241</v>
      </c>
      <c r="D385">
        <v>1</v>
      </c>
      <c r="E385" t="s">
        <v>974</v>
      </c>
      <c r="F385" t="s">
        <v>975</v>
      </c>
      <c r="G385" t="s">
        <v>180</v>
      </c>
      <c r="H385" s="1" t="s">
        <v>976</v>
      </c>
      <c r="I385" s="1">
        <v>0</v>
      </c>
      <c r="J385" s="20">
        <v>0</v>
      </c>
      <c r="K385" s="1">
        <v>0</v>
      </c>
      <c r="L385" s="1">
        <v>0</v>
      </c>
      <c r="M385" s="43" t="s">
        <v>2779</v>
      </c>
      <c r="O385" s="2" t="s">
        <v>2447</v>
      </c>
      <c r="P385">
        <v>36</v>
      </c>
      <c r="Q385" t="s">
        <v>748</v>
      </c>
    </row>
    <row r="386" spans="1:17" ht="15" customHeight="1" x14ac:dyDescent="0.25">
      <c r="A386" s="3" t="s">
        <v>1242</v>
      </c>
      <c r="B386" s="4" t="s">
        <v>2780</v>
      </c>
      <c r="C386" t="s">
        <v>1241</v>
      </c>
      <c r="D386">
        <v>1</v>
      </c>
      <c r="E386" t="s">
        <v>974</v>
      </c>
      <c r="F386" t="s">
        <v>975</v>
      </c>
      <c r="G386" t="s">
        <v>180</v>
      </c>
      <c r="H386" s="1" t="s">
        <v>976</v>
      </c>
      <c r="I386" s="1">
        <v>0</v>
      </c>
      <c r="J386" s="20">
        <v>0</v>
      </c>
      <c r="K386" s="1">
        <v>0</v>
      </c>
      <c r="L386" s="1">
        <v>0</v>
      </c>
      <c r="M386" s="43" t="s">
        <v>2779</v>
      </c>
      <c r="O386" s="2" t="s">
        <v>2447</v>
      </c>
      <c r="P386">
        <v>38</v>
      </c>
      <c r="Q386" t="s">
        <v>748</v>
      </c>
    </row>
    <row r="387" spans="1:17" ht="15" customHeight="1" x14ac:dyDescent="0.25">
      <c r="A387" s="3" t="s">
        <v>1243</v>
      </c>
      <c r="B387" s="4" t="s">
        <v>2780</v>
      </c>
      <c r="C387" t="s">
        <v>1241</v>
      </c>
      <c r="D387">
        <v>1</v>
      </c>
      <c r="E387" t="s">
        <v>974</v>
      </c>
      <c r="F387" t="s">
        <v>975</v>
      </c>
      <c r="G387" t="s">
        <v>180</v>
      </c>
      <c r="H387" s="1" t="s">
        <v>976</v>
      </c>
      <c r="I387" s="1">
        <v>0</v>
      </c>
      <c r="J387" s="20">
        <v>0</v>
      </c>
      <c r="K387" s="1">
        <v>0</v>
      </c>
      <c r="L387" s="1">
        <v>0</v>
      </c>
      <c r="M387" s="43" t="s">
        <v>2779</v>
      </c>
      <c r="O387" s="2" t="s">
        <v>2447</v>
      </c>
      <c r="P387">
        <v>40</v>
      </c>
      <c r="Q387" t="s">
        <v>748</v>
      </c>
    </row>
    <row r="388" spans="1:17" ht="15" customHeight="1" x14ac:dyDescent="0.25">
      <c r="A388" s="3" t="s">
        <v>1244</v>
      </c>
      <c r="B388" s="4" t="s">
        <v>2780</v>
      </c>
      <c r="C388" t="s">
        <v>1241</v>
      </c>
      <c r="D388">
        <v>1</v>
      </c>
      <c r="E388" t="s">
        <v>974</v>
      </c>
      <c r="F388" t="s">
        <v>975</v>
      </c>
      <c r="G388" t="s">
        <v>180</v>
      </c>
      <c r="H388" s="1" t="s">
        <v>976</v>
      </c>
      <c r="I388" s="1">
        <v>0</v>
      </c>
      <c r="J388" s="20">
        <v>0</v>
      </c>
      <c r="K388" s="1">
        <v>0</v>
      </c>
      <c r="L388" s="1">
        <v>0</v>
      </c>
      <c r="M388" s="43" t="s">
        <v>2779</v>
      </c>
      <c r="O388" s="2" t="s">
        <v>2447</v>
      </c>
      <c r="P388">
        <v>42</v>
      </c>
      <c r="Q388" t="s">
        <v>748</v>
      </c>
    </row>
    <row r="389" spans="1:17" ht="15" customHeight="1" x14ac:dyDescent="0.25">
      <c r="A389" s="3" t="s">
        <v>1245</v>
      </c>
      <c r="B389" s="4" t="s">
        <v>2780</v>
      </c>
      <c r="C389" t="s">
        <v>1241</v>
      </c>
      <c r="D389">
        <v>1</v>
      </c>
      <c r="E389" t="s">
        <v>974</v>
      </c>
      <c r="F389" t="s">
        <v>975</v>
      </c>
      <c r="G389" t="s">
        <v>180</v>
      </c>
      <c r="H389" s="1" t="s">
        <v>976</v>
      </c>
      <c r="I389" s="1">
        <v>0</v>
      </c>
      <c r="J389" s="20">
        <v>0</v>
      </c>
      <c r="K389" s="1">
        <v>0</v>
      </c>
      <c r="L389" s="1">
        <v>0</v>
      </c>
      <c r="M389" s="43" t="s">
        <v>2779</v>
      </c>
      <c r="O389" s="2" t="s">
        <v>2447</v>
      </c>
      <c r="P389">
        <v>44</v>
      </c>
      <c r="Q389" t="s">
        <v>748</v>
      </c>
    </row>
    <row r="390" spans="1:17" ht="15" customHeight="1" x14ac:dyDescent="0.25">
      <c r="A390" s="3" t="s">
        <v>1246</v>
      </c>
      <c r="B390" s="4" t="s">
        <v>2780</v>
      </c>
      <c r="C390" t="s">
        <v>1241</v>
      </c>
      <c r="D390">
        <v>1</v>
      </c>
      <c r="E390" t="s">
        <v>974</v>
      </c>
      <c r="F390" t="s">
        <v>975</v>
      </c>
      <c r="G390" t="s">
        <v>180</v>
      </c>
      <c r="H390" s="1" t="s">
        <v>976</v>
      </c>
      <c r="I390" s="1">
        <v>0</v>
      </c>
      <c r="J390" s="20">
        <v>0</v>
      </c>
      <c r="K390" s="1">
        <v>0</v>
      </c>
      <c r="L390" s="1">
        <v>0</v>
      </c>
      <c r="M390" s="43" t="s">
        <v>2779</v>
      </c>
      <c r="O390" s="2" t="s">
        <v>2447</v>
      </c>
      <c r="P390">
        <v>46</v>
      </c>
      <c r="Q390" t="s">
        <v>748</v>
      </c>
    </row>
    <row r="391" spans="1:17" ht="15" customHeight="1" x14ac:dyDescent="0.25">
      <c r="A391" s="3" t="s">
        <v>1247</v>
      </c>
      <c r="B391" s="4" t="s">
        <v>2780</v>
      </c>
      <c r="C391" t="s">
        <v>1241</v>
      </c>
      <c r="D391">
        <v>1</v>
      </c>
      <c r="E391" t="s">
        <v>974</v>
      </c>
      <c r="F391" t="s">
        <v>975</v>
      </c>
      <c r="G391" t="s">
        <v>976</v>
      </c>
      <c r="H391" s="1" t="s">
        <v>976</v>
      </c>
      <c r="I391" s="1">
        <v>0</v>
      </c>
      <c r="J391" s="20">
        <v>0</v>
      </c>
      <c r="K391" s="1">
        <v>0</v>
      </c>
      <c r="L391" s="1">
        <v>0</v>
      </c>
      <c r="M391" s="43" t="s">
        <v>2779</v>
      </c>
      <c r="O391" s="2" t="s">
        <v>2443</v>
      </c>
      <c r="P391">
        <v>36</v>
      </c>
      <c r="Q391" t="s">
        <v>749</v>
      </c>
    </row>
    <row r="392" spans="1:17" ht="15" customHeight="1" x14ac:dyDescent="0.25">
      <c r="A392" s="3" t="s">
        <v>1248</v>
      </c>
      <c r="B392" s="4" t="s">
        <v>2780</v>
      </c>
      <c r="C392" t="s">
        <v>1241</v>
      </c>
      <c r="D392">
        <v>1</v>
      </c>
      <c r="E392" t="s">
        <v>974</v>
      </c>
      <c r="F392" t="s">
        <v>975</v>
      </c>
      <c r="G392" t="s">
        <v>976</v>
      </c>
      <c r="H392" s="1" t="s">
        <v>976</v>
      </c>
      <c r="I392" s="1">
        <v>0</v>
      </c>
      <c r="J392" s="20">
        <v>0</v>
      </c>
      <c r="K392" s="1">
        <v>0</v>
      </c>
      <c r="L392" s="1">
        <v>0</v>
      </c>
      <c r="M392" s="43" t="s">
        <v>2779</v>
      </c>
      <c r="O392" s="2" t="s">
        <v>2443</v>
      </c>
      <c r="P392">
        <v>38</v>
      </c>
      <c r="Q392" t="s">
        <v>749</v>
      </c>
    </row>
    <row r="393" spans="1:17" ht="15" customHeight="1" x14ac:dyDescent="0.25">
      <c r="A393" s="3" t="s">
        <v>1249</v>
      </c>
      <c r="B393" s="4" t="s">
        <v>2780</v>
      </c>
      <c r="C393" t="s">
        <v>1241</v>
      </c>
      <c r="D393">
        <v>1</v>
      </c>
      <c r="E393" t="s">
        <v>974</v>
      </c>
      <c r="F393" t="s">
        <v>975</v>
      </c>
      <c r="G393" t="s">
        <v>976</v>
      </c>
      <c r="H393" s="1" t="s">
        <v>976</v>
      </c>
      <c r="I393" s="1">
        <v>0</v>
      </c>
      <c r="J393" s="20">
        <v>0</v>
      </c>
      <c r="K393" s="1">
        <v>0</v>
      </c>
      <c r="L393" s="1">
        <v>0</v>
      </c>
      <c r="M393" s="43" t="s">
        <v>2779</v>
      </c>
      <c r="O393" s="2" t="s">
        <v>2443</v>
      </c>
      <c r="P393">
        <v>40</v>
      </c>
      <c r="Q393" t="s">
        <v>749</v>
      </c>
    </row>
    <row r="394" spans="1:17" ht="15" customHeight="1" x14ac:dyDescent="0.25">
      <c r="A394" s="3" t="s">
        <v>1250</v>
      </c>
      <c r="B394" s="4" t="s">
        <v>2780</v>
      </c>
      <c r="C394" t="s">
        <v>1241</v>
      </c>
      <c r="D394">
        <v>1</v>
      </c>
      <c r="E394" t="s">
        <v>974</v>
      </c>
      <c r="F394" t="s">
        <v>975</v>
      </c>
      <c r="G394" t="s">
        <v>976</v>
      </c>
      <c r="H394" s="1" t="s">
        <v>976</v>
      </c>
      <c r="I394" s="1">
        <v>0</v>
      </c>
      <c r="J394" s="20">
        <v>0</v>
      </c>
      <c r="K394" s="1">
        <v>0</v>
      </c>
      <c r="L394" s="1">
        <v>0</v>
      </c>
      <c r="M394" s="43" t="s">
        <v>2779</v>
      </c>
      <c r="O394" s="2" t="s">
        <v>2443</v>
      </c>
      <c r="P394">
        <v>42</v>
      </c>
      <c r="Q394" t="s">
        <v>749</v>
      </c>
    </row>
    <row r="395" spans="1:17" ht="15" customHeight="1" x14ac:dyDescent="0.25">
      <c r="A395" s="3" t="s">
        <v>1251</v>
      </c>
      <c r="B395" s="4" t="s">
        <v>2780</v>
      </c>
      <c r="C395" t="s">
        <v>1241</v>
      </c>
      <c r="D395">
        <v>1</v>
      </c>
      <c r="E395" t="s">
        <v>974</v>
      </c>
      <c r="F395" t="s">
        <v>975</v>
      </c>
      <c r="G395" t="s">
        <v>976</v>
      </c>
      <c r="H395" s="1" t="s">
        <v>976</v>
      </c>
      <c r="I395" s="1">
        <v>0</v>
      </c>
      <c r="J395" s="20">
        <v>0</v>
      </c>
      <c r="K395" s="1">
        <v>0</v>
      </c>
      <c r="L395" s="1">
        <v>0</v>
      </c>
      <c r="M395" s="43" t="s">
        <v>2779</v>
      </c>
      <c r="O395" s="2" t="s">
        <v>2443</v>
      </c>
      <c r="P395">
        <v>44</v>
      </c>
      <c r="Q395" t="s">
        <v>749</v>
      </c>
    </row>
    <row r="396" spans="1:17" ht="15" customHeight="1" x14ac:dyDescent="0.25">
      <c r="A396" s="3" t="s">
        <v>1252</v>
      </c>
      <c r="B396" s="4" t="s">
        <v>2780</v>
      </c>
      <c r="C396" t="s">
        <v>1241</v>
      </c>
      <c r="D396">
        <v>1</v>
      </c>
      <c r="E396" t="s">
        <v>974</v>
      </c>
      <c r="F396" t="s">
        <v>975</v>
      </c>
      <c r="G396" t="s">
        <v>976</v>
      </c>
      <c r="H396" s="1" t="s">
        <v>976</v>
      </c>
      <c r="I396" s="1">
        <v>0</v>
      </c>
      <c r="J396" s="20">
        <v>0</v>
      </c>
      <c r="K396" s="1">
        <v>0</v>
      </c>
      <c r="L396" s="1">
        <v>0</v>
      </c>
      <c r="M396" s="43" t="s">
        <v>2779</v>
      </c>
      <c r="O396" s="2" t="s">
        <v>2443</v>
      </c>
      <c r="P396">
        <v>46</v>
      </c>
      <c r="Q396" t="s">
        <v>749</v>
      </c>
    </row>
    <row r="397" spans="1:17" ht="15" customHeight="1" x14ac:dyDescent="0.25">
      <c r="A397" s="3" t="s">
        <v>1253</v>
      </c>
      <c r="B397" s="4" t="s">
        <v>2782</v>
      </c>
      <c r="C397" t="s">
        <v>1254</v>
      </c>
      <c r="D397">
        <v>1</v>
      </c>
      <c r="E397" t="s">
        <v>974</v>
      </c>
      <c r="F397" t="s">
        <v>975</v>
      </c>
      <c r="G397" t="s">
        <v>976</v>
      </c>
      <c r="H397" s="1" t="s">
        <v>976</v>
      </c>
      <c r="I397" s="1">
        <v>460</v>
      </c>
      <c r="J397" s="20">
        <v>8</v>
      </c>
      <c r="K397" s="1">
        <v>85</v>
      </c>
      <c r="L397" s="1">
        <v>680</v>
      </c>
      <c r="M397" s="43" t="s">
        <v>2781</v>
      </c>
      <c r="O397" s="2" t="s">
        <v>2443</v>
      </c>
      <c r="P397" t="s">
        <v>24</v>
      </c>
      <c r="Q397" t="s">
        <v>750</v>
      </c>
    </row>
    <row r="398" spans="1:17" ht="15" customHeight="1" x14ac:dyDescent="0.25">
      <c r="A398" s="3" t="s">
        <v>1255</v>
      </c>
      <c r="B398" s="4" t="s">
        <v>2782</v>
      </c>
      <c r="C398" t="s">
        <v>1254</v>
      </c>
      <c r="D398">
        <v>1</v>
      </c>
      <c r="E398" t="s">
        <v>974</v>
      </c>
      <c r="F398" t="s">
        <v>975</v>
      </c>
      <c r="G398" t="s">
        <v>976</v>
      </c>
      <c r="H398" s="1" t="s">
        <v>976</v>
      </c>
      <c r="I398" s="1">
        <v>460</v>
      </c>
      <c r="J398" s="20">
        <v>2</v>
      </c>
      <c r="K398" s="1">
        <v>85</v>
      </c>
      <c r="L398" s="1">
        <v>170</v>
      </c>
      <c r="M398" s="43" t="s">
        <v>2781</v>
      </c>
      <c r="O398" s="2" t="s">
        <v>2443</v>
      </c>
      <c r="P398" t="s">
        <v>25</v>
      </c>
      <c r="Q398" t="s">
        <v>750</v>
      </c>
    </row>
    <row r="399" spans="1:17" ht="15" customHeight="1" x14ac:dyDescent="0.25">
      <c r="A399" s="3" t="s">
        <v>1256</v>
      </c>
      <c r="B399" s="4" t="s">
        <v>2782</v>
      </c>
      <c r="C399" t="s">
        <v>1254</v>
      </c>
      <c r="D399">
        <v>1</v>
      </c>
      <c r="E399" t="s">
        <v>974</v>
      </c>
      <c r="F399" t="s">
        <v>975</v>
      </c>
      <c r="G399" t="s">
        <v>976</v>
      </c>
      <c r="H399" s="1" t="s">
        <v>976</v>
      </c>
      <c r="I399" s="1">
        <v>460</v>
      </c>
      <c r="J399" s="20">
        <v>19</v>
      </c>
      <c r="K399" s="1">
        <v>85</v>
      </c>
      <c r="L399" s="1">
        <v>1615</v>
      </c>
      <c r="M399" s="43" t="s">
        <v>2781</v>
      </c>
      <c r="O399" s="2" t="s">
        <v>2443</v>
      </c>
      <c r="P399" t="s">
        <v>23</v>
      </c>
      <c r="Q399" t="s">
        <v>750</v>
      </c>
    </row>
    <row r="400" spans="1:17" ht="15" customHeight="1" x14ac:dyDescent="0.25">
      <c r="A400" s="3" t="s">
        <v>1257</v>
      </c>
      <c r="B400" s="4" t="s">
        <v>2782</v>
      </c>
      <c r="C400" t="s">
        <v>1254</v>
      </c>
      <c r="D400">
        <v>1</v>
      </c>
      <c r="E400" t="s">
        <v>974</v>
      </c>
      <c r="F400" t="s">
        <v>975</v>
      </c>
      <c r="G400" t="s">
        <v>976</v>
      </c>
      <c r="H400" s="1" t="s">
        <v>976</v>
      </c>
      <c r="I400" s="1">
        <v>460</v>
      </c>
      <c r="J400" s="20">
        <v>8</v>
      </c>
      <c r="K400" s="1">
        <v>85</v>
      </c>
      <c r="L400" s="1">
        <v>680</v>
      </c>
      <c r="M400" s="43" t="s">
        <v>2781</v>
      </c>
      <c r="O400" s="2" t="s">
        <v>2443</v>
      </c>
      <c r="P400" t="s">
        <v>22</v>
      </c>
      <c r="Q400" t="s">
        <v>750</v>
      </c>
    </row>
    <row r="401" spans="1:17" ht="15" customHeight="1" x14ac:dyDescent="0.25">
      <c r="A401" s="3" t="s">
        <v>1258</v>
      </c>
      <c r="B401" s="4" t="s">
        <v>2782</v>
      </c>
      <c r="C401" t="s">
        <v>1254</v>
      </c>
      <c r="D401">
        <v>1</v>
      </c>
      <c r="E401" t="s">
        <v>974</v>
      </c>
      <c r="F401" t="s">
        <v>975</v>
      </c>
      <c r="G401" t="s">
        <v>976</v>
      </c>
      <c r="H401" s="1" t="s">
        <v>976</v>
      </c>
      <c r="I401" s="1">
        <v>460</v>
      </c>
      <c r="J401" s="20">
        <v>7</v>
      </c>
      <c r="K401" s="1">
        <v>85</v>
      </c>
      <c r="L401" s="1">
        <v>595</v>
      </c>
      <c r="M401" s="43" t="s">
        <v>2781</v>
      </c>
      <c r="O401" s="2" t="s">
        <v>2443</v>
      </c>
      <c r="P401" t="s">
        <v>21</v>
      </c>
      <c r="Q401" t="s">
        <v>750</v>
      </c>
    </row>
    <row r="402" spans="1:17" ht="15" customHeight="1" x14ac:dyDescent="0.25">
      <c r="A402" s="3" t="s">
        <v>1259</v>
      </c>
      <c r="B402" s="4" t="s">
        <v>2782</v>
      </c>
      <c r="C402" t="s">
        <v>1254</v>
      </c>
      <c r="D402">
        <v>1</v>
      </c>
      <c r="E402" t="s">
        <v>974</v>
      </c>
      <c r="F402" t="s">
        <v>975</v>
      </c>
      <c r="G402" t="s">
        <v>976</v>
      </c>
      <c r="H402" s="1" t="s">
        <v>976</v>
      </c>
      <c r="I402" s="1">
        <v>460</v>
      </c>
      <c r="J402" s="20">
        <v>4</v>
      </c>
      <c r="K402" s="1">
        <v>85</v>
      </c>
      <c r="L402" s="1">
        <v>340</v>
      </c>
      <c r="M402" s="43" t="s">
        <v>2781</v>
      </c>
      <c r="O402" s="2" t="s">
        <v>2443</v>
      </c>
      <c r="Q402" t="s">
        <v>750</v>
      </c>
    </row>
    <row r="403" spans="1:17" ht="15" customHeight="1" x14ac:dyDescent="0.25">
      <c r="A403" s="3" t="s">
        <v>1260</v>
      </c>
      <c r="B403" s="4" t="s">
        <v>235</v>
      </c>
      <c r="C403" t="s">
        <v>1254</v>
      </c>
      <c r="D403">
        <v>1</v>
      </c>
      <c r="E403" t="s">
        <v>974</v>
      </c>
      <c r="F403" t="s">
        <v>975</v>
      </c>
      <c r="G403" t="s">
        <v>976</v>
      </c>
      <c r="H403" s="1" t="s">
        <v>976</v>
      </c>
      <c r="I403" s="1">
        <v>460</v>
      </c>
      <c r="J403" s="20">
        <v>1</v>
      </c>
      <c r="K403" s="1">
        <v>83.3</v>
      </c>
      <c r="L403" s="1">
        <v>83.3</v>
      </c>
      <c r="M403" s="43" t="s">
        <v>2781</v>
      </c>
      <c r="P403" t="s">
        <v>24</v>
      </c>
      <c r="Q403" t="s">
        <v>235</v>
      </c>
    </row>
    <row r="404" spans="1:17" ht="15" customHeight="1" x14ac:dyDescent="0.25">
      <c r="A404" s="3" t="s">
        <v>1261</v>
      </c>
      <c r="B404" s="4" t="s">
        <v>236</v>
      </c>
      <c r="C404" t="s">
        <v>1254</v>
      </c>
      <c r="D404">
        <v>1</v>
      </c>
      <c r="E404" t="s">
        <v>974</v>
      </c>
      <c r="F404" t="s">
        <v>975</v>
      </c>
      <c r="G404" t="s">
        <v>976</v>
      </c>
      <c r="H404" s="1" t="s">
        <v>976</v>
      </c>
      <c r="I404" s="1">
        <v>460</v>
      </c>
      <c r="J404" s="20">
        <v>1</v>
      </c>
      <c r="K404" s="1">
        <v>83.8</v>
      </c>
      <c r="L404" s="1">
        <v>83.8</v>
      </c>
      <c r="M404" s="43" t="s">
        <v>2781</v>
      </c>
      <c r="P404" t="s">
        <v>25</v>
      </c>
      <c r="Q404" t="s">
        <v>236</v>
      </c>
    </row>
    <row r="405" spans="1:17" ht="15" customHeight="1" x14ac:dyDescent="0.25">
      <c r="A405" s="3" t="s">
        <v>1262</v>
      </c>
      <c r="B405" s="4" t="s">
        <v>237</v>
      </c>
      <c r="C405" t="s">
        <v>1254</v>
      </c>
      <c r="D405">
        <v>1</v>
      </c>
      <c r="E405" t="s">
        <v>974</v>
      </c>
      <c r="F405" t="s">
        <v>975</v>
      </c>
      <c r="G405" t="s">
        <v>976</v>
      </c>
      <c r="H405" s="1" t="s">
        <v>976</v>
      </c>
      <c r="I405" s="1">
        <v>460</v>
      </c>
      <c r="J405" s="20">
        <v>0</v>
      </c>
      <c r="K405" s="1">
        <v>83.8</v>
      </c>
      <c r="L405" s="1">
        <v>0</v>
      </c>
      <c r="M405" s="43" t="s">
        <v>2781</v>
      </c>
      <c r="P405" t="s">
        <v>22</v>
      </c>
      <c r="Q405" t="s">
        <v>237</v>
      </c>
    </row>
    <row r="406" spans="1:17" ht="15" customHeight="1" x14ac:dyDescent="0.25">
      <c r="A406" s="3" t="s">
        <v>1263</v>
      </c>
      <c r="B406" s="4" t="s">
        <v>238</v>
      </c>
      <c r="C406" t="s">
        <v>1254</v>
      </c>
      <c r="D406">
        <v>1</v>
      </c>
      <c r="E406" t="s">
        <v>974</v>
      </c>
      <c r="F406" t="s">
        <v>975</v>
      </c>
      <c r="G406" t="s">
        <v>976</v>
      </c>
      <c r="H406" s="1" t="s">
        <v>976</v>
      </c>
      <c r="I406" s="1">
        <v>460</v>
      </c>
      <c r="J406" s="20">
        <v>0</v>
      </c>
      <c r="K406" s="1">
        <v>83.8</v>
      </c>
      <c r="L406" s="1">
        <v>0</v>
      </c>
      <c r="M406" s="43" t="s">
        <v>2781</v>
      </c>
      <c r="P406" t="s">
        <v>21</v>
      </c>
      <c r="Q406" t="s">
        <v>238</v>
      </c>
    </row>
    <row r="407" spans="1:17" ht="15" customHeight="1" x14ac:dyDescent="0.25">
      <c r="A407" s="3" t="s">
        <v>1264</v>
      </c>
      <c r="B407" s="4" t="s">
        <v>239</v>
      </c>
      <c r="C407" t="s">
        <v>1254</v>
      </c>
      <c r="D407">
        <v>1</v>
      </c>
      <c r="E407" t="s">
        <v>974</v>
      </c>
      <c r="F407" t="s">
        <v>975</v>
      </c>
      <c r="G407" t="s">
        <v>976</v>
      </c>
      <c r="H407" s="1" t="s">
        <v>976</v>
      </c>
      <c r="I407" s="1">
        <v>460</v>
      </c>
      <c r="J407" s="20">
        <v>6</v>
      </c>
      <c r="K407" s="1">
        <v>83.8</v>
      </c>
      <c r="L407" s="1">
        <v>502.8</v>
      </c>
      <c r="M407" s="43" t="s">
        <v>2781</v>
      </c>
      <c r="P407" t="s">
        <v>23</v>
      </c>
      <c r="Q407" t="s">
        <v>239</v>
      </c>
    </row>
    <row r="408" spans="1:17" ht="15" customHeight="1" x14ac:dyDescent="0.25">
      <c r="A408" s="3" t="s">
        <v>1265</v>
      </c>
      <c r="B408" s="4" t="s">
        <v>2783</v>
      </c>
      <c r="C408" t="s">
        <v>1266</v>
      </c>
      <c r="D408">
        <v>1</v>
      </c>
      <c r="E408" t="s">
        <v>974</v>
      </c>
      <c r="F408" t="s">
        <v>975</v>
      </c>
      <c r="G408" t="s">
        <v>180</v>
      </c>
      <c r="H408" s="1" t="s">
        <v>976</v>
      </c>
      <c r="I408" s="1">
        <v>710</v>
      </c>
      <c r="J408" s="20">
        <v>0</v>
      </c>
      <c r="K408" s="1">
        <v>0</v>
      </c>
      <c r="L408" s="1">
        <v>0</v>
      </c>
      <c r="M408" s="43" t="s">
        <v>2781</v>
      </c>
      <c r="O408" s="2" t="s">
        <v>2443</v>
      </c>
      <c r="Q408" t="s">
        <v>751</v>
      </c>
    </row>
    <row r="409" spans="1:17" ht="15" customHeight="1" x14ac:dyDescent="0.25">
      <c r="A409" s="3" t="s">
        <v>1267</v>
      </c>
      <c r="B409" s="4" t="s">
        <v>2784</v>
      </c>
      <c r="C409" t="s">
        <v>1254</v>
      </c>
      <c r="D409">
        <v>1</v>
      </c>
      <c r="E409" t="s">
        <v>974</v>
      </c>
      <c r="F409" t="s">
        <v>975</v>
      </c>
      <c r="G409" t="s">
        <v>976</v>
      </c>
      <c r="H409" s="1" t="s">
        <v>976</v>
      </c>
      <c r="I409" s="1">
        <v>0</v>
      </c>
      <c r="J409" s="20">
        <v>2</v>
      </c>
      <c r="K409" s="1">
        <v>0</v>
      </c>
      <c r="L409" s="1">
        <v>0</v>
      </c>
      <c r="M409" s="43" t="s">
        <v>2781</v>
      </c>
      <c r="O409" s="2" t="s">
        <v>2467</v>
      </c>
      <c r="P409" t="s">
        <v>24</v>
      </c>
      <c r="Q409" t="s">
        <v>752</v>
      </c>
    </row>
    <row r="410" spans="1:17" ht="15" customHeight="1" x14ac:dyDescent="0.25">
      <c r="A410" s="3" t="s">
        <v>1268</v>
      </c>
      <c r="B410" s="4" t="s">
        <v>2784</v>
      </c>
      <c r="C410" t="s">
        <v>1254</v>
      </c>
      <c r="D410">
        <v>1</v>
      </c>
      <c r="E410" t="s">
        <v>974</v>
      </c>
      <c r="F410" t="s">
        <v>975</v>
      </c>
      <c r="G410" t="s">
        <v>976</v>
      </c>
      <c r="H410" s="1" t="s">
        <v>976</v>
      </c>
      <c r="I410" s="1">
        <v>0</v>
      </c>
      <c r="J410" s="20">
        <v>2</v>
      </c>
      <c r="K410" s="1">
        <v>0</v>
      </c>
      <c r="L410" s="1">
        <v>0</v>
      </c>
      <c r="M410" s="43" t="s">
        <v>2781</v>
      </c>
      <c r="O410" s="2" t="s">
        <v>2467</v>
      </c>
      <c r="P410" t="s">
        <v>23</v>
      </c>
      <c r="Q410" t="s">
        <v>752</v>
      </c>
    </row>
    <row r="411" spans="1:17" ht="15" customHeight="1" x14ac:dyDescent="0.25">
      <c r="A411" s="3" t="s">
        <v>1269</v>
      </c>
      <c r="B411" s="4" t="s">
        <v>753</v>
      </c>
      <c r="C411" t="s">
        <v>1241</v>
      </c>
      <c r="D411">
        <v>1</v>
      </c>
      <c r="E411" t="s">
        <v>974</v>
      </c>
      <c r="F411" t="s">
        <v>975</v>
      </c>
      <c r="G411" t="s">
        <v>976</v>
      </c>
      <c r="H411" s="1" t="s">
        <v>976</v>
      </c>
      <c r="I411" s="1">
        <v>2300</v>
      </c>
      <c r="J411" s="20">
        <v>-1</v>
      </c>
      <c r="K411" s="1">
        <v>0</v>
      </c>
      <c r="L411" s="1">
        <v>0</v>
      </c>
      <c r="M411" s="43" t="s">
        <v>2785</v>
      </c>
      <c r="N411" s="1" t="s">
        <v>2616</v>
      </c>
      <c r="Q411" t="s">
        <v>753</v>
      </c>
    </row>
    <row r="412" spans="1:17" ht="15" customHeight="1" x14ac:dyDescent="0.25">
      <c r="A412" s="42" t="s">
        <v>1269</v>
      </c>
      <c r="B412" s="3" t="s">
        <v>753</v>
      </c>
      <c r="C412" s="42" t="s">
        <v>1241</v>
      </c>
      <c r="D412">
        <v>4</v>
      </c>
      <c r="E412" t="s">
        <v>1018</v>
      </c>
      <c r="F412" t="s">
        <v>975</v>
      </c>
      <c r="G412" t="s">
        <v>976</v>
      </c>
      <c r="H412" s="1" t="s">
        <v>976</v>
      </c>
      <c r="I412" s="1">
        <v>2300</v>
      </c>
      <c r="J412" s="20">
        <v>1</v>
      </c>
      <c r="K412" s="1">
        <v>0.1</v>
      </c>
      <c r="L412" s="1">
        <v>0.1</v>
      </c>
      <c r="M412" s="43" t="s">
        <v>2785</v>
      </c>
      <c r="N412" s="1" t="s">
        <v>2616</v>
      </c>
      <c r="Q412" t="s">
        <v>753</v>
      </c>
    </row>
    <row r="413" spans="1:17" ht="15" customHeight="1" x14ac:dyDescent="0.25">
      <c r="A413" s="3" t="s">
        <v>1270</v>
      </c>
      <c r="B413" s="4" t="s">
        <v>240</v>
      </c>
      <c r="C413" t="s">
        <v>1241</v>
      </c>
      <c r="D413">
        <v>1</v>
      </c>
      <c r="E413" t="s">
        <v>974</v>
      </c>
      <c r="F413" t="s">
        <v>975</v>
      </c>
      <c r="G413" t="s">
        <v>976</v>
      </c>
      <c r="H413" s="1" t="s">
        <v>976</v>
      </c>
      <c r="I413" s="1">
        <v>2300</v>
      </c>
      <c r="J413" s="20">
        <v>1</v>
      </c>
      <c r="K413" s="1">
        <v>399</v>
      </c>
      <c r="L413" s="1">
        <v>399</v>
      </c>
      <c r="M413" s="43" t="s">
        <v>2785</v>
      </c>
      <c r="P413" t="s">
        <v>24</v>
      </c>
      <c r="Q413" t="s">
        <v>240</v>
      </c>
    </row>
    <row r="414" spans="1:17" ht="15" customHeight="1" x14ac:dyDescent="0.25">
      <c r="A414" s="3" t="s">
        <v>1271</v>
      </c>
      <c r="B414" s="4" t="s">
        <v>241</v>
      </c>
      <c r="C414" t="s">
        <v>1241</v>
      </c>
      <c r="D414">
        <v>1</v>
      </c>
      <c r="E414" t="s">
        <v>974</v>
      </c>
      <c r="F414" t="s">
        <v>975</v>
      </c>
      <c r="G414" t="s">
        <v>976</v>
      </c>
      <c r="H414" s="1" t="s">
        <v>976</v>
      </c>
      <c r="I414" s="1">
        <v>2300</v>
      </c>
      <c r="J414" s="20">
        <v>4</v>
      </c>
      <c r="K414" s="1">
        <v>319.2</v>
      </c>
      <c r="L414" s="1">
        <v>1276.8</v>
      </c>
      <c r="M414" s="43" t="s">
        <v>2785</v>
      </c>
      <c r="P414" t="s">
        <v>23</v>
      </c>
      <c r="Q414" t="s">
        <v>241</v>
      </c>
    </row>
    <row r="415" spans="1:17" ht="15" customHeight="1" x14ac:dyDescent="0.25">
      <c r="A415" s="3" t="s">
        <v>1272</v>
      </c>
      <c r="B415" s="4" t="s">
        <v>242</v>
      </c>
      <c r="C415" t="s">
        <v>1241</v>
      </c>
      <c r="D415">
        <v>1</v>
      </c>
      <c r="E415" t="s">
        <v>974</v>
      </c>
      <c r="F415" t="s">
        <v>975</v>
      </c>
      <c r="G415" t="s">
        <v>976</v>
      </c>
      <c r="H415" s="1" t="s">
        <v>976</v>
      </c>
      <c r="I415" s="1">
        <v>2300</v>
      </c>
      <c r="J415" s="20">
        <v>6</v>
      </c>
      <c r="K415" s="1">
        <v>399</v>
      </c>
      <c r="L415" s="1">
        <v>2394</v>
      </c>
      <c r="M415" s="43" t="s">
        <v>2785</v>
      </c>
      <c r="P415" t="s">
        <v>22</v>
      </c>
      <c r="Q415" t="s">
        <v>242</v>
      </c>
    </row>
    <row r="416" spans="1:17" ht="15" customHeight="1" x14ac:dyDescent="0.25">
      <c r="A416" s="3" t="s">
        <v>1273</v>
      </c>
      <c r="B416" s="4" t="s">
        <v>243</v>
      </c>
      <c r="C416" t="s">
        <v>1241</v>
      </c>
      <c r="D416">
        <v>1</v>
      </c>
      <c r="E416" t="s">
        <v>974</v>
      </c>
      <c r="F416" t="s">
        <v>975</v>
      </c>
      <c r="G416" t="s">
        <v>976</v>
      </c>
      <c r="H416" s="1" t="s">
        <v>976</v>
      </c>
      <c r="I416" s="1">
        <v>2300</v>
      </c>
      <c r="J416" s="20">
        <v>2</v>
      </c>
      <c r="K416" s="1">
        <v>399</v>
      </c>
      <c r="L416" s="1">
        <v>798</v>
      </c>
      <c r="M416" s="43" t="s">
        <v>2785</v>
      </c>
      <c r="P416" t="s">
        <v>21</v>
      </c>
      <c r="Q416" t="s">
        <v>243</v>
      </c>
    </row>
    <row r="417" spans="1:17" ht="15" customHeight="1" x14ac:dyDescent="0.25">
      <c r="A417" s="3" t="s">
        <v>1274</v>
      </c>
      <c r="B417" s="4" t="s">
        <v>2786</v>
      </c>
      <c r="C417" t="s">
        <v>1241</v>
      </c>
      <c r="D417">
        <v>1</v>
      </c>
      <c r="E417" t="s">
        <v>974</v>
      </c>
      <c r="F417" t="s">
        <v>975</v>
      </c>
      <c r="G417" t="s">
        <v>976</v>
      </c>
      <c r="H417" s="1" t="s">
        <v>976</v>
      </c>
      <c r="I417" s="1">
        <v>2300</v>
      </c>
      <c r="J417" s="20">
        <v>1</v>
      </c>
      <c r="K417" s="1">
        <v>391</v>
      </c>
      <c r="L417" s="1">
        <v>391</v>
      </c>
      <c r="M417" s="43" t="s">
        <v>2785</v>
      </c>
      <c r="O417" s="2" t="s">
        <v>2472</v>
      </c>
      <c r="P417" t="s">
        <v>24</v>
      </c>
      <c r="Q417" t="s">
        <v>754</v>
      </c>
    </row>
    <row r="418" spans="1:17" ht="15" customHeight="1" x14ac:dyDescent="0.25">
      <c r="A418" s="3" t="s">
        <v>1275</v>
      </c>
      <c r="B418" s="4" t="s">
        <v>2786</v>
      </c>
      <c r="C418" t="s">
        <v>1241</v>
      </c>
      <c r="D418">
        <v>1</v>
      </c>
      <c r="E418" t="s">
        <v>974</v>
      </c>
      <c r="F418" t="s">
        <v>975</v>
      </c>
      <c r="G418" t="s">
        <v>976</v>
      </c>
      <c r="H418" s="1" t="s">
        <v>976</v>
      </c>
      <c r="I418" s="1">
        <v>2300</v>
      </c>
      <c r="J418" s="20">
        <v>3</v>
      </c>
      <c r="K418" s="1">
        <v>312.8</v>
      </c>
      <c r="L418" s="1">
        <v>938.4</v>
      </c>
      <c r="M418" s="43" t="s">
        <v>2785</v>
      </c>
      <c r="O418" s="2" t="s">
        <v>2472</v>
      </c>
      <c r="P418" t="s">
        <v>23</v>
      </c>
      <c r="Q418" t="s">
        <v>754</v>
      </c>
    </row>
    <row r="419" spans="1:17" ht="15" customHeight="1" x14ac:dyDescent="0.25">
      <c r="A419" s="3" t="s">
        <v>1276</v>
      </c>
      <c r="B419" s="4" t="s">
        <v>2786</v>
      </c>
      <c r="C419" t="s">
        <v>1241</v>
      </c>
      <c r="D419">
        <v>1</v>
      </c>
      <c r="E419" t="s">
        <v>974</v>
      </c>
      <c r="F419" t="s">
        <v>975</v>
      </c>
      <c r="G419" t="s">
        <v>976</v>
      </c>
      <c r="H419" s="1" t="s">
        <v>976</v>
      </c>
      <c r="I419" s="1">
        <v>2300</v>
      </c>
      <c r="J419" s="20">
        <v>5</v>
      </c>
      <c r="K419" s="1">
        <v>391</v>
      </c>
      <c r="L419" s="1">
        <v>1955</v>
      </c>
      <c r="M419" s="43" t="s">
        <v>2785</v>
      </c>
      <c r="O419" s="2" t="s">
        <v>2472</v>
      </c>
      <c r="P419" t="s">
        <v>22</v>
      </c>
      <c r="Q419" t="s">
        <v>754</v>
      </c>
    </row>
    <row r="420" spans="1:17" ht="15" customHeight="1" x14ac:dyDescent="0.25">
      <c r="A420" s="3" t="s">
        <v>1277</v>
      </c>
      <c r="B420" s="4" t="s">
        <v>2786</v>
      </c>
      <c r="C420" t="s">
        <v>1241</v>
      </c>
      <c r="D420">
        <v>1</v>
      </c>
      <c r="E420" t="s">
        <v>974</v>
      </c>
      <c r="F420" t="s">
        <v>975</v>
      </c>
      <c r="G420" t="s">
        <v>976</v>
      </c>
      <c r="H420" s="1" t="s">
        <v>976</v>
      </c>
      <c r="I420" s="1">
        <v>2300</v>
      </c>
      <c r="J420" s="20">
        <v>2</v>
      </c>
      <c r="K420" s="1">
        <v>391</v>
      </c>
      <c r="L420" s="1">
        <v>782</v>
      </c>
      <c r="M420" s="43" t="s">
        <v>2785</v>
      </c>
      <c r="O420" s="2" t="s">
        <v>2472</v>
      </c>
      <c r="P420" t="s">
        <v>21</v>
      </c>
      <c r="Q420" t="s">
        <v>754</v>
      </c>
    </row>
    <row r="421" spans="1:17" ht="15" customHeight="1" x14ac:dyDescent="0.25">
      <c r="A421" s="3" t="s">
        <v>1278</v>
      </c>
      <c r="B421" s="4" t="s">
        <v>2787</v>
      </c>
      <c r="C421" t="s">
        <v>1241</v>
      </c>
      <c r="D421">
        <v>1</v>
      </c>
      <c r="E421" t="s">
        <v>974</v>
      </c>
      <c r="F421" t="s">
        <v>975</v>
      </c>
      <c r="G421" t="s">
        <v>976</v>
      </c>
      <c r="H421" s="1" t="s">
        <v>976</v>
      </c>
      <c r="I421" s="1">
        <v>1840</v>
      </c>
      <c r="J421" s="20">
        <v>1</v>
      </c>
      <c r="K421" s="1">
        <v>330</v>
      </c>
      <c r="L421" s="1">
        <v>330</v>
      </c>
      <c r="M421" s="43" t="s">
        <v>2785</v>
      </c>
      <c r="O421" s="2" t="s">
        <v>2447</v>
      </c>
      <c r="Q421" t="s">
        <v>755</v>
      </c>
    </row>
    <row r="422" spans="1:17" ht="15" customHeight="1" x14ac:dyDescent="0.25">
      <c r="A422" s="3" t="s">
        <v>1279</v>
      </c>
      <c r="B422" s="4" t="s">
        <v>2787</v>
      </c>
      <c r="C422" t="s">
        <v>1241</v>
      </c>
      <c r="D422">
        <v>1</v>
      </c>
      <c r="E422" t="s">
        <v>974</v>
      </c>
      <c r="F422" t="s">
        <v>975</v>
      </c>
      <c r="G422" t="s">
        <v>976</v>
      </c>
      <c r="H422" s="1" t="s">
        <v>976</v>
      </c>
      <c r="I422" s="1">
        <v>1840</v>
      </c>
      <c r="J422" s="20">
        <v>2</v>
      </c>
      <c r="K422" s="1">
        <v>198</v>
      </c>
      <c r="L422" s="1">
        <v>396</v>
      </c>
      <c r="M422" s="43" t="s">
        <v>2785</v>
      </c>
      <c r="O422" s="2" t="s">
        <v>2447</v>
      </c>
      <c r="Q422" t="s">
        <v>755</v>
      </c>
    </row>
    <row r="423" spans="1:17" ht="15" customHeight="1" x14ac:dyDescent="0.25">
      <c r="A423" s="3" t="s">
        <v>1280</v>
      </c>
      <c r="B423" s="4" t="s">
        <v>2787</v>
      </c>
      <c r="C423" t="s">
        <v>1241</v>
      </c>
      <c r="D423">
        <v>1</v>
      </c>
      <c r="E423" t="s">
        <v>974</v>
      </c>
      <c r="F423" t="s">
        <v>975</v>
      </c>
      <c r="G423" t="s">
        <v>976</v>
      </c>
      <c r="H423" s="1" t="s">
        <v>976</v>
      </c>
      <c r="I423" s="1">
        <v>1840</v>
      </c>
      <c r="J423" s="20">
        <v>7</v>
      </c>
      <c r="K423" s="1">
        <v>330</v>
      </c>
      <c r="L423" s="1">
        <v>2310</v>
      </c>
      <c r="M423" s="43" t="s">
        <v>2785</v>
      </c>
      <c r="O423" s="2" t="s">
        <v>2447</v>
      </c>
      <c r="Q423" t="s">
        <v>755</v>
      </c>
    </row>
    <row r="424" spans="1:17" ht="15" customHeight="1" x14ac:dyDescent="0.25">
      <c r="A424" s="3" t="s">
        <v>1281</v>
      </c>
      <c r="B424" s="4" t="s">
        <v>2787</v>
      </c>
      <c r="C424" t="s">
        <v>1241</v>
      </c>
      <c r="D424">
        <v>1</v>
      </c>
      <c r="E424" t="s">
        <v>974</v>
      </c>
      <c r="F424" t="s">
        <v>975</v>
      </c>
      <c r="G424" t="s">
        <v>976</v>
      </c>
      <c r="H424" s="1" t="s">
        <v>976</v>
      </c>
      <c r="I424" s="1">
        <v>1840</v>
      </c>
      <c r="J424" s="20">
        <v>0</v>
      </c>
      <c r="K424" s="1">
        <v>330</v>
      </c>
      <c r="L424" s="1">
        <v>0</v>
      </c>
      <c r="M424" s="43" t="s">
        <v>2785</v>
      </c>
      <c r="O424" s="2" t="s">
        <v>2447</v>
      </c>
      <c r="Q424" t="s">
        <v>755</v>
      </c>
    </row>
    <row r="425" spans="1:17" ht="15" customHeight="1" x14ac:dyDescent="0.25">
      <c r="A425" s="3" t="s">
        <v>1282</v>
      </c>
      <c r="B425" s="4" t="s">
        <v>2787</v>
      </c>
      <c r="C425" t="s">
        <v>1241</v>
      </c>
      <c r="D425">
        <v>1</v>
      </c>
      <c r="E425" t="s">
        <v>974</v>
      </c>
      <c r="F425" t="s">
        <v>975</v>
      </c>
      <c r="G425" t="s">
        <v>976</v>
      </c>
      <c r="H425" s="1" t="s">
        <v>976</v>
      </c>
      <c r="I425" s="1">
        <v>1840</v>
      </c>
      <c r="J425" s="20">
        <v>1</v>
      </c>
      <c r="K425" s="1">
        <v>330</v>
      </c>
      <c r="L425" s="1">
        <v>330</v>
      </c>
      <c r="M425" s="43" t="s">
        <v>2785</v>
      </c>
      <c r="O425" s="2" t="s">
        <v>2482</v>
      </c>
      <c r="Q425" t="s">
        <v>756</v>
      </c>
    </row>
    <row r="426" spans="1:17" ht="15" customHeight="1" x14ac:dyDescent="0.25">
      <c r="A426" s="3" t="s">
        <v>1283</v>
      </c>
      <c r="B426" s="4" t="s">
        <v>2787</v>
      </c>
      <c r="C426" t="s">
        <v>1241</v>
      </c>
      <c r="D426">
        <v>1</v>
      </c>
      <c r="E426" t="s">
        <v>974</v>
      </c>
      <c r="F426" t="s">
        <v>975</v>
      </c>
      <c r="G426" t="s">
        <v>976</v>
      </c>
      <c r="H426" s="1" t="s">
        <v>976</v>
      </c>
      <c r="I426" s="1">
        <v>1840</v>
      </c>
      <c r="J426" s="20">
        <v>2</v>
      </c>
      <c r="K426" s="1">
        <v>247.5</v>
      </c>
      <c r="L426" s="1">
        <v>495</v>
      </c>
      <c r="M426" s="43" t="s">
        <v>2785</v>
      </c>
      <c r="O426" s="2" t="s">
        <v>2482</v>
      </c>
      <c r="Q426" t="s">
        <v>756</v>
      </c>
    </row>
    <row r="427" spans="1:17" ht="15" customHeight="1" x14ac:dyDescent="0.25">
      <c r="A427" s="42" t="s">
        <v>1283</v>
      </c>
      <c r="B427" s="3" t="s">
        <v>2787</v>
      </c>
      <c r="C427" s="42" t="s">
        <v>1241</v>
      </c>
      <c r="D427">
        <v>3</v>
      </c>
      <c r="E427" t="s">
        <v>1179</v>
      </c>
      <c r="F427" t="s">
        <v>1180</v>
      </c>
      <c r="G427" t="s">
        <v>976</v>
      </c>
      <c r="H427" s="1" t="s">
        <v>976</v>
      </c>
      <c r="I427" s="1">
        <v>1840</v>
      </c>
      <c r="J427" s="20">
        <v>1</v>
      </c>
      <c r="K427" s="1">
        <v>1840</v>
      </c>
      <c r="L427" s="1">
        <v>1840</v>
      </c>
      <c r="M427" s="43" t="s">
        <v>2785</v>
      </c>
      <c r="O427" s="2" t="s">
        <v>2482</v>
      </c>
      <c r="Q427" t="s">
        <v>756</v>
      </c>
    </row>
    <row r="428" spans="1:17" ht="15" customHeight="1" x14ac:dyDescent="0.25">
      <c r="A428" s="3" t="s">
        <v>1284</v>
      </c>
      <c r="B428" s="4" t="s">
        <v>2787</v>
      </c>
      <c r="C428" t="s">
        <v>1241</v>
      </c>
      <c r="D428">
        <v>1</v>
      </c>
      <c r="E428" t="s">
        <v>974</v>
      </c>
      <c r="F428" t="s">
        <v>975</v>
      </c>
      <c r="G428" t="s">
        <v>976</v>
      </c>
      <c r="H428" s="1" t="s">
        <v>976</v>
      </c>
      <c r="I428" s="1">
        <v>1840</v>
      </c>
      <c r="J428" s="20">
        <v>5</v>
      </c>
      <c r="K428" s="1">
        <v>330</v>
      </c>
      <c r="L428" s="1">
        <v>1650</v>
      </c>
      <c r="M428" s="43" t="s">
        <v>2785</v>
      </c>
      <c r="O428" s="2" t="s">
        <v>2482</v>
      </c>
      <c r="Q428" t="s">
        <v>756</v>
      </c>
    </row>
    <row r="429" spans="1:17" ht="15" customHeight="1" x14ac:dyDescent="0.25">
      <c r="A429" s="3" t="s">
        <v>1285</v>
      </c>
      <c r="B429" s="4" t="s">
        <v>2787</v>
      </c>
      <c r="C429" t="s">
        <v>1241</v>
      </c>
      <c r="D429">
        <v>1</v>
      </c>
      <c r="E429" t="s">
        <v>974</v>
      </c>
      <c r="F429" t="s">
        <v>975</v>
      </c>
      <c r="G429" t="s">
        <v>976</v>
      </c>
      <c r="H429" s="1" t="s">
        <v>976</v>
      </c>
      <c r="I429" s="1">
        <v>1840</v>
      </c>
      <c r="J429" s="20">
        <v>0</v>
      </c>
      <c r="K429" s="1">
        <v>330</v>
      </c>
      <c r="L429" s="1">
        <v>0</v>
      </c>
      <c r="M429" s="43" t="s">
        <v>2785</v>
      </c>
      <c r="O429" s="2" t="s">
        <v>2482</v>
      </c>
      <c r="Q429" t="s">
        <v>756</v>
      </c>
    </row>
    <row r="430" spans="1:17" ht="15" customHeight="1" x14ac:dyDescent="0.25">
      <c r="A430" s="3" t="s">
        <v>2252</v>
      </c>
      <c r="B430" s="4" t="s">
        <v>2787</v>
      </c>
      <c r="C430" t="s">
        <v>1241</v>
      </c>
      <c r="D430">
        <v>4</v>
      </c>
      <c r="E430" t="s">
        <v>1018</v>
      </c>
      <c r="F430" t="s">
        <v>975</v>
      </c>
      <c r="G430" t="s">
        <v>976</v>
      </c>
      <c r="H430" s="1" t="s">
        <v>976</v>
      </c>
      <c r="I430" s="1">
        <v>2650</v>
      </c>
      <c r="J430" s="20">
        <v>0</v>
      </c>
      <c r="K430" s="1">
        <v>0</v>
      </c>
      <c r="L430" s="1">
        <v>0</v>
      </c>
      <c r="M430" s="43" t="s">
        <v>2785</v>
      </c>
      <c r="O430" s="2" t="s">
        <v>2482</v>
      </c>
      <c r="Q430" t="s">
        <v>756</v>
      </c>
    </row>
    <row r="431" spans="1:17" ht="15" customHeight="1" x14ac:dyDescent="0.25">
      <c r="A431" s="3" t="s">
        <v>2224</v>
      </c>
      <c r="B431" s="4" t="s">
        <v>2788</v>
      </c>
      <c r="C431" t="s">
        <v>1241</v>
      </c>
      <c r="D431">
        <v>4</v>
      </c>
      <c r="E431" t="s">
        <v>1018</v>
      </c>
      <c r="F431" t="s">
        <v>975</v>
      </c>
      <c r="G431" t="s">
        <v>180</v>
      </c>
      <c r="H431" s="1" t="s">
        <v>976</v>
      </c>
      <c r="I431" s="1">
        <v>2340</v>
      </c>
      <c r="J431" s="20">
        <v>1</v>
      </c>
      <c r="K431" s="1">
        <v>0</v>
      </c>
      <c r="L431" s="1">
        <v>0</v>
      </c>
      <c r="M431" s="43" t="s">
        <v>2785</v>
      </c>
      <c r="O431" s="2" t="s">
        <v>2447</v>
      </c>
      <c r="P431" t="s">
        <v>23</v>
      </c>
      <c r="Q431" t="s">
        <v>757</v>
      </c>
    </row>
    <row r="432" spans="1:17" ht="15" customHeight="1" x14ac:dyDescent="0.25">
      <c r="A432" s="3" t="s">
        <v>2225</v>
      </c>
      <c r="B432" s="4" t="s">
        <v>2788</v>
      </c>
      <c r="C432" t="s">
        <v>1241</v>
      </c>
      <c r="D432">
        <v>1</v>
      </c>
      <c r="E432" t="s">
        <v>974</v>
      </c>
      <c r="F432" t="s">
        <v>975</v>
      </c>
      <c r="G432" t="s">
        <v>180</v>
      </c>
      <c r="H432" s="1" t="s">
        <v>976</v>
      </c>
      <c r="I432" s="1">
        <v>2340</v>
      </c>
      <c r="J432" s="20">
        <v>0</v>
      </c>
      <c r="K432" s="1">
        <v>2340</v>
      </c>
      <c r="L432" s="1">
        <v>0</v>
      </c>
      <c r="M432" s="43" t="s">
        <v>2785</v>
      </c>
      <c r="O432" s="2" t="s">
        <v>2472</v>
      </c>
      <c r="P432" t="s">
        <v>23</v>
      </c>
      <c r="Q432" t="s">
        <v>758</v>
      </c>
    </row>
    <row r="433" spans="1:17" ht="15" customHeight="1" x14ac:dyDescent="0.25">
      <c r="A433" s="42" t="s">
        <v>2225</v>
      </c>
      <c r="B433" s="3" t="s">
        <v>2788</v>
      </c>
      <c r="C433" s="42" t="s">
        <v>1241</v>
      </c>
      <c r="D433">
        <v>4</v>
      </c>
      <c r="E433" t="s">
        <v>1018</v>
      </c>
      <c r="F433" t="s">
        <v>975</v>
      </c>
      <c r="G433" t="s">
        <v>180</v>
      </c>
      <c r="H433" s="1" t="s">
        <v>976</v>
      </c>
      <c r="I433" s="1">
        <v>2340</v>
      </c>
      <c r="J433" s="20">
        <v>0</v>
      </c>
      <c r="K433" s="1">
        <v>2340</v>
      </c>
      <c r="L433" s="1">
        <v>0</v>
      </c>
      <c r="M433" s="43" t="s">
        <v>2785</v>
      </c>
      <c r="O433" s="2" t="s">
        <v>2472</v>
      </c>
      <c r="P433" t="s">
        <v>23</v>
      </c>
      <c r="Q433" t="s">
        <v>758</v>
      </c>
    </row>
    <row r="434" spans="1:17" ht="15" customHeight="1" x14ac:dyDescent="0.25">
      <c r="A434" s="3" t="s">
        <v>2226</v>
      </c>
      <c r="B434" s="4" t="s">
        <v>2788</v>
      </c>
      <c r="C434" t="s">
        <v>1241</v>
      </c>
      <c r="D434">
        <v>1</v>
      </c>
      <c r="E434" t="s">
        <v>974</v>
      </c>
      <c r="F434" t="s">
        <v>975</v>
      </c>
      <c r="G434" t="s">
        <v>180</v>
      </c>
      <c r="H434" s="1" t="s">
        <v>976</v>
      </c>
      <c r="I434" s="1">
        <v>2340</v>
      </c>
      <c r="J434" s="20">
        <v>-1</v>
      </c>
      <c r="K434" s="1">
        <v>2340</v>
      </c>
      <c r="L434" s="1">
        <v>-2340</v>
      </c>
      <c r="M434" s="43" t="s">
        <v>2785</v>
      </c>
      <c r="O434" s="2" t="s">
        <v>2443</v>
      </c>
      <c r="P434" t="s">
        <v>23</v>
      </c>
      <c r="Q434" t="s">
        <v>759</v>
      </c>
    </row>
    <row r="435" spans="1:17" ht="15" customHeight="1" x14ac:dyDescent="0.25">
      <c r="A435" s="42" t="s">
        <v>2226</v>
      </c>
      <c r="B435" s="3" t="s">
        <v>2788</v>
      </c>
      <c r="C435" s="42" t="s">
        <v>1241</v>
      </c>
      <c r="D435">
        <v>4</v>
      </c>
      <c r="E435" t="s">
        <v>1018</v>
      </c>
      <c r="F435" t="s">
        <v>975</v>
      </c>
      <c r="G435" t="s">
        <v>180</v>
      </c>
      <c r="H435" s="1" t="s">
        <v>976</v>
      </c>
      <c r="I435" s="1">
        <v>2340</v>
      </c>
      <c r="J435" s="20">
        <v>1</v>
      </c>
      <c r="K435" s="1">
        <v>2340</v>
      </c>
      <c r="L435" s="1">
        <v>2340</v>
      </c>
      <c r="M435" s="43" t="s">
        <v>2785</v>
      </c>
      <c r="O435" s="2" t="s">
        <v>2443</v>
      </c>
      <c r="P435" t="s">
        <v>23</v>
      </c>
      <c r="Q435" t="s">
        <v>759</v>
      </c>
    </row>
    <row r="436" spans="1:17" ht="15" customHeight="1" x14ac:dyDescent="0.25">
      <c r="A436" s="3" t="s">
        <v>1286</v>
      </c>
      <c r="B436" s="4" t="s">
        <v>2780</v>
      </c>
      <c r="C436" t="s">
        <v>1241</v>
      </c>
      <c r="D436">
        <v>1</v>
      </c>
      <c r="E436" t="s">
        <v>974</v>
      </c>
      <c r="F436" t="s">
        <v>975</v>
      </c>
      <c r="G436" t="s">
        <v>180</v>
      </c>
      <c r="H436" s="1" t="s">
        <v>976</v>
      </c>
      <c r="I436" s="1">
        <v>0</v>
      </c>
      <c r="J436" s="20">
        <v>0</v>
      </c>
      <c r="K436" s="1">
        <v>0</v>
      </c>
      <c r="L436" s="1">
        <v>0</v>
      </c>
      <c r="M436" s="43" t="s">
        <v>2785</v>
      </c>
      <c r="O436" s="2" t="s">
        <v>2528</v>
      </c>
      <c r="P436">
        <v>36</v>
      </c>
      <c r="Q436" t="s">
        <v>760</v>
      </c>
    </row>
    <row r="437" spans="1:17" ht="15" customHeight="1" x14ac:dyDescent="0.25">
      <c r="A437" s="3" t="s">
        <v>1287</v>
      </c>
      <c r="B437" s="4" t="s">
        <v>2780</v>
      </c>
      <c r="C437" t="s">
        <v>1241</v>
      </c>
      <c r="D437">
        <v>1</v>
      </c>
      <c r="E437" t="s">
        <v>974</v>
      </c>
      <c r="F437" t="s">
        <v>975</v>
      </c>
      <c r="G437" t="s">
        <v>180</v>
      </c>
      <c r="H437" s="1" t="s">
        <v>976</v>
      </c>
      <c r="I437" s="1">
        <v>0</v>
      </c>
      <c r="J437" s="20">
        <v>0</v>
      </c>
      <c r="K437" s="1">
        <v>0</v>
      </c>
      <c r="L437" s="1">
        <v>0</v>
      </c>
      <c r="M437" s="43" t="s">
        <v>2785</v>
      </c>
      <c r="O437" s="2" t="s">
        <v>2528</v>
      </c>
      <c r="P437">
        <v>38</v>
      </c>
      <c r="Q437" t="s">
        <v>760</v>
      </c>
    </row>
    <row r="438" spans="1:17" ht="15" customHeight="1" x14ac:dyDescent="0.25">
      <c r="A438" s="3" t="s">
        <v>1288</v>
      </c>
      <c r="B438" s="4" t="s">
        <v>2780</v>
      </c>
      <c r="C438" t="s">
        <v>1241</v>
      </c>
      <c r="D438">
        <v>1</v>
      </c>
      <c r="E438" t="s">
        <v>974</v>
      </c>
      <c r="F438" t="s">
        <v>975</v>
      </c>
      <c r="G438" t="s">
        <v>180</v>
      </c>
      <c r="H438" s="1" t="s">
        <v>976</v>
      </c>
      <c r="I438" s="1">
        <v>0</v>
      </c>
      <c r="J438" s="20">
        <v>0</v>
      </c>
      <c r="K438" s="1">
        <v>0</v>
      </c>
      <c r="L438" s="1">
        <v>0</v>
      </c>
      <c r="M438" s="43" t="s">
        <v>2785</v>
      </c>
      <c r="O438" s="2" t="s">
        <v>2528</v>
      </c>
      <c r="P438">
        <v>40</v>
      </c>
      <c r="Q438" t="s">
        <v>760</v>
      </c>
    </row>
    <row r="439" spans="1:17" ht="15" customHeight="1" x14ac:dyDescent="0.25">
      <c r="A439" s="3" t="s">
        <v>1289</v>
      </c>
      <c r="B439" s="4" t="s">
        <v>2780</v>
      </c>
      <c r="C439" t="s">
        <v>1241</v>
      </c>
      <c r="D439">
        <v>1</v>
      </c>
      <c r="E439" t="s">
        <v>974</v>
      </c>
      <c r="F439" t="s">
        <v>975</v>
      </c>
      <c r="G439" t="s">
        <v>180</v>
      </c>
      <c r="H439" s="1" t="s">
        <v>976</v>
      </c>
      <c r="I439" s="1">
        <v>0</v>
      </c>
      <c r="J439" s="20">
        <v>0</v>
      </c>
      <c r="K439" s="1">
        <v>0</v>
      </c>
      <c r="L439" s="1">
        <v>0</v>
      </c>
      <c r="M439" s="43" t="s">
        <v>2785</v>
      </c>
      <c r="O439" s="2" t="s">
        <v>2528</v>
      </c>
      <c r="P439">
        <v>42</v>
      </c>
      <c r="Q439" t="s">
        <v>760</v>
      </c>
    </row>
    <row r="440" spans="1:17" ht="15" customHeight="1" x14ac:dyDescent="0.25">
      <c r="A440" s="3" t="s">
        <v>1290</v>
      </c>
      <c r="B440" s="4" t="s">
        <v>2780</v>
      </c>
      <c r="C440" t="s">
        <v>1241</v>
      </c>
      <c r="D440">
        <v>1</v>
      </c>
      <c r="E440" t="s">
        <v>974</v>
      </c>
      <c r="F440" t="s">
        <v>975</v>
      </c>
      <c r="G440" t="s">
        <v>180</v>
      </c>
      <c r="H440" s="1" t="s">
        <v>976</v>
      </c>
      <c r="I440" s="1">
        <v>0</v>
      </c>
      <c r="J440" s="20">
        <v>0</v>
      </c>
      <c r="K440" s="1">
        <v>0</v>
      </c>
      <c r="L440" s="1">
        <v>0</v>
      </c>
      <c r="M440" s="43" t="s">
        <v>2785</v>
      </c>
      <c r="O440" s="2" t="s">
        <v>2528</v>
      </c>
      <c r="P440">
        <v>44</v>
      </c>
      <c r="Q440" t="s">
        <v>760</v>
      </c>
    </row>
    <row r="441" spans="1:17" ht="15" customHeight="1" x14ac:dyDescent="0.25">
      <c r="A441" s="3" t="s">
        <v>1291</v>
      </c>
      <c r="B441" s="4" t="s">
        <v>2780</v>
      </c>
      <c r="C441" t="s">
        <v>1241</v>
      </c>
      <c r="D441">
        <v>1</v>
      </c>
      <c r="E441" t="s">
        <v>974</v>
      </c>
      <c r="F441" t="s">
        <v>975</v>
      </c>
      <c r="G441" t="s">
        <v>180</v>
      </c>
      <c r="H441" s="1" t="s">
        <v>976</v>
      </c>
      <c r="I441" s="1">
        <v>0</v>
      </c>
      <c r="J441" s="20">
        <v>0</v>
      </c>
      <c r="K441" s="1">
        <v>0</v>
      </c>
      <c r="L441" s="1">
        <v>0</v>
      </c>
      <c r="M441" s="43" t="s">
        <v>2785</v>
      </c>
      <c r="O441" s="2" t="s">
        <v>2528</v>
      </c>
      <c r="P441">
        <v>46</v>
      </c>
      <c r="Q441" t="s">
        <v>760</v>
      </c>
    </row>
    <row r="442" spans="1:17" ht="15" customHeight="1" x14ac:dyDescent="0.25">
      <c r="A442" s="3" t="s">
        <v>1292</v>
      </c>
      <c r="B442" s="4" t="s">
        <v>2790</v>
      </c>
      <c r="C442" t="s">
        <v>1148</v>
      </c>
      <c r="D442">
        <v>1</v>
      </c>
      <c r="E442" t="s">
        <v>974</v>
      </c>
      <c r="F442" t="s">
        <v>975</v>
      </c>
      <c r="G442" t="s">
        <v>180</v>
      </c>
      <c r="H442" s="1" t="s">
        <v>976</v>
      </c>
      <c r="I442" s="1">
        <v>1750</v>
      </c>
      <c r="J442" s="20">
        <v>25</v>
      </c>
      <c r="K442" s="1">
        <v>260</v>
      </c>
      <c r="L442" s="1">
        <v>6500</v>
      </c>
      <c r="M442" s="43" t="s">
        <v>2789</v>
      </c>
      <c r="O442" s="2" t="s">
        <v>2447</v>
      </c>
      <c r="Q442" t="s">
        <v>244</v>
      </c>
    </row>
    <row r="443" spans="1:17" ht="15" customHeight="1" x14ac:dyDescent="0.25">
      <c r="A443" s="42" t="s">
        <v>1292</v>
      </c>
      <c r="B443" s="3" t="s">
        <v>2790</v>
      </c>
      <c r="C443" s="42" t="s">
        <v>1148</v>
      </c>
      <c r="D443">
        <v>3</v>
      </c>
      <c r="E443" t="s">
        <v>1179</v>
      </c>
      <c r="F443" t="s">
        <v>1180</v>
      </c>
      <c r="G443" t="s">
        <v>180</v>
      </c>
      <c r="H443" s="1" t="s">
        <v>976</v>
      </c>
      <c r="I443" s="1">
        <v>1750</v>
      </c>
      <c r="J443" s="20">
        <v>1</v>
      </c>
      <c r="K443" s="1">
        <v>1750</v>
      </c>
      <c r="L443" s="1">
        <v>1750</v>
      </c>
      <c r="M443" s="43" t="s">
        <v>2789</v>
      </c>
      <c r="O443" s="2" t="s">
        <v>2447</v>
      </c>
      <c r="Q443" t="s">
        <v>244</v>
      </c>
    </row>
    <row r="444" spans="1:17" ht="15" customHeight="1" x14ac:dyDescent="0.25">
      <c r="A444" s="42" t="s">
        <v>1292</v>
      </c>
      <c r="B444" s="3" t="s">
        <v>2790</v>
      </c>
      <c r="C444" s="42" t="s">
        <v>1148</v>
      </c>
      <c r="D444">
        <v>4</v>
      </c>
      <c r="E444" t="s">
        <v>1018</v>
      </c>
      <c r="F444" t="s">
        <v>975</v>
      </c>
      <c r="G444" t="s">
        <v>180</v>
      </c>
      <c r="H444" s="1" t="s">
        <v>976</v>
      </c>
      <c r="I444" s="1">
        <v>1750</v>
      </c>
      <c r="J444" s="20">
        <v>1</v>
      </c>
      <c r="K444" s="1">
        <v>1750</v>
      </c>
      <c r="L444" s="1">
        <v>1750</v>
      </c>
      <c r="M444" s="43" t="s">
        <v>2789</v>
      </c>
      <c r="O444" s="2" t="s">
        <v>2447</v>
      </c>
      <c r="Q444" t="s">
        <v>244</v>
      </c>
    </row>
    <row r="445" spans="1:17" ht="15" customHeight="1" x14ac:dyDescent="0.25">
      <c r="A445" s="3" t="s">
        <v>1293</v>
      </c>
      <c r="B445" s="4" t="s">
        <v>2790</v>
      </c>
      <c r="C445" t="s">
        <v>1148</v>
      </c>
      <c r="D445">
        <v>1</v>
      </c>
      <c r="E445" t="s">
        <v>974</v>
      </c>
      <c r="F445" t="s">
        <v>975</v>
      </c>
      <c r="G445" t="s">
        <v>180</v>
      </c>
      <c r="H445" s="1" t="s">
        <v>976</v>
      </c>
      <c r="I445" s="1">
        <v>1750</v>
      </c>
      <c r="J445" s="20">
        <v>10</v>
      </c>
      <c r="K445" s="1">
        <v>0</v>
      </c>
      <c r="L445" s="1">
        <v>0</v>
      </c>
      <c r="M445" s="43" t="s">
        <v>2789</v>
      </c>
      <c r="O445" s="2" t="s">
        <v>2443</v>
      </c>
      <c r="Q445" t="s">
        <v>245</v>
      </c>
    </row>
    <row r="446" spans="1:17" ht="15" customHeight="1" x14ac:dyDescent="0.25">
      <c r="A446" s="3" t="s">
        <v>1294</v>
      </c>
      <c r="B446" s="4" t="s">
        <v>2790</v>
      </c>
      <c r="C446" t="s">
        <v>1148</v>
      </c>
      <c r="D446">
        <v>1</v>
      </c>
      <c r="E446" t="s">
        <v>974</v>
      </c>
      <c r="F446" t="s">
        <v>975</v>
      </c>
      <c r="G446" t="s">
        <v>180</v>
      </c>
      <c r="H446" s="1" t="s">
        <v>976</v>
      </c>
      <c r="I446" s="1">
        <v>1750</v>
      </c>
      <c r="J446" s="20">
        <v>24</v>
      </c>
      <c r="K446" s="1">
        <v>260</v>
      </c>
      <c r="L446" s="1">
        <v>6240</v>
      </c>
      <c r="M446" s="43" t="s">
        <v>2789</v>
      </c>
      <c r="O446" s="2" t="s">
        <v>2482</v>
      </c>
      <c r="Q446" t="s">
        <v>246</v>
      </c>
    </row>
    <row r="447" spans="1:17" ht="15" customHeight="1" x14ac:dyDescent="0.25">
      <c r="A447" s="42" t="s">
        <v>1294</v>
      </c>
      <c r="B447" s="3" t="s">
        <v>2790</v>
      </c>
      <c r="C447" s="42" t="s">
        <v>1148</v>
      </c>
      <c r="D447">
        <v>3</v>
      </c>
      <c r="E447" t="s">
        <v>1179</v>
      </c>
      <c r="F447" t="s">
        <v>1180</v>
      </c>
      <c r="G447" t="s">
        <v>180</v>
      </c>
      <c r="H447" s="1" t="s">
        <v>976</v>
      </c>
      <c r="I447" s="1">
        <v>1750</v>
      </c>
      <c r="J447" s="20">
        <v>1</v>
      </c>
      <c r="K447" s="1">
        <v>1750</v>
      </c>
      <c r="L447" s="1">
        <v>1750</v>
      </c>
      <c r="M447" s="43" t="s">
        <v>2789</v>
      </c>
      <c r="O447" s="2" t="s">
        <v>2482</v>
      </c>
      <c r="Q447" t="s">
        <v>246</v>
      </c>
    </row>
    <row r="448" spans="1:17" ht="15" customHeight="1" x14ac:dyDescent="0.25">
      <c r="A448" s="42" t="s">
        <v>1294</v>
      </c>
      <c r="B448" s="3" t="s">
        <v>2790</v>
      </c>
      <c r="C448" s="42" t="s">
        <v>1148</v>
      </c>
      <c r="D448">
        <v>4</v>
      </c>
      <c r="E448" t="s">
        <v>1018</v>
      </c>
      <c r="F448" t="s">
        <v>975</v>
      </c>
      <c r="G448" t="s">
        <v>180</v>
      </c>
      <c r="H448" s="1" t="s">
        <v>976</v>
      </c>
      <c r="I448" s="1">
        <v>1750</v>
      </c>
      <c r="J448" s="20">
        <v>1</v>
      </c>
      <c r="K448" s="1">
        <v>1750</v>
      </c>
      <c r="L448" s="1">
        <v>1750</v>
      </c>
      <c r="M448" s="43" t="s">
        <v>2789</v>
      </c>
      <c r="O448" s="2" t="s">
        <v>2482</v>
      </c>
      <c r="Q448" t="s">
        <v>246</v>
      </c>
    </row>
    <row r="449" spans="1:17" ht="15" customHeight="1" x14ac:dyDescent="0.25">
      <c r="A449" s="3" t="s">
        <v>1295</v>
      </c>
      <c r="B449" s="4" t="s">
        <v>2790</v>
      </c>
      <c r="C449" t="s">
        <v>1148</v>
      </c>
      <c r="D449">
        <v>1</v>
      </c>
      <c r="E449" t="s">
        <v>974</v>
      </c>
      <c r="F449" t="s">
        <v>975</v>
      </c>
      <c r="G449" t="s">
        <v>180</v>
      </c>
      <c r="H449" s="1" t="s">
        <v>976</v>
      </c>
      <c r="I449" s="1">
        <v>1750</v>
      </c>
      <c r="J449" s="20">
        <v>0</v>
      </c>
      <c r="K449" s="1">
        <v>0</v>
      </c>
      <c r="L449" s="1">
        <v>0</v>
      </c>
      <c r="M449" s="43" t="s">
        <v>2789</v>
      </c>
      <c r="N449" s="1" t="s">
        <v>2616</v>
      </c>
      <c r="O449" s="2" t="s">
        <v>2727</v>
      </c>
      <c r="Q449" t="s">
        <v>761</v>
      </c>
    </row>
    <row r="450" spans="1:17" ht="15" customHeight="1" x14ac:dyDescent="0.25">
      <c r="A450" s="3" t="s">
        <v>1296</v>
      </c>
      <c r="B450" s="4" t="s">
        <v>247</v>
      </c>
      <c r="C450" t="s">
        <v>1148</v>
      </c>
      <c r="D450">
        <v>1</v>
      </c>
      <c r="E450" t="s">
        <v>974</v>
      </c>
      <c r="F450" t="s">
        <v>975</v>
      </c>
      <c r="G450" t="s">
        <v>180</v>
      </c>
      <c r="H450" s="1" t="s">
        <v>976</v>
      </c>
      <c r="I450" s="1">
        <v>1750</v>
      </c>
      <c r="J450" s="20">
        <v>0</v>
      </c>
      <c r="K450" s="1">
        <v>0</v>
      </c>
      <c r="L450" s="1">
        <v>0</v>
      </c>
      <c r="M450" s="43" t="s">
        <v>2789</v>
      </c>
      <c r="Q450" t="s">
        <v>247</v>
      </c>
    </row>
    <row r="451" spans="1:17" ht="15" customHeight="1" x14ac:dyDescent="0.25">
      <c r="A451" s="3" t="s">
        <v>1297</v>
      </c>
      <c r="B451" s="4" t="s">
        <v>248</v>
      </c>
      <c r="C451" t="s">
        <v>1148</v>
      </c>
      <c r="D451">
        <v>1</v>
      </c>
      <c r="E451" t="s">
        <v>974</v>
      </c>
      <c r="F451" t="s">
        <v>975</v>
      </c>
      <c r="G451" t="s">
        <v>180</v>
      </c>
      <c r="H451" s="1" t="s">
        <v>976</v>
      </c>
      <c r="I451" s="1">
        <v>1670</v>
      </c>
      <c r="J451" s="20">
        <v>19</v>
      </c>
      <c r="K451" s="1">
        <v>297.30769199999997</v>
      </c>
      <c r="L451" s="1">
        <v>5648.85</v>
      </c>
      <c r="M451" s="43" t="s">
        <v>2789</v>
      </c>
      <c r="Q451" t="s">
        <v>248</v>
      </c>
    </row>
    <row r="452" spans="1:17" ht="15" customHeight="1" x14ac:dyDescent="0.25">
      <c r="A452" s="42" t="s">
        <v>1297</v>
      </c>
      <c r="B452" s="3" t="s">
        <v>248</v>
      </c>
      <c r="C452" s="42" t="s">
        <v>1148</v>
      </c>
      <c r="D452">
        <v>3</v>
      </c>
      <c r="E452" t="s">
        <v>1179</v>
      </c>
      <c r="F452" t="s">
        <v>1180</v>
      </c>
      <c r="G452" t="s">
        <v>180</v>
      </c>
      <c r="H452" s="1" t="s">
        <v>976</v>
      </c>
      <c r="I452" s="1">
        <v>1670</v>
      </c>
      <c r="J452" s="20">
        <v>2</v>
      </c>
      <c r="K452" s="1">
        <v>1670</v>
      </c>
      <c r="L452" s="1">
        <v>3340</v>
      </c>
      <c r="M452" s="43" t="s">
        <v>2789</v>
      </c>
      <c r="Q452" t="s">
        <v>248</v>
      </c>
    </row>
    <row r="453" spans="1:17" ht="15" customHeight="1" x14ac:dyDescent="0.25">
      <c r="A453" s="3" t="s">
        <v>1298</v>
      </c>
      <c r="B453" s="4" t="s">
        <v>249</v>
      </c>
      <c r="C453" t="s">
        <v>1148</v>
      </c>
      <c r="D453">
        <v>1</v>
      </c>
      <c r="E453" t="s">
        <v>974</v>
      </c>
      <c r="F453" t="s">
        <v>975</v>
      </c>
      <c r="G453" t="s">
        <v>180</v>
      </c>
      <c r="H453" s="1" t="s">
        <v>976</v>
      </c>
      <c r="I453" s="1">
        <v>3400</v>
      </c>
      <c r="J453" s="20">
        <v>0</v>
      </c>
      <c r="K453" s="1">
        <v>620</v>
      </c>
      <c r="L453" s="1">
        <v>0</v>
      </c>
      <c r="M453" s="43" t="s">
        <v>2789</v>
      </c>
      <c r="Q453" t="s">
        <v>249</v>
      </c>
    </row>
    <row r="454" spans="1:17" ht="15" customHeight="1" x14ac:dyDescent="0.25">
      <c r="A454" s="3" t="s">
        <v>1299</v>
      </c>
      <c r="B454" s="4" t="s">
        <v>2791</v>
      </c>
      <c r="C454" t="s">
        <v>1148</v>
      </c>
      <c r="D454">
        <v>1</v>
      </c>
      <c r="E454" t="s">
        <v>974</v>
      </c>
      <c r="F454" t="s">
        <v>975</v>
      </c>
      <c r="G454" t="s">
        <v>976</v>
      </c>
      <c r="H454" s="1" t="s">
        <v>976</v>
      </c>
      <c r="I454" s="1">
        <v>1665</v>
      </c>
      <c r="J454" s="20">
        <v>10</v>
      </c>
      <c r="K454" s="1">
        <v>247.384614</v>
      </c>
      <c r="L454" s="1">
        <v>2473.85</v>
      </c>
      <c r="M454" s="43" t="s">
        <v>2789</v>
      </c>
      <c r="O454" s="2" t="s">
        <v>2447</v>
      </c>
      <c r="P454" t="s">
        <v>22</v>
      </c>
      <c r="Q454" t="s">
        <v>762</v>
      </c>
    </row>
    <row r="455" spans="1:17" ht="15" customHeight="1" x14ac:dyDescent="0.25">
      <c r="A455" s="3" t="s">
        <v>1300</v>
      </c>
      <c r="B455" s="4" t="s">
        <v>250</v>
      </c>
      <c r="C455" t="s">
        <v>1148</v>
      </c>
      <c r="D455">
        <v>1</v>
      </c>
      <c r="E455" t="s">
        <v>974</v>
      </c>
      <c r="F455" t="s">
        <v>975</v>
      </c>
      <c r="G455" t="s">
        <v>180</v>
      </c>
      <c r="H455" s="1" t="s">
        <v>976</v>
      </c>
      <c r="I455" s="1">
        <v>2400</v>
      </c>
      <c r="J455" s="20">
        <v>0</v>
      </c>
      <c r="K455" s="1">
        <v>289</v>
      </c>
      <c r="L455" s="1">
        <v>0</v>
      </c>
      <c r="M455" s="43" t="s">
        <v>2789</v>
      </c>
      <c r="Q455" t="s">
        <v>250</v>
      </c>
    </row>
    <row r="456" spans="1:17" ht="15" customHeight="1" x14ac:dyDescent="0.25">
      <c r="A456" s="3" t="s">
        <v>1301</v>
      </c>
      <c r="B456" s="4" t="s">
        <v>2791</v>
      </c>
      <c r="C456" t="s">
        <v>1148</v>
      </c>
      <c r="D456">
        <v>1</v>
      </c>
      <c r="E456" t="s">
        <v>974</v>
      </c>
      <c r="F456" t="s">
        <v>975</v>
      </c>
      <c r="G456" t="s">
        <v>180</v>
      </c>
      <c r="H456" s="1" t="s">
        <v>976</v>
      </c>
      <c r="I456" s="1">
        <v>1665</v>
      </c>
      <c r="J456" s="20">
        <v>30</v>
      </c>
      <c r="K456" s="1">
        <v>264.974358</v>
      </c>
      <c r="L456" s="1">
        <v>7949.23</v>
      </c>
      <c r="M456" s="43" t="s">
        <v>2789</v>
      </c>
      <c r="O456" s="2" t="s">
        <v>2443</v>
      </c>
      <c r="P456" t="s">
        <v>22</v>
      </c>
      <c r="Q456" t="s">
        <v>763</v>
      </c>
    </row>
    <row r="457" spans="1:17" ht="15" customHeight="1" x14ac:dyDescent="0.25">
      <c r="A457" s="42" t="s">
        <v>1301</v>
      </c>
      <c r="B457" s="3" t="s">
        <v>2791</v>
      </c>
      <c r="C457" s="42" t="s">
        <v>1148</v>
      </c>
      <c r="D457">
        <v>2</v>
      </c>
      <c r="E457" t="s">
        <v>1017</v>
      </c>
      <c r="F457" t="s">
        <v>975</v>
      </c>
      <c r="G457" t="s">
        <v>180</v>
      </c>
      <c r="H457" s="1" t="s">
        <v>976</v>
      </c>
      <c r="I457" s="1">
        <v>1665</v>
      </c>
      <c r="J457" s="20">
        <v>0</v>
      </c>
      <c r="K457" s="1">
        <v>210</v>
      </c>
      <c r="L457" s="1">
        <v>0</v>
      </c>
      <c r="M457" s="43" t="s">
        <v>2789</v>
      </c>
      <c r="O457" s="2" t="s">
        <v>2443</v>
      </c>
      <c r="P457" t="s">
        <v>22</v>
      </c>
      <c r="Q457" t="s">
        <v>763</v>
      </c>
    </row>
    <row r="458" spans="1:17" ht="15" customHeight="1" x14ac:dyDescent="0.25">
      <c r="A458" s="3" t="s">
        <v>1302</v>
      </c>
      <c r="B458" s="4" t="s">
        <v>2791</v>
      </c>
      <c r="C458" t="s">
        <v>1148</v>
      </c>
      <c r="D458">
        <v>1</v>
      </c>
      <c r="E458" t="s">
        <v>974</v>
      </c>
      <c r="F458" t="s">
        <v>975</v>
      </c>
      <c r="G458" t="s">
        <v>180</v>
      </c>
      <c r="H458" s="1" t="s">
        <v>976</v>
      </c>
      <c r="I458" s="1">
        <v>1330</v>
      </c>
      <c r="J458" s="20">
        <v>-1</v>
      </c>
      <c r="K458" s="1">
        <v>0</v>
      </c>
      <c r="L458" s="1">
        <v>0</v>
      </c>
      <c r="M458" s="43" t="s">
        <v>2789</v>
      </c>
      <c r="N458" s="1" t="s">
        <v>2616</v>
      </c>
      <c r="O458" s="2" t="s">
        <v>2443</v>
      </c>
      <c r="Q458" t="s">
        <v>763</v>
      </c>
    </row>
    <row r="459" spans="1:17" ht="15" customHeight="1" x14ac:dyDescent="0.25">
      <c r="A459" s="42" t="s">
        <v>1302</v>
      </c>
      <c r="B459" s="3" t="s">
        <v>2791</v>
      </c>
      <c r="C459" s="42" t="s">
        <v>1148</v>
      </c>
      <c r="D459">
        <v>4</v>
      </c>
      <c r="E459" t="s">
        <v>1018</v>
      </c>
      <c r="F459" t="s">
        <v>975</v>
      </c>
      <c r="G459" t="s">
        <v>180</v>
      </c>
      <c r="H459" s="1" t="s">
        <v>976</v>
      </c>
      <c r="I459" s="1">
        <v>1330</v>
      </c>
      <c r="J459" s="20">
        <v>1</v>
      </c>
      <c r="K459" s="1">
        <v>1330</v>
      </c>
      <c r="L459" s="1">
        <v>1330</v>
      </c>
      <c r="M459" s="43" t="s">
        <v>2789</v>
      </c>
      <c r="N459" s="1" t="s">
        <v>2616</v>
      </c>
      <c r="O459" s="2" t="s">
        <v>2443</v>
      </c>
      <c r="Q459" t="s">
        <v>763</v>
      </c>
    </row>
    <row r="460" spans="1:17" ht="15" customHeight="1" x14ac:dyDescent="0.25">
      <c r="A460" s="3" t="s">
        <v>1303</v>
      </c>
      <c r="B460" s="4" t="s">
        <v>251</v>
      </c>
      <c r="C460" t="s">
        <v>1148</v>
      </c>
      <c r="D460">
        <v>1</v>
      </c>
      <c r="E460" t="s">
        <v>974</v>
      </c>
      <c r="F460" t="s">
        <v>975</v>
      </c>
      <c r="G460" t="s">
        <v>180</v>
      </c>
      <c r="H460" s="1" t="s">
        <v>976</v>
      </c>
      <c r="I460" s="1">
        <v>2400</v>
      </c>
      <c r="J460" s="20">
        <v>4</v>
      </c>
      <c r="K460" s="1">
        <v>290</v>
      </c>
      <c r="L460" s="1">
        <v>1160</v>
      </c>
      <c r="M460" s="43" t="s">
        <v>2789</v>
      </c>
      <c r="Q460" t="s">
        <v>251</v>
      </c>
    </row>
    <row r="461" spans="1:17" ht="15" customHeight="1" x14ac:dyDescent="0.25">
      <c r="A461" s="42" t="s">
        <v>1303</v>
      </c>
      <c r="B461" s="3" t="s">
        <v>251</v>
      </c>
      <c r="C461" s="42" t="s">
        <v>1148</v>
      </c>
      <c r="D461">
        <v>2</v>
      </c>
      <c r="E461" t="s">
        <v>1017</v>
      </c>
      <c r="F461" t="s">
        <v>975</v>
      </c>
      <c r="G461" t="s">
        <v>180</v>
      </c>
      <c r="H461" s="1" t="s">
        <v>976</v>
      </c>
      <c r="I461" s="1">
        <v>2400</v>
      </c>
      <c r="J461" s="20">
        <v>0</v>
      </c>
      <c r="K461" s="1">
        <v>0</v>
      </c>
      <c r="L461" s="1">
        <v>0</v>
      </c>
      <c r="M461" s="43" t="s">
        <v>2789</v>
      </c>
      <c r="Q461" t="s">
        <v>251</v>
      </c>
    </row>
    <row r="462" spans="1:17" ht="15" customHeight="1" x14ac:dyDescent="0.25">
      <c r="A462" s="3" t="s">
        <v>1304</v>
      </c>
      <c r="B462" s="4" t="s">
        <v>252</v>
      </c>
      <c r="C462" t="s">
        <v>1148</v>
      </c>
      <c r="D462">
        <v>1</v>
      </c>
      <c r="E462" t="s">
        <v>974</v>
      </c>
      <c r="F462" t="s">
        <v>975</v>
      </c>
      <c r="G462" t="s">
        <v>180</v>
      </c>
      <c r="H462" s="1" t="s">
        <v>976</v>
      </c>
      <c r="I462" s="1">
        <v>1665</v>
      </c>
      <c r="J462" s="20">
        <v>12</v>
      </c>
      <c r="K462" s="1">
        <v>282.90849600000001</v>
      </c>
      <c r="L462" s="1">
        <v>3394.9</v>
      </c>
      <c r="M462" s="43" t="s">
        <v>2789</v>
      </c>
      <c r="Q462" t="s">
        <v>252</v>
      </c>
    </row>
    <row r="463" spans="1:17" ht="15" customHeight="1" x14ac:dyDescent="0.25">
      <c r="A463" s="42" t="s">
        <v>1304</v>
      </c>
      <c r="B463" s="3" t="s">
        <v>252</v>
      </c>
      <c r="C463" s="42" t="s">
        <v>1148</v>
      </c>
      <c r="D463">
        <v>2</v>
      </c>
      <c r="E463" t="s">
        <v>1017</v>
      </c>
      <c r="F463" t="s">
        <v>975</v>
      </c>
      <c r="G463" t="s">
        <v>180</v>
      </c>
      <c r="H463" s="1" t="s">
        <v>976</v>
      </c>
      <c r="I463" s="1">
        <v>1665</v>
      </c>
      <c r="J463" s="20">
        <v>0</v>
      </c>
      <c r="K463" s="1">
        <v>219</v>
      </c>
      <c r="L463" s="1">
        <v>0</v>
      </c>
      <c r="M463" s="43" t="s">
        <v>2789</v>
      </c>
      <c r="Q463" t="s">
        <v>252</v>
      </c>
    </row>
    <row r="464" spans="1:17" ht="15" customHeight="1" x14ac:dyDescent="0.25">
      <c r="A464" s="42" t="s">
        <v>1304</v>
      </c>
      <c r="B464" s="3" t="s">
        <v>252</v>
      </c>
      <c r="C464" s="42" t="s">
        <v>1148</v>
      </c>
      <c r="D464">
        <v>3</v>
      </c>
      <c r="E464" t="s">
        <v>1179</v>
      </c>
      <c r="F464" t="s">
        <v>1180</v>
      </c>
      <c r="G464" t="s">
        <v>180</v>
      </c>
      <c r="H464" s="1" t="s">
        <v>976</v>
      </c>
      <c r="I464" s="1">
        <v>1665</v>
      </c>
      <c r="J464" s="20">
        <v>0</v>
      </c>
      <c r="K464" s="1">
        <v>219</v>
      </c>
      <c r="L464" s="1">
        <v>0</v>
      </c>
      <c r="M464" s="43" t="s">
        <v>2789</v>
      </c>
      <c r="Q464" t="s">
        <v>252</v>
      </c>
    </row>
    <row r="465" spans="1:17" ht="15" customHeight="1" x14ac:dyDescent="0.25">
      <c r="A465" s="3" t="s">
        <v>1305</v>
      </c>
      <c r="B465" s="4" t="s">
        <v>2792</v>
      </c>
      <c r="C465" t="s">
        <v>1148</v>
      </c>
      <c r="D465">
        <v>1</v>
      </c>
      <c r="E465" t="s">
        <v>974</v>
      </c>
      <c r="F465" t="s">
        <v>975</v>
      </c>
      <c r="G465" t="s">
        <v>180</v>
      </c>
      <c r="H465" s="1" t="s">
        <v>976</v>
      </c>
      <c r="I465" s="1">
        <v>1665</v>
      </c>
      <c r="J465" s="20">
        <v>9</v>
      </c>
      <c r="K465" s="1">
        <v>275</v>
      </c>
      <c r="L465" s="1">
        <v>2475</v>
      </c>
      <c r="M465" s="43" t="s">
        <v>2789</v>
      </c>
      <c r="O465" s="2" t="s">
        <v>2727</v>
      </c>
      <c r="P465" t="s">
        <v>22</v>
      </c>
      <c r="Q465" t="s">
        <v>764</v>
      </c>
    </row>
    <row r="466" spans="1:17" ht="15" customHeight="1" x14ac:dyDescent="0.25">
      <c r="A466" s="42" t="s">
        <v>1305</v>
      </c>
      <c r="B466" s="3" t="s">
        <v>2792</v>
      </c>
      <c r="C466" s="42" t="s">
        <v>1148</v>
      </c>
      <c r="D466">
        <v>2</v>
      </c>
      <c r="E466" t="s">
        <v>1017</v>
      </c>
      <c r="F466" t="s">
        <v>975</v>
      </c>
      <c r="G466" t="s">
        <v>180</v>
      </c>
      <c r="H466" s="1" t="s">
        <v>976</v>
      </c>
      <c r="I466" s="1">
        <v>1665</v>
      </c>
      <c r="J466" s="20">
        <v>1</v>
      </c>
      <c r="K466" s="1">
        <v>275</v>
      </c>
      <c r="L466" s="1">
        <v>275</v>
      </c>
      <c r="M466" s="43" t="s">
        <v>2789</v>
      </c>
      <c r="O466" s="2" t="s">
        <v>2727</v>
      </c>
      <c r="P466" t="s">
        <v>22</v>
      </c>
      <c r="Q466" t="s">
        <v>764</v>
      </c>
    </row>
    <row r="467" spans="1:17" ht="15" customHeight="1" x14ac:dyDescent="0.25">
      <c r="A467" s="42" t="s">
        <v>1305</v>
      </c>
      <c r="B467" s="3" t="s">
        <v>2792</v>
      </c>
      <c r="C467" s="42" t="s">
        <v>1148</v>
      </c>
      <c r="D467">
        <v>3</v>
      </c>
      <c r="E467" t="s">
        <v>1179</v>
      </c>
      <c r="F467" t="s">
        <v>1180</v>
      </c>
      <c r="G467" t="s">
        <v>180</v>
      </c>
      <c r="H467" s="1" t="s">
        <v>976</v>
      </c>
      <c r="I467" s="1">
        <v>1665</v>
      </c>
      <c r="J467" s="20">
        <v>1</v>
      </c>
      <c r="K467" s="1">
        <v>1330</v>
      </c>
      <c r="L467" s="1">
        <v>1330</v>
      </c>
      <c r="M467" s="43" t="s">
        <v>2789</v>
      </c>
      <c r="O467" s="2" t="s">
        <v>2727</v>
      </c>
      <c r="P467" t="s">
        <v>22</v>
      </c>
      <c r="Q467" t="s">
        <v>764</v>
      </c>
    </row>
    <row r="468" spans="1:17" ht="15" customHeight="1" x14ac:dyDescent="0.25">
      <c r="A468" s="3" t="s">
        <v>1306</v>
      </c>
      <c r="B468" s="4" t="s">
        <v>253</v>
      </c>
      <c r="C468" t="s">
        <v>1148</v>
      </c>
      <c r="D468">
        <v>1</v>
      </c>
      <c r="E468" t="s">
        <v>974</v>
      </c>
      <c r="F468" t="s">
        <v>975</v>
      </c>
      <c r="G468" t="s">
        <v>180</v>
      </c>
      <c r="H468" s="1" t="s">
        <v>976</v>
      </c>
      <c r="I468" s="1">
        <v>2400</v>
      </c>
      <c r="J468" s="20">
        <v>1</v>
      </c>
      <c r="K468" s="1">
        <v>290</v>
      </c>
      <c r="L468" s="1">
        <v>290</v>
      </c>
      <c r="M468" s="43" t="s">
        <v>2789</v>
      </c>
      <c r="Q468" t="s">
        <v>253</v>
      </c>
    </row>
    <row r="469" spans="1:17" ht="15" customHeight="1" x14ac:dyDescent="0.25">
      <c r="A469" s="3" t="s">
        <v>1307</v>
      </c>
      <c r="B469" s="4" t="s">
        <v>254</v>
      </c>
      <c r="C469" t="s">
        <v>1148</v>
      </c>
      <c r="D469">
        <v>1</v>
      </c>
      <c r="E469" t="s">
        <v>974</v>
      </c>
      <c r="F469" t="s">
        <v>975</v>
      </c>
      <c r="G469" t="s">
        <v>180</v>
      </c>
      <c r="H469" s="1" t="s">
        <v>976</v>
      </c>
      <c r="I469" s="1">
        <v>1665</v>
      </c>
      <c r="J469" s="20">
        <v>11</v>
      </c>
      <c r="K469" s="1">
        <v>285</v>
      </c>
      <c r="L469" s="1">
        <v>3135</v>
      </c>
      <c r="M469" s="43" t="s">
        <v>2789</v>
      </c>
      <c r="Q469" t="s">
        <v>254</v>
      </c>
    </row>
    <row r="470" spans="1:17" ht="15" customHeight="1" x14ac:dyDescent="0.25">
      <c r="A470" s="42" t="s">
        <v>1307</v>
      </c>
      <c r="B470" s="3" t="s">
        <v>254</v>
      </c>
      <c r="C470" s="42" t="s">
        <v>1148</v>
      </c>
      <c r="D470">
        <v>2</v>
      </c>
      <c r="E470" t="s">
        <v>1017</v>
      </c>
      <c r="F470" t="s">
        <v>975</v>
      </c>
      <c r="G470" t="s">
        <v>180</v>
      </c>
      <c r="H470" s="1" t="s">
        <v>976</v>
      </c>
      <c r="I470" s="1">
        <v>1665</v>
      </c>
      <c r="J470" s="20">
        <v>0</v>
      </c>
      <c r="K470" s="1">
        <v>132.91666599999999</v>
      </c>
      <c r="L470" s="1">
        <v>0</v>
      </c>
      <c r="M470" s="43" t="s">
        <v>2789</v>
      </c>
      <c r="Q470" t="s">
        <v>254</v>
      </c>
    </row>
    <row r="471" spans="1:17" ht="15" customHeight="1" x14ac:dyDescent="0.25">
      <c r="A471" s="42" t="s">
        <v>1307</v>
      </c>
      <c r="B471" s="3" t="s">
        <v>254</v>
      </c>
      <c r="C471" s="42" t="s">
        <v>1148</v>
      </c>
      <c r="D471">
        <v>3</v>
      </c>
      <c r="E471" t="s">
        <v>1179</v>
      </c>
      <c r="F471" t="s">
        <v>1180</v>
      </c>
      <c r="G471" t="s">
        <v>180</v>
      </c>
      <c r="H471" s="1" t="s">
        <v>976</v>
      </c>
      <c r="I471" s="1">
        <v>1665</v>
      </c>
      <c r="J471" s="20">
        <v>0</v>
      </c>
      <c r="K471" s="1">
        <v>109.5</v>
      </c>
      <c r="L471" s="1">
        <v>0</v>
      </c>
      <c r="M471" s="43" t="s">
        <v>2789</v>
      </c>
      <c r="Q471" t="s">
        <v>254</v>
      </c>
    </row>
    <row r="472" spans="1:17" ht="15" customHeight="1" x14ac:dyDescent="0.25">
      <c r="A472" s="3" t="s">
        <v>1308</v>
      </c>
      <c r="B472" s="4" t="s">
        <v>255</v>
      </c>
      <c r="C472" t="s">
        <v>1148</v>
      </c>
      <c r="D472">
        <v>1</v>
      </c>
      <c r="E472" t="s">
        <v>974</v>
      </c>
      <c r="F472" t="s">
        <v>975</v>
      </c>
      <c r="G472" t="s">
        <v>180</v>
      </c>
      <c r="H472" s="1" t="s">
        <v>976</v>
      </c>
      <c r="I472" s="1">
        <v>910</v>
      </c>
      <c r="J472" s="20">
        <v>1</v>
      </c>
      <c r="K472" s="1">
        <v>302.52</v>
      </c>
      <c r="L472" s="1">
        <v>302.52</v>
      </c>
      <c r="M472" s="43" t="s">
        <v>2793</v>
      </c>
      <c r="Q472" t="s">
        <v>255</v>
      </c>
    </row>
    <row r="473" spans="1:17" ht="15" customHeight="1" x14ac:dyDescent="0.25">
      <c r="A473" s="3" t="s">
        <v>2253</v>
      </c>
      <c r="B473" s="4" t="s">
        <v>557</v>
      </c>
      <c r="C473" t="s">
        <v>1309</v>
      </c>
      <c r="D473">
        <v>1</v>
      </c>
      <c r="E473" t="s">
        <v>974</v>
      </c>
      <c r="F473" t="s">
        <v>975</v>
      </c>
      <c r="G473" t="s">
        <v>976</v>
      </c>
      <c r="H473" s="1" t="s">
        <v>976</v>
      </c>
      <c r="I473" s="1">
        <v>180</v>
      </c>
      <c r="J473" s="20">
        <v>152</v>
      </c>
      <c r="K473" s="1">
        <v>80</v>
      </c>
      <c r="L473" s="1">
        <v>12160</v>
      </c>
      <c r="M473" s="43" t="s">
        <v>2794</v>
      </c>
      <c r="Q473" t="s">
        <v>557</v>
      </c>
    </row>
    <row r="474" spans="1:17" ht="15" customHeight="1" x14ac:dyDescent="0.25">
      <c r="A474" s="3" t="s">
        <v>2254</v>
      </c>
      <c r="B474" s="4" t="s">
        <v>558</v>
      </c>
      <c r="C474" t="s">
        <v>1309</v>
      </c>
      <c r="D474">
        <v>1</v>
      </c>
      <c r="E474" t="s">
        <v>974</v>
      </c>
      <c r="F474" t="s">
        <v>975</v>
      </c>
      <c r="G474" t="s">
        <v>976</v>
      </c>
      <c r="H474" s="1" t="s">
        <v>976</v>
      </c>
      <c r="I474" s="1">
        <v>110</v>
      </c>
      <c r="J474" s="20">
        <v>172</v>
      </c>
      <c r="K474" s="1">
        <v>0</v>
      </c>
      <c r="L474" s="1">
        <v>0</v>
      </c>
      <c r="M474" s="43" t="s">
        <v>2794</v>
      </c>
      <c r="Q474" t="s">
        <v>558</v>
      </c>
    </row>
    <row r="475" spans="1:17" ht="15" customHeight="1" x14ac:dyDescent="0.25">
      <c r="A475" s="3" t="s">
        <v>1310</v>
      </c>
      <c r="B475" s="4" t="s">
        <v>2796</v>
      </c>
      <c r="C475" t="s">
        <v>1152</v>
      </c>
      <c r="D475">
        <v>1</v>
      </c>
      <c r="E475" t="s">
        <v>974</v>
      </c>
      <c r="F475" t="s">
        <v>975</v>
      </c>
      <c r="G475" t="s">
        <v>180</v>
      </c>
      <c r="H475" s="1" t="s">
        <v>976</v>
      </c>
      <c r="I475" s="1">
        <v>4200</v>
      </c>
      <c r="J475" s="20">
        <v>-2</v>
      </c>
      <c r="K475" s="1">
        <v>0</v>
      </c>
      <c r="L475" s="1">
        <v>0</v>
      </c>
      <c r="M475" s="43" t="s">
        <v>2795</v>
      </c>
      <c r="O475" s="2" t="s">
        <v>2433</v>
      </c>
      <c r="Q475" t="s">
        <v>765</v>
      </c>
    </row>
    <row r="476" spans="1:17" ht="15" customHeight="1" x14ac:dyDescent="0.25">
      <c r="A476" s="42" t="s">
        <v>1310</v>
      </c>
      <c r="B476" s="3" t="s">
        <v>2796</v>
      </c>
      <c r="C476" s="42" t="s">
        <v>1152</v>
      </c>
      <c r="D476">
        <v>4</v>
      </c>
      <c r="E476" t="s">
        <v>1018</v>
      </c>
      <c r="F476" t="s">
        <v>975</v>
      </c>
      <c r="G476" t="s">
        <v>180</v>
      </c>
      <c r="H476" s="1" t="s">
        <v>976</v>
      </c>
      <c r="I476" s="1">
        <v>4200</v>
      </c>
      <c r="J476" s="20">
        <v>0</v>
      </c>
      <c r="K476" s="1">
        <v>0</v>
      </c>
      <c r="L476" s="1">
        <v>0</v>
      </c>
      <c r="M476" s="43" t="s">
        <v>2795</v>
      </c>
      <c r="O476" s="2" t="s">
        <v>2433</v>
      </c>
      <c r="Q476" t="s">
        <v>765</v>
      </c>
    </row>
    <row r="477" spans="1:17" ht="15" customHeight="1" x14ac:dyDescent="0.25">
      <c r="A477" s="3" t="s">
        <v>1311</v>
      </c>
      <c r="B477" s="4" t="s">
        <v>256</v>
      </c>
      <c r="C477" t="s">
        <v>1312</v>
      </c>
      <c r="D477">
        <v>1</v>
      </c>
      <c r="E477" t="s">
        <v>974</v>
      </c>
      <c r="F477" t="s">
        <v>975</v>
      </c>
      <c r="G477" t="s">
        <v>180</v>
      </c>
      <c r="H477" s="1" t="s">
        <v>976</v>
      </c>
      <c r="I477" s="1">
        <v>4200</v>
      </c>
      <c r="J477" s="20">
        <v>5</v>
      </c>
      <c r="K477" s="1">
        <v>1</v>
      </c>
      <c r="L477" s="1">
        <v>5</v>
      </c>
      <c r="M477" s="43" t="s">
        <v>2795</v>
      </c>
      <c r="Q477" t="s">
        <v>256</v>
      </c>
    </row>
    <row r="478" spans="1:17" ht="15" customHeight="1" x14ac:dyDescent="0.25">
      <c r="A478" s="3" t="s">
        <v>1313</v>
      </c>
      <c r="B478" s="4" t="s">
        <v>2797</v>
      </c>
      <c r="C478" t="s">
        <v>1152</v>
      </c>
      <c r="D478">
        <v>1</v>
      </c>
      <c r="E478" t="s">
        <v>974</v>
      </c>
      <c r="F478" t="s">
        <v>975</v>
      </c>
      <c r="G478" t="s">
        <v>180</v>
      </c>
      <c r="H478" s="1" t="s">
        <v>976</v>
      </c>
      <c r="I478" s="1">
        <v>4800</v>
      </c>
      <c r="J478" s="20">
        <v>5</v>
      </c>
      <c r="K478" s="1">
        <v>1</v>
      </c>
      <c r="L478" s="1">
        <v>5</v>
      </c>
      <c r="M478" s="43" t="s">
        <v>2795</v>
      </c>
      <c r="O478" s="2" t="s">
        <v>2495</v>
      </c>
      <c r="Q478" t="s">
        <v>766</v>
      </c>
    </row>
    <row r="479" spans="1:17" ht="15" customHeight="1" x14ac:dyDescent="0.25">
      <c r="A479" s="3" t="s">
        <v>2255</v>
      </c>
      <c r="B479" s="4" t="s">
        <v>2799</v>
      </c>
      <c r="C479" t="s">
        <v>1196</v>
      </c>
      <c r="D479">
        <v>1</v>
      </c>
      <c r="E479" t="s">
        <v>974</v>
      </c>
      <c r="F479" t="s">
        <v>975</v>
      </c>
      <c r="G479" t="s">
        <v>180</v>
      </c>
      <c r="H479" s="1" t="s">
        <v>976</v>
      </c>
      <c r="I479" s="1">
        <v>1200</v>
      </c>
      <c r="J479" s="20">
        <v>-1</v>
      </c>
      <c r="K479" s="1">
        <v>0</v>
      </c>
      <c r="L479" s="1">
        <v>0</v>
      </c>
      <c r="M479" s="43" t="s">
        <v>2798</v>
      </c>
      <c r="N479" s="1" t="s">
        <v>2616</v>
      </c>
      <c r="O479" s="2" t="s">
        <v>2472</v>
      </c>
      <c r="Q479" t="s">
        <v>767</v>
      </c>
    </row>
    <row r="480" spans="1:17" ht="15" customHeight="1" x14ac:dyDescent="0.25">
      <c r="A480" s="42" t="s">
        <v>2255</v>
      </c>
      <c r="B480" s="3" t="s">
        <v>2799</v>
      </c>
      <c r="C480" s="42" t="s">
        <v>1196</v>
      </c>
      <c r="D480">
        <v>4</v>
      </c>
      <c r="E480" t="s">
        <v>1018</v>
      </c>
      <c r="F480" t="s">
        <v>975</v>
      </c>
      <c r="G480" t="s">
        <v>180</v>
      </c>
      <c r="H480" s="1" t="s">
        <v>976</v>
      </c>
      <c r="I480" s="1">
        <v>1200</v>
      </c>
      <c r="J480" s="20">
        <v>1</v>
      </c>
      <c r="K480" s="1">
        <v>1200</v>
      </c>
      <c r="L480" s="1">
        <v>1200</v>
      </c>
      <c r="M480" s="43" t="s">
        <v>2798</v>
      </c>
      <c r="N480" s="1" t="s">
        <v>2616</v>
      </c>
      <c r="O480" s="2" t="s">
        <v>2472</v>
      </c>
      <c r="Q480" t="s">
        <v>767</v>
      </c>
    </row>
    <row r="481" spans="1:17" ht="15" customHeight="1" x14ac:dyDescent="0.25">
      <c r="A481" s="3" t="s">
        <v>2256</v>
      </c>
      <c r="B481" s="4" t="s">
        <v>2800</v>
      </c>
      <c r="C481" t="s">
        <v>1196</v>
      </c>
      <c r="D481">
        <v>1</v>
      </c>
      <c r="E481" t="s">
        <v>974</v>
      </c>
      <c r="F481" t="s">
        <v>975</v>
      </c>
      <c r="G481" t="s">
        <v>976</v>
      </c>
      <c r="H481" s="1" t="s">
        <v>976</v>
      </c>
      <c r="I481" s="1">
        <v>1140</v>
      </c>
      <c r="J481" s="20">
        <v>0</v>
      </c>
      <c r="K481" s="1">
        <v>0</v>
      </c>
      <c r="L481" s="1">
        <v>0</v>
      </c>
      <c r="M481" s="43" t="s">
        <v>2798</v>
      </c>
      <c r="N481" s="1" t="s">
        <v>2616</v>
      </c>
      <c r="O481" s="2" t="s">
        <v>2443</v>
      </c>
      <c r="Q481" t="s">
        <v>768</v>
      </c>
    </row>
    <row r="482" spans="1:17" ht="15" customHeight="1" x14ac:dyDescent="0.25">
      <c r="A482" s="42" t="s">
        <v>2256</v>
      </c>
      <c r="B482" s="3" t="s">
        <v>2800</v>
      </c>
      <c r="C482" s="42" t="s">
        <v>1196</v>
      </c>
      <c r="D482">
        <v>4</v>
      </c>
      <c r="E482" t="s">
        <v>1018</v>
      </c>
      <c r="F482" t="s">
        <v>975</v>
      </c>
      <c r="G482" t="s">
        <v>976</v>
      </c>
      <c r="H482" s="1" t="s">
        <v>976</v>
      </c>
      <c r="I482" s="1">
        <v>1140</v>
      </c>
      <c r="J482" s="20">
        <v>1</v>
      </c>
      <c r="K482" s="1">
        <v>1140</v>
      </c>
      <c r="L482" s="1">
        <v>1140</v>
      </c>
      <c r="M482" s="43" t="s">
        <v>2798</v>
      </c>
      <c r="N482" s="1" t="s">
        <v>2616</v>
      </c>
      <c r="O482" s="2" t="s">
        <v>2443</v>
      </c>
      <c r="Q482" t="s">
        <v>768</v>
      </c>
    </row>
    <row r="483" spans="1:17" ht="15" customHeight="1" x14ac:dyDescent="0.25">
      <c r="A483" s="3" t="s">
        <v>2257</v>
      </c>
      <c r="B483" s="4" t="s">
        <v>2801</v>
      </c>
      <c r="C483" t="s">
        <v>1196</v>
      </c>
      <c r="D483">
        <v>1</v>
      </c>
      <c r="E483" t="s">
        <v>974</v>
      </c>
      <c r="F483" t="s">
        <v>975</v>
      </c>
      <c r="G483" t="s">
        <v>180</v>
      </c>
      <c r="H483" s="1" t="s">
        <v>976</v>
      </c>
      <c r="I483" s="1">
        <v>580</v>
      </c>
      <c r="J483" s="20">
        <v>1</v>
      </c>
      <c r="K483" s="1">
        <v>60</v>
      </c>
      <c r="L483" s="1">
        <v>60</v>
      </c>
      <c r="M483" s="43" t="s">
        <v>2798</v>
      </c>
      <c r="O483" s="2" t="s">
        <v>2472</v>
      </c>
      <c r="P483" t="s">
        <v>23</v>
      </c>
      <c r="Q483" t="s">
        <v>769</v>
      </c>
    </row>
    <row r="484" spans="1:17" ht="15" customHeight="1" x14ac:dyDescent="0.25">
      <c r="A484" s="42" t="s">
        <v>2257</v>
      </c>
      <c r="B484" s="3" t="s">
        <v>2801</v>
      </c>
      <c r="C484" s="42" t="s">
        <v>1196</v>
      </c>
      <c r="D484">
        <v>3</v>
      </c>
      <c r="E484" t="s">
        <v>1179</v>
      </c>
      <c r="F484" t="s">
        <v>1180</v>
      </c>
      <c r="G484" t="s">
        <v>180</v>
      </c>
      <c r="H484" s="1" t="s">
        <v>976</v>
      </c>
      <c r="I484" s="1">
        <v>580</v>
      </c>
      <c r="J484" s="20">
        <v>0</v>
      </c>
      <c r="K484" s="1">
        <v>60</v>
      </c>
      <c r="L484" s="1">
        <v>0</v>
      </c>
      <c r="M484" s="43" t="s">
        <v>2798</v>
      </c>
      <c r="O484" s="2" t="s">
        <v>2472</v>
      </c>
      <c r="P484" t="s">
        <v>23</v>
      </c>
      <c r="Q484" t="s">
        <v>769</v>
      </c>
    </row>
    <row r="485" spans="1:17" ht="15" customHeight="1" x14ac:dyDescent="0.25">
      <c r="A485" s="3" t="s">
        <v>2258</v>
      </c>
      <c r="B485" s="4" t="s">
        <v>2802</v>
      </c>
      <c r="C485" t="s">
        <v>1196</v>
      </c>
      <c r="D485">
        <v>1</v>
      </c>
      <c r="E485" t="s">
        <v>974</v>
      </c>
      <c r="F485" t="s">
        <v>975</v>
      </c>
      <c r="G485" t="s">
        <v>180</v>
      </c>
      <c r="H485" s="1" t="s">
        <v>976</v>
      </c>
      <c r="I485" s="1">
        <v>1220</v>
      </c>
      <c r="J485" s="20">
        <v>-2</v>
      </c>
      <c r="K485" s="1">
        <v>0</v>
      </c>
      <c r="L485" s="1">
        <v>0</v>
      </c>
      <c r="M485" s="43" t="s">
        <v>2798</v>
      </c>
      <c r="N485" s="1" t="s">
        <v>2616</v>
      </c>
      <c r="O485" s="2" t="s">
        <v>2463</v>
      </c>
      <c r="Q485" t="s">
        <v>770</v>
      </c>
    </row>
    <row r="486" spans="1:17" ht="15" customHeight="1" x14ac:dyDescent="0.25">
      <c r="A486" s="3" t="s">
        <v>2259</v>
      </c>
      <c r="B486" s="4" t="s">
        <v>2803</v>
      </c>
      <c r="C486" t="s">
        <v>1196</v>
      </c>
      <c r="D486">
        <v>1</v>
      </c>
      <c r="E486" t="s">
        <v>974</v>
      </c>
      <c r="F486" t="s">
        <v>975</v>
      </c>
      <c r="G486" t="s">
        <v>180</v>
      </c>
      <c r="H486" s="1" t="s">
        <v>976</v>
      </c>
      <c r="I486" s="1">
        <v>770</v>
      </c>
      <c r="J486" s="20">
        <v>0</v>
      </c>
      <c r="K486" s="1">
        <v>131.13</v>
      </c>
      <c r="L486" s="1">
        <v>0</v>
      </c>
      <c r="M486" s="43" t="s">
        <v>2798</v>
      </c>
      <c r="O486" s="2" t="s">
        <v>2463</v>
      </c>
      <c r="Q486" t="s">
        <v>771</v>
      </c>
    </row>
    <row r="487" spans="1:17" ht="15" customHeight="1" x14ac:dyDescent="0.25">
      <c r="A487" s="3" t="s">
        <v>2260</v>
      </c>
      <c r="B487" s="4" t="s">
        <v>2803</v>
      </c>
      <c r="C487" t="s">
        <v>1196</v>
      </c>
      <c r="D487">
        <v>1</v>
      </c>
      <c r="E487" t="s">
        <v>974</v>
      </c>
      <c r="F487" t="s">
        <v>975</v>
      </c>
      <c r="G487" t="s">
        <v>180</v>
      </c>
      <c r="H487" s="1" t="s">
        <v>976</v>
      </c>
      <c r="I487" s="1">
        <v>770</v>
      </c>
      <c r="J487" s="20">
        <v>0</v>
      </c>
      <c r="K487" s="1">
        <v>131.13</v>
      </c>
      <c r="L487" s="1">
        <v>0</v>
      </c>
      <c r="M487" s="43" t="s">
        <v>2798</v>
      </c>
      <c r="O487" s="2" t="s">
        <v>2463</v>
      </c>
      <c r="Q487" t="s">
        <v>771</v>
      </c>
    </row>
    <row r="488" spans="1:17" ht="15" customHeight="1" x14ac:dyDescent="0.25">
      <c r="A488" s="3" t="s">
        <v>2261</v>
      </c>
      <c r="B488" s="4" t="s">
        <v>2803</v>
      </c>
      <c r="C488" t="s">
        <v>1196</v>
      </c>
      <c r="D488">
        <v>1</v>
      </c>
      <c r="E488" t="s">
        <v>974</v>
      </c>
      <c r="F488" t="s">
        <v>975</v>
      </c>
      <c r="G488" t="s">
        <v>180</v>
      </c>
      <c r="H488" s="1" t="s">
        <v>976</v>
      </c>
      <c r="I488" s="1">
        <v>770</v>
      </c>
      <c r="J488" s="20">
        <v>0</v>
      </c>
      <c r="K488" s="1">
        <v>131.13</v>
      </c>
      <c r="L488" s="1">
        <v>0</v>
      </c>
      <c r="M488" s="43" t="s">
        <v>2798</v>
      </c>
      <c r="O488" s="2" t="s">
        <v>2463</v>
      </c>
      <c r="Q488" t="s">
        <v>771</v>
      </c>
    </row>
    <row r="489" spans="1:17" ht="15" customHeight="1" x14ac:dyDescent="0.25">
      <c r="A489" s="42" t="s">
        <v>2261</v>
      </c>
      <c r="B489" s="3" t="s">
        <v>2803</v>
      </c>
      <c r="C489" s="42" t="s">
        <v>1196</v>
      </c>
      <c r="D489">
        <v>2</v>
      </c>
      <c r="E489" t="s">
        <v>1017</v>
      </c>
      <c r="F489" t="s">
        <v>975</v>
      </c>
      <c r="G489" t="s">
        <v>180</v>
      </c>
      <c r="H489" s="1" t="s">
        <v>976</v>
      </c>
      <c r="I489" s="1">
        <v>770</v>
      </c>
      <c r="J489" s="20">
        <v>0</v>
      </c>
      <c r="K489" s="1">
        <v>131.13</v>
      </c>
      <c r="L489" s="1">
        <v>0</v>
      </c>
      <c r="M489" s="43" t="s">
        <v>2798</v>
      </c>
      <c r="O489" s="2" t="s">
        <v>2463</v>
      </c>
      <c r="Q489" t="s">
        <v>771</v>
      </c>
    </row>
    <row r="490" spans="1:17" ht="15" customHeight="1" x14ac:dyDescent="0.25">
      <c r="A490" s="42" t="s">
        <v>2261</v>
      </c>
      <c r="B490" s="3" t="s">
        <v>2803</v>
      </c>
      <c r="C490" s="42" t="s">
        <v>1196</v>
      </c>
      <c r="D490">
        <v>3</v>
      </c>
      <c r="E490" t="s">
        <v>1179</v>
      </c>
      <c r="F490" t="s">
        <v>1180</v>
      </c>
      <c r="G490" t="s">
        <v>180</v>
      </c>
      <c r="H490" s="1" t="s">
        <v>976</v>
      </c>
      <c r="I490" s="1">
        <v>770</v>
      </c>
      <c r="J490" s="20">
        <v>0</v>
      </c>
      <c r="K490" s="1">
        <v>131.13</v>
      </c>
      <c r="L490" s="1">
        <v>0</v>
      </c>
      <c r="M490" s="43" t="s">
        <v>2798</v>
      </c>
      <c r="O490" s="2" t="s">
        <v>2463</v>
      </c>
      <c r="Q490" t="s">
        <v>771</v>
      </c>
    </row>
    <row r="491" spans="1:17" ht="15" customHeight="1" x14ac:dyDescent="0.25">
      <c r="A491" s="42" t="s">
        <v>2261</v>
      </c>
      <c r="B491" s="3" t="s">
        <v>2803</v>
      </c>
      <c r="C491" s="42" t="s">
        <v>1196</v>
      </c>
      <c r="D491">
        <v>4</v>
      </c>
      <c r="E491" t="s">
        <v>1018</v>
      </c>
      <c r="F491" t="s">
        <v>975</v>
      </c>
      <c r="G491" t="s">
        <v>180</v>
      </c>
      <c r="H491" s="1" t="s">
        <v>976</v>
      </c>
      <c r="I491" s="1">
        <v>770</v>
      </c>
      <c r="J491" s="20">
        <v>1</v>
      </c>
      <c r="K491" s="1">
        <v>770</v>
      </c>
      <c r="L491" s="1">
        <v>770</v>
      </c>
      <c r="M491" s="43" t="s">
        <v>2798</v>
      </c>
      <c r="O491" s="2" t="s">
        <v>2463</v>
      </c>
      <c r="Q491" t="s">
        <v>771</v>
      </c>
    </row>
    <row r="492" spans="1:17" ht="15" customHeight="1" x14ac:dyDescent="0.25">
      <c r="A492" s="3" t="s">
        <v>2262</v>
      </c>
      <c r="B492" s="4" t="s">
        <v>2803</v>
      </c>
      <c r="C492" t="s">
        <v>1196</v>
      </c>
      <c r="D492">
        <v>1</v>
      </c>
      <c r="E492" t="s">
        <v>974</v>
      </c>
      <c r="F492" t="s">
        <v>975</v>
      </c>
      <c r="G492" t="s">
        <v>180</v>
      </c>
      <c r="H492" s="1" t="s">
        <v>976</v>
      </c>
      <c r="I492" s="1">
        <v>770</v>
      </c>
      <c r="J492" s="20">
        <v>0</v>
      </c>
      <c r="K492" s="1">
        <v>131.13</v>
      </c>
      <c r="L492" s="1">
        <v>0</v>
      </c>
      <c r="M492" s="43" t="s">
        <v>2798</v>
      </c>
      <c r="O492" s="2" t="s">
        <v>2463</v>
      </c>
      <c r="Q492" t="s">
        <v>771</v>
      </c>
    </row>
    <row r="493" spans="1:17" ht="15" customHeight="1" x14ac:dyDescent="0.25">
      <c r="A493" s="3" t="s">
        <v>2263</v>
      </c>
      <c r="B493" s="4" t="s">
        <v>559</v>
      </c>
      <c r="C493" t="s">
        <v>1196</v>
      </c>
      <c r="D493">
        <v>1</v>
      </c>
      <c r="E493" t="s">
        <v>974</v>
      </c>
      <c r="F493" t="s">
        <v>975</v>
      </c>
      <c r="G493" t="s">
        <v>180</v>
      </c>
      <c r="H493" s="1" t="s">
        <v>976</v>
      </c>
      <c r="I493" s="1">
        <v>770</v>
      </c>
      <c r="J493" s="20">
        <v>3</v>
      </c>
      <c r="K493" s="1">
        <v>126.03</v>
      </c>
      <c r="L493" s="1">
        <v>378.09</v>
      </c>
      <c r="M493" s="43" t="s">
        <v>2798</v>
      </c>
      <c r="P493" t="s">
        <v>24</v>
      </c>
      <c r="Q493" t="s">
        <v>559</v>
      </c>
    </row>
    <row r="494" spans="1:17" ht="15" customHeight="1" x14ac:dyDescent="0.25">
      <c r="A494" s="3" t="s">
        <v>2264</v>
      </c>
      <c r="B494" s="4" t="s">
        <v>560</v>
      </c>
      <c r="C494" t="s">
        <v>1196</v>
      </c>
      <c r="D494">
        <v>1</v>
      </c>
      <c r="E494" t="s">
        <v>974</v>
      </c>
      <c r="F494" t="s">
        <v>975</v>
      </c>
      <c r="G494" t="s">
        <v>180</v>
      </c>
      <c r="H494" s="1" t="s">
        <v>976</v>
      </c>
      <c r="I494" s="1">
        <v>770</v>
      </c>
      <c r="J494" s="20">
        <v>1</v>
      </c>
      <c r="K494" s="1">
        <v>126.03</v>
      </c>
      <c r="L494" s="1">
        <v>126.03</v>
      </c>
      <c r="M494" s="43" t="s">
        <v>2798</v>
      </c>
      <c r="Q494" t="s">
        <v>560</v>
      </c>
    </row>
    <row r="495" spans="1:17" ht="15" customHeight="1" x14ac:dyDescent="0.25">
      <c r="A495" s="3" t="s">
        <v>2265</v>
      </c>
      <c r="B495" s="4" t="s">
        <v>561</v>
      </c>
      <c r="C495" t="s">
        <v>1196</v>
      </c>
      <c r="D495">
        <v>1</v>
      </c>
      <c r="E495" t="s">
        <v>974</v>
      </c>
      <c r="F495" t="s">
        <v>975</v>
      </c>
      <c r="G495" t="s">
        <v>180</v>
      </c>
      <c r="H495" s="1" t="s">
        <v>976</v>
      </c>
      <c r="I495" s="1">
        <v>770</v>
      </c>
      <c r="J495" s="20">
        <v>2</v>
      </c>
      <c r="K495" s="1">
        <v>126.03</v>
      </c>
      <c r="L495" s="1">
        <v>252.06</v>
      </c>
      <c r="M495" s="43" t="s">
        <v>2798</v>
      </c>
      <c r="Q495" t="s">
        <v>561</v>
      </c>
    </row>
    <row r="496" spans="1:17" ht="15" customHeight="1" x14ac:dyDescent="0.25">
      <c r="A496" s="3" t="s">
        <v>2266</v>
      </c>
      <c r="B496" s="4" t="s">
        <v>562</v>
      </c>
      <c r="C496" t="s">
        <v>1196</v>
      </c>
      <c r="D496">
        <v>1</v>
      </c>
      <c r="E496" t="s">
        <v>974</v>
      </c>
      <c r="F496" t="s">
        <v>975</v>
      </c>
      <c r="G496" t="s">
        <v>180</v>
      </c>
      <c r="H496" s="1" t="s">
        <v>976</v>
      </c>
      <c r="I496" s="1">
        <v>770</v>
      </c>
      <c r="J496" s="20">
        <v>0</v>
      </c>
      <c r="K496" s="1">
        <v>126.03</v>
      </c>
      <c r="L496" s="1">
        <v>0</v>
      </c>
      <c r="M496" s="43" t="s">
        <v>2798</v>
      </c>
      <c r="Q496" t="s">
        <v>562</v>
      </c>
    </row>
    <row r="497" spans="1:17" ht="15" customHeight="1" x14ac:dyDescent="0.25">
      <c r="A497" s="3" t="s">
        <v>2267</v>
      </c>
      <c r="B497" s="4" t="s">
        <v>2804</v>
      </c>
      <c r="C497" t="s">
        <v>1196</v>
      </c>
      <c r="D497">
        <v>1</v>
      </c>
      <c r="E497" t="s">
        <v>974</v>
      </c>
      <c r="F497" t="s">
        <v>975</v>
      </c>
      <c r="G497" t="s">
        <v>976</v>
      </c>
      <c r="H497" s="1" t="s">
        <v>976</v>
      </c>
      <c r="I497" s="1">
        <v>1090</v>
      </c>
      <c r="J497" s="20">
        <v>3</v>
      </c>
      <c r="K497" s="1">
        <v>169</v>
      </c>
      <c r="L497" s="1">
        <v>507</v>
      </c>
      <c r="M497" s="43" t="s">
        <v>2798</v>
      </c>
      <c r="O497" s="2" t="s">
        <v>2443</v>
      </c>
      <c r="P497">
        <v>40</v>
      </c>
      <c r="Q497" t="s">
        <v>772</v>
      </c>
    </row>
    <row r="498" spans="1:17" ht="15" customHeight="1" x14ac:dyDescent="0.25">
      <c r="A498" s="3" t="s">
        <v>2268</v>
      </c>
      <c r="B498" s="4" t="s">
        <v>2805</v>
      </c>
      <c r="C498" t="s">
        <v>1196</v>
      </c>
      <c r="D498">
        <v>1</v>
      </c>
      <c r="E498" t="s">
        <v>974</v>
      </c>
      <c r="F498" t="s">
        <v>975</v>
      </c>
      <c r="G498" t="s">
        <v>180</v>
      </c>
      <c r="H498" s="1" t="s">
        <v>976</v>
      </c>
      <c r="I498" s="1">
        <v>580</v>
      </c>
      <c r="J498" s="20">
        <v>1</v>
      </c>
      <c r="K498" s="1">
        <v>98.4</v>
      </c>
      <c r="L498" s="1">
        <v>98.4</v>
      </c>
      <c r="M498" s="43" t="s">
        <v>2798</v>
      </c>
      <c r="O498" s="2" t="s">
        <v>2447</v>
      </c>
      <c r="Q498" t="s">
        <v>773</v>
      </c>
    </row>
    <row r="499" spans="1:17" ht="15" customHeight="1" x14ac:dyDescent="0.25">
      <c r="A499" s="3" t="s">
        <v>2269</v>
      </c>
      <c r="B499" s="4" t="s">
        <v>2805</v>
      </c>
      <c r="C499" t="s">
        <v>1196</v>
      </c>
      <c r="D499">
        <v>1</v>
      </c>
      <c r="E499" t="s">
        <v>974</v>
      </c>
      <c r="F499" t="s">
        <v>975</v>
      </c>
      <c r="G499" t="s">
        <v>180</v>
      </c>
      <c r="H499" s="1" t="s">
        <v>976</v>
      </c>
      <c r="I499" s="1">
        <v>580</v>
      </c>
      <c r="J499" s="20">
        <v>11</v>
      </c>
      <c r="K499" s="1">
        <v>100.131</v>
      </c>
      <c r="L499" s="1">
        <v>1101.44</v>
      </c>
      <c r="M499" s="43" t="s">
        <v>2798</v>
      </c>
      <c r="O499" s="2" t="s">
        <v>2447</v>
      </c>
      <c r="Q499" t="s">
        <v>773</v>
      </c>
    </row>
    <row r="500" spans="1:17" ht="15" customHeight="1" x14ac:dyDescent="0.25">
      <c r="A500" s="3" t="s">
        <v>2270</v>
      </c>
      <c r="B500" s="4" t="s">
        <v>2805</v>
      </c>
      <c r="C500" t="s">
        <v>1196</v>
      </c>
      <c r="D500">
        <v>1</v>
      </c>
      <c r="E500" t="s">
        <v>974</v>
      </c>
      <c r="F500" t="s">
        <v>975</v>
      </c>
      <c r="G500" t="s">
        <v>180</v>
      </c>
      <c r="H500" s="1" t="s">
        <v>976</v>
      </c>
      <c r="I500" s="1">
        <v>580</v>
      </c>
      <c r="J500" s="20">
        <v>11</v>
      </c>
      <c r="K500" s="1">
        <v>97.245999999999995</v>
      </c>
      <c r="L500" s="1">
        <v>1069.71</v>
      </c>
      <c r="M500" s="43" t="s">
        <v>2798</v>
      </c>
      <c r="O500" s="2" t="s">
        <v>2447</v>
      </c>
      <c r="Q500" t="s">
        <v>773</v>
      </c>
    </row>
    <row r="501" spans="1:17" ht="15" customHeight="1" x14ac:dyDescent="0.25">
      <c r="A501" s="3" t="s">
        <v>2271</v>
      </c>
      <c r="B501" s="4" t="s">
        <v>2805</v>
      </c>
      <c r="C501" t="s">
        <v>1196</v>
      </c>
      <c r="D501">
        <v>1</v>
      </c>
      <c r="E501" t="s">
        <v>974</v>
      </c>
      <c r="F501" t="s">
        <v>975</v>
      </c>
      <c r="G501" t="s">
        <v>180</v>
      </c>
      <c r="H501" s="1" t="s">
        <v>976</v>
      </c>
      <c r="I501" s="1">
        <v>580</v>
      </c>
      <c r="J501" s="20">
        <v>2</v>
      </c>
      <c r="K501" s="1">
        <v>91.475999999999999</v>
      </c>
      <c r="L501" s="1">
        <v>182.95</v>
      </c>
      <c r="M501" s="43" t="s">
        <v>2798</v>
      </c>
      <c r="O501" s="2" t="s">
        <v>2447</v>
      </c>
      <c r="Q501" t="s">
        <v>773</v>
      </c>
    </row>
    <row r="502" spans="1:17" ht="15" customHeight="1" x14ac:dyDescent="0.25">
      <c r="A502" s="3" t="s">
        <v>2272</v>
      </c>
      <c r="B502" s="4" t="s">
        <v>2805</v>
      </c>
      <c r="C502" t="s">
        <v>1196</v>
      </c>
      <c r="D502">
        <v>1</v>
      </c>
      <c r="E502" t="s">
        <v>974</v>
      </c>
      <c r="F502" t="s">
        <v>975</v>
      </c>
      <c r="G502" t="s">
        <v>180</v>
      </c>
      <c r="H502" s="1" t="s">
        <v>976</v>
      </c>
      <c r="I502" s="1">
        <v>580</v>
      </c>
      <c r="J502" s="20">
        <v>0</v>
      </c>
      <c r="K502" s="1">
        <v>470</v>
      </c>
      <c r="L502" s="1">
        <v>0</v>
      </c>
      <c r="M502" s="43" t="s">
        <v>2798</v>
      </c>
      <c r="O502" s="2" t="s">
        <v>2447</v>
      </c>
      <c r="Q502" t="s">
        <v>773</v>
      </c>
    </row>
    <row r="503" spans="1:17" ht="15" customHeight="1" x14ac:dyDescent="0.25">
      <c r="A503" s="42" t="s">
        <v>2272</v>
      </c>
      <c r="B503" s="3" t="s">
        <v>2805</v>
      </c>
      <c r="C503" s="42" t="s">
        <v>1196</v>
      </c>
      <c r="D503">
        <v>4</v>
      </c>
      <c r="E503" t="s">
        <v>1018</v>
      </c>
      <c r="F503" t="s">
        <v>975</v>
      </c>
      <c r="G503" t="s">
        <v>180</v>
      </c>
      <c r="H503" s="1" t="s">
        <v>976</v>
      </c>
      <c r="I503" s="1">
        <v>580</v>
      </c>
      <c r="J503" s="20">
        <v>0</v>
      </c>
      <c r="K503" s="1">
        <v>470</v>
      </c>
      <c r="L503" s="1">
        <v>0</v>
      </c>
      <c r="M503" s="43" t="s">
        <v>2798</v>
      </c>
      <c r="O503" s="2" t="s">
        <v>2447</v>
      </c>
      <c r="Q503" t="s">
        <v>773</v>
      </c>
    </row>
    <row r="504" spans="1:17" ht="15" customHeight="1" x14ac:dyDescent="0.25">
      <c r="A504" s="3" t="s">
        <v>2273</v>
      </c>
      <c r="B504" s="4" t="s">
        <v>2805</v>
      </c>
      <c r="C504" t="s">
        <v>1196</v>
      </c>
      <c r="D504">
        <v>1</v>
      </c>
      <c r="E504" t="s">
        <v>974</v>
      </c>
      <c r="F504" t="s">
        <v>975</v>
      </c>
      <c r="G504" t="s">
        <v>180</v>
      </c>
      <c r="H504" s="1" t="s">
        <v>976</v>
      </c>
      <c r="I504" s="1">
        <v>580</v>
      </c>
      <c r="J504" s="20">
        <v>0</v>
      </c>
      <c r="K504" s="1">
        <v>81.09</v>
      </c>
      <c r="L504" s="1">
        <v>0</v>
      </c>
      <c r="M504" s="43" t="s">
        <v>2798</v>
      </c>
      <c r="O504" s="2" t="s">
        <v>2447</v>
      </c>
      <c r="Q504" t="s">
        <v>773</v>
      </c>
    </row>
    <row r="505" spans="1:17" ht="15" customHeight="1" x14ac:dyDescent="0.25">
      <c r="A505" s="3" t="s">
        <v>2274</v>
      </c>
      <c r="B505" s="4" t="s">
        <v>2806</v>
      </c>
      <c r="C505" t="s">
        <v>1196</v>
      </c>
      <c r="D505">
        <v>1</v>
      </c>
      <c r="E505" t="s">
        <v>974</v>
      </c>
      <c r="F505" t="s">
        <v>975</v>
      </c>
      <c r="G505" t="s">
        <v>180</v>
      </c>
      <c r="H505" s="1" t="s">
        <v>976</v>
      </c>
      <c r="I505" s="1">
        <v>470</v>
      </c>
      <c r="J505" s="20">
        <v>-1</v>
      </c>
      <c r="K505" s="1">
        <v>0</v>
      </c>
      <c r="L505" s="1">
        <v>0</v>
      </c>
      <c r="M505" s="43" t="s">
        <v>2798</v>
      </c>
      <c r="N505" s="1" t="s">
        <v>2616</v>
      </c>
      <c r="O505" s="2" t="s">
        <v>2447</v>
      </c>
      <c r="Q505" t="s">
        <v>774</v>
      </c>
    </row>
    <row r="506" spans="1:17" ht="15" customHeight="1" x14ac:dyDescent="0.25">
      <c r="A506" s="3" t="s">
        <v>2275</v>
      </c>
      <c r="B506" s="4" t="s">
        <v>563</v>
      </c>
      <c r="C506" t="s">
        <v>1196</v>
      </c>
      <c r="D506">
        <v>1</v>
      </c>
      <c r="E506" t="s">
        <v>974</v>
      </c>
      <c r="F506" t="s">
        <v>975</v>
      </c>
      <c r="G506" t="s">
        <v>180</v>
      </c>
      <c r="H506" s="1" t="s">
        <v>976</v>
      </c>
      <c r="I506" s="1">
        <v>580</v>
      </c>
      <c r="J506" s="20">
        <v>0</v>
      </c>
      <c r="K506" s="1">
        <v>96.4</v>
      </c>
      <c r="L506" s="1">
        <v>0</v>
      </c>
      <c r="M506" s="43" t="s">
        <v>2798</v>
      </c>
      <c r="Q506" t="s">
        <v>563</v>
      </c>
    </row>
    <row r="507" spans="1:17" ht="15" customHeight="1" x14ac:dyDescent="0.25">
      <c r="A507" s="3" t="s">
        <v>2276</v>
      </c>
      <c r="B507" s="4" t="s">
        <v>564</v>
      </c>
      <c r="C507" t="s">
        <v>1196</v>
      </c>
      <c r="D507">
        <v>1</v>
      </c>
      <c r="E507" t="s">
        <v>974</v>
      </c>
      <c r="F507" t="s">
        <v>975</v>
      </c>
      <c r="G507" t="s">
        <v>180</v>
      </c>
      <c r="H507" s="1" t="s">
        <v>976</v>
      </c>
      <c r="I507" s="1">
        <v>580</v>
      </c>
      <c r="J507" s="20">
        <v>6</v>
      </c>
      <c r="K507" s="1">
        <v>96.4</v>
      </c>
      <c r="L507" s="1">
        <v>578.4</v>
      </c>
      <c r="M507" s="43" t="s">
        <v>2798</v>
      </c>
      <c r="Q507" t="s">
        <v>564</v>
      </c>
    </row>
    <row r="508" spans="1:17" ht="15" customHeight="1" x14ac:dyDescent="0.25">
      <c r="A508" s="3" t="s">
        <v>2277</v>
      </c>
      <c r="B508" s="4" t="s">
        <v>565</v>
      </c>
      <c r="C508" t="s">
        <v>1196</v>
      </c>
      <c r="D508">
        <v>1</v>
      </c>
      <c r="E508" t="s">
        <v>974</v>
      </c>
      <c r="F508" t="s">
        <v>975</v>
      </c>
      <c r="G508" t="s">
        <v>180</v>
      </c>
      <c r="H508" s="1" t="s">
        <v>976</v>
      </c>
      <c r="I508" s="1">
        <v>580</v>
      </c>
      <c r="J508" s="20">
        <v>9</v>
      </c>
      <c r="K508" s="1">
        <v>96.4</v>
      </c>
      <c r="L508" s="1">
        <v>867.6</v>
      </c>
      <c r="M508" s="43" t="s">
        <v>2798</v>
      </c>
      <c r="Q508" t="s">
        <v>565</v>
      </c>
    </row>
    <row r="509" spans="1:17" ht="15" customHeight="1" x14ac:dyDescent="0.25">
      <c r="A509" s="3" t="s">
        <v>2278</v>
      </c>
      <c r="B509" s="4" t="s">
        <v>566</v>
      </c>
      <c r="C509" t="s">
        <v>1196</v>
      </c>
      <c r="D509">
        <v>1</v>
      </c>
      <c r="E509" t="s">
        <v>974</v>
      </c>
      <c r="F509" t="s">
        <v>975</v>
      </c>
      <c r="G509" t="s">
        <v>180</v>
      </c>
      <c r="H509" s="1" t="s">
        <v>976</v>
      </c>
      <c r="I509" s="1">
        <v>580</v>
      </c>
      <c r="J509" s="20">
        <v>7</v>
      </c>
      <c r="K509" s="1">
        <v>96.4</v>
      </c>
      <c r="L509" s="1">
        <v>674.8</v>
      </c>
      <c r="M509" s="43" t="s">
        <v>2798</v>
      </c>
      <c r="Q509" t="s">
        <v>566</v>
      </c>
    </row>
    <row r="510" spans="1:17" ht="15" customHeight="1" x14ac:dyDescent="0.25">
      <c r="A510" s="3" t="s">
        <v>2279</v>
      </c>
      <c r="B510" s="4" t="s">
        <v>567</v>
      </c>
      <c r="C510" t="s">
        <v>1196</v>
      </c>
      <c r="D510">
        <v>1</v>
      </c>
      <c r="E510" t="s">
        <v>974</v>
      </c>
      <c r="F510" t="s">
        <v>975</v>
      </c>
      <c r="G510" t="s">
        <v>180</v>
      </c>
      <c r="H510" s="1" t="s">
        <v>976</v>
      </c>
      <c r="I510" s="1">
        <v>580</v>
      </c>
      <c r="J510" s="20">
        <v>6</v>
      </c>
      <c r="K510" s="1">
        <v>96.4</v>
      </c>
      <c r="L510" s="1">
        <v>578.4</v>
      </c>
      <c r="M510" s="43" t="s">
        <v>2798</v>
      </c>
      <c r="Q510" t="s">
        <v>567</v>
      </c>
    </row>
    <row r="511" spans="1:17" ht="15" customHeight="1" x14ac:dyDescent="0.25">
      <c r="A511" s="3" t="s">
        <v>2280</v>
      </c>
      <c r="B511" s="4" t="s">
        <v>568</v>
      </c>
      <c r="C511" t="s">
        <v>1196</v>
      </c>
      <c r="D511">
        <v>1</v>
      </c>
      <c r="E511" t="s">
        <v>974</v>
      </c>
      <c r="F511" t="s">
        <v>975</v>
      </c>
      <c r="G511" t="s">
        <v>180</v>
      </c>
      <c r="H511" s="1" t="s">
        <v>976</v>
      </c>
      <c r="I511" s="1">
        <v>580</v>
      </c>
      <c r="J511" s="20">
        <v>0</v>
      </c>
      <c r="K511" s="1">
        <v>96.4</v>
      </c>
      <c r="L511" s="1">
        <v>0</v>
      </c>
      <c r="M511" s="43" t="s">
        <v>2798</v>
      </c>
      <c r="Q511" t="s">
        <v>568</v>
      </c>
    </row>
    <row r="512" spans="1:17" ht="15" customHeight="1" x14ac:dyDescent="0.25">
      <c r="A512" s="3" t="s">
        <v>2281</v>
      </c>
      <c r="B512" s="4" t="s">
        <v>775</v>
      </c>
      <c r="C512" t="s">
        <v>1196</v>
      </c>
      <c r="D512">
        <v>1</v>
      </c>
      <c r="E512" t="s">
        <v>974</v>
      </c>
      <c r="F512" t="s">
        <v>975</v>
      </c>
      <c r="G512" t="s">
        <v>180</v>
      </c>
      <c r="H512" s="1" t="s">
        <v>976</v>
      </c>
      <c r="I512" s="1">
        <v>470</v>
      </c>
      <c r="J512" s="20">
        <v>-1</v>
      </c>
      <c r="K512" s="1">
        <v>0</v>
      </c>
      <c r="L512" s="1">
        <v>0</v>
      </c>
      <c r="M512" s="43" t="s">
        <v>2798</v>
      </c>
      <c r="N512" s="1" t="s">
        <v>2616</v>
      </c>
      <c r="Q512" t="s">
        <v>775</v>
      </c>
    </row>
    <row r="513" spans="1:17" ht="15" customHeight="1" x14ac:dyDescent="0.25">
      <c r="A513" s="42" t="s">
        <v>2281</v>
      </c>
      <c r="B513" s="3" t="s">
        <v>775</v>
      </c>
      <c r="C513" s="42" t="s">
        <v>1196</v>
      </c>
      <c r="D513">
        <v>4</v>
      </c>
      <c r="E513" t="s">
        <v>1018</v>
      </c>
      <c r="F513" t="s">
        <v>975</v>
      </c>
      <c r="G513" t="s">
        <v>180</v>
      </c>
      <c r="H513" s="1" t="s">
        <v>976</v>
      </c>
      <c r="I513" s="1">
        <v>470</v>
      </c>
      <c r="J513" s="20">
        <v>1</v>
      </c>
      <c r="K513" s="1">
        <v>470</v>
      </c>
      <c r="L513" s="1">
        <v>470</v>
      </c>
      <c r="M513" s="43" t="s">
        <v>2798</v>
      </c>
      <c r="N513" s="1" t="s">
        <v>2616</v>
      </c>
      <c r="Q513" t="s">
        <v>775</v>
      </c>
    </row>
    <row r="514" spans="1:17" ht="15" customHeight="1" x14ac:dyDescent="0.25">
      <c r="A514" s="3" t="s">
        <v>2282</v>
      </c>
      <c r="B514" s="4" t="s">
        <v>569</v>
      </c>
      <c r="C514" t="s">
        <v>1196</v>
      </c>
      <c r="D514">
        <v>1</v>
      </c>
      <c r="E514" t="s">
        <v>974</v>
      </c>
      <c r="F514" t="s">
        <v>975</v>
      </c>
      <c r="G514" t="s">
        <v>180</v>
      </c>
      <c r="H514" s="1" t="s">
        <v>976</v>
      </c>
      <c r="I514" s="1">
        <v>580</v>
      </c>
      <c r="J514" s="20">
        <v>0</v>
      </c>
      <c r="K514" s="1">
        <v>81.09</v>
      </c>
      <c r="L514" s="1">
        <v>0</v>
      </c>
      <c r="M514" s="43" t="s">
        <v>2798</v>
      </c>
      <c r="Q514" t="s">
        <v>569</v>
      </c>
    </row>
    <row r="515" spans="1:17" ht="15" customHeight="1" x14ac:dyDescent="0.25">
      <c r="A515" s="3" t="s">
        <v>2283</v>
      </c>
      <c r="B515" s="4" t="s">
        <v>570</v>
      </c>
      <c r="C515" t="s">
        <v>1196</v>
      </c>
      <c r="D515">
        <v>1</v>
      </c>
      <c r="E515" t="s">
        <v>974</v>
      </c>
      <c r="F515" t="s">
        <v>975</v>
      </c>
      <c r="G515" t="s">
        <v>180</v>
      </c>
      <c r="H515" s="1" t="s">
        <v>976</v>
      </c>
      <c r="I515" s="1">
        <v>580</v>
      </c>
      <c r="J515" s="20">
        <v>8</v>
      </c>
      <c r="K515" s="1">
        <v>81.09</v>
      </c>
      <c r="L515" s="1">
        <v>648.72</v>
      </c>
      <c r="M515" s="43" t="s">
        <v>2798</v>
      </c>
      <c r="Q515" t="s">
        <v>570</v>
      </c>
    </row>
    <row r="516" spans="1:17" ht="15" customHeight="1" x14ac:dyDescent="0.25">
      <c r="A516" s="3" t="s">
        <v>2284</v>
      </c>
      <c r="B516" s="4" t="s">
        <v>571</v>
      </c>
      <c r="C516" t="s">
        <v>1196</v>
      </c>
      <c r="D516">
        <v>1</v>
      </c>
      <c r="E516" t="s">
        <v>974</v>
      </c>
      <c r="F516" t="s">
        <v>975</v>
      </c>
      <c r="G516" t="s">
        <v>180</v>
      </c>
      <c r="H516" s="1" t="s">
        <v>976</v>
      </c>
      <c r="I516" s="1">
        <v>580</v>
      </c>
      <c r="J516" s="20">
        <v>4</v>
      </c>
      <c r="K516" s="1">
        <v>81.09</v>
      </c>
      <c r="L516" s="1">
        <v>324.36</v>
      </c>
      <c r="M516" s="43" t="s">
        <v>2798</v>
      </c>
      <c r="Q516" t="s">
        <v>571</v>
      </c>
    </row>
    <row r="517" spans="1:17" ht="15" customHeight="1" x14ac:dyDescent="0.25">
      <c r="A517" s="42" t="s">
        <v>2284</v>
      </c>
      <c r="B517" s="3" t="s">
        <v>571</v>
      </c>
      <c r="C517" s="42" t="s">
        <v>1196</v>
      </c>
      <c r="D517">
        <v>3</v>
      </c>
      <c r="E517" t="s">
        <v>1179</v>
      </c>
      <c r="F517" t="s">
        <v>1180</v>
      </c>
      <c r="G517" t="s">
        <v>180</v>
      </c>
      <c r="H517" s="1" t="s">
        <v>976</v>
      </c>
      <c r="I517" s="1">
        <v>580</v>
      </c>
      <c r="J517" s="20">
        <v>0</v>
      </c>
      <c r="K517" s="1">
        <v>0</v>
      </c>
      <c r="L517" s="1">
        <v>0</v>
      </c>
      <c r="M517" s="43" t="s">
        <v>2798</v>
      </c>
      <c r="Q517" t="s">
        <v>571</v>
      </c>
    </row>
    <row r="518" spans="1:17" ht="15" customHeight="1" x14ac:dyDescent="0.25">
      <c r="A518" s="3" t="s">
        <v>2285</v>
      </c>
      <c r="B518" s="4" t="s">
        <v>572</v>
      </c>
      <c r="C518" t="s">
        <v>1196</v>
      </c>
      <c r="D518">
        <v>1</v>
      </c>
      <c r="E518" t="s">
        <v>974</v>
      </c>
      <c r="F518" t="s">
        <v>975</v>
      </c>
      <c r="G518" t="s">
        <v>180</v>
      </c>
      <c r="H518" s="1" t="s">
        <v>976</v>
      </c>
      <c r="I518" s="1">
        <v>580</v>
      </c>
      <c r="J518" s="20">
        <v>5</v>
      </c>
      <c r="K518" s="1">
        <v>81.09</v>
      </c>
      <c r="L518" s="1">
        <v>405.45</v>
      </c>
      <c r="M518" s="43" t="s">
        <v>2798</v>
      </c>
      <c r="Q518" t="s">
        <v>572</v>
      </c>
    </row>
    <row r="519" spans="1:17" ht="15" customHeight="1" x14ac:dyDescent="0.25">
      <c r="A519" s="3" t="s">
        <v>2286</v>
      </c>
      <c r="B519" s="4" t="s">
        <v>573</v>
      </c>
      <c r="C519" t="s">
        <v>1196</v>
      </c>
      <c r="D519">
        <v>1</v>
      </c>
      <c r="E519" t="s">
        <v>974</v>
      </c>
      <c r="F519" t="s">
        <v>975</v>
      </c>
      <c r="G519" t="s">
        <v>180</v>
      </c>
      <c r="H519" s="1" t="s">
        <v>976</v>
      </c>
      <c r="I519" s="1">
        <v>580</v>
      </c>
      <c r="J519" s="20">
        <v>0</v>
      </c>
      <c r="K519" s="1">
        <v>81.09</v>
      </c>
      <c r="L519" s="1">
        <v>0</v>
      </c>
      <c r="M519" s="43" t="s">
        <v>2798</v>
      </c>
      <c r="Q519" t="s">
        <v>573</v>
      </c>
    </row>
    <row r="520" spans="1:17" ht="15" customHeight="1" x14ac:dyDescent="0.25">
      <c r="A520" s="3" t="s">
        <v>2287</v>
      </c>
      <c r="B520" s="4" t="s">
        <v>574</v>
      </c>
      <c r="C520" t="s">
        <v>1196</v>
      </c>
      <c r="D520">
        <v>1</v>
      </c>
      <c r="E520" t="s">
        <v>974</v>
      </c>
      <c r="F520" t="s">
        <v>975</v>
      </c>
      <c r="G520" t="s">
        <v>180</v>
      </c>
      <c r="H520" s="1" t="s">
        <v>976</v>
      </c>
      <c r="I520" s="1">
        <v>580</v>
      </c>
      <c r="J520" s="20">
        <v>0</v>
      </c>
      <c r="K520" s="1">
        <v>81.09</v>
      </c>
      <c r="L520" s="1">
        <v>0</v>
      </c>
      <c r="M520" s="43" t="s">
        <v>2798</v>
      </c>
      <c r="Q520" t="s">
        <v>574</v>
      </c>
    </row>
    <row r="521" spans="1:17" ht="15" customHeight="1" x14ac:dyDescent="0.25">
      <c r="A521" s="3" t="s">
        <v>2288</v>
      </c>
      <c r="B521" s="4" t="s">
        <v>2805</v>
      </c>
      <c r="C521" t="s">
        <v>1196</v>
      </c>
      <c r="D521">
        <v>1</v>
      </c>
      <c r="E521" t="s">
        <v>974</v>
      </c>
      <c r="F521" t="s">
        <v>975</v>
      </c>
      <c r="G521" t="s">
        <v>180</v>
      </c>
      <c r="H521" s="1" t="s">
        <v>976</v>
      </c>
      <c r="I521" s="1">
        <v>580</v>
      </c>
      <c r="J521" s="20">
        <v>0</v>
      </c>
      <c r="K521" s="1">
        <v>98.4</v>
      </c>
      <c r="L521" s="1">
        <v>0</v>
      </c>
      <c r="M521" s="43" t="s">
        <v>2798</v>
      </c>
      <c r="O521" s="2" t="s">
        <v>2443</v>
      </c>
      <c r="Q521" t="s">
        <v>776</v>
      </c>
    </row>
    <row r="522" spans="1:17" ht="15" customHeight="1" x14ac:dyDescent="0.25">
      <c r="A522" s="3" t="s">
        <v>2289</v>
      </c>
      <c r="B522" s="4" t="s">
        <v>2805</v>
      </c>
      <c r="C522" t="s">
        <v>1196</v>
      </c>
      <c r="D522">
        <v>1</v>
      </c>
      <c r="E522" t="s">
        <v>974</v>
      </c>
      <c r="F522" t="s">
        <v>975</v>
      </c>
      <c r="G522" t="s">
        <v>180</v>
      </c>
      <c r="H522" s="1" t="s">
        <v>976</v>
      </c>
      <c r="I522" s="1">
        <v>580</v>
      </c>
      <c r="J522" s="20">
        <v>13</v>
      </c>
      <c r="K522" s="1">
        <v>92.63</v>
      </c>
      <c r="L522" s="1">
        <v>1204.19</v>
      </c>
      <c r="M522" s="43" t="s">
        <v>2798</v>
      </c>
      <c r="O522" s="2" t="s">
        <v>2443</v>
      </c>
      <c r="Q522" t="s">
        <v>776</v>
      </c>
    </row>
    <row r="523" spans="1:17" ht="15" customHeight="1" x14ac:dyDescent="0.25">
      <c r="A523" s="42" t="s">
        <v>2289</v>
      </c>
      <c r="B523" s="3" t="s">
        <v>2805</v>
      </c>
      <c r="C523" s="42" t="s">
        <v>1196</v>
      </c>
      <c r="D523">
        <v>3</v>
      </c>
      <c r="E523" t="s">
        <v>1179</v>
      </c>
      <c r="F523" t="s">
        <v>1180</v>
      </c>
      <c r="G523" t="s">
        <v>180</v>
      </c>
      <c r="H523" s="1" t="s">
        <v>976</v>
      </c>
      <c r="I523" s="1">
        <v>580</v>
      </c>
      <c r="J523" s="20">
        <v>0</v>
      </c>
      <c r="K523" s="1">
        <v>63.6</v>
      </c>
      <c r="L523" s="1">
        <v>0</v>
      </c>
      <c r="M523" s="43" t="s">
        <v>2798</v>
      </c>
      <c r="O523" s="2" t="s">
        <v>2443</v>
      </c>
      <c r="Q523" t="s">
        <v>776</v>
      </c>
    </row>
    <row r="524" spans="1:17" ht="15" customHeight="1" x14ac:dyDescent="0.25">
      <c r="A524" s="3" t="s">
        <v>2290</v>
      </c>
      <c r="B524" s="4" t="s">
        <v>2805</v>
      </c>
      <c r="C524" t="s">
        <v>1196</v>
      </c>
      <c r="D524">
        <v>1</v>
      </c>
      <c r="E524" t="s">
        <v>974</v>
      </c>
      <c r="F524" t="s">
        <v>975</v>
      </c>
      <c r="G524" t="s">
        <v>180</v>
      </c>
      <c r="H524" s="1" t="s">
        <v>976</v>
      </c>
      <c r="I524" s="1">
        <v>580</v>
      </c>
      <c r="J524" s="20">
        <v>23</v>
      </c>
      <c r="K524" s="1">
        <v>88.754960999999994</v>
      </c>
      <c r="L524" s="1">
        <v>2041.36</v>
      </c>
      <c r="M524" s="43" t="s">
        <v>2798</v>
      </c>
      <c r="O524" s="2" t="s">
        <v>2443</v>
      </c>
      <c r="Q524" t="s">
        <v>776</v>
      </c>
    </row>
    <row r="525" spans="1:17" ht="15" customHeight="1" x14ac:dyDescent="0.25">
      <c r="A525" s="42" t="s">
        <v>2290</v>
      </c>
      <c r="B525" s="3" t="s">
        <v>2805</v>
      </c>
      <c r="C525" s="42" t="s">
        <v>1196</v>
      </c>
      <c r="D525">
        <v>3</v>
      </c>
      <c r="E525" t="s">
        <v>1179</v>
      </c>
      <c r="F525" t="s">
        <v>1180</v>
      </c>
      <c r="G525" t="s">
        <v>180</v>
      </c>
      <c r="H525" s="1" t="s">
        <v>976</v>
      </c>
      <c r="I525" s="1">
        <v>580</v>
      </c>
      <c r="J525" s="20">
        <v>0</v>
      </c>
      <c r="K525" s="1">
        <v>63.6</v>
      </c>
      <c r="L525" s="1">
        <v>0</v>
      </c>
      <c r="M525" s="43" t="s">
        <v>2798</v>
      </c>
      <c r="O525" s="2" t="s">
        <v>2443</v>
      </c>
      <c r="Q525" t="s">
        <v>776</v>
      </c>
    </row>
    <row r="526" spans="1:17" ht="15" customHeight="1" x14ac:dyDescent="0.25">
      <c r="A526" s="42" t="s">
        <v>2290</v>
      </c>
      <c r="B526" s="3" t="s">
        <v>2805</v>
      </c>
      <c r="C526" s="42" t="s">
        <v>1196</v>
      </c>
      <c r="D526">
        <v>4</v>
      </c>
      <c r="E526" t="s">
        <v>1018</v>
      </c>
      <c r="F526" t="s">
        <v>975</v>
      </c>
      <c r="G526" t="s">
        <v>180</v>
      </c>
      <c r="H526" s="1" t="s">
        <v>976</v>
      </c>
      <c r="I526" s="1">
        <v>580</v>
      </c>
      <c r="J526" s="20">
        <v>1</v>
      </c>
      <c r="K526" s="1">
        <v>470</v>
      </c>
      <c r="L526" s="1">
        <v>470</v>
      </c>
      <c r="M526" s="43" t="s">
        <v>2798</v>
      </c>
      <c r="O526" s="2" t="s">
        <v>2443</v>
      </c>
      <c r="Q526" t="s">
        <v>776</v>
      </c>
    </row>
    <row r="527" spans="1:17" ht="15" customHeight="1" x14ac:dyDescent="0.25">
      <c r="A527" s="3" t="s">
        <v>2291</v>
      </c>
      <c r="B527" s="4" t="s">
        <v>2805</v>
      </c>
      <c r="C527" t="s">
        <v>1196</v>
      </c>
      <c r="D527">
        <v>1</v>
      </c>
      <c r="E527" t="s">
        <v>974</v>
      </c>
      <c r="F527" t="s">
        <v>975</v>
      </c>
      <c r="G527" t="s">
        <v>180</v>
      </c>
      <c r="H527" s="1" t="s">
        <v>976</v>
      </c>
      <c r="I527" s="1">
        <v>580</v>
      </c>
      <c r="J527" s="20">
        <v>3</v>
      </c>
      <c r="K527" s="1">
        <v>87.558750000000003</v>
      </c>
      <c r="L527" s="1">
        <v>262.68</v>
      </c>
      <c r="M527" s="43" t="s">
        <v>2798</v>
      </c>
      <c r="O527" s="2" t="s">
        <v>2443</v>
      </c>
      <c r="Q527" t="s">
        <v>776</v>
      </c>
    </row>
    <row r="528" spans="1:17" ht="15" customHeight="1" x14ac:dyDescent="0.25">
      <c r="A528" s="42" t="s">
        <v>2291</v>
      </c>
      <c r="B528" s="3" t="s">
        <v>2805</v>
      </c>
      <c r="C528" s="42" t="s">
        <v>1196</v>
      </c>
      <c r="D528">
        <v>2</v>
      </c>
      <c r="E528" t="s">
        <v>1017</v>
      </c>
      <c r="F528" t="s">
        <v>975</v>
      </c>
      <c r="G528" t="s">
        <v>180</v>
      </c>
      <c r="H528" s="1" t="s">
        <v>976</v>
      </c>
      <c r="I528" s="1">
        <v>580</v>
      </c>
      <c r="J528" s="20">
        <v>0</v>
      </c>
      <c r="K528" s="1">
        <v>63.6</v>
      </c>
      <c r="L528" s="1">
        <v>0</v>
      </c>
      <c r="M528" s="43" t="s">
        <v>2798</v>
      </c>
      <c r="O528" s="2" t="s">
        <v>2443</v>
      </c>
      <c r="Q528" t="s">
        <v>776</v>
      </c>
    </row>
    <row r="529" spans="1:17" ht="15" customHeight="1" x14ac:dyDescent="0.25">
      <c r="A529" s="42" t="s">
        <v>2291</v>
      </c>
      <c r="B529" s="3" t="s">
        <v>2805</v>
      </c>
      <c r="C529" s="42" t="s">
        <v>1196</v>
      </c>
      <c r="D529">
        <v>3</v>
      </c>
      <c r="E529" t="s">
        <v>1179</v>
      </c>
      <c r="F529" t="s">
        <v>1180</v>
      </c>
      <c r="G529" t="s">
        <v>180</v>
      </c>
      <c r="H529" s="1" t="s">
        <v>976</v>
      </c>
      <c r="I529" s="1">
        <v>580</v>
      </c>
      <c r="J529" s="20">
        <v>0</v>
      </c>
      <c r="K529" s="1">
        <v>63.6</v>
      </c>
      <c r="L529" s="1">
        <v>0</v>
      </c>
      <c r="M529" s="43" t="s">
        <v>2798</v>
      </c>
      <c r="O529" s="2" t="s">
        <v>2443</v>
      </c>
      <c r="Q529" t="s">
        <v>776</v>
      </c>
    </row>
    <row r="530" spans="1:17" ht="15" customHeight="1" x14ac:dyDescent="0.25">
      <c r="A530" s="3" t="s">
        <v>2292</v>
      </c>
      <c r="B530" s="4" t="s">
        <v>2805</v>
      </c>
      <c r="C530" t="s">
        <v>1196</v>
      </c>
      <c r="D530">
        <v>1</v>
      </c>
      <c r="E530" t="s">
        <v>974</v>
      </c>
      <c r="F530" t="s">
        <v>975</v>
      </c>
      <c r="G530" t="s">
        <v>180</v>
      </c>
      <c r="H530" s="1" t="s">
        <v>976</v>
      </c>
      <c r="I530" s="1">
        <v>580</v>
      </c>
      <c r="J530" s="20">
        <v>0</v>
      </c>
      <c r="K530" s="1">
        <v>81.09</v>
      </c>
      <c r="L530" s="1">
        <v>0</v>
      </c>
      <c r="M530" s="43" t="s">
        <v>2798</v>
      </c>
      <c r="O530" s="2" t="s">
        <v>2443</v>
      </c>
      <c r="Q530" t="s">
        <v>776</v>
      </c>
    </row>
    <row r="531" spans="1:17" ht="15" customHeight="1" x14ac:dyDescent="0.25">
      <c r="A531" s="3" t="s">
        <v>2293</v>
      </c>
      <c r="B531" s="4" t="s">
        <v>2805</v>
      </c>
      <c r="C531" t="s">
        <v>1196</v>
      </c>
      <c r="D531">
        <v>1</v>
      </c>
      <c r="E531" t="s">
        <v>974</v>
      </c>
      <c r="F531" t="s">
        <v>975</v>
      </c>
      <c r="G531" t="s">
        <v>180</v>
      </c>
      <c r="H531" s="1" t="s">
        <v>976</v>
      </c>
      <c r="I531" s="1">
        <v>580</v>
      </c>
      <c r="J531" s="20">
        <v>0</v>
      </c>
      <c r="K531" s="1">
        <v>81.09</v>
      </c>
      <c r="L531" s="1">
        <v>0</v>
      </c>
      <c r="M531" s="43" t="s">
        <v>2798</v>
      </c>
      <c r="O531" s="2" t="s">
        <v>2443</v>
      </c>
      <c r="Q531" t="s">
        <v>776</v>
      </c>
    </row>
    <row r="532" spans="1:17" ht="15" customHeight="1" x14ac:dyDescent="0.25">
      <c r="A532" s="3" t="s">
        <v>2294</v>
      </c>
      <c r="B532" s="4" t="s">
        <v>2806</v>
      </c>
      <c r="C532" t="s">
        <v>1196</v>
      </c>
      <c r="D532">
        <v>1</v>
      </c>
      <c r="E532" t="s">
        <v>974</v>
      </c>
      <c r="F532" t="s">
        <v>975</v>
      </c>
      <c r="G532" t="s">
        <v>180</v>
      </c>
      <c r="H532" s="1" t="s">
        <v>976</v>
      </c>
      <c r="I532" s="1">
        <v>470</v>
      </c>
      <c r="J532" s="20">
        <v>7</v>
      </c>
      <c r="K532" s="1">
        <v>71.77</v>
      </c>
      <c r="L532" s="1">
        <v>502.39</v>
      </c>
      <c r="M532" s="43" t="s">
        <v>2798</v>
      </c>
      <c r="O532" s="2" t="s">
        <v>2482</v>
      </c>
      <c r="Q532" t="s">
        <v>777</v>
      </c>
    </row>
    <row r="533" spans="1:17" ht="15" customHeight="1" x14ac:dyDescent="0.25">
      <c r="A533" s="3" t="s">
        <v>2295</v>
      </c>
      <c r="B533" s="4" t="s">
        <v>2806</v>
      </c>
      <c r="C533" t="s">
        <v>1196</v>
      </c>
      <c r="D533">
        <v>1</v>
      </c>
      <c r="E533" t="s">
        <v>974</v>
      </c>
      <c r="F533" t="s">
        <v>975</v>
      </c>
      <c r="G533" t="s">
        <v>180</v>
      </c>
      <c r="H533" s="1" t="s">
        <v>976</v>
      </c>
      <c r="I533" s="1">
        <v>470</v>
      </c>
      <c r="J533" s="20">
        <v>23</v>
      </c>
      <c r="K533" s="1">
        <v>71.77</v>
      </c>
      <c r="L533" s="1">
        <v>1650.71</v>
      </c>
      <c r="M533" s="43" t="s">
        <v>2798</v>
      </c>
      <c r="O533" s="2" t="s">
        <v>2482</v>
      </c>
      <c r="Q533" t="s">
        <v>777</v>
      </c>
    </row>
    <row r="534" spans="1:17" ht="15" customHeight="1" x14ac:dyDescent="0.25">
      <c r="A534" s="42" t="s">
        <v>2295</v>
      </c>
      <c r="B534" s="3" t="s">
        <v>2806</v>
      </c>
      <c r="C534" s="42" t="s">
        <v>1196</v>
      </c>
      <c r="D534">
        <v>3</v>
      </c>
      <c r="E534" t="s">
        <v>1179</v>
      </c>
      <c r="F534" t="s">
        <v>1180</v>
      </c>
      <c r="G534" t="s">
        <v>180</v>
      </c>
      <c r="H534" s="1" t="s">
        <v>976</v>
      </c>
      <c r="I534" s="1">
        <v>470</v>
      </c>
      <c r="J534" s="20">
        <v>0</v>
      </c>
      <c r="K534" s="1">
        <v>71.77</v>
      </c>
      <c r="L534" s="1">
        <v>0</v>
      </c>
      <c r="M534" s="43" t="s">
        <v>2798</v>
      </c>
      <c r="O534" s="2" t="s">
        <v>2482</v>
      </c>
      <c r="Q534" t="s">
        <v>777</v>
      </c>
    </row>
    <row r="535" spans="1:17" ht="15" customHeight="1" x14ac:dyDescent="0.25">
      <c r="A535" s="3" t="s">
        <v>2296</v>
      </c>
      <c r="B535" s="4" t="s">
        <v>2806</v>
      </c>
      <c r="C535" t="s">
        <v>1196</v>
      </c>
      <c r="D535">
        <v>1</v>
      </c>
      <c r="E535" t="s">
        <v>974</v>
      </c>
      <c r="F535" t="s">
        <v>975</v>
      </c>
      <c r="G535" t="s">
        <v>180</v>
      </c>
      <c r="H535" s="1" t="s">
        <v>976</v>
      </c>
      <c r="I535" s="1">
        <v>470</v>
      </c>
      <c r="J535" s="20">
        <v>15</v>
      </c>
      <c r="K535" s="1">
        <v>71.77</v>
      </c>
      <c r="L535" s="1">
        <v>1076.55</v>
      </c>
      <c r="M535" s="43" t="s">
        <v>2798</v>
      </c>
      <c r="O535" s="2" t="s">
        <v>2482</v>
      </c>
      <c r="Q535" t="s">
        <v>777</v>
      </c>
    </row>
    <row r="536" spans="1:17" ht="15" customHeight="1" x14ac:dyDescent="0.25">
      <c r="A536" s="42" t="s">
        <v>2296</v>
      </c>
      <c r="B536" s="3" t="s">
        <v>2806</v>
      </c>
      <c r="C536" s="42" t="s">
        <v>1196</v>
      </c>
      <c r="D536">
        <v>3</v>
      </c>
      <c r="E536" t="s">
        <v>1179</v>
      </c>
      <c r="F536" t="s">
        <v>1180</v>
      </c>
      <c r="G536" t="s">
        <v>180</v>
      </c>
      <c r="H536" s="1" t="s">
        <v>976</v>
      </c>
      <c r="I536" s="1">
        <v>470</v>
      </c>
      <c r="J536" s="20">
        <v>0</v>
      </c>
      <c r="K536" s="1">
        <v>71.77</v>
      </c>
      <c r="L536" s="1">
        <v>0</v>
      </c>
      <c r="M536" s="43" t="s">
        <v>2798</v>
      </c>
      <c r="O536" s="2" t="s">
        <v>2482</v>
      </c>
      <c r="Q536" t="s">
        <v>777</v>
      </c>
    </row>
    <row r="537" spans="1:17" ht="15" customHeight="1" x14ac:dyDescent="0.25">
      <c r="A537" s="3" t="s">
        <v>2297</v>
      </c>
      <c r="B537" s="4" t="s">
        <v>2806</v>
      </c>
      <c r="C537" t="s">
        <v>1196</v>
      </c>
      <c r="D537">
        <v>1</v>
      </c>
      <c r="E537" t="s">
        <v>974</v>
      </c>
      <c r="F537" t="s">
        <v>975</v>
      </c>
      <c r="G537" t="s">
        <v>180</v>
      </c>
      <c r="H537" s="1" t="s">
        <v>976</v>
      </c>
      <c r="I537" s="1">
        <v>470</v>
      </c>
      <c r="J537" s="20">
        <v>0</v>
      </c>
      <c r="K537" s="1">
        <v>0</v>
      </c>
      <c r="L537" s="1">
        <v>0</v>
      </c>
      <c r="M537" s="43" t="s">
        <v>2798</v>
      </c>
      <c r="O537" s="2" t="s">
        <v>2482</v>
      </c>
      <c r="Q537" t="s">
        <v>777</v>
      </c>
    </row>
    <row r="538" spans="1:17" ht="15" customHeight="1" x14ac:dyDescent="0.25">
      <c r="A538" s="3" t="s">
        <v>2298</v>
      </c>
      <c r="B538" s="4" t="s">
        <v>2807</v>
      </c>
      <c r="C538" t="s">
        <v>1196</v>
      </c>
      <c r="D538">
        <v>1</v>
      </c>
      <c r="E538" t="s">
        <v>974</v>
      </c>
      <c r="F538" t="s">
        <v>975</v>
      </c>
      <c r="G538" t="s">
        <v>180</v>
      </c>
      <c r="H538" s="1" t="s">
        <v>976</v>
      </c>
      <c r="I538" s="1">
        <v>1190</v>
      </c>
      <c r="J538" s="20">
        <v>0</v>
      </c>
      <c r="K538" s="1">
        <v>0</v>
      </c>
      <c r="L538" s="1">
        <v>0</v>
      </c>
      <c r="M538" s="43" t="s">
        <v>2798</v>
      </c>
      <c r="O538" s="2" t="s">
        <v>2579</v>
      </c>
      <c r="P538" t="s">
        <v>23</v>
      </c>
      <c r="Q538" t="s">
        <v>778</v>
      </c>
    </row>
    <row r="539" spans="1:17" ht="15" customHeight="1" x14ac:dyDescent="0.25">
      <c r="A539" s="3" t="s">
        <v>2299</v>
      </c>
      <c r="B539" s="4" t="s">
        <v>2808</v>
      </c>
      <c r="C539" t="s">
        <v>1196</v>
      </c>
      <c r="D539">
        <v>1</v>
      </c>
      <c r="E539" t="s">
        <v>974</v>
      </c>
      <c r="F539" t="s">
        <v>975</v>
      </c>
      <c r="G539" t="s">
        <v>180</v>
      </c>
      <c r="H539" s="1" t="s">
        <v>976</v>
      </c>
      <c r="I539" s="1">
        <v>1100</v>
      </c>
      <c r="J539" s="20">
        <v>0</v>
      </c>
      <c r="K539" s="1">
        <v>0</v>
      </c>
      <c r="L539" s="1">
        <v>0</v>
      </c>
      <c r="M539" s="43" t="s">
        <v>2798</v>
      </c>
      <c r="O539" s="2" t="s">
        <v>2482</v>
      </c>
      <c r="Q539" t="s">
        <v>779</v>
      </c>
    </row>
    <row r="540" spans="1:17" ht="15" customHeight="1" x14ac:dyDescent="0.25">
      <c r="A540" s="3" t="s">
        <v>2300</v>
      </c>
      <c r="B540" s="4" t="s">
        <v>2808</v>
      </c>
      <c r="C540" t="s">
        <v>1196</v>
      </c>
      <c r="D540">
        <v>1</v>
      </c>
      <c r="E540" t="s">
        <v>974</v>
      </c>
      <c r="F540" t="s">
        <v>975</v>
      </c>
      <c r="G540" t="s">
        <v>180</v>
      </c>
      <c r="H540" s="1" t="s">
        <v>976</v>
      </c>
      <c r="I540" s="1">
        <v>1100</v>
      </c>
      <c r="J540" s="20">
        <v>0</v>
      </c>
      <c r="K540" s="1">
        <v>0</v>
      </c>
      <c r="L540" s="1">
        <v>0</v>
      </c>
      <c r="M540" s="43" t="s">
        <v>2798</v>
      </c>
      <c r="O540" s="2" t="s">
        <v>2447</v>
      </c>
      <c r="Q540" t="s">
        <v>780</v>
      </c>
    </row>
    <row r="541" spans="1:17" ht="15" customHeight="1" x14ac:dyDescent="0.25">
      <c r="A541" s="3" t="s">
        <v>2301</v>
      </c>
      <c r="B541" s="4" t="s">
        <v>2808</v>
      </c>
      <c r="C541" t="s">
        <v>1196</v>
      </c>
      <c r="D541">
        <v>1</v>
      </c>
      <c r="E541" t="s">
        <v>974</v>
      </c>
      <c r="F541" t="s">
        <v>975</v>
      </c>
      <c r="G541" t="s">
        <v>180</v>
      </c>
      <c r="H541" s="1" t="s">
        <v>976</v>
      </c>
      <c r="I541" s="1">
        <v>750</v>
      </c>
      <c r="J541" s="20">
        <v>0</v>
      </c>
      <c r="K541" s="1">
        <v>200</v>
      </c>
      <c r="L541" s="1">
        <v>0</v>
      </c>
      <c r="M541" s="43" t="s">
        <v>2798</v>
      </c>
      <c r="O541" s="2" t="s">
        <v>2472</v>
      </c>
      <c r="P541" t="s">
        <v>22</v>
      </c>
      <c r="Q541" t="s">
        <v>781</v>
      </c>
    </row>
    <row r="542" spans="1:17" ht="15" customHeight="1" x14ac:dyDescent="0.25">
      <c r="A542" s="3" t="s">
        <v>2302</v>
      </c>
      <c r="B542" s="4" t="s">
        <v>2808</v>
      </c>
      <c r="C542" t="s">
        <v>1196</v>
      </c>
      <c r="D542">
        <v>1</v>
      </c>
      <c r="E542" t="s">
        <v>974</v>
      </c>
      <c r="F542" t="s">
        <v>975</v>
      </c>
      <c r="G542" t="s">
        <v>180</v>
      </c>
      <c r="H542" s="1" t="s">
        <v>976</v>
      </c>
      <c r="I542" s="1">
        <v>750</v>
      </c>
      <c r="J542" s="20">
        <v>0</v>
      </c>
      <c r="K542" s="1">
        <v>136</v>
      </c>
      <c r="L542" s="1">
        <v>0</v>
      </c>
      <c r="M542" s="43" t="s">
        <v>2798</v>
      </c>
      <c r="O542" s="2" t="s">
        <v>2443</v>
      </c>
      <c r="P542" t="s">
        <v>24</v>
      </c>
      <c r="Q542" t="s">
        <v>782</v>
      </c>
    </row>
    <row r="543" spans="1:17" ht="15" customHeight="1" x14ac:dyDescent="0.25">
      <c r="A543" s="3" t="s">
        <v>2303</v>
      </c>
      <c r="B543" s="4" t="s">
        <v>2808</v>
      </c>
      <c r="C543" t="s">
        <v>1196</v>
      </c>
      <c r="D543">
        <v>1</v>
      </c>
      <c r="E543" t="s">
        <v>974</v>
      </c>
      <c r="F543" t="s">
        <v>975</v>
      </c>
      <c r="G543" t="s">
        <v>180</v>
      </c>
      <c r="H543" s="1" t="s">
        <v>976</v>
      </c>
      <c r="I543" s="1">
        <v>750</v>
      </c>
      <c r="J543" s="20">
        <v>0</v>
      </c>
      <c r="K543" s="1">
        <v>80</v>
      </c>
      <c r="L543" s="1">
        <v>0</v>
      </c>
      <c r="M543" s="43" t="s">
        <v>2798</v>
      </c>
      <c r="O543" s="2" t="s">
        <v>2443</v>
      </c>
      <c r="P543" t="s">
        <v>23</v>
      </c>
      <c r="Q543" t="s">
        <v>782</v>
      </c>
    </row>
    <row r="544" spans="1:17" ht="15" customHeight="1" x14ac:dyDescent="0.25">
      <c r="A544" s="3" t="s">
        <v>2304</v>
      </c>
      <c r="B544" s="4" t="s">
        <v>2808</v>
      </c>
      <c r="C544" t="s">
        <v>1196</v>
      </c>
      <c r="D544">
        <v>1</v>
      </c>
      <c r="E544" t="s">
        <v>974</v>
      </c>
      <c r="F544" t="s">
        <v>975</v>
      </c>
      <c r="G544" t="s">
        <v>180</v>
      </c>
      <c r="H544" s="1" t="s">
        <v>976</v>
      </c>
      <c r="I544" s="1">
        <v>750</v>
      </c>
      <c r="J544" s="20">
        <v>0</v>
      </c>
      <c r="K544" s="1">
        <v>100</v>
      </c>
      <c r="L544" s="1">
        <v>0</v>
      </c>
      <c r="M544" s="43" t="s">
        <v>2798</v>
      </c>
      <c r="O544" s="2" t="s">
        <v>2443</v>
      </c>
      <c r="P544" t="s">
        <v>22</v>
      </c>
      <c r="Q544" t="s">
        <v>782</v>
      </c>
    </row>
    <row r="545" spans="1:17" ht="15" customHeight="1" x14ac:dyDescent="0.25">
      <c r="A545" s="42" t="s">
        <v>2304</v>
      </c>
      <c r="B545" s="3" t="s">
        <v>2808</v>
      </c>
      <c r="C545" s="42" t="s">
        <v>1196</v>
      </c>
      <c r="D545">
        <v>3</v>
      </c>
      <c r="E545" t="s">
        <v>1179</v>
      </c>
      <c r="F545" t="s">
        <v>1180</v>
      </c>
      <c r="G545" t="s">
        <v>180</v>
      </c>
      <c r="H545" s="1" t="s">
        <v>976</v>
      </c>
      <c r="I545" s="1">
        <v>750</v>
      </c>
      <c r="J545" s="20">
        <v>0</v>
      </c>
      <c r="K545" s="1">
        <v>100</v>
      </c>
      <c r="L545" s="1">
        <v>0</v>
      </c>
      <c r="M545" s="43" t="s">
        <v>2798</v>
      </c>
      <c r="O545" s="2" t="s">
        <v>2443</v>
      </c>
      <c r="P545" t="s">
        <v>22</v>
      </c>
      <c r="Q545" t="s">
        <v>782</v>
      </c>
    </row>
    <row r="546" spans="1:17" ht="15" customHeight="1" x14ac:dyDescent="0.25">
      <c r="A546" s="3" t="s">
        <v>2305</v>
      </c>
      <c r="B546" s="4" t="s">
        <v>2808</v>
      </c>
      <c r="C546" t="s">
        <v>1196</v>
      </c>
      <c r="D546">
        <v>1</v>
      </c>
      <c r="E546" t="s">
        <v>974</v>
      </c>
      <c r="F546" t="s">
        <v>975</v>
      </c>
      <c r="G546" t="s">
        <v>180</v>
      </c>
      <c r="H546" s="1" t="s">
        <v>976</v>
      </c>
      <c r="I546" s="1">
        <v>750</v>
      </c>
      <c r="J546" s="20">
        <v>0</v>
      </c>
      <c r="K546" s="1">
        <v>680</v>
      </c>
      <c r="L546" s="1">
        <v>0</v>
      </c>
      <c r="M546" s="43" t="s">
        <v>2798</v>
      </c>
      <c r="O546" s="2" t="s">
        <v>2482</v>
      </c>
      <c r="P546" t="s">
        <v>23</v>
      </c>
      <c r="Q546" t="s">
        <v>779</v>
      </c>
    </row>
    <row r="547" spans="1:17" ht="15" customHeight="1" x14ac:dyDescent="0.25">
      <c r="A547" s="3" t="s">
        <v>2306</v>
      </c>
      <c r="B547" s="4" t="s">
        <v>575</v>
      </c>
      <c r="C547" t="s">
        <v>1196</v>
      </c>
      <c r="D547">
        <v>1</v>
      </c>
      <c r="E547" t="s">
        <v>974</v>
      </c>
      <c r="F547" t="s">
        <v>975</v>
      </c>
      <c r="G547" t="s">
        <v>180</v>
      </c>
      <c r="H547" s="1" t="s">
        <v>976</v>
      </c>
      <c r="I547" s="1">
        <v>750</v>
      </c>
      <c r="J547" s="20">
        <v>0</v>
      </c>
      <c r="K547" s="1">
        <v>115.22</v>
      </c>
      <c r="L547" s="1">
        <v>0</v>
      </c>
      <c r="M547" s="43" t="s">
        <v>2798</v>
      </c>
      <c r="P547" t="s">
        <v>24</v>
      </c>
      <c r="Q547" t="s">
        <v>575</v>
      </c>
    </row>
    <row r="548" spans="1:17" ht="15" customHeight="1" x14ac:dyDescent="0.25">
      <c r="A548" s="3" t="s">
        <v>2307</v>
      </c>
      <c r="B548" s="4" t="s">
        <v>576</v>
      </c>
      <c r="C548" t="s">
        <v>1196</v>
      </c>
      <c r="D548">
        <v>1</v>
      </c>
      <c r="E548" t="s">
        <v>974</v>
      </c>
      <c r="F548" t="s">
        <v>975</v>
      </c>
      <c r="G548" t="s">
        <v>180</v>
      </c>
      <c r="H548" s="1" t="s">
        <v>976</v>
      </c>
      <c r="I548" s="1">
        <v>750</v>
      </c>
      <c r="J548" s="20">
        <v>0</v>
      </c>
      <c r="K548" s="1">
        <v>115.22</v>
      </c>
      <c r="L548" s="1">
        <v>0</v>
      </c>
      <c r="M548" s="43" t="s">
        <v>2798</v>
      </c>
      <c r="P548" t="s">
        <v>23</v>
      </c>
      <c r="Q548" t="s">
        <v>576</v>
      </c>
    </row>
    <row r="549" spans="1:17" ht="15" customHeight="1" x14ac:dyDescent="0.25">
      <c r="A549" s="3" t="s">
        <v>2308</v>
      </c>
      <c r="B549" s="4" t="s">
        <v>577</v>
      </c>
      <c r="C549" t="s">
        <v>1196</v>
      </c>
      <c r="D549">
        <v>1</v>
      </c>
      <c r="E549" t="s">
        <v>974</v>
      </c>
      <c r="F549" t="s">
        <v>975</v>
      </c>
      <c r="G549" t="s">
        <v>180</v>
      </c>
      <c r="H549" s="1" t="s">
        <v>976</v>
      </c>
      <c r="I549" s="1">
        <v>750</v>
      </c>
      <c r="J549" s="20">
        <v>0</v>
      </c>
      <c r="K549" s="1">
        <v>100</v>
      </c>
      <c r="L549" s="1">
        <v>0</v>
      </c>
      <c r="M549" s="43" t="s">
        <v>2798</v>
      </c>
      <c r="P549" t="s">
        <v>22</v>
      </c>
      <c r="Q549" t="s">
        <v>577</v>
      </c>
    </row>
    <row r="550" spans="1:17" ht="15" customHeight="1" x14ac:dyDescent="0.25">
      <c r="A550" s="42" t="s">
        <v>2308</v>
      </c>
      <c r="B550" s="3" t="s">
        <v>577</v>
      </c>
      <c r="C550" s="42" t="s">
        <v>1196</v>
      </c>
      <c r="D550">
        <v>3</v>
      </c>
      <c r="E550" t="s">
        <v>1179</v>
      </c>
      <c r="F550" t="s">
        <v>1180</v>
      </c>
      <c r="G550" t="s">
        <v>180</v>
      </c>
      <c r="H550" s="1" t="s">
        <v>976</v>
      </c>
      <c r="I550" s="1">
        <v>750</v>
      </c>
      <c r="J550" s="20">
        <v>0</v>
      </c>
      <c r="K550" s="1">
        <v>100</v>
      </c>
      <c r="L550" s="1">
        <v>0</v>
      </c>
      <c r="M550" s="43" t="s">
        <v>2798</v>
      </c>
      <c r="P550" t="s">
        <v>22</v>
      </c>
      <c r="Q550" t="s">
        <v>577</v>
      </c>
    </row>
    <row r="551" spans="1:17" ht="15" customHeight="1" x14ac:dyDescent="0.25">
      <c r="A551" s="3" t="s">
        <v>2309</v>
      </c>
      <c r="B551" s="4" t="s">
        <v>2809</v>
      </c>
      <c r="C551" t="s">
        <v>1196</v>
      </c>
      <c r="D551">
        <v>1</v>
      </c>
      <c r="E551" t="s">
        <v>974</v>
      </c>
      <c r="F551" t="s">
        <v>975</v>
      </c>
      <c r="G551" t="s">
        <v>976</v>
      </c>
      <c r="H551" s="1" t="s">
        <v>976</v>
      </c>
      <c r="I551" s="1">
        <v>1210</v>
      </c>
      <c r="J551" s="20">
        <v>0</v>
      </c>
      <c r="K551" s="1">
        <v>267.74564700000002</v>
      </c>
      <c r="L551" s="1">
        <v>0</v>
      </c>
      <c r="M551" s="43" t="s">
        <v>2798</v>
      </c>
      <c r="O551" s="2" t="s">
        <v>2472</v>
      </c>
      <c r="P551">
        <v>36</v>
      </c>
      <c r="Q551" t="s">
        <v>783</v>
      </c>
    </row>
    <row r="552" spans="1:17" ht="15" customHeight="1" x14ac:dyDescent="0.25">
      <c r="A552" s="3" t="s">
        <v>2310</v>
      </c>
      <c r="B552" s="4" t="s">
        <v>2809</v>
      </c>
      <c r="C552" t="s">
        <v>1196</v>
      </c>
      <c r="D552">
        <v>1</v>
      </c>
      <c r="E552" t="s">
        <v>974</v>
      </c>
      <c r="F552" t="s">
        <v>975</v>
      </c>
      <c r="G552" t="s">
        <v>976</v>
      </c>
      <c r="H552" s="1" t="s">
        <v>976</v>
      </c>
      <c r="I552" s="1">
        <v>1210</v>
      </c>
      <c r="J552" s="20">
        <v>0</v>
      </c>
      <c r="K552" s="1">
        <v>267.74564700000002</v>
      </c>
      <c r="L552" s="1">
        <v>0</v>
      </c>
      <c r="M552" s="43" t="s">
        <v>2798</v>
      </c>
      <c r="O552" s="2" t="s">
        <v>2472</v>
      </c>
      <c r="P552">
        <v>38</v>
      </c>
      <c r="Q552" t="s">
        <v>783</v>
      </c>
    </row>
    <row r="553" spans="1:17" ht="15" customHeight="1" x14ac:dyDescent="0.25">
      <c r="A553" s="3" t="s">
        <v>2311</v>
      </c>
      <c r="B553" s="4" t="s">
        <v>2809</v>
      </c>
      <c r="C553" t="s">
        <v>1196</v>
      </c>
      <c r="D553">
        <v>1</v>
      </c>
      <c r="E553" t="s">
        <v>974</v>
      </c>
      <c r="F553" t="s">
        <v>975</v>
      </c>
      <c r="G553" t="s">
        <v>976</v>
      </c>
      <c r="H553" s="1" t="s">
        <v>976</v>
      </c>
      <c r="I553" s="1">
        <v>1210</v>
      </c>
      <c r="J553" s="20">
        <v>0</v>
      </c>
      <c r="K553" s="1">
        <v>267.74564700000002</v>
      </c>
      <c r="L553" s="1">
        <v>0</v>
      </c>
      <c r="M553" s="43" t="s">
        <v>2798</v>
      </c>
      <c r="O553" s="2" t="s">
        <v>2472</v>
      </c>
      <c r="P553">
        <v>40</v>
      </c>
      <c r="Q553" t="s">
        <v>783</v>
      </c>
    </row>
    <row r="554" spans="1:17" ht="15" customHeight="1" x14ac:dyDescent="0.25">
      <c r="A554" s="42" t="s">
        <v>2311</v>
      </c>
      <c r="B554" s="3" t="s">
        <v>2809</v>
      </c>
      <c r="C554" s="42" t="s">
        <v>1196</v>
      </c>
      <c r="D554">
        <v>2</v>
      </c>
      <c r="E554" t="s">
        <v>1017</v>
      </c>
      <c r="F554" t="s">
        <v>975</v>
      </c>
      <c r="G554" t="s">
        <v>976</v>
      </c>
      <c r="H554" s="1" t="s">
        <v>976</v>
      </c>
      <c r="I554" s="1">
        <v>1210</v>
      </c>
      <c r="J554" s="20">
        <v>0</v>
      </c>
      <c r="K554" s="1">
        <v>0</v>
      </c>
      <c r="L554" s="1">
        <v>0</v>
      </c>
      <c r="M554" s="43" t="s">
        <v>2798</v>
      </c>
      <c r="O554" s="2" t="s">
        <v>2472</v>
      </c>
      <c r="P554">
        <v>40</v>
      </c>
      <c r="Q554" t="s">
        <v>783</v>
      </c>
    </row>
    <row r="555" spans="1:17" ht="15" customHeight="1" x14ac:dyDescent="0.25">
      <c r="A555" s="3" t="s">
        <v>2312</v>
      </c>
      <c r="B555" s="4" t="s">
        <v>2809</v>
      </c>
      <c r="C555" t="s">
        <v>1196</v>
      </c>
      <c r="D555">
        <v>1</v>
      </c>
      <c r="E555" t="s">
        <v>974</v>
      </c>
      <c r="F555" t="s">
        <v>975</v>
      </c>
      <c r="G555" t="s">
        <v>976</v>
      </c>
      <c r="H555" s="1" t="s">
        <v>976</v>
      </c>
      <c r="I555" s="1">
        <v>1210</v>
      </c>
      <c r="J555" s="20">
        <v>0</v>
      </c>
      <c r="K555" s="1">
        <v>267.74564700000002</v>
      </c>
      <c r="L555" s="1">
        <v>0</v>
      </c>
      <c r="M555" s="43" t="s">
        <v>2798</v>
      </c>
      <c r="O555" s="2" t="s">
        <v>2472</v>
      </c>
      <c r="P555">
        <v>42</v>
      </c>
      <c r="Q555" t="s">
        <v>783</v>
      </c>
    </row>
    <row r="556" spans="1:17" ht="15" customHeight="1" x14ac:dyDescent="0.25">
      <c r="A556" s="3" t="s">
        <v>2313</v>
      </c>
      <c r="B556" s="4" t="s">
        <v>2809</v>
      </c>
      <c r="C556" t="s">
        <v>1196</v>
      </c>
      <c r="D556">
        <v>1</v>
      </c>
      <c r="E556" t="s">
        <v>974</v>
      </c>
      <c r="F556" t="s">
        <v>975</v>
      </c>
      <c r="G556" t="s">
        <v>976</v>
      </c>
      <c r="H556" s="1" t="s">
        <v>976</v>
      </c>
      <c r="I556" s="1">
        <v>1210</v>
      </c>
      <c r="J556" s="20">
        <v>0</v>
      </c>
      <c r="K556" s="1">
        <v>0</v>
      </c>
      <c r="L556" s="1">
        <v>0</v>
      </c>
      <c r="M556" s="43" t="s">
        <v>2798</v>
      </c>
      <c r="O556" s="2" t="s">
        <v>2472</v>
      </c>
      <c r="P556">
        <v>44</v>
      </c>
      <c r="Q556" t="s">
        <v>783</v>
      </c>
    </row>
    <row r="557" spans="1:17" ht="15" customHeight="1" x14ac:dyDescent="0.25">
      <c r="A557" s="3" t="s">
        <v>2314</v>
      </c>
      <c r="B557" s="4" t="s">
        <v>2809</v>
      </c>
      <c r="C557" t="s">
        <v>1196</v>
      </c>
      <c r="D557">
        <v>1</v>
      </c>
      <c r="E557" t="s">
        <v>974</v>
      </c>
      <c r="F557" t="s">
        <v>975</v>
      </c>
      <c r="G557" t="s">
        <v>976</v>
      </c>
      <c r="H557" s="1" t="s">
        <v>976</v>
      </c>
      <c r="I557" s="1">
        <v>1210</v>
      </c>
      <c r="J557" s="20">
        <v>0</v>
      </c>
      <c r="K557" s="1">
        <v>0</v>
      </c>
      <c r="L557" s="1">
        <v>0</v>
      </c>
      <c r="M557" s="43" t="s">
        <v>2798</v>
      </c>
      <c r="O557" s="2" t="s">
        <v>2472</v>
      </c>
      <c r="P557">
        <v>46</v>
      </c>
      <c r="Q557" t="s">
        <v>783</v>
      </c>
    </row>
    <row r="558" spans="1:17" ht="15" customHeight="1" x14ac:dyDescent="0.25">
      <c r="A558" s="3" t="s">
        <v>2315</v>
      </c>
      <c r="B558" s="4" t="s">
        <v>2809</v>
      </c>
      <c r="C558" t="s">
        <v>1196</v>
      </c>
      <c r="D558">
        <v>1</v>
      </c>
      <c r="E558" t="s">
        <v>974</v>
      </c>
      <c r="F558" t="s">
        <v>975</v>
      </c>
      <c r="G558" t="s">
        <v>976</v>
      </c>
      <c r="H558" s="1" t="s">
        <v>976</v>
      </c>
      <c r="I558" s="1">
        <v>1210</v>
      </c>
      <c r="J558" s="20">
        <v>0</v>
      </c>
      <c r="K558" s="1">
        <v>0</v>
      </c>
      <c r="L558" s="1">
        <v>0</v>
      </c>
      <c r="M558" s="43" t="s">
        <v>2798</v>
      </c>
      <c r="O558" s="2" t="s">
        <v>2472</v>
      </c>
      <c r="Q558" t="s">
        <v>783</v>
      </c>
    </row>
    <row r="559" spans="1:17" ht="15" customHeight="1" x14ac:dyDescent="0.25">
      <c r="A559" s="3" t="s">
        <v>2316</v>
      </c>
      <c r="B559" s="4" t="s">
        <v>2810</v>
      </c>
      <c r="C559" t="s">
        <v>1196</v>
      </c>
      <c r="D559">
        <v>1</v>
      </c>
      <c r="E559" t="s">
        <v>974</v>
      </c>
      <c r="F559" t="s">
        <v>975</v>
      </c>
      <c r="G559" t="s">
        <v>976</v>
      </c>
      <c r="H559" s="1" t="s">
        <v>976</v>
      </c>
      <c r="I559" s="1">
        <v>1160</v>
      </c>
      <c r="J559" s="20">
        <v>0</v>
      </c>
      <c r="K559" s="1">
        <v>248.1</v>
      </c>
      <c r="L559" s="1">
        <v>0</v>
      </c>
      <c r="M559" s="43" t="s">
        <v>2798</v>
      </c>
      <c r="O559" s="2" t="s">
        <v>2482</v>
      </c>
      <c r="P559">
        <v>36</v>
      </c>
      <c r="Q559" t="s">
        <v>784</v>
      </c>
    </row>
    <row r="560" spans="1:17" ht="15" customHeight="1" x14ac:dyDescent="0.25">
      <c r="A560" s="3" t="s">
        <v>2317</v>
      </c>
      <c r="B560" s="4" t="s">
        <v>2810</v>
      </c>
      <c r="C560" t="s">
        <v>1196</v>
      </c>
      <c r="D560">
        <v>1</v>
      </c>
      <c r="E560" t="s">
        <v>974</v>
      </c>
      <c r="F560" t="s">
        <v>975</v>
      </c>
      <c r="G560" t="s">
        <v>976</v>
      </c>
      <c r="H560" s="1" t="s">
        <v>976</v>
      </c>
      <c r="I560" s="1">
        <v>1160</v>
      </c>
      <c r="J560" s="20">
        <v>0</v>
      </c>
      <c r="K560" s="1">
        <v>248.1</v>
      </c>
      <c r="L560" s="1">
        <v>0</v>
      </c>
      <c r="M560" s="43" t="s">
        <v>2798</v>
      </c>
      <c r="O560" s="2" t="s">
        <v>2482</v>
      </c>
      <c r="P560">
        <v>38</v>
      </c>
      <c r="Q560" t="s">
        <v>784</v>
      </c>
    </row>
    <row r="561" spans="1:17" ht="15" customHeight="1" x14ac:dyDescent="0.25">
      <c r="A561" s="3" t="s">
        <v>2318</v>
      </c>
      <c r="B561" s="4" t="s">
        <v>2810</v>
      </c>
      <c r="C561" t="s">
        <v>1196</v>
      </c>
      <c r="D561">
        <v>1</v>
      </c>
      <c r="E561" t="s">
        <v>974</v>
      </c>
      <c r="F561" t="s">
        <v>975</v>
      </c>
      <c r="G561" t="s">
        <v>976</v>
      </c>
      <c r="H561" s="1" t="s">
        <v>976</v>
      </c>
      <c r="I561" s="1">
        <v>1160</v>
      </c>
      <c r="J561" s="20">
        <v>0</v>
      </c>
      <c r="K561" s="1">
        <v>248.1</v>
      </c>
      <c r="L561" s="1">
        <v>0</v>
      </c>
      <c r="M561" s="43" t="s">
        <v>2798</v>
      </c>
      <c r="O561" s="2" t="s">
        <v>2482</v>
      </c>
      <c r="P561">
        <v>40</v>
      </c>
      <c r="Q561" t="s">
        <v>784</v>
      </c>
    </row>
    <row r="562" spans="1:17" ht="15" customHeight="1" x14ac:dyDescent="0.25">
      <c r="A562" s="3" t="s">
        <v>2319</v>
      </c>
      <c r="B562" s="4" t="s">
        <v>2810</v>
      </c>
      <c r="C562" t="s">
        <v>1196</v>
      </c>
      <c r="D562">
        <v>1</v>
      </c>
      <c r="E562" t="s">
        <v>974</v>
      </c>
      <c r="F562" t="s">
        <v>975</v>
      </c>
      <c r="G562" t="s">
        <v>976</v>
      </c>
      <c r="H562" s="1" t="s">
        <v>976</v>
      </c>
      <c r="I562" s="1">
        <v>1160</v>
      </c>
      <c r="J562" s="20">
        <v>0</v>
      </c>
      <c r="K562" s="1">
        <v>248.1</v>
      </c>
      <c r="L562" s="1">
        <v>0</v>
      </c>
      <c r="M562" s="43" t="s">
        <v>2798</v>
      </c>
      <c r="O562" s="2" t="s">
        <v>2482</v>
      </c>
      <c r="P562">
        <v>42</v>
      </c>
      <c r="Q562" t="s">
        <v>784</v>
      </c>
    </row>
    <row r="563" spans="1:17" ht="15" customHeight="1" x14ac:dyDescent="0.25">
      <c r="A563" s="3" t="s">
        <v>2320</v>
      </c>
      <c r="B563" s="4" t="s">
        <v>2810</v>
      </c>
      <c r="C563" t="s">
        <v>1196</v>
      </c>
      <c r="D563">
        <v>1</v>
      </c>
      <c r="E563" t="s">
        <v>974</v>
      </c>
      <c r="F563" t="s">
        <v>975</v>
      </c>
      <c r="G563" t="s">
        <v>976</v>
      </c>
      <c r="H563" s="1" t="s">
        <v>976</v>
      </c>
      <c r="I563" s="1">
        <v>1160</v>
      </c>
      <c r="J563" s="20">
        <v>1</v>
      </c>
      <c r="K563" s="1">
        <v>248.1</v>
      </c>
      <c r="L563" s="1">
        <v>248.1</v>
      </c>
      <c r="M563" s="43" t="s">
        <v>2798</v>
      </c>
      <c r="O563" s="2" t="s">
        <v>2482</v>
      </c>
      <c r="P563">
        <v>44</v>
      </c>
      <c r="Q563" t="s">
        <v>784</v>
      </c>
    </row>
    <row r="564" spans="1:17" ht="15" customHeight="1" x14ac:dyDescent="0.25">
      <c r="A564" s="3" t="s">
        <v>2321</v>
      </c>
      <c r="B564" s="4" t="s">
        <v>2812</v>
      </c>
      <c r="C564" t="s">
        <v>1196</v>
      </c>
      <c r="D564">
        <v>1</v>
      </c>
      <c r="E564" t="s">
        <v>974</v>
      </c>
      <c r="F564" t="s">
        <v>975</v>
      </c>
      <c r="G564" t="s">
        <v>976</v>
      </c>
      <c r="H564" s="1" t="s">
        <v>976</v>
      </c>
      <c r="I564" s="1">
        <v>1290</v>
      </c>
      <c r="J564" s="20">
        <v>1</v>
      </c>
      <c r="K564" s="1">
        <v>280.9606</v>
      </c>
      <c r="L564" s="1">
        <v>280.95999999999998</v>
      </c>
      <c r="M564" s="43" t="s">
        <v>2798</v>
      </c>
      <c r="O564" s="2" t="s">
        <v>2811</v>
      </c>
      <c r="P564">
        <v>36</v>
      </c>
      <c r="Q564" t="s">
        <v>785</v>
      </c>
    </row>
    <row r="565" spans="1:17" ht="15" customHeight="1" x14ac:dyDescent="0.25">
      <c r="A565" s="3" t="s">
        <v>2322</v>
      </c>
      <c r="B565" s="4" t="s">
        <v>2812</v>
      </c>
      <c r="C565" t="s">
        <v>1196</v>
      </c>
      <c r="D565">
        <v>1</v>
      </c>
      <c r="E565" t="s">
        <v>974</v>
      </c>
      <c r="F565" t="s">
        <v>975</v>
      </c>
      <c r="G565" t="s">
        <v>976</v>
      </c>
      <c r="H565" s="1" t="s">
        <v>976</v>
      </c>
      <c r="I565" s="1">
        <v>1290</v>
      </c>
      <c r="J565" s="20">
        <v>0</v>
      </c>
      <c r="K565" s="1">
        <v>280.9606</v>
      </c>
      <c r="L565" s="1">
        <v>0</v>
      </c>
      <c r="M565" s="43" t="s">
        <v>2798</v>
      </c>
      <c r="O565" s="2" t="s">
        <v>2811</v>
      </c>
      <c r="P565">
        <v>38</v>
      </c>
      <c r="Q565" t="s">
        <v>785</v>
      </c>
    </row>
    <row r="566" spans="1:17" ht="15" customHeight="1" x14ac:dyDescent="0.25">
      <c r="A566" s="3" t="s">
        <v>2323</v>
      </c>
      <c r="B566" s="4" t="s">
        <v>2812</v>
      </c>
      <c r="C566" t="s">
        <v>1196</v>
      </c>
      <c r="D566">
        <v>1</v>
      </c>
      <c r="E566" t="s">
        <v>974</v>
      </c>
      <c r="F566" t="s">
        <v>975</v>
      </c>
      <c r="G566" t="s">
        <v>976</v>
      </c>
      <c r="H566" s="1" t="s">
        <v>976</v>
      </c>
      <c r="I566" s="1">
        <v>1290</v>
      </c>
      <c r="J566" s="20">
        <v>2</v>
      </c>
      <c r="K566" s="1">
        <v>280.9606</v>
      </c>
      <c r="L566" s="1">
        <v>561.91999999999996</v>
      </c>
      <c r="M566" s="43" t="s">
        <v>2798</v>
      </c>
      <c r="O566" s="2" t="s">
        <v>2811</v>
      </c>
      <c r="P566">
        <v>40</v>
      </c>
      <c r="Q566" t="s">
        <v>785</v>
      </c>
    </row>
    <row r="567" spans="1:17" ht="15" customHeight="1" x14ac:dyDescent="0.25">
      <c r="A567" s="3" t="s">
        <v>2324</v>
      </c>
      <c r="B567" s="4" t="s">
        <v>2812</v>
      </c>
      <c r="C567" t="s">
        <v>1196</v>
      </c>
      <c r="D567">
        <v>1</v>
      </c>
      <c r="E567" t="s">
        <v>974</v>
      </c>
      <c r="F567" t="s">
        <v>975</v>
      </c>
      <c r="G567" t="s">
        <v>976</v>
      </c>
      <c r="H567" s="1" t="s">
        <v>976</v>
      </c>
      <c r="I567" s="1">
        <v>1290</v>
      </c>
      <c r="J567" s="20">
        <v>0</v>
      </c>
      <c r="K567" s="1">
        <v>280.9606</v>
      </c>
      <c r="L567" s="1">
        <v>0</v>
      </c>
      <c r="M567" s="43" t="s">
        <v>2798</v>
      </c>
      <c r="O567" s="2" t="s">
        <v>2811</v>
      </c>
      <c r="P567">
        <v>42</v>
      </c>
      <c r="Q567" t="s">
        <v>785</v>
      </c>
    </row>
    <row r="568" spans="1:17" ht="15" customHeight="1" x14ac:dyDescent="0.25">
      <c r="A568" s="3" t="s">
        <v>2325</v>
      </c>
      <c r="B568" s="4" t="s">
        <v>2812</v>
      </c>
      <c r="C568" t="s">
        <v>1196</v>
      </c>
      <c r="D568">
        <v>1</v>
      </c>
      <c r="E568" t="s">
        <v>974</v>
      </c>
      <c r="F568" t="s">
        <v>975</v>
      </c>
      <c r="G568" t="s">
        <v>976</v>
      </c>
      <c r="H568" s="1" t="s">
        <v>976</v>
      </c>
      <c r="I568" s="1">
        <v>1290</v>
      </c>
      <c r="J568" s="20">
        <v>1</v>
      </c>
      <c r="K568" s="1">
        <v>280.9606</v>
      </c>
      <c r="L568" s="1">
        <v>280.95999999999998</v>
      </c>
      <c r="M568" s="43" t="s">
        <v>2798</v>
      </c>
      <c r="O568" s="2" t="s">
        <v>2811</v>
      </c>
      <c r="P568">
        <v>44</v>
      </c>
      <c r="Q568" t="s">
        <v>785</v>
      </c>
    </row>
    <row r="569" spans="1:17" ht="15" customHeight="1" x14ac:dyDescent="0.25">
      <c r="A569" s="3" t="s">
        <v>2326</v>
      </c>
      <c r="B569" s="4" t="s">
        <v>2808</v>
      </c>
      <c r="C569" t="s">
        <v>1196</v>
      </c>
      <c r="D569">
        <v>1</v>
      </c>
      <c r="E569" t="s">
        <v>974</v>
      </c>
      <c r="F569" t="s">
        <v>975</v>
      </c>
      <c r="G569" t="s">
        <v>180</v>
      </c>
      <c r="H569" s="1" t="s">
        <v>976</v>
      </c>
      <c r="I569" s="1">
        <v>790</v>
      </c>
      <c r="J569" s="20">
        <v>0</v>
      </c>
      <c r="K569" s="1">
        <v>466.5</v>
      </c>
      <c r="L569" s="1">
        <v>0</v>
      </c>
      <c r="M569" s="43" t="s">
        <v>2798</v>
      </c>
      <c r="O569" s="2" t="s">
        <v>2472</v>
      </c>
      <c r="Q569" t="s">
        <v>781</v>
      </c>
    </row>
    <row r="570" spans="1:17" ht="15" customHeight="1" x14ac:dyDescent="0.25">
      <c r="A570" s="42" t="s">
        <v>2326</v>
      </c>
      <c r="B570" s="3" t="s">
        <v>2808</v>
      </c>
      <c r="C570" s="42" t="s">
        <v>1196</v>
      </c>
      <c r="D570">
        <v>4</v>
      </c>
      <c r="E570" t="s">
        <v>1018</v>
      </c>
      <c r="F570" t="s">
        <v>975</v>
      </c>
      <c r="G570" t="s">
        <v>180</v>
      </c>
      <c r="H570" s="1" t="s">
        <v>976</v>
      </c>
      <c r="I570" s="1">
        <v>790</v>
      </c>
      <c r="J570" s="20">
        <v>1</v>
      </c>
      <c r="K570" s="1">
        <v>790</v>
      </c>
      <c r="L570" s="1">
        <v>790</v>
      </c>
      <c r="M570" s="43" t="s">
        <v>2798</v>
      </c>
      <c r="O570" s="2" t="s">
        <v>2472</v>
      </c>
      <c r="Q570" t="s">
        <v>781</v>
      </c>
    </row>
    <row r="571" spans="1:17" ht="15" customHeight="1" x14ac:dyDescent="0.25">
      <c r="A571" s="3" t="s">
        <v>2327</v>
      </c>
      <c r="B571" s="4" t="s">
        <v>2808</v>
      </c>
      <c r="C571" t="s">
        <v>1159</v>
      </c>
      <c r="D571">
        <v>1</v>
      </c>
      <c r="E571" t="s">
        <v>974</v>
      </c>
      <c r="F571" t="s">
        <v>975</v>
      </c>
      <c r="G571" t="s">
        <v>180</v>
      </c>
      <c r="H571" s="1" t="s">
        <v>976</v>
      </c>
      <c r="I571" s="1">
        <v>690</v>
      </c>
      <c r="J571" s="20">
        <v>0</v>
      </c>
      <c r="K571" s="1">
        <v>95</v>
      </c>
      <c r="L571" s="1">
        <v>0</v>
      </c>
      <c r="M571" s="43" t="s">
        <v>2798</v>
      </c>
      <c r="O571" s="2" t="s">
        <v>2579</v>
      </c>
      <c r="P571" t="s">
        <v>23</v>
      </c>
      <c r="Q571" t="s">
        <v>786</v>
      </c>
    </row>
    <row r="572" spans="1:17" ht="15" customHeight="1" x14ac:dyDescent="0.25">
      <c r="A572" s="3" t="s">
        <v>2328</v>
      </c>
      <c r="B572" s="4" t="s">
        <v>578</v>
      </c>
      <c r="C572" t="s">
        <v>1196</v>
      </c>
      <c r="D572">
        <v>1</v>
      </c>
      <c r="E572" t="s">
        <v>974</v>
      </c>
      <c r="F572" t="s">
        <v>975</v>
      </c>
      <c r="G572" t="s">
        <v>180</v>
      </c>
      <c r="H572" s="1" t="s">
        <v>976</v>
      </c>
      <c r="I572" s="1">
        <v>560</v>
      </c>
      <c r="J572" s="20">
        <v>0</v>
      </c>
      <c r="K572" s="1">
        <v>98.29</v>
      </c>
      <c r="L572" s="1">
        <v>0</v>
      </c>
      <c r="M572" s="43" t="s">
        <v>2798</v>
      </c>
      <c r="Q572" t="s">
        <v>578</v>
      </c>
    </row>
    <row r="573" spans="1:17" ht="15" customHeight="1" x14ac:dyDescent="0.25">
      <c r="A573" s="3" t="s">
        <v>2329</v>
      </c>
      <c r="B573" s="4" t="s">
        <v>579</v>
      </c>
      <c r="C573" t="s">
        <v>1196</v>
      </c>
      <c r="D573">
        <v>1</v>
      </c>
      <c r="E573" t="s">
        <v>974</v>
      </c>
      <c r="F573" t="s">
        <v>975</v>
      </c>
      <c r="G573" t="s">
        <v>180</v>
      </c>
      <c r="H573" s="1" t="s">
        <v>976</v>
      </c>
      <c r="I573" s="1">
        <v>560</v>
      </c>
      <c r="J573" s="20">
        <v>0</v>
      </c>
      <c r="K573" s="1">
        <v>98.29</v>
      </c>
      <c r="L573" s="1">
        <v>0</v>
      </c>
      <c r="M573" s="43" t="s">
        <v>2798</v>
      </c>
      <c r="Q573" t="s">
        <v>579</v>
      </c>
    </row>
    <row r="574" spans="1:17" ht="15" customHeight="1" x14ac:dyDescent="0.25">
      <c r="A574" s="3" t="s">
        <v>2330</v>
      </c>
      <c r="B574" s="4" t="s">
        <v>580</v>
      </c>
      <c r="C574" t="s">
        <v>1196</v>
      </c>
      <c r="D574">
        <v>1</v>
      </c>
      <c r="E574" t="s">
        <v>974</v>
      </c>
      <c r="F574" t="s">
        <v>975</v>
      </c>
      <c r="G574" t="s">
        <v>180</v>
      </c>
      <c r="H574" s="1" t="s">
        <v>976</v>
      </c>
      <c r="I574" s="1">
        <v>560</v>
      </c>
      <c r="J574" s="20">
        <v>0</v>
      </c>
      <c r="K574" s="1">
        <v>98.29</v>
      </c>
      <c r="L574" s="1">
        <v>0</v>
      </c>
      <c r="M574" s="43" t="s">
        <v>2798</v>
      </c>
      <c r="Q574" t="s">
        <v>580</v>
      </c>
    </row>
    <row r="575" spans="1:17" ht="15" customHeight="1" x14ac:dyDescent="0.25">
      <c r="A575" s="42" t="s">
        <v>2330</v>
      </c>
      <c r="B575" s="3" t="s">
        <v>580</v>
      </c>
      <c r="C575" s="42" t="s">
        <v>1196</v>
      </c>
      <c r="D575">
        <v>2</v>
      </c>
      <c r="E575" t="s">
        <v>1017</v>
      </c>
      <c r="F575" t="s">
        <v>975</v>
      </c>
      <c r="G575" t="s">
        <v>180</v>
      </c>
      <c r="H575" s="1" t="s">
        <v>976</v>
      </c>
      <c r="I575" s="1">
        <v>560</v>
      </c>
      <c r="J575" s="20">
        <v>0</v>
      </c>
      <c r="K575" s="1">
        <v>98.29</v>
      </c>
      <c r="L575" s="1">
        <v>0</v>
      </c>
      <c r="M575" s="43" t="s">
        <v>2798</v>
      </c>
      <c r="Q575" t="s">
        <v>580</v>
      </c>
    </row>
    <row r="576" spans="1:17" ht="15" customHeight="1" x14ac:dyDescent="0.25">
      <c r="A576" s="3" t="s">
        <v>2331</v>
      </c>
      <c r="B576" s="4" t="s">
        <v>581</v>
      </c>
      <c r="C576" t="s">
        <v>1196</v>
      </c>
      <c r="D576">
        <v>1</v>
      </c>
      <c r="E576" t="s">
        <v>974</v>
      </c>
      <c r="F576" t="s">
        <v>975</v>
      </c>
      <c r="G576" t="s">
        <v>180</v>
      </c>
      <c r="H576" s="1" t="s">
        <v>976</v>
      </c>
      <c r="I576" s="1">
        <v>560</v>
      </c>
      <c r="J576" s="20">
        <v>0</v>
      </c>
      <c r="K576" s="1">
        <v>98.29</v>
      </c>
      <c r="L576" s="1">
        <v>0</v>
      </c>
      <c r="M576" s="43" t="s">
        <v>2798</v>
      </c>
      <c r="Q576" t="s">
        <v>581</v>
      </c>
    </row>
    <row r="577" spans="1:17" ht="15" customHeight="1" x14ac:dyDescent="0.25">
      <c r="A577" s="3" t="s">
        <v>2332</v>
      </c>
      <c r="B577" s="4" t="s">
        <v>582</v>
      </c>
      <c r="C577" t="s">
        <v>1196</v>
      </c>
      <c r="D577">
        <v>1</v>
      </c>
      <c r="E577" t="s">
        <v>974</v>
      </c>
      <c r="F577" t="s">
        <v>975</v>
      </c>
      <c r="G577" t="s">
        <v>180</v>
      </c>
      <c r="H577" s="1" t="s">
        <v>976</v>
      </c>
      <c r="I577" s="1">
        <v>490</v>
      </c>
      <c r="J577" s="20">
        <v>0</v>
      </c>
      <c r="K577" s="1">
        <v>62.23</v>
      </c>
      <c r="L577" s="1">
        <v>0</v>
      </c>
      <c r="M577" s="43" t="s">
        <v>2798</v>
      </c>
      <c r="Q577" t="s">
        <v>582</v>
      </c>
    </row>
    <row r="578" spans="1:17" ht="15" customHeight="1" x14ac:dyDescent="0.25">
      <c r="A578" s="42" t="s">
        <v>2332</v>
      </c>
      <c r="B578" s="3" t="s">
        <v>582</v>
      </c>
      <c r="C578" s="42" t="s">
        <v>1196</v>
      </c>
      <c r="D578">
        <v>3</v>
      </c>
      <c r="E578" t="s">
        <v>1179</v>
      </c>
      <c r="F578" t="s">
        <v>1180</v>
      </c>
      <c r="G578" t="s">
        <v>180</v>
      </c>
      <c r="H578" s="1" t="s">
        <v>976</v>
      </c>
      <c r="I578" s="1">
        <v>490</v>
      </c>
      <c r="J578" s="20">
        <v>0</v>
      </c>
      <c r="K578" s="1">
        <v>62.23</v>
      </c>
      <c r="L578" s="1">
        <v>0</v>
      </c>
      <c r="M578" s="43" t="s">
        <v>2798</v>
      </c>
      <c r="Q578" t="s">
        <v>582</v>
      </c>
    </row>
    <row r="579" spans="1:17" ht="15" customHeight="1" x14ac:dyDescent="0.25">
      <c r="A579" s="3" t="s">
        <v>2333</v>
      </c>
      <c r="B579" s="4" t="s">
        <v>583</v>
      </c>
      <c r="C579" t="s">
        <v>1196</v>
      </c>
      <c r="D579">
        <v>1</v>
      </c>
      <c r="E579" t="s">
        <v>974</v>
      </c>
      <c r="F579" t="s">
        <v>975</v>
      </c>
      <c r="G579" t="s">
        <v>976</v>
      </c>
      <c r="H579" s="1" t="s">
        <v>976</v>
      </c>
      <c r="I579" s="1">
        <v>490</v>
      </c>
      <c r="J579" s="20">
        <v>0</v>
      </c>
      <c r="K579" s="1">
        <v>62.23</v>
      </c>
      <c r="L579" s="1">
        <v>0</v>
      </c>
      <c r="M579" s="43" t="s">
        <v>2798</v>
      </c>
      <c r="Q579" t="s">
        <v>583</v>
      </c>
    </row>
    <row r="580" spans="1:17" ht="15" customHeight="1" x14ac:dyDescent="0.25">
      <c r="A580" s="42" t="s">
        <v>2333</v>
      </c>
      <c r="B580" s="3" t="s">
        <v>583</v>
      </c>
      <c r="C580" s="42" t="s">
        <v>1196</v>
      </c>
      <c r="D580">
        <v>3</v>
      </c>
      <c r="E580" t="s">
        <v>1179</v>
      </c>
      <c r="F580" t="s">
        <v>1180</v>
      </c>
      <c r="G580" t="s">
        <v>976</v>
      </c>
      <c r="H580" s="1" t="s">
        <v>976</v>
      </c>
      <c r="I580" s="1">
        <v>490</v>
      </c>
      <c r="J580" s="20">
        <v>0</v>
      </c>
      <c r="K580" s="1">
        <v>62.23</v>
      </c>
      <c r="L580" s="1">
        <v>0</v>
      </c>
      <c r="M580" s="43" t="s">
        <v>2798</v>
      </c>
      <c r="Q580" t="s">
        <v>583</v>
      </c>
    </row>
    <row r="581" spans="1:17" ht="15" customHeight="1" x14ac:dyDescent="0.25">
      <c r="A581" s="3" t="s">
        <v>2334</v>
      </c>
      <c r="B581" s="4" t="s">
        <v>584</v>
      </c>
      <c r="C581" t="s">
        <v>1196</v>
      </c>
      <c r="D581">
        <v>1</v>
      </c>
      <c r="E581" t="s">
        <v>974</v>
      </c>
      <c r="F581" t="s">
        <v>975</v>
      </c>
      <c r="G581" t="s">
        <v>976</v>
      </c>
      <c r="H581" s="1" t="s">
        <v>976</v>
      </c>
      <c r="I581" s="1">
        <v>490</v>
      </c>
      <c r="J581" s="20">
        <v>0</v>
      </c>
      <c r="K581" s="1">
        <v>62.23</v>
      </c>
      <c r="L581" s="1">
        <v>0</v>
      </c>
      <c r="M581" s="43" t="s">
        <v>2798</v>
      </c>
      <c r="Q581" t="s">
        <v>584</v>
      </c>
    </row>
    <row r="582" spans="1:17" ht="15" customHeight="1" x14ac:dyDescent="0.25">
      <c r="A582" s="42" t="s">
        <v>2334</v>
      </c>
      <c r="B582" s="3" t="s">
        <v>584</v>
      </c>
      <c r="C582" s="42" t="s">
        <v>1196</v>
      </c>
      <c r="D582">
        <v>3</v>
      </c>
      <c r="E582" t="s">
        <v>1179</v>
      </c>
      <c r="F582" t="s">
        <v>1180</v>
      </c>
      <c r="G582" t="s">
        <v>976</v>
      </c>
      <c r="H582" s="1" t="s">
        <v>976</v>
      </c>
      <c r="I582" s="1">
        <v>490</v>
      </c>
      <c r="J582" s="20">
        <v>0</v>
      </c>
      <c r="K582" s="1">
        <v>62.23</v>
      </c>
      <c r="L582" s="1">
        <v>0</v>
      </c>
      <c r="M582" s="43" t="s">
        <v>2798</v>
      </c>
      <c r="Q582" t="s">
        <v>584</v>
      </c>
    </row>
    <row r="583" spans="1:17" ht="15" customHeight="1" x14ac:dyDescent="0.25">
      <c r="A583" s="3" t="s">
        <v>2335</v>
      </c>
      <c r="B583" s="4" t="s">
        <v>2813</v>
      </c>
      <c r="C583" t="s">
        <v>1196</v>
      </c>
      <c r="D583">
        <v>1</v>
      </c>
      <c r="E583" t="s">
        <v>974</v>
      </c>
      <c r="F583" t="s">
        <v>975</v>
      </c>
      <c r="G583" t="s">
        <v>180</v>
      </c>
      <c r="H583" s="1" t="s">
        <v>976</v>
      </c>
      <c r="I583" s="1">
        <v>490</v>
      </c>
      <c r="J583" s="20">
        <v>4</v>
      </c>
      <c r="K583" s="1">
        <v>60.83</v>
      </c>
      <c r="L583" s="1">
        <v>243.32</v>
      </c>
      <c r="M583" s="43" t="s">
        <v>2798</v>
      </c>
      <c r="O583" s="2" t="s">
        <v>2508</v>
      </c>
      <c r="Q583" t="s">
        <v>787</v>
      </c>
    </row>
    <row r="584" spans="1:17" ht="15" customHeight="1" x14ac:dyDescent="0.25">
      <c r="A584" s="42" t="s">
        <v>2335</v>
      </c>
      <c r="B584" s="3" t="s">
        <v>2813</v>
      </c>
      <c r="C584" s="42" t="s">
        <v>1196</v>
      </c>
      <c r="D584">
        <v>3</v>
      </c>
      <c r="E584" t="s">
        <v>1179</v>
      </c>
      <c r="F584" t="s">
        <v>1180</v>
      </c>
      <c r="G584" t="s">
        <v>180</v>
      </c>
      <c r="H584" s="1" t="s">
        <v>976</v>
      </c>
      <c r="I584" s="1">
        <v>490</v>
      </c>
      <c r="J584" s="20">
        <v>0</v>
      </c>
      <c r="K584" s="1">
        <v>60.83</v>
      </c>
      <c r="L584" s="1">
        <v>0</v>
      </c>
      <c r="M584" s="43" t="s">
        <v>2798</v>
      </c>
      <c r="O584" s="2" t="s">
        <v>2508</v>
      </c>
      <c r="Q584" t="s">
        <v>787</v>
      </c>
    </row>
    <row r="585" spans="1:17" ht="15" customHeight="1" x14ac:dyDescent="0.25">
      <c r="A585" s="3" t="s">
        <v>2336</v>
      </c>
      <c r="B585" s="4" t="s">
        <v>2813</v>
      </c>
      <c r="C585" t="s">
        <v>1196</v>
      </c>
      <c r="D585">
        <v>1</v>
      </c>
      <c r="E585" t="s">
        <v>974</v>
      </c>
      <c r="F585" t="s">
        <v>975</v>
      </c>
      <c r="G585" t="s">
        <v>976</v>
      </c>
      <c r="H585" s="1" t="s">
        <v>976</v>
      </c>
      <c r="I585" s="1">
        <v>490</v>
      </c>
      <c r="J585" s="20">
        <v>2</v>
      </c>
      <c r="K585" s="1">
        <v>60.83</v>
      </c>
      <c r="L585" s="1">
        <v>121.66</v>
      </c>
      <c r="M585" s="43" t="s">
        <v>2798</v>
      </c>
      <c r="O585" s="2" t="s">
        <v>2508</v>
      </c>
      <c r="Q585" t="s">
        <v>787</v>
      </c>
    </row>
    <row r="586" spans="1:17" ht="15" customHeight="1" x14ac:dyDescent="0.25">
      <c r="A586" s="42" t="s">
        <v>2336</v>
      </c>
      <c r="B586" s="3" t="s">
        <v>2813</v>
      </c>
      <c r="C586" s="42" t="s">
        <v>1196</v>
      </c>
      <c r="D586">
        <v>3</v>
      </c>
      <c r="E586" t="s">
        <v>1179</v>
      </c>
      <c r="F586" t="s">
        <v>1180</v>
      </c>
      <c r="G586" t="s">
        <v>976</v>
      </c>
      <c r="H586" s="1" t="s">
        <v>976</v>
      </c>
      <c r="I586" s="1">
        <v>490</v>
      </c>
      <c r="J586" s="20">
        <v>0</v>
      </c>
      <c r="K586" s="1">
        <v>60.83</v>
      </c>
      <c r="L586" s="1">
        <v>0</v>
      </c>
      <c r="M586" s="43" t="s">
        <v>2798</v>
      </c>
      <c r="O586" s="2" t="s">
        <v>2508</v>
      </c>
      <c r="Q586" t="s">
        <v>787</v>
      </c>
    </row>
    <row r="587" spans="1:17" ht="15" customHeight="1" x14ac:dyDescent="0.25">
      <c r="A587" s="3" t="s">
        <v>2337</v>
      </c>
      <c r="B587" s="4" t="s">
        <v>2813</v>
      </c>
      <c r="C587" t="s">
        <v>1196</v>
      </c>
      <c r="D587">
        <v>1</v>
      </c>
      <c r="E587" t="s">
        <v>974</v>
      </c>
      <c r="F587" t="s">
        <v>975</v>
      </c>
      <c r="G587" t="s">
        <v>976</v>
      </c>
      <c r="H587" s="1" t="s">
        <v>976</v>
      </c>
      <c r="I587" s="1">
        <v>490</v>
      </c>
      <c r="J587" s="20">
        <v>0</v>
      </c>
      <c r="K587" s="1">
        <v>60.83</v>
      </c>
      <c r="L587" s="1">
        <v>0</v>
      </c>
      <c r="M587" s="43" t="s">
        <v>2798</v>
      </c>
      <c r="O587" s="2" t="s">
        <v>2508</v>
      </c>
      <c r="Q587" t="s">
        <v>787</v>
      </c>
    </row>
    <row r="588" spans="1:17" ht="15" customHeight="1" x14ac:dyDescent="0.25">
      <c r="A588" s="42" t="s">
        <v>2337</v>
      </c>
      <c r="B588" s="3" t="s">
        <v>2813</v>
      </c>
      <c r="C588" s="42" t="s">
        <v>1196</v>
      </c>
      <c r="D588">
        <v>3</v>
      </c>
      <c r="E588" t="s">
        <v>1179</v>
      </c>
      <c r="F588" t="s">
        <v>1180</v>
      </c>
      <c r="G588" t="s">
        <v>976</v>
      </c>
      <c r="H588" s="1" t="s">
        <v>976</v>
      </c>
      <c r="I588" s="1">
        <v>490</v>
      </c>
      <c r="J588" s="20">
        <v>0</v>
      </c>
      <c r="K588" s="1">
        <v>60.83</v>
      </c>
      <c r="L588" s="1">
        <v>0</v>
      </c>
      <c r="M588" s="43" t="s">
        <v>2798</v>
      </c>
      <c r="O588" s="2" t="s">
        <v>2508</v>
      </c>
      <c r="Q588" t="s">
        <v>787</v>
      </c>
    </row>
    <row r="589" spans="1:17" ht="15" customHeight="1" x14ac:dyDescent="0.25">
      <c r="A589" s="3" t="s">
        <v>2338</v>
      </c>
      <c r="B589" s="4" t="s">
        <v>2814</v>
      </c>
      <c r="C589" t="s">
        <v>1196</v>
      </c>
      <c r="D589">
        <v>1</v>
      </c>
      <c r="E589" t="s">
        <v>974</v>
      </c>
      <c r="F589" t="s">
        <v>975</v>
      </c>
      <c r="G589" t="s">
        <v>180</v>
      </c>
      <c r="H589" s="1" t="s">
        <v>976</v>
      </c>
      <c r="I589" s="1">
        <v>575</v>
      </c>
      <c r="J589" s="20">
        <v>0</v>
      </c>
      <c r="K589" s="1">
        <v>95.72</v>
      </c>
      <c r="L589" s="1">
        <v>0</v>
      </c>
      <c r="M589" s="43" t="s">
        <v>2798</v>
      </c>
      <c r="O589" s="2" t="s">
        <v>2472</v>
      </c>
      <c r="Q589" t="s">
        <v>788</v>
      </c>
    </row>
    <row r="590" spans="1:17" ht="15" customHeight="1" x14ac:dyDescent="0.25">
      <c r="A590" s="42" t="s">
        <v>2338</v>
      </c>
      <c r="B590" s="3" t="s">
        <v>2814</v>
      </c>
      <c r="C590" s="42" t="s">
        <v>1196</v>
      </c>
      <c r="D590">
        <v>3</v>
      </c>
      <c r="E590" t="s">
        <v>1179</v>
      </c>
      <c r="F590" t="s">
        <v>1180</v>
      </c>
      <c r="G590" t="s">
        <v>180</v>
      </c>
      <c r="H590" s="1" t="s">
        <v>976</v>
      </c>
      <c r="I590" s="1">
        <v>575</v>
      </c>
      <c r="J590" s="20">
        <v>0</v>
      </c>
      <c r="K590" s="1">
        <v>95.72</v>
      </c>
      <c r="L590" s="1">
        <v>0</v>
      </c>
      <c r="M590" s="43" t="s">
        <v>2798</v>
      </c>
      <c r="O590" s="2" t="s">
        <v>2472</v>
      </c>
      <c r="Q590" t="s">
        <v>788</v>
      </c>
    </row>
    <row r="591" spans="1:17" ht="15" customHeight="1" x14ac:dyDescent="0.25">
      <c r="A591" s="3" t="s">
        <v>2339</v>
      </c>
      <c r="B591" s="4" t="s">
        <v>2814</v>
      </c>
      <c r="C591" t="s">
        <v>1196</v>
      </c>
      <c r="D591">
        <v>1</v>
      </c>
      <c r="E591" t="s">
        <v>974</v>
      </c>
      <c r="F591" t="s">
        <v>975</v>
      </c>
      <c r="G591" t="s">
        <v>180</v>
      </c>
      <c r="H591" s="1" t="s">
        <v>976</v>
      </c>
      <c r="I591" s="1">
        <v>575</v>
      </c>
      <c r="J591" s="20">
        <v>6</v>
      </c>
      <c r="K591" s="1">
        <v>95.72</v>
      </c>
      <c r="L591" s="1">
        <v>574.32000000000005</v>
      </c>
      <c r="M591" s="43" t="s">
        <v>2798</v>
      </c>
      <c r="O591" s="2" t="s">
        <v>2472</v>
      </c>
      <c r="Q591" t="s">
        <v>788</v>
      </c>
    </row>
    <row r="592" spans="1:17" ht="15" customHeight="1" x14ac:dyDescent="0.25">
      <c r="A592" s="42" t="s">
        <v>2339</v>
      </c>
      <c r="B592" s="3" t="s">
        <v>2814</v>
      </c>
      <c r="C592" s="42" t="s">
        <v>1196</v>
      </c>
      <c r="D592">
        <v>3</v>
      </c>
      <c r="E592" t="s">
        <v>1179</v>
      </c>
      <c r="F592" t="s">
        <v>1180</v>
      </c>
      <c r="G592" t="s">
        <v>180</v>
      </c>
      <c r="H592" s="1" t="s">
        <v>976</v>
      </c>
      <c r="I592" s="1">
        <v>575</v>
      </c>
      <c r="J592" s="20">
        <v>0</v>
      </c>
      <c r="K592" s="1">
        <v>95.72</v>
      </c>
      <c r="L592" s="1">
        <v>0</v>
      </c>
      <c r="M592" s="43" t="s">
        <v>2798</v>
      </c>
      <c r="O592" s="2" t="s">
        <v>2472</v>
      </c>
      <c r="Q592" t="s">
        <v>788</v>
      </c>
    </row>
    <row r="593" spans="1:17" ht="15" customHeight="1" x14ac:dyDescent="0.25">
      <c r="A593" s="3" t="s">
        <v>2340</v>
      </c>
      <c r="B593" s="4" t="s">
        <v>2814</v>
      </c>
      <c r="C593" t="s">
        <v>1196</v>
      </c>
      <c r="D593">
        <v>1</v>
      </c>
      <c r="E593" t="s">
        <v>974</v>
      </c>
      <c r="F593" t="s">
        <v>975</v>
      </c>
      <c r="G593" t="s">
        <v>180</v>
      </c>
      <c r="H593" s="1" t="s">
        <v>976</v>
      </c>
      <c r="I593" s="1">
        <v>575</v>
      </c>
      <c r="J593" s="20">
        <v>0</v>
      </c>
      <c r="K593" s="1">
        <v>95.72</v>
      </c>
      <c r="L593" s="1">
        <v>0</v>
      </c>
      <c r="M593" s="43" t="s">
        <v>2798</v>
      </c>
      <c r="O593" s="2" t="s">
        <v>2472</v>
      </c>
      <c r="Q593" t="s">
        <v>788</v>
      </c>
    </row>
    <row r="594" spans="1:17" ht="15" customHeight="1" x14ac:dyDescent="0.25">
      <c r="A594" s="42" t="s">
        <v>2340</v>
      </c>
      <c r="B594" s="3" t="s">
        <v>2814</v>
      </c>
      <c r="C594" s="42" t="s">
        <v>1196</v>
      </c>
      <c r="D594">
        <v>3</v>
      </c>
      <c r="E594" t="s">
        <v>1179</v>
      </c>
      <c r="F594" t="s">
        <v>1180</v>
      </c>
      <c r="G594" t="s">
        <v>180</v>
      </c>
      <c r="H594" s="1" t="s">
        <v>976</v>
      </c>
      <c r="I594" s="1">
        <v>575</v>
      </c>
      <c r="J594" s="20">
        <v>0</v>
      </c>
      <c r="K594" s="1">
        <v>95.72</v>
      </c>
      <c r="L594" s="1">
        <v>0</v>
      </c>
      <c r="M594" s="43" t="s">
        <v>2798</v>
      </c>
      <c r="O594" s="2" t="s">
        <v>2472</v>
      </c>
      <c r="Q594" t="s">
        <v>788</v>
      </c>
    </row>
    <row r="595" spans="1:17" ht="15" customHeight="1" x14ac:dyDescent="0.25">
      <c r="A595" s="3" t="s">
        <v>2341</v>
      </c>
      <c r="B595" s="4" t="s">
        <v>2814</v>
      </c>
      <c r="C595" t="s">
        <v>1196</v>
      </c>
      <c r="D595">
        <v>1</v>
      </c>
      <c r="E595" t="s">
        <v>974</v>
      </c>
      <c r="F595" t="s">
        <v>975</v>
      </c>
      <c r="G595" t="s">
        <v>180</v>
      </c>
      <c r="H595" s="1" t="s">
        <v>976</v>
      </c>
      <c r="I595" s="1">
        <v>585</v>
      </c>
      <c r="J595" s="20">
        <v>4</v>
      </c>
      <c r="K595" s="1">
        <v>97.01</v>
      </c>
      <c r="L595" s="1">
        <v>388.04</v>
      </c>
      <c r="M595" s="43" t="s">
        <v>2798</v>
      </c>
      <c r="O595" s="2" t="s">
        <v>2482</v>
      </c>
      <c r="Q595" t="s">
        <v>789</v>
      </c>
    </row>
    <row r="596" spans="1:17" ht="15" customHeight="1" x14ac:dyDescent="0.25">
      <c r="A596" s="3" t="s">
        <v>2342</v>
      </c>
      <c r="B596" s="4" t="s">
        <v>2814</v>
      </c>
      <c r="C596" t="s">
        <v>1196</v>
      </c>
      <c r="D596">
        <v>1</v>
      </c>
      <c r="E596" t="s">
        <v>974</v>
      </c>
      <c r="F596" t="s">
        <v>975</v>
      </c>
      <c r="G596" t="s">
        <v>180</v>
      </c>
      <c r="H596" s="1" t="s">
        <v>976</v>
      </c>
      <c r="I596" s="1">
        <v>585</v>
      </c>
      <c r="J596" s="20">
        <v>0</v>
      </c>
      <c r="K596" s="1">
        <v>97.01</v>
      </c>
      <c r="L596" s="1">
        <v>0</v>
      </c>
      <c r="M596" s="43" t="s">
        <v>2798</v>
      </c>
      <c r="O596" s="2" t="s">
        <v>2482</v>
      </c>
      <c r="Q596" t="s">
        <v>789</v>
      </c>
    </row>
    <row r="597" spans="1:17" ht="15" customHeight="1" x14ac:dyDescent="0.25">
      <c r="A597" s="3" t="s">
        <v>2343</v>
      </c>
      <c r="B597" s="4" t="s">
        <v>2814</v>
      </c>
      <c r="C597" t="s">
        <v>1196</v>
      </c>
      <c r="D597">
        <v>1</v>
      </c>
      <c r="E597" t="s">
        <v>974</v>
      </c>
      <c r="F597" t="s">
        <v>975</v>
      </c>
      <c r="G597" t="s">
        <v>180</v>
      </c>
      <c r="H597" s="1" t="s">
        <v>976</v>
      </c>
      <c r="I597" s="1">
        <v>585</v>
      </c>
      <c r="J597" s="20">
        <v>0</v>
      </c>
      <c r="K597" s="1">
        <v>97.01</v>
      </c>
      <c r="L597" s="1">
        <v>0</v>
      </c>
      <c r="M597" s="43" t="s">
        <v>2798</v>
      </c>
      <c r="O597" s="2" t="s">
        <v>2482</v>
      </c>
      <c r="Q597" t="s">
        <v>789</v>
      </c>
    </row>
    <row r="598" spans="1:17" ht="15" customHeight="1" x14ac:dyDescent="0.25">
      <c r="A598" s="3" t="s">
        <v>2344</v>
      </c>
      <c r="B598" s="4" t="s">
        <v>790</v>
      </c>
      <c r="C598" t="s">
        <v>1196</v>
      </c>
      <c r="D598">
        <v>1</v>
      </c>
      <c r="E598" t="s">
        <v>974</v>
      </c>
      <c r="F598" t="s">
        <v>975</v>
      </c>
      <c r="G598" t="s">
        <v>976</v>
      </c>
      <c r="H598" s="1" t="s">
        <v>976</v>
      </c>
      <c r="I598" s="1">
        <v>0</v>
      </c>
      <c r="J598" s="20">
        <v>-1</v>
      </c>
      <c r="K598" s="1">
        <v>0</v>
      </c>
      <c r="L598" s="1">
        <v>0</v>
      </c>
      <c r="M598" s="43" t="s">
        <v>2798</v>
      </c>
      <c r="N598" s="1" t="s">
        <v>2616</v>
      </c>
      <c r="Q598" t="s">
        <v>790</v>
      </c>
    </row>
    <row r="599" spans="1:17" ht="15" customHeight="1" x14ac:dyDescent="0.25">
      <c r="A599" s="42" t="s">
        <v>2344</v>
      </c>
      <c r="B599" s="3" t="s">
        <v>790</v>
      </c>
      <c r="C599" s="42" t="s">
        <v>1196</v>
      </c>
      <c r="D599">
        <v>4</v>
      </c>
      <c r="E599" t="s">
        <v>1018</v>
      </c>
      <c r="F599" t="s">
        <v>975</v>
      </c>
      <c r="G599" t="s">
        <v>976</v>
      </c>
      <c r="H599" s="1" t="s">
        <v>976</v>
      </c>
      <c r="I599" s="1">
        <v>0</v>
      </c>
      <c r="J599" s="20">
        <v>1</v>
      </c>
      <c r="K599" s="1">
        <v>0</v>
      </c>
      <c r="L599" s="1">
        <v>0</v>
      </c>
      <c r="M599" s="43" t="s">
        <v>2798</v>
      </c>
      <c r="N599" s="1" t="s">
        <v>2616</v>
      </c>
      <c r="Q599" t="s">
        <v>790</v>
      </c>
    </row>
    <row r="600" spans="1:17" ht="15" customHeight="1" x14ac:dyDescent="0.25">
      <c r="A600" s="3" t="s">
        <v>2345</v>
      </c>
      <c r="B600" s="4" t="s">
        <v>585</v>
      </c>
      <c r="C600" t="s">
        <v>1196</v>
      </c>
      <c r="D600">
        <v>1</v>
      </c>
      <c r="E600" t="s">
        <v>974</v>
      </c>
      <c r="F600" t="s">
        <v>975</v>
      </c>
      <c r="G600" t="s">
        <v>976</v>
      </c>
      <c r="H600" s="1" t="s">
        <v>976</v>
      </c>
      <c r="I600" s="1">
        <v>1410</v>
      </c>
      <c r="J600" s="20">
        <v>1</v>
      </c>
      <c r="K600" s="1">
        <v>278.05</v>
      </c>
      <c r="L600" s="1">
        <v>278.05</v>
      </c>
      <c r="M600" s="43" t="s">
        <v>2798</v>
      </c>
      <c r="P600" t="s">
        <v>24</v>
      </c>
      <c r="Q600" t="s">
        <v>585</v>
      </c>
    </row>
    <row r="601" spans="1:17" ht="15" customHeight="1" x14ac:dyDescent="0.25">
      <c r="A601" s="3" t="s">
        <v>2346</v>
      </c>
      <c r="B601" s="4" t="s">
        <v>586</v>
      </c>
      <c r="C601" t="s">
        <v>1196</v>
      </c>
      <c r="D601">
        <v>1</v>
      </c>
      <c r="E601" t="s">
        <v>974</v>
      </c>
      <c r="F601" t="s">
        <v>975</v>
      </c>
      <c r="G601" t="s">
        <v>976</v>
      </c>
      <c r="H601" s="1" t="s">
        <v>976</v>
      </c>
      <c r="I601" s="1">
        <v>1410</v>
      </c>
      <c r="J601" s="20">
        <v>6</v>
      </c>
      <c r="K601" s="1">
        <v>278.05</v>
      </c>
      <c r="L601" s="1">
        <v>1668.3</v>
      </c>
      <c r="M601" s="43" t="s">
        <v>2798</v>
      </c>
      <c r="P601" t="s">
        <v>23</v>
      </c>
      <c r="Q601" t="s">
        <v>586</v>
      </c>
    </row>
    <row r="602" spans="1:17" ht="15" customHeight="1" x14ac:dyDescent="0.25">
      <c r="A602" s="3" t="s">
        <v>2347</v>
      </c>
      <c r="B602" s="4" t="s">
        <v>587</v>
      </c>
      <c r="C602" t="s">
        <v>1196</v>
      </c>
      <c r="D602">
        <v>1</v>
      </c>
      <c r="E602" t="s">
        <v>974</v>
      </c>
      <c r="F602" t="s">
        <v>975</v>
      </c>
      <c r="G602" t="s">
        <v>976</v>
      </c>
      <c r="H602" s="1" t="s">
        <v>976</v>
      </c>
      <c r="I602" s="1">
        <v>1410</v>
      </c>
      <c r="J602" s="20">
        <v>4</v>
      </c>
      <c r="K602" s="1">
        <v>278.05</v>
      </c>
      <c r="L602" s="1">
        <v>1112.2</v>
      </c>
      <c r="M602" s="43" t="s">
        <v>2798</v>
      </c>
      <c r="P602" t="s">
        <v>22</v>
      </c>
      <c r="Q602" t="s">
        <v>587</v>
      </c>
    </row>
    <row r="603" spans="1:17" ht="15" customHeight="1" x14ac:dyDescent="0.25">
      <c r="A603" s="3" t="s">
        <v>2348</v>
      </c>
      <c r="B603" s="4" t="s">
        <v>2815</v>
      </c>
      <c r="C603" t="s">
        <v>1196</v>
      </c>
      <c r="D603">
        <v>1</v>
      </c>
      <c r="E603" t="s">
        <v>974</v>
      </c>
      <c r="F603" t="s">
        <v>975</v>
      </c>
      <c r="G603" t="s">
        <v>976</v>
      </c>
      <c r="H603" s="1" t="s">
        <v>976</v>
      </c>
      <c r="I603" s="1">
        <v>1410</v>
      </c>
      <c r="J603" s="20">
        <v>2</v>
      </c>
      <c r="K603" s="1">
        <v>278.05</v>
      </c>
      <c r="L603" s="1">
        <v>556.1</v>
      </c>
      <c r="M603" s="43" t="s">
        <v>2798</v>
      </c>
      <c r="O603" s="2" t="s">
        <v>2482</v>
      </c>
      <c r="P603" t="s">
        <v>24</v>
      </c>
      <c r="Q603" t="s">
        <v>791</v>
      </c>
    </row>
    <row r="604" spans="1:17" ht="15" customHeight="1" x14ac:dyDescent="0.25">
      <c r="A604" s="3" t="s">
        <v>2349</v>
      </c>
      <c r="B604" s="4" t="s">
        <v>2815</v>
      </c>
      <c r="C604" t="s">
        <v>1196</v>
      </c>
      <c r="D604">
        <v>1</v>
      </c>
      <c r="E604" t="s">
        <v>974</v>
      </c>
      <c r="F604" t="s">
        <v>975</v>
      </c>
      <c r="G604" t="s">
        <v>976</v>
      </c>
      <c r="H604" s="1" t="s">
        <v>976</v>
      </c>
      <c r="I604" s="1">
        <v>1410</v>
      </c>
      <c r="J604" s="20">
        <v>5</v>
      </c>
      <c r="K604" s="1">
        <v>278.05</v>
      </c>
      <c r="L604" s="1">
        <v>1390.25</v>
      </c>
      <c r="M604" s="43" t="s">
        <v>2798</v>
      </c>
      <c r="O604" s="2" t="s">
        <v>2482</v>
      </c>
      <c r="P604" t="s">
        <v>23</v>
      </c>
      <c r="Q604" t="s">
        <v>791</v>
      </c>
    </row>
    <row r="605" spans="1:17" ht="15" customHeight="1" x14ac:dyDescent="0.25">
      <c r="A605" s="3" t="s">
        <v>2350</v>
      </c>
      <c r="B605" s="4" t="s">
        <v>2815</v>
      </c>
      <c r="C605" t="s">
        <v>1196</v>
      </c>
      <c r="D605">
        <v>1</v>
      </c>
      <c r="E605" t="s">
        <v>974</v>
      </c>
      <c r="F605" t="s">
        <v>975</v>
      </c>
      <c r="G605" t="s">
        <v>976</v>
      </c>
      <c r="H605" s="1" t="s">
        <v>976</v>
      </c>
      <c r="I605" s="1">
        <v>1410</v>
      </c>
      <c r="J605" s="20">
        <v>3</v>
      </c>
      <c r="K605" s="1">
        <v>278.05</v>
      </c>
      <c r="L605" s="1">
        <v>834.15</v>
      </c>
      <c r="M605" s="43" t="s">
        <v>2798</v>
      </c>
      <c r="O605" s="2" t="s">
        <v>2482</v>
      </c>
      <c r="P605" t="s">
        <v>22</v>
      </c>
      <c r="Q605" t="s">
        <v>791</v>
      </c>
    </row>
    <row r="606" spans="1:17" ht="15" customHeight="1" x14ac:dyDescent="0.25">
      <c r="A606" s="3" t="s">
        <v>2351</v>
      </c>
      <c r="B606" s="4" t="s">
        <v>2816</v>
      </c>
      <c r="C606" t="s">
        <v>1196</v>
      </c>
      <c r="D606">
        <v>1</v>
      </c>
      <c r="E606" t="s">
        <v>974</v>
      </c>
      <c r="F606" t="s">
        <v>975</v>
      </c>
      <c r="G606" t="s">
        <v>976</v>
      </c>
      <c r="H606" s="1" t="s">
        <v>976</v>
      </c>
      <c r="I606" s="1">
        <v>460</v>
      </c>
      <c r="J606" s="20">
        <v>1</v>
      </c>
      <c r="K606" s="1">
        <v>98</v>
      </c>
      <c r="L606" s="1">
        <v>98</v>
      </c>
      <c r="M606" s="43" t="s">
        <v>2798</v>
      </c>
      <c r="O606" s="2" t="s">
        <v>2447</v>
      </c>
      <c r="P606" t="s">
        <v>24</v>
      </c>
      <c r="Q606" t="s">
        <v>792</v>
      </c>
    </row>
    <row r="607" spans="1:17" ht="15" customHeight="1" x14ac:dyDescent="0.25">
      <c r="A607" s="3" t="s">
        <v>2352</v>
      </c>
      <c r="B607" s="4" t="s">
        <v>2816</v>
      </c>
      <c r="C607" t="s">
        <v>1196</v>
      </c>
      <c r="D607">
        <v>1</v>
      </c>
      <c r="E607" t="s">
        <v>974</v>
      </c>
      <c r="F607" t="s">
        <v>975</v>
      </c>
      <c r="G607" t="s">
        <v>976</v>
      </c>
      <c r="H607" s="1" t="s">
        <v>976</v>
      </c>
      <c r="I607" s="1">
        <v>460</v>
      </c>
      <c r="J607" s="20">
        <v>1</v>
      </c>
      <c r="K607" s="1">
        <v>76</v>
      </c>
      <c r="L607" s="1">
        <v>76</v>
      </c>
      <c r="M607" s="43" t="s">
        <v>2798</v>
      </c>
      <c r="O607" s="2" t="s">
        <v>2447</v>
      </c>
      <c r="P607" t="s">
        <v>25</v>
      </c>
      <c r="Q607" t="s">
        <v>792</v>
      </c>
    </row>
    <row r="608" spans="1:17" ht="15" customHeight="1" x14ac:dyDescent="0.25">
      <c r="A608" s="3" t="s">
        <v>2353</v>
      </c>
      <c r="B608" s="4" t="s">
        <v>2816</v>
      </c>
      <c r="C608" t="s">
        <v>1196</v>
      </c>
      <c r="D608">
        <v>1</v>
      </c>
      <c r="E608" t="s">
        <v>974</v>
      </c>
      <c r="F608" t="s">
        <v>975</v>
      </c>
      <c r="G608" t="s">
        <v>976</v>
      </c>
      <c r="H608" s="1" t="s">
        <v>976</v>
      </c>
      <c r="I608" s="1">
        <v>460</v>
      </c>
      <c r="J608" s="20">
        <v>2</v>
      </c>
      <c r="K608" s="1">
        <v>98</v>
      </c>
      <c r="L608" s="1">
        <v>196</v>
      </c>
      <c r="M608" s="43" t="s">
        <v>2798</v>
      </c>
      <c r="O608" s="2" t="s">
        <v>2447</v>
      </c>
      <c r="P608" t="s">
        <v>23</v>
      </c>
      <c r="Q608" t="s">
        <v>792</v>
      </c>
    </row>
    <row r="609" spans="1:17" ht="15" customHeight="1" x14ac:dyDescent="0.25">
      <c r="A609" s="3" t="s">
        <v>2354</v>
      </c>
      <c r="B609" s="4" t="s">
        <v>2816</v>
      </c>
      <c r="C609" t="s">
        <v>1196</v>
      </c>
      <c r="D609">
        <v>1</v>
      </c>
      <c r="E609" t="s">
        <v>974</v>
      </c>
      <c r="F609" t="s">
        <v>975</v>
      </c>
      <c r="G609" t="s">
        <v>976</v>
      </c>
      <c r="H609" s="1" t="s">
        <v>976</v>
      </c>
      <c r="I609" s="1">
        <v>460</v>
      </c>
      <c r="J609" s="20">
        <v>0</v>
      </c>
      <c r="K609" s="1">
        <v>76</v>
      </c>
      <c r="L609" s="1">
        <v>0</v>
      </c>
      <c r="M609" s="43" t="s">
        <v>2798</v>
      </c>
      <c r="O609" s="2" t="s">
        <v>2447</v>
      </c>
      <c r="P609" t="s">
        <v>22</v>
      </c>
      <c r="Q609" t="s">
        <v>792</v>
      </c>
    </row>
    <row r="610" spans="1:17" ht="15" customHeight="1" x14ac:dyDescent="0.25">
      <c r="A610" s="3" t="s">
        <v>2355</v>
      </c>
      <c r="B610" s="4" t="s">
        <v>2816</v>
      </c>
      <c r="C610" t="s">
        <v>1196</v>
      </c>
      <c r="D610">
        <v>1</v>
      </c>
      <c r="E610" t="s">
        <v>974</v>
      </c>
      <c r="F610" t="s">
        <v>975</v>
      </c>
      <c r="G610" t="s">
        <v>976</v>
      </c>
      <c r="H610" s="1" t="s">
        <v>976</v>
      </c>
      <c r="I610" s="1">
        <v>460</v>
      </c>
      <c r="J610" s="20">
        <v>1</v>
      </c>
      <c r="K610" s="1">
        <v>76</v>
      </c>
      <c r="L610" s="1">
        <v>76</v>
      </c>
      <c r="M610" s="43" t="s">
        <v>2798</v>
      </c>
      <c r="O610" s="2" t="s">
        <v>2447</v>
      </c>
      <c r="P610" t="s">
        <v>21</v>
      </c>
      <c r="Q610" t="s">
        <v>792</v>
      </c>
    </row>
    <row r="611" spans="1:17" ht="15" customHeight="1" x14ac:dyDescent="0.25">
      <c r="A611" s="3" t="s">
        <v>2356</v>
      </c>
      <c r="B611" s="4" t="s">
        <v>2816</v>
      </c>
      <c r="C611" t="s">
        <v>1196</v>
      </c>
      <c r="D611">
        <v>1</v>
      </c>
      <c r="E611" t="s">
        <v>974</v>
      </c>
      <c r="F611" t="s">
        <v>975</v>
      </c>
      <c r="G611" t="s">
        <v>976</v>
      </c>
      <c r="H611" s="1" t="s">
        <v>976</v>
      </c>
      <c r="I611" s="1">
        <v>460</v>
      </c>
      <c r="J611" s="20">
        <v>0</v>
      </c>
      <c r="K611" s="1">
        <v>98</v>
      </c>
      <c r="L611" s="1">
        <v>0</v>
      </c>
      <c r="M611" s="43" t="s">
        <v>2798</v>
      </c>
      <c r="O611" s="2" t="s">
        <v>2443</v>
      </c>
      <c r="P611" t="s">
        <v>24</v>
      </c>
      <c r="Q611" t="s">
        <v>793</v>
      </c>
    </row>
    <row r="612" spans="1:17" ht="15" customHeight="1" x14ac:dyDescent="0.25">
      <c r="A612" s="3" t="s">
        <v>2357</v>
      </c>
      <c r="B612" s="4" t="s">
        <v>2816</v>
      </c>
      <c r="C612" t="s">
        <v>1196</v>
      </c>
      <c r="D612">
        <v>1</v>
      </c>
      <c r="E612" t="s">
        <v>974</v>
      </c>
      <c r="F612" t="s">
        <v>975</v>
      </c>
      <c r="G612" t="s">
        <v>976</v>
      </c>
      <c r="H612" s="1" t="s">
        <v>976</v>
      </c>
      <c r="I612" s="1">
        <v>460</v>
      </c>
      <c r="J612" s="20">
        <v>0</v>
      </c>
      <c r="K612" s="1">
        <v>98</v>
      </c>
      <c r="L612" s="1">
        <v>0</v>
      </c>
      <c r="M612" s="43" t="s">
        <v>2798</v>
      </c>
      <c r="O612" s="2" t="s">
        <v>2443</v>
      </c>
      <c r="P612" t="s">
        <v>25</v>
      </c>
      <c r="Q612" t="s">
        <v>793</v>
      </c>
    </row>
    <row r="613" spans="1:17" ht="15" customHeight="1" x14ac:dyDescent="0.25">
      <c r="A613" s="3" t="s">
        <v>2358</v>
      </c>
      <c r="B613" s="4" t="s">
        <v>2816</v>
      </c>
      <c r="C613" t="s">
        <v>1196</v>
      </c>
      <c r="D613">
        <v>1</v>
      </c>
      <c r="E613" t="s">
        <v>974</v>
      </c>
      <c r="F613" t="s">
        <v>975</v>
      </c>
      <c r="G613" t="s">
        <v>976</v>
      </c>
      <c r="H613" s="1" t="s">
        <v>976</v>
      </c>
      <c r="I613" s="1">
        <v>460</v>
      </c>
      <c r="J613" s="20">
        <v>0</v>
      </c>
      <c r="K613" s="1">
        <v>218.66666599999999</v>
      </c>
      <c r="L613" s="1">
        <v>0</v>
      </c>
      <c r="M613" s="43" t="s">
        <v>2798</v>
      </c>
      <c r="O613" s="2" t="s">
        <v>2443</v>
      </c>
      <c r="P613" t="s">
        <v>23</v>
      </c>
      <c r="Q613" t="s">
        <v>793</v>
      </c>
    </row>
    <row r="614" spans="1:17" ht="15" customHeight="1" x14ac:dyDescent="0.25">
      <c r="A614" s="42" t="s">
        <v>2358</v>
      </c>
      <c r="B614" s="3" t="s">
        <v>2816</v>
      </c>
      <c r="C614" s="42" t="s">
        <v>1196</v>
      </c>
      <c r="D614">
        <v>2</v>
      </c>
      <c r="E614" t="s">
        <v>1017</v>
      </c>
      <c r="F614" t="s">
        <v>975</v>
      </c>
      <c r="G614" t="s">
        <v>976</v>
      </c>
      <c r="H614" s="1" t="s">
        <v>976</v>
      </c>
      <c r="I614" s="1">
        <v>460</v>
      </c>
      <c r="J614" s="20">
        <v>-1</v>
      </c>
      <c r="K614" s="1">
        <v>0</v>
      </c>
      <c r="L614" s="1">
        <v>0</v>
      </c>
      <c r="M614" s="43" t="s">
        <v>2798</v>
      </c>
      <c r="O614" s="2" t="s">
        <v>2443</v>
      </c>
      <c r="P614" t="s">
        <v>23</v>
      </c>
      <c r="Q614" t="s">
        <v>793</v>
      </c>
    </row>
    <row r="615" spans="1:17" ht="15" customHeight="1" x14ac:dyDescent="0.25">
      <c r="A615" s="3" t="s">
        <v>2359</v>
      </c>
      <c r="B615" s="4" t="s">
        <v>2816</v>
      </c>
      <c r="C615" t="s">
        <v>1196</v>
      </c>
      <c r="D615">
        <v>1</v>
      </c>
      <c r="E615" t="s">
        <v>974</v>
      </c>
      <c r="F615" t="s">
        <v>975</v>
      </c>
      <c r="G615" t="s">
        <v>976</v>
      </c>
      <c r="H615" s="1" t="s">
        <v>976</v>
      </c>
      <c r="I615" s="1">
        <v>460</v>
      </c>
      <c r="J615" s="20">
        <v>0</v>
      </c>
      <c r="K615" s="1">
        <v>98</v>
      </c>
      <c r="L615" s="1">
        <v>0</v>
      </c>
      <c r="M615" s="43" t="s">
        <v>2798</v>
      </c>
      <c r="O615" s="2" t="s">
        <v>2443</v>
      </c>
      <c r="P615" t="s">
        <v>22</v>
      </c>
      <c r="Q615" t="s">
        <v>793</v>
      </c>
    </row>
    <row r="616" spans="1:17" ht="15" customHeight="1" x14ac:dyDescent="0.25">
      <c r="A616" s="42" t="s">
        <v>2359</v>
      </c>
      <c r="B616" s="3" t="s">
        <v>2816</v>
      </c>
      <c r="C616" s="42" t="s">
        <v>1196</v>
      </c>
      <c r="D616">
        <v>3</v>
      </c>
      <c r="E616" t="s">
        <v>1179</v>
      </c>
      <c r="F616" t="s">
        <v>1180</v>
      </c>
      <c r="G616" t="s">
        <v>976</v>
      </c>
      <c r="H616" s="1" t="s">
        <v>976</v>
      </c>
      <c r="I616" s="1">
        <v>460</v>
      </c>
      <c r="J616" s="20">
        <v>-1</v>
      </c>
      <c r="K616" s="1">
        <v>0</v>
      </c>
      <c r="L616" s="1">
        <v>0</v>
      </c>
      <c r="M616" s="43" t="s">
        <v>2798</v>
      </c>
      <c r="O616" s="2" t="s">
        <v>2443</v>
      </c>
      <c r="P616" t="s">
        <v>22</v>
      </c>
      <c r="Q616" t="s">
        <v>793</v>
      </c>
    </row>
    <row r="617" spans="1:17" ht="15" customHeight="1" x14ac:dyDescent="0.25">
      <c r="A617" s="3" t="s">
        <v>2360</v>
      </c>
      <c r="B617" s="4" t="s">
        <v>2816</v>
      </c>
      <c r="C617" t="s">
        <v>1196</v>
      </c>
      <c r="D617">
        <v>1</v>
      </c>
      <c r="E617" t="s">
        <v>974</v>
      </c>
      <c r="F617" t="s">
        <v>975</v>
      </c>
      <c r="G617" t="s">
        <v>976</v>
      </c>
      <c r="H617" s="1" t="s">
        <v>976</v>
      </c>
      <c r="I617" s="1">
        <v>460</v>
      </c>
      <c r="J617" s="20">
        <v>0</v>
      </c>
      <c r="K617" s="1">
        <v>76</v>
      </c>
      <c r="L617" s="1">
        <v>0</v>
      </c>
      <c r="M617" s="43" t="s">
        <v>2798</v>
      </c>
      <c r="O617" s="2" t="s">
        <v>2443</v>
      </c>
      <c r="P617" t="s">
        <v>21</v>
      </c>
      <c r="Q617" t="s">
        <v>793</v>
      </c>
    </row>
    <row r="618" spans="1:17" ht="15" customHeight="1" x14ac:dyDescent="0.25">
      <c r="A618" s="3" t="s">
        <v>2361</v>
      </c>
      <c r="B618" s="4" t="s">
        <v>2816</v>
      </c>
      <c r="C618" t="s">
        <v>1196</v>
      </c>
      <c r="D618">
        <v>1</v>
      </c>
      <c r="E618" t="s">
        <v>974</v>
      </c>
      <c r="F618" t="s">
        <v>975</v>
      </c>
      <c r="G618" t="s">
        <v>976</v>
      </c>
      <c r="H618" s="1" t="s">
        <v>976</v>
      </c>
      <c r="I618" s="1">
        <v>460</v>
      </c>
      <c r="J618" s="20">
        <v>0</v>
      </c>
      <c r="K618" s="1">
        <v>76</v>
      </c>
      <c r="L618" s="1">
        <v>0</v>
      </c>
      <c r="M618" s="43" t="s">
        <v>2798</v>
      </c>
      <c r="O618" s="2" t="s">
        <v>2482</v>
      </c>
      <c r="P618" t="s">
        <v>24</v>
      </c>
      <c r="Q618" t="s">
        <v>794</v>
      </c>
    </row>
    <row r="619" spans="1:17" ht="15" customHeight="1" x14ac:dyDescent="0.25">
      <c r="A619" s="3" t="s">
        <v>2362</v>
      </c>
      <c r="B619" s="4" t="s">
        <v>2816</v>
      </c>
      <c r="C619" t="s">
        <v>1196</v>
      </c>
      <c r="D619">
        <v>1</v>
      </c>
      <c r="E619" t="s">
        <v>974</v>
      </c>
      <c r="F619" t="s">
        <v>975</v>
      </c>
      <c r="G619" t="s">
        <v>976</v>
      </c>
      <c r="H619" s="1" t="s">
        <v>976</v>
      </c>
      <c r="I619" s="1">
        <v>460</v>
      </c>
      <c r="J619" s="20">
        <v>1</v>
      </c>
      <c r="K619" s="1">
        <v>76</v>
      </c>
      <c r="L619" s="1">
        <v>76</v>
      </c>
      <c r="M619" s="43" t="s">
        <v>2798</v>
      </c>
      <c r="O619" s="2" t="s">
        <v>2482</v>
      </c>
      <c r="P619" t="s">
        <v>25</v>
      </c>
      <c r="Q619" t="s">
        <v>794</v>
      </c>
    </row>
    <row r="620" spans="1:17" ht="15" customHeight="1" x14ac:dyDescent="0.25">
      <c r="A620" s="3" t="s">
        <v>2363</v>
      </c>
      <c r="B620" s="4" t="s">
        <v>2816</v>
      </c>
      <c r="C620" t="s">
        <v>1196</v>
      </c>
      <c r="D620">
        <v>1</v>
      </c>
      <c r="E620" t="s">
        <v>974</v>
      </c>
      <c r="F620" t="s">
        <v>975</v>
      </c>
      <c r="G620" t="s">
        <v>976</v>
      </c>
      <c r="H620" s="1" t="s">
        <v>976</v>
      </c>
      <c r="I620" s="1">
        <v>460</v>
      </c>
      <c r="J620" s="20">
        <v>0</v>
      </c>
      <c r="K620" s="1">
        <v>98</v>
      </c>
      <c r="L620" s="1">
        <v>0</v>
      </c>
      <c r="M620" s="43" t="s">
        <v>2798</v>
      </c>
      <c r="O620" s="2" t="s">
        <v>2482</v>
      </c>
      <c r="P620" t="s">
        <v>23</v>
      </c>
      <c r="Q620" t="s">
        <v>794</v>
      </c>
    </row>
    <row r="621" spans="1:17" ht="15" customHeight="1" x14ac:dyDescent="0.25">
      <c r="A621" s="3" t="s">
        <v>2364</v>
      </c>
      <c r="B621" s="4" t="s">
        <v>2816</v>
      </c>
      <c r="C621" t="s">
        <v>1196</v>
      </c>
      <c r="D621">
        <v>1</v>
      </c>
      <c r="E621" t="s">
        <v>974</v>
      </c>
      <c r="F621" t="s">
        <v>975</v>
      </c>
      <c r="G621" t="s">
        <v>976</v>
      </c>
      <c r="H621" s="1" t="s">
        <v>976</v>
      </c>
      <c r="I621" s="1">
        <v>460</v>
      </c>
      <c r="J621" s="20">
        <v>0</v>
      </c>
      <c r="K621" s="1">
        <v>76</v>
      </c>
      <c r="L621" s="1">
        <v>0</v>
      </c>
      <c r="M621" s="43" t="s">
        <v>2798</v>
      </c>
      <c r="O621" s="2" t="s">
        <v>2482</v>
      </c>
      <c r="P621" t="s">
        <v>22</v>
      </c>
      <c r="Q621" t="s">
        <v>794</v>
      </c>
    </row>
    <row r="622" spans="1:17" ht="15" customHeight="1" x14ac:dyDescent="0.25">
      <c r="A622" s="3" t="s">
        <v>2365</v>
      </c>
      <c r="B622" s="4" t="s">
        <v>2816</v>
      </c>
      <c r="C622" t="s">
        <v>1196</v>
      </c>
      <c r="D622">
        <v>1</v>
      </c>
      <c r="E622" t="s">
        <v>974</v>
      </c>
      <c r="F622" t="s">
        <v>975</v>
      </c>
      <c r="G622" t="s">
        <v>976</v>
      </c>
      <c r="H622" s="1" t="s">
        <v>976</v>
      </c>
      <c r="I622" s="1">
        <v>460</v>
      </c>
      <c r="J622" s="20">
        <v>0</v>
      </c>
      <c r="K622" s="1">
        <v>89</v>
      </c>
      <c r="L622" s="1">
        <v>0</v>
      </c>
      <c r="M622" s="43" t="s">
        <v>2798</v>
      </c>
      <c r="O622" s="2" t="s">
        <v>2482</v>
      </c>
      <c r="P622" t="s">
        <v>21</v>
      </c>
      <c r="Q622" t="s">
        <v>794</v>
      </c>
    </row>
    <row r="623" spans="1:17" ht="15" customHeight="1" x14ac:dyDescent="0.25">
      <c r="A623" s="3" t="s">
        <v>2366</v>
      </c>
      <c r="B623" s="4" t="s">
        <v>588</v>
      </c>
      <c r="C623" t="s">
        <v>1196</v>
      </c>
      <c r="D623">
        <v>1</v>
      </c>
      <c r="E623" t="s">
        <v>974</v>
      </c>
      <c r="F623" t="s">
        <v>975</v>
      </c>
      <c r="G623" t="s">
        <v>180</v>
      </c>
      <c r="H623" s="1" t="s">
        <v>976</v>
      </c>
      <c r="I623" s="1">
        <v>900</v>
      </c>
      <c r="J623" s="20">
        <v>0</v>
      </c>
      <c r="K623" s="1">
        <v>144</v>
      </c>
      <c r="L623" s="1">
        <v>0</v>
      </c>
      <c r="M623" s="43" t="s">
        <v>2798</v>
      </c>
      <c r="Q623" t="s">
        <v>588</v>
      </c>
    </row>
    <row r="624" spans="1:17" ht="15" customHeight="1" x14ac:dyDescent="0.25">
      <c r="A624" s="3" t="s">
        <v>2367</v>
      </c>
      <c r="B624" s="4" t="s">
        <v>2808</v>
      </c>
      <c r="C624" t="s">
        <v>1196</v>
      </c>
      <c r="D624">
        <v>1</v>
      </c>
      <c r="E624" t="s">
        <v>974</v>
      </c>
      <c r="F624" t="s">
        <v>975</v>
      </c>
      <c r="G624" t="s">
        <v>180</v>
      </c>
      <c r="H624" s="1" t="s">
        <v>976</v>
      </c>
      <c r="I624" s="1">
        <v>980</v>
      </c>
      <c r="J624" s="20">
        <v>0</v>
      </c>
      <c r="K624" s="1">
        <v>0</v>
      </c>
      <c r="L624" s="1">
        <v>0</v>
      </c>
      <c r="M624" s="43" t="s">
        <v>2798</v>
      </c>
      <c r="O624" s="2" t="s">
        <v>2472</v>
      </c>
      <c r="Q624" t="s">
        <v>781</v>
      </c>
    </row>
    <row r="625" spans="1:17" ht="15" customHeight="1" x14ac:dyDescent="0.25">
      <c r="A625" s="3" t="s">
        <v>2368</v>
      </c>
      <c r="B625" s="4" t="s">
        <v>2817</v>
      </c>
      <c r="C625" t="s">
        <v>1196</v>
      </c>
      <c r="D625">
        <v>1</v>
      </c>
      <c r="E625" t="s">
        <v>974</v>
      </c>
      <c r="F625" t="s">
        <v>975</v>
      </c>
      <c r="G625" t="s">
        <v>180</v>
      </c>
      <c r="H625" s="1" t="s">
        <v>976</v>
      </c>
      <c r="I625" s="1">
        <v>1200</v>
      </c>
      <c r="J625" s="20">
        <v>1</v>
      </c>
      <c r="K625" s="1">
        <v>1200</v>
      </c>
      <c r="L625" s="1">
        <v>1200</v>
      </c>
      <c r="M625" s="43" t="s">
        <v>2798</v>
      </c>
      <c r="O625" s="2" t="s">
        <v>2447</v>
      </c>
      <c r="P625" t="s">
        <v>23</v>
      </c>
      <c r="Q625" t="s">
        <v>795</v>
      </c>
    </row>
    <row r="626" spans="1:17" ht="15" customHeight="1" x14ac:dyDescent="0.25">
      <c r="A626" s="42" t="s">
        <v>2368</v>
      </c>
      <c r="B626" s="3" t="s">
        <v>2817</v>
      </c>
      <c r="C626" s="42" t="s">
        <v>1196</v>
      </c>
      <c r="D626">
        <v>4</v>
      </c>
      <c r="E626" t="s">
        <v>1018</v>
      </c>
      <c r="F626" t="s">
        <v>975</v>
      </c>
      <c r="G626" t="s">
        <v>180</v>
      </c>
      <c r="H626" s="1" t="s">
        <v>976</v>
      </c>
      <c r="I626" s="1">
        <v>1200</v>
      </c>
      <c r="J626" s="20">
        <v>0</v>
      </c>
      <c r="K626" s="1">
        <v>1200</v>
      </c>
      <c r="L626" s="1">
        <v>0</v>
      </c>
      <c r="M626" s="43" t="s">
        <v>2798</v>
      </c>
      <c r="O626" s="2" t="s">
        <v>2447</v>
      </c>
      <c r="P626" t="s">
        <v>23</v>
      </c>
      <c r="Q626" t="s">
        <v>795</v>
      </c>
    </row>
    <row r="627" spans="1:17" ht="15" customHeight="1" x14ac:dyDescent="0.25">
      <c r="A627" s="3" t="s">
        <v>2369</v>
      </c>
      <c r="B627" s="4" t="s">
        <v>2817</v>
      </c>
      <c r="C627" t="s">
        <v>1196</v>
      </c>
      <c r="D627">
        <v>4</v>
      </c>
      <c r="E627" t="s">
        <v>1018</v>
      </c>
      <c r="F627" t="s">
        <v>975</v>
      </c>
      <c r="G627" t="s">
        <v>180</v>
      </c>
      <c r="H627" s="1" t="s">
        <v>976</v>
      </c>
      <c r="I627" s="1">
        <v>1200</v>
      </c>
      <c r="J627" s="20">
        <v>1</v>
      </c>
      <c r="K627" s="1">
        <v>0</v>
      </c>
      <c r="L627" s="1">
        <v>0</v>
      </c>
      <c r="M627" s="43" t="s">
        <v>2798</v>
      </c>
      <c r="O627" s="2" t="s">
        <v>2443</v>
      </c>
      <c r="P627" t="s">
        <v>23</v>
      </c>
      <c r="Q627" t="s">
        <v>796</v>
      </c>
    </row>
    <row r="628" spans="1:17" ht="15" customHeight="1" x14ac:dyDescent="0.25">
      <c r="A628" s="3" t="s">
        <v>2370</v>
      </c>
      <c r="B628" s="4" t="s">
        <v>2818</v>
      </c>
      <c r="C628" t="s">
        <v>1196</v>
      </c>
      <c r="D628">
        <v>1</v>
      </c>
      <c r="E628" t="s">
        <v>974</v>
      </c>
      <c r="F628" t="s">
        <v>975</v>
      </c>
      <c r="G628" t="s">
        <v>180</v>
      </c>
      <c r="H628" s="1" t="s">
        <v>976</v>
      </c>
      <c r="I628" s="1">
        <v>1220</v>
      </c>
      <c r="J628" s="20">
        <v>2</v>
      </c>
      <c r="K628" s="1">
        <v>222</v>
      </c>
      <c r="L628" s="1">
        <v>444</v>
      </c>
      <c r="M628" s="43" t="s">
        <v>2798</v>
      </c>
      <c r="O628" s="2" t="s">
        <v>2472</v>
      </c>
      <c r="P628">
        <v>34</v>
      </c>
      <c r="Q628" t="s">
        <v>797</v>
      </c>
    </row>
    <row r="629" spans="1:17" ht="15" customHeight="1" x14ac:dyDescent="0.25">
      <c r="A629" s="3" t="s">
        <v>2371</v>
      </c>
      <c r="B629" s="4" t="s">
        <v>2818</v>
      </c>
      <c r="C629" t="s">
        <v>1196</v>
      </c>
      <c r="D629">
        <v>1</v>
      </c>
      <c r="E629" t="s">
        <v>974</v>
      </c>
      <c r="F629" t="s">
        <v>975</v>
      </c>
      <c r="G629" t="s">
        <v>180</v>
      </c>
      <c r="H629" s="1" t="s">
        <v>976</v>
      </c>
      <c r="I629" s="1">
        <v>1220</v>
      </c>
      <c r="J629" s="20">
        <v>7</v>
      </c>
      <c r="K629" s="1">
        <v>222</v>
      </c>
      <c r="L629" s="1">
        <v>1554</v>
      </c>
      <c r="M629" s="43" t="s">
        <v>2798</v>
      </c>
      <c r="O629" s="2" t="s">
        <v>2472</v>
      </c>
      <c r="P629">
        <v>36</v>
      </c>
      <c r="Q629" t="s">
        <v>797</v>
      </c>
    </row>
    <row r="630" spans="1:17" ht="15" customHeight="1" x14ac:dyDescent="0.25">
      <c r="A630" s="3" t="s">
        <v>2372</v>
      </c>
      <c r="B630" s="4" t="s">
        <v>2818</v>
      </c>
      <c r="C630" t="s">
        <v>1196</v>
      </c>
      <c r="D630">
        <v>1</v>
      </c>
      <c r="E630" t="s">
        <v>974</v>
      </c>
      <c r="F630" t="s">
        <v>975</v>
      </c>
      <c r="G630" t="s">
        <v>180</v>
      </c>
      <c r="H630" s="1" t="s">
        <v>976</v>
      </c>
      <c r="I630" s="1">
        <v>1220</v>
      </c>
      <c r="J630" s="20">
        <v>7</v>
      </c>
      <c r="K630" s="1">
        <v>222</v>
      </c>
      <c r="L630" s="1">
        <v>1554</v>
      </c>
      <c r="M630" s="43" t="s">
        <v>2798</v>
      </c>
      <c r="O630" s="2" t="s">
        <v>2472</v>
      </c>
      <c r="P630">
        <v>38</v>
      </c>
      <c r="Q630" t="s">
        <v>797</v>
      </c>
    </row>
    <row r="631" spans="1:17" ht="15" customHeight="1" x14ac:dyDescent="0.25">
      <c r="A631" s="3" t="s">
        <v>2373</v>
      </c>
      <c r="B631" s="4" t="s">
        <v>2818</v>
      </c>
      <c r="C631" t="s">
        <v>1196</v>
      </c>
      <c r="D631">
        <v>1</v>
      </c>
      <c r="E631" t="s">
        <v>974</v>
      </c>
      <c r="F631" t="s">
        <v>975</v>
      </c>
      <c r="G631" t="s">
        <v>180</v>
      </c>
      <c r="H631" s="1" t="s">
        <v>976</v>
      </c>
      <c r="I631" s="1">
        <v>1220</v>
      </c>
      <c r="J631" s="20">
        <v>7</v>
      </c>
      <c r="K631" s="1">
        <v>194.25</v>
      </c>
      <c r="L631" s="1">
        <v>1359.75</v>
      </c>
      <c r="M631" s="43" t="s">
        <v>2798</v>
      </c>
      <c r="O631" s="2" t="s">
        <v>2472</v>
      </c>
      <c r="P631">
        <v>40</v>
      </c>
      <c r="Q631" t="s">
        <v>797</v>
      </c>
    </row>
    <row r="632" spans="1:17" ht="15" customHeight="1" x14ac:dyDescent="0.25">
      <c r="A632" s="3" t="s">
        <v>2374</v>
      </c>
      <c r="B632" s="4" t="s">
        <v>2818</v>
      </c>
      <c r="C632" t="s">
        <v>1196</v>
      </c>
      <c r="D632">
        <v>1</v>
      </c>
      <c r="E632" t="s">
        <v>974</v>
      </c>
      <c r="F632" t="s">
        <v>975</v>
      </c>
      <c r="G632" t="s">
        <v>180</v>
      </c>
      <c r="H632" s="1" t="s">
        <v>976</v>
      </c>
      <c r="I632" s="1">
        <v>1220</v>
      </c>
      <c r="J632" s="20">
        <v>0</v>
      </c>
      <c r="K632" s="1">
        <v>222</v>
      </c>
      <c r="L632" s="1">
        <v>0</v>
      </c>
      <c r="M632" s="43" t="s">
        <v>2798</v>
      </c>
      <c r="O632" s="2" t="s">
        <v>2472</v>
      </c>
      <c r="P632">
        <v>42</v>
      </c>
      <c r="Q632" t="s">
        <v>797</v>
      </c>
    </row>
    <row r="633" spans="1:17" ht="15" customHeight="1" x14ac:dyDescent="0.25">
      <c r="A633" s="3" t="s">
        <v>2375</v>
      </c>
      <c r="B633" s="4" t="s">
        <v>2818</v>
      </c>
      <c r="C633" t="s">
        <v>1196</v>
      </c>
      <c r="D633">
        <v>1</v>
      </c>
      <c r="E633" t="s">
        <v>974</v>
      </c>
      <c r="F633" t="s">
        <v>975</v>
      </c>
      <c r="G633" t="s">
        <v>180</v>
      </c>
      <c r="H633" s="1" t="s">
        <v>976</v>
      </c>
      <c r="I633" s="1">
        <v>1220</v>
      </c>
      <c r="J633" s="20">
        <v>1</v>
      </c>
      <c r="K633" s="1">
        <v>222</v>
      </c>
      <c r="L633" s="1">
        <v>222</v>
      </c>
      <c r="M633" s="43" t="s">
        <v>2798</v>
      </c>
      <c r="O633" s="2" t="s">
        <v>2472</v>
      </c>
      <c r="P633">
        <v>44</v>
      </c>
      <c r="Q633" t="s">
        <v>797</v>
      </c>
    </row>
    <row r="634" spans="1:17" ht="15" customHeight="1" x14ac:dyDescent="0.25">
      <c r="A634" s="3" t="s">
        <v>2376</v>
      </c>
      <c r="B634" s="4" t="s">
        <v>2818</v>
      </c>
      <c r="C634" t="s">
        <v>1196</v>
      </c>
      <c r="D634">
        <v>1</v>
      </c>
      <c r="E634" t="s">
        <v>974</v>
      </c>
      <c r="F634" t="s">
        <v>975</v>
      </c>
      <c r="G634" t="s">
        <v>180</v>
      </c>
      <c r="H634" s="1" t="s">
        <v>976</v>
      </c>
      <c r="I634" s="1">
        <v>1220</v>
      </c>
      <c r="J634" s="20">
        <v>3</v>
      </c>
      <c r="K634" s="1">
        <v>217</v>
      </c>
      <c r="L634" s="1">
        <v>651</v>
      </c>
      <c r="M634" s="43" t="s">
        <v>2798</v>
      </c>
      <c r="O634" s="2" t="s">
        <v>2443</v>
      </c>
      <c r="P634">
        <v>38</v>
      </c>
      <c r="Q634" t="s">
        <v>798</v>
      </c>
    </row>
    <row r="635" spans="1:17" ht="15" customHeight="1" x14ac:dyDescent="0.25">
      <c r="A635" s="3" t="s">
        <v>2377</v>
      </c>
      <c r="B635" s="4" t="s">
        <v>2818</v>
      </c>
      <c r="C635" t="s">
        <v>1196</v>
      </c>
      <c r="D635">
        <v>1</v>
      </c>
      <c r="E635" t="s">
        <v>974</v>
      </c>
      <c r="F635" t="s">
        <v>975</v>
      </c>
      <c r="G635" t="s">
        <v>180</v>
      </c>
      <c r="H635" s="1" t="s">
        <v>976</v>
      </c>
      <c r="I635" s="1">
        <v>1220</v>
      </c>
      <c r="J635" s="20">
        <v>2</v>
      </c>
      <c r="K635" s="1">
        <v>217</v>
      </c>
      <c r="L635" s="1">
        <v>434</v>
      </c>
      <c r="M635" s="43" t="s">
        <v>2798</v>
      </c>
      <c r="O635" s="2" t="s">
        <v>2443</v>
      </c>
      <c r="P635">
        <v>40</v>
      </c>
      <c r="Q635" t="s">
        <v>798</v>
      </c>
    </row>
    <row r="636" spans="1:17" ht="15" customHeight="1" x14ac:dyDescent="0.25">
      <c r="A636" s="3" t="s">
        <v>2378</v>
      </c>
      <c r="B636" s="4" t="s">
        <v>2818</v>
      </c>
      <c r="C636" t="s">
        <v>1196</v>
      </c>
      <c r="D636">
        <v>1</v>
      </c>
      <c r="E636" t="s">
        <v>974</v>
      </c>
      <c r="F636" t="s">
        <v>975</v>
      </c>
      <c r="G636" t="s">
        <v>180</v>
      </c>
      <c r="H636" s="1" t="s">
        <v>976</v>
      </c>
      <c r="I636" s="1">
        <v>1220</v>
      </c>
      <c r="J636" s="20">
        <v>0</v>
      </c>
      <c r="K636" s="1">
        <v>217</v>
      </c>
      <c r="L636" s="1">
        <v>0</v>
      </c>
      <c r="M636" s="43" t="s">
        <v>2798</v>
      </c>
      <c r="O636" s="2" t="s">
        <v>2443</v>
      </c>
      <c r="P636">
        <v>42</v>
      </c>
      <c r="Q636" t="s">
        <v>798</v>
      </c>
    </row>
    <row r="637" spans="1:17" ht="15" customHeight="1" x14ac:dyDescent="0.25">
      <c r="A637" s="3" t="s">
        <v>2379</v>
      </c>
      <c r="B637" s="4" t="s">
        <v>2808</v>
      </c>
      <c r="C637" t="s">
        <v>1196</v>
      </c>
      <c r="D637">
        <v>4</v>
      </c>
      <c r="E637" t="s">
        <v>1018</v>
      </c>
      <c r="F637" t="s">
        <v>975</v>
      </c>
      <c r="G637" t="s">
        <v>976</v>
      </c>
      <c r="H637" s="1" t="s">
        <v>976</v>
      </c>
      <c r="I637" s="1">
        <v>600</v>
      </c>
      <c r="J637" s="20">
        <v>1</v>
      </c>
      <c r="K637" s="1">
        <v>600</v>
      </c>
      <c r="L637" s="1">
        <v>600</v>
      </c>
      <c r="M637" s="43" t="s">
        <v>2798</v>
      </c>
      <c r="O637" s="2" t="s">
        <v>2472</v>
      </c>
      <c r="Q637" t="s">
        <v>781</v>
      </c>
    </row>
    <row r="638" spans="1:17" ht="15" customHeight="1" x14ac:dyDescent="0.25">
      <c r="A638" s="3" t="s">
        <v>2380</v>
      </c>
      <c r="B638" s="4" t="s">
        <v>2804</v>
      </c>
      <c r="C638" t="s">
        <v>1196</v>
      </c>
      <c r="D638">
        <v>1</v>
      </c>
      <c r="E638" t="s">
        <v>974</v>
      </c>
      <c r="F638" t="s">
        <v>975</v>
      </c>
      <c r="G638" t="s">
        <v>976</v>
      </c>
      <c r="H638" s="1" t="s">
        <v>976</v>
      </c>
      <c r="I638" s="1">
        <v>1090</v>
      </c>
      <c r="J638" s="20">
        <v>1</v>
      </c>
      <c r="K638" s="1">
        <v>169</v>
      </c>
      <c r="L638" s="1">
        <v>169</v>
      </c>
      <c r="M638" s="43" t="s">
        <v>2798</v>
      </c>
      <c r="O638" s="2" t="s">
        <v>2443</v>
      </c>
      <c r="P638">
        <v>36</v>
      </c>
      <c r="Q638" t="s">
        <v>772</v>
      </c>
    </row>
    <row r="639" spans="1:17" ht="15" customHeight="1" x14ac:dyDescent="0.25">
      <c r="A639" s="3" t="s">
        <v>2381</v>
      </c>
      <c r="B639" s="4" t="s">
        <v>2804</v>
      </c>
      <c r="C639" t="s">
        <v>1196</v>
      </c>
      <c r="D639">
        <v>1</v>
      </c>
      <c r="E639" t="s">
        <v>974</v>
      </c>
      <c r="F639" t="s">
        <v>975</v>
      </c>
      <c r="G639" t="s">
        <v>976</v>
      </c>
      <c r="H639" s="1" t="s">
        <v>976</v>
      </c>
      <c r="I639" s="1">
        <v>1090</v>
      </c>
      <c r="J639" s="20">
        <v>5</v>
      </c>
      <c r="K639" s="1">
        <v>169</v>
      </c>
      <c r="L639" s="1">
        <v>845</v>
      </c>
      <c r="M639" s="43" t="s">
        <v>2798</v>
      </c>
      <c r="O639" s="2" t="s">
        <v>2443</v>
      </c>
      <c r="P639">
        <v>38</v>
      </c>
      <c r="Q639" t="s">
        <v>772</v>
      </c>
    </row>
    <row r="640" spans="1:17" ht="15" customHeight="1" x14ac:dyDescent="0.25">
      <c r="A640" s="3" t="s">
        <v>2382</v>
      </c>
      <c r="B640" s="4" t="s">
        <v>2804</v>
      </c>
      <c r="C640" t="s">
        <v>1196</v>
      </c>
      <c r="D640">
        <v>1</v>
      </c>
      <c r="E640" t="s">
        <v>974</v>
      </c>
      <c r="F640" t="s">
        <v>975</v>
      </c>
      <c r="G640" t="s">
        <v>976</v>
      </c>
      <c r="H640" s="1" t="s">
        <v>976</v>
      </c>
      <c r="I640" s="1">
        <v>1090</v>
      </c>
      <c r="J640" s="20">
        <v>3</v>
      </c>
      <c r="K640" s="1">
        <v>167</v>
      </c>
      <c r="L640" s="1">
        <v>501</v>
      </c>
      <c r="M640" s="43" t="s">
        <v>2798</v>
      </c>
      <c r="O640" s="2" t="s">
        <v>2443</v>
      </c>
      <c r="P640">
        <v>42</v>
      </c>
      <c r="Q640" t="s">
        <v>772</v>
      </c>
    </row>
    <row r="641" spans="1:17" ht="15" customHeight="1" x14ac:dyDescent="0.25">
      <c r="A641" s="3" t="s">
        <v>2383</v>
      </c>
      <c r="B641" s="4" t="s">
        <v>2804</v>
      </c>
      <c r="C641" t="s">
        <v>1196</v>
      </c>
      <c r="D641">
        <v>1</v>
      </c>
      <c r="E641" t="s">
        <v>974</v>
      </c>
      <c r="F641" t="s">
        <v>975</v>
      </c>
      <c r="G641" t="s">
        <v>976</v>
      </c>
      <c r="H641" s="1" t="s">
        <v>976</v>
      </c>
      <c r="I641" s="1">
        <v>1090</v>
      </c>
      <c r="J641" s="20">
        <v>1</v>
      </c>
      <c r="K641" s="1">
        <v>84.5</v>
      </c>
      <c r="L641" s="1">
        <v>84.5</v>
      </c>
      <c r="M641" s="43" t="s">
        <v>2798</v>
      </c>
      <c r="O641" s="2" t="s">
        <v>2443</v>
      </c>
      <c r="P641">
        <v>44</v>
      </c>
      <c r="Q641" t="s">
        <v>772</v>
      </c>
    </row>
    <row r="642" spans="1:17" ht="15" customHeight="1" x14ac:dyDescent="0.25">
      <c r="A642" s="3" t="s">
        <v>2384</v>
      </c>
      <c r="B642" s="4" t="s">
        <v>2819</v>
      </c>
      <c r="C642" t="s">
        <v>1196</v>
      </c>
      <c r="D642">
        <v>1</v>
      </c>
      <c r="E642" t="s">
        <v>974</v>
      </c>
      <c r="F642" t="s">
        <v>975</v>
      </c>
      <c r="G642" t="s">
        <v>976</v>
      </c>
      <c r="H642" s="1" t="s">
        <v>976</v>
      </c>
      <c r="I642" s="1">
        <v>1090</v>
      </c>
      <c r="J642" s="20">
        <v>2</v>
      </c>
      <c r="K642" s="1">
        <v>177</v>
      </c>
      <c r="L642" s="1">
        <v>354</v>
      </c>
      <c r="M642" s="43" t="s">
        <v>2798</v>
      </c>
      <c r="O642" s="2" t="s">
        <v>2482</v>
      </c>
      <c r="P642">
        <v>36</v>
      </c>
      <c r="Q642" t="s">
        <v>799</v>
      </c>
    </row>
    <row r="643" spans="1:17" ht="15" customHeight="1" x14ac:dyDescent="0.25">
      <c r="A643" s="3" t="s">
        <v>2385</v>
      </c>
      <c r="B643" s="4" t="s">
        <v>2819</v>
      </c>
      <c r="C643" t="s">
        <v>1196</v>
      </c>
      <c r="D643">
        <v>1</v>
      </c>
      <c r="E643" t="s">
        <v>974</v>
      </c>
      <c r="F643" t="s">
        <v>975</v>
      </c>
      <c r="G643" t="s">
        <v>976</v>
      </c>
      <c r="H643" s="1" t="s">
        <v>976</v>
      </c>
      <c r="I643" s="1">
        <v>1090</v>
      </c>
      <c r="J643" s="20">
        <v>0</v>
      </c>
      <c r="K643" s="1">
        <v>177</v>
      </c>
      <c r="L643" s="1">
        <v>0</v>
      </c>
      <c r="M643" s="43" t="s">
        <v>2798</v>
      </c>
      <c r="O643" s="2" t="s">
        <v>2482</v>
      </c>
      <c r="P643">
        <v>38</v>
      </c>
      <c r="Q643" t="s">
        <v>799</v>
      </c>
    </row>
    <row r="644" spans="1:17" ht="15" customHeight="1" x14ac:dyDescent="0.25">
      <c r="A644" s="3" t="s">
        <v>2386</v>
      </c>
      <c r="B644" s="4" t="s">
        <v>2819</v>
      </c>
      <c r="C644" t="s">
        <v>1196</v>
      </c>
      <c r="D644">
        <v>1</v>
      </c>
      <c r="E644" t="s">
        <v>974</v>
      </c>
      <c r="F644" t="s">
        <v>975</v>
      </c>
      <c r="G644" t="s">
        <v>976</v>
      </c>
      <c r="H644" s="1" t="s">
        <v>976</v>
      </c>
      <c r="I644" s="1">
        <v>1090</v>
      </c>
      <c r="J644" s="20">
        <v>0</v>
      </c>
      <c r="K644" s="1">
        <v>110.625</v>
      </c>
      <c r="L644" s="1">
        <v>0</v>
      </c>
      <c r="M644" s="43" t="s">
        <v>2798</v>
      </c>
      <c r="O644" s="2" t="s">
        <v>2482</v>
      </c>
      <c r="P644">
        <v>40</v>
      </c>
      <c r="Q644" t="s">
        <v>799</v>
      </c>
    </row>
    <row r="645" spans="1:17" ht="15" customHeight="1" x14ac:dyDescent="0.25">
      <c r="A645" s="3" t="s">
        <v>2387</v>
      </c>
      <c r="B645" s="4" t="s">
        <v>2819</v>
      </c>
      <c r="C645" t="s">
        <v>1196</v>
      </c>
      <c r="D645">
        <v>1</v>
      </c>
      <c r="E645" t="s">
        <v>974</v>
      </c>
      <c r="F645" t="s">
        <v>975</v>
      </c>
      <c r="G645" t="s">
        <v>976</v>
      </c>
      <c r="H645" s="1" t="s">
        <v>976</v>
      </c>
      <c r="I645" s="1">
        <v>1090</v>
      </c>
      <c r="J645" s="20">
        <v>3</v>
      </c>
      <c r="K645" s="1">
        <v>177</v>
      </c>
      <c r="L645" s="1">
        <v>531</v>
      </c>
      <c r="M645" s="43" t="s">
        <v>2798</v>
      </c>
      <c r="O645" s="2" t="s">
        <v>2482</v>
      </c>
      <c r="P645">
        <v>42</v>
      </c>
      <c r="Q645" t="s">
        <v>799</v>
      </c>
    </row>
    <row r="646" spans="1:17" ht="15" customHeight="1" x14ac:dyDescent="0.25">
      <c r="A646" s="3" t="s">
        <v>2388</v>
      </c>
      <c r="B646" s="4" t="s">
        <v>2819</v>
      </c>
      <c r="C646" t="s">
        <v>1196</v>
      </c>
      <c r="D646">
        <v>1</v>
      </c>
      <c r="E646" t="s">
        <v>974</v>
      </c>
      <c r="F646" t="s">
        <v>975</v>
      </c>
      <c r="G646" t="s">
        <v>976</v>
      </c>
      <c r="H646" s="1" t="s">
        <v>976</v>
      </c>
      <c r="I646" s="1">
        <v>1090</v>
      </c>
      <c r="J646" s="20">
        <v>2</v>
      </c>
      <c r="K646" s="1">
        <v>118</v>
      </c>
      <c r="L646" s="1">
        <v>236</v>
      </c>
      <c r="M646" s="43" t="s">
        <v>2798</v>
      </c>
      <c r="O646" s="2" t="s">
        <v>2482</v>
      </c>
      <c r="P646">
        <v>44</v>
      </c>
      <c r="Q646" t="s">
        <v>799</v>
      </c>
    </row>
    <row r="647" spans="1:17" ht="15" customHeight="1" x14ac:dyDescent="0.25">
      <c r="A647" s="3" t="s">
        <v>2389</v>
      </c>
      <c r="B647" s="4" t="s">
        <v>2821</v>
      </c>
      <c r="C647" t="s">
        <v>1266</v>
      </c>
      <c r="D647">
        <v>1</v>
      </c>
      <c r="E647" t="s">
        <v>974</v>
      </c>
      <c r="F647" t="s">
        <v>975</v>
      </c>
      <c r="G647" t="s">
        <v>180</v>
      </c>
      <c r="H647" s="1" t="s">
        <v>976</v>
      </c>
      <c r="I647" s="1">
        <v>270</v>
      </c>
      <c r="J647" s="20">
        <v>3</v>
      </c>
      <c r="K647" s="1">
        <v>20</v>
      </c>
      <c r="L647" s="1">
        <v>60</v>
      </c>
      <c r="M647" s="43" t="s">
        <v>2820</v>
      </c>
      <c r="O647" s="2" t="s">
        <v>2463</v>
      </c>
      <c r="P647" t="s">
        <v>23</v>
      </c>
      <c r="Q647" t="s">
        <v>800</v>
      </c>
    </row>
    <row r="648" spans="1:17" ht="15" customHeight="1" x14ac:dyDescent="0.25">
      <c r="A648" s="42" t="s">
        <v>2389</v>
      </c>
      <c r="B648" s="3" t="s">
        <v>2821</v>
      </c>
      <c r="C648" s="42" t="s">
        <v>1266</v>
      </c>
      <c r="D648">
        <v>3</v>
      </c>
      <c r="E648" t="s">
        <v>1179</v>
      </c>
      <c r="F648" t="s">
        <v>1180</v>
      </c>
      <c r="G648" t="s">
        <v>180</v>
      </c>
      <c r="H648" s="1" t="s">
        <v>976</v>
      </c>
      <c r="I648" s="1">
        <v>270</v>
      </c>
      <c r="J648" s="20">
        <v>0</v>
      </c>
      <c r="K648" s="1">
        <v>20</v>
      </c>
      <c r="L648" s="1">
        <v>0</v>
      </c>
      <c r="M648" s="43" t="s">
        <v>2820</v>
      </c>
      <c r="O648" s="2" t="s">
        <v>2463</v>
      </c>
      <c r="P648" t="s">
        <v>23</v>
      </c>
      <c r="Q648" t="s">
        <v>800</v>
      </c>
    </row>
    <row r="649" spans="1:17" ht="15" customHeight="1" x14ac:dyDescent="0.25">
      <c r="A649" s="3" t="s">
        <v>1314</v>
      </c>
      <c r="B649" s="4" t="s">
        <v>2822</v>
      </c>
      <c r="C649" t="s">
        <v>1315</v>
      </c>
      <c r="D649">
        <v>1</v>
      </c>
      <c r="E649" t="s">
        <v>974</v>
      </c>
      <c r="F649" t="s">
        <v>975</v>
      </c>
      <c r="G649" t="s">
        <v>976</v>
      </c>
      <c r="H649" s="1" t="s">
        <v>976</v>
      </c>
      <c r="I649" s="1">
        <v>245</v>
      </c>
      <c r="J649" s="20">
        <v>0</v>
      </c>
      <c r="K649" s="1">
        <v>0</v>
      </c>
      <c r="L649" s="1">
        <v>0</v>
      </c>
      <c r="M649" s="43" t="s">
        <v>2820</v>
      </c>
      <c r="O649" s="2" t="s">
        <v>2508</v>
      </c>
      <c r="P649" t="s">
        <v>24</v>
      </c>
      <c r="Q649" t="s">
        <v>801</v>
      </c>
    </row>
    <row r="650" spans="1:17" ht="15" customHeight="1" x14ac:dyDescent="0.25">
      <c r="A650" s="42" t="s">
        <v>1314</v>
      </c>
      <c r="B650" s="3" t="s">
        <v>2822</v>
      </c>
      <c r="C650" s="42" t="s">
        <v>1315</v>
      </c>
      <c r="D650">
        <v>3</v>
      </c>
      <c r="E650" t="s">
        <v>1179</v>
      </c>
      <c r="F650" t="s">
        <v>1180</v>
      </c>
      <c r="G650" t="s">
        <v>976</v>
      </c>
      <c r="H650" s="1" t="s">
        <v>976</v>
      </c>
      <c r="I650" s="1">
        <v>245</v>
      </c>
      <c r="J650" s="20">
        <v>0</v>
      </c>
      <c r="K650" s="1">
        <v>0</v>
      </c>
      <c r="L650" s="1">
        <v>0</v>
      </c>
      <c r="M650" s="43" t="s">
        <v>2820</v>
      </c>
      <c r="O650" s="2" t="s">
        <v>2508</v>
      </c>
      <c r="P650" t="s">
        <v>24</v>
      </c>
      <c r="Q650" t="s">
        <v>801</v>
      </c>
    </row>
    <row r="651" spans="1:17" ht="15" customHeight="1" x14ac:dyDescent="0.25">
      <c r="A651" s="3" t="s">
        <v>1316</v>
      </c>
      <c r="B651" s="4" t="s">
        <v>2822</v>
      </c>
      <c r="C651" t="s">
        <v>1315</v>
      </c>
      <c r="D651">
        <v>1</v>
      </c>
      <c r="E651" t="s">
        <v>974</v>
      </c>
      <c r="F651" t="s">
        <v>975</v>
      </c>
      <c r="G651" t="s">
        <v>976</v>
      </c>
      <c r="H651" s="1" t="s">
        <v>976</v>
      </c>
      <c r="I651" s="1">
        <v>245</v>
      </c>
      <c r="J651" s="20">
        <v>0</v>
      </c>
      <c r="K651" s="1">
        <v>0</v>
      </c>
      <c r="L651" s="1">
        <v>0</v>
      </c>
      <c r="M651" s="43" t="s">
        <v>2820</v>
      </c>
      <c r="O651" s="2" t="s">
        <v>2508</v>
      </c>
      <c r="P651" t="s">
        <v>25</v>
      </c>
      <c r="Q651" t="s">
        <v>801</v>
      </c>
    </row>
    <row r="652" spans="1:17" ht="15" customHeight="1" x14ac:dyDescent="0.25">
      <c r="A652" s="3" t="s">
        <v>1317</v>
      </c>
      <c r="B652" s="4" t="s">
        <v>2822</v>
      </c>
      <c r="C652" t="s">
        <v>1315</v>
      </c>
      <c r="D652">
        <v>1</v>
      </c>
      <c r="E652" t="s">
        <v>974</v>
      </c>
      <c r="F652" t="s">
        <v>975</v>
      </c>
      <c r="G652" t="s">
        <v>976</v>
      </c>
      <c r="H652" s="1" t="s">
        <v>976</v>
      </c>
      <c r="I652" s="1">
        <v>245</v>
      </c>
      <c r="J652" s="20">
        <v>4</v>
      </c>
      <c r="K652" s="1">
        <v>33.885714</v>
      </c>
      <c r="L652" s="1">
        <v>135.54</v>
      </c>
      <c r="M652" s="43" t="s">
        <v>2820</v>
      </c>
      <c r="O652" s="2" t="s">
        <v>2508</v>
      </c>
      <c r="P652" t="s">
        <v>23</v>
      </c>
      <c r="Q652" t="s">
        <v>801</v>
      </c>
    </row>
    <row r="653" spans="1:17" ht="15" customHeight="1" x14ac:dyDescent="0.25">
      <c r="A653" s="42" t="s">
        <v>1317</v>
      </c>
      <c r="B653" s="3" t="s">
        <v>2822</v>
      </c>
      <c r="C653" s="42" t="s">
        <v>1315</v>
      </c>
      <c r="D653">
        <v>3</v>
      </c>
      <c r="E653" t="s">
        <v>1179</v>
      </c>
      <c r="F653" t="s">
        <v>1180</v>
      </c>
      <c r="G653" t="s">
        <v>976</v>
      </c>
      <c r="H653" s="1" t="s">
        <v>976</v>
      </c>
      <c r="I653" s="1">
        <v>245</v>
      </c>
      <c r="J653" s="20">
        <v>0</v>
      </c>
      <c r="K653" s="1">
        <v>30</v>
      </c>
      <c r="L653" s="1">
        <v>0</v>
      </c>
      <c r="M653" s="43" t="s">
        <v>2820</v>
      </c>
      <c r="O653" s="2" t="s">
        <v>2508</v>
      </c>
      <c r="P653" t="s">
        <v>23</v>
      </c>
      <c r="Q653" t="s">
        <v>801</v>
      </c>
    </row>
    <row r="654" spans="1:17" ht="15" customHeight="1" x14ac:dyDescent="0.25">
      <c r="A654" s="3" t="s">
        <v>1318</v>
      </c>
      <c r="B654" s="4" t="s">
        <v>2822</v>
      </c>
      <c r="C654" t="s">
        <v>1315</v>
      </c>
      <c r="D654">
        <v>1</v>
      </c>
      <c r="E654" t="s">
        <v>974</v>
      </c>
      <c r="F654" t="s">
        <v>975</v>
      </c>
      <c r="G654" t="s">
        <v>976</v>
      </c>
      <c r="H654" s="1" t="s">
        <v>976</v>
      </c>
      <c r="I654" s="1">
        <v>245</v>
      </c>
      <c r="J654" s="20">
        <v>0</v>
      </c>
      <c r="K654" s="1">
        <v>30</v>
      </c>
      <c r="L654" s="1">
        <v>0</v>
      </c>
      <c r="M654" s="43" t="s">
        <v>2820</v>
      </c>
      <c r="O654" s="2" t="s">
        <v>2508</v>
      </c>
      <c r="P654" t="s">
        <v>22</v>
      </c>
      <c r="Q654" t="s">
        <v>801</v>
      </c>
    </row>
    <row r="655" spans="1:17" ht="15" customHeight="1" x14ac:dyDescent="0.25">
      <c r="A655" s="42" t="s">
        <v>1318</v>
      </c>
      <c r="B655" s="3" t="s">
        <v>2822</v>
      </c>
      <c r="C655" s="42" t="s">
        <v>1315</v>
      </c>
      <c r="D655">
        <v>3</v>
      </c>
      <c r="E655" t="s">
        <v>1179</v>
      </c>
      <c r="F655" t="s">
        <v>1180</v>
      </c>
      <c r="G655" t="s">
        <v>976</v>
      </c>
      <c r="H655" s="1" t="s">
        <v>976</v>
      </c>
      <c r="I655" s="1">
        <v>245</v>
      </c>
      <c r="J655" s="20">
        <v>0</v>
      </c>
      <c r="K655" s="1">
        <v>30</v>
      </c>
      <c r="L655" s="1">
        <v>0</v>
      </c>
      <c r="M655" s="43" t="s">
        <v>2820</v>
      </c>
      <c r="O655" s="2" t="s">
        <v>2508</v>
      </c>
      <c r="P655" t="s">
        <v>22</v>
      </c>
      <c r="Q655" t="s">
        <v>801</v>
      </c>
    </row>
    <row r="656" spans="1:17" ht="15" customHeight="1" x14ac:dyDescent="0.25">
      <c r="A656" s="3" t="s">
        <v>1319</v>
      </c>
      <c r="B656" s="4" t="s">
        <v>2822</v>
      </c>
      <c r="C656" t="s">
        <v>1266</v>
      </c>
      <c r="D656">
        <v>1</v>
      </c>
      <c r="E656" t="s">
        <v>974</v>
      </c>
      <c r="F656" t="s">
        <v>975</v>
      </c>
      <c r="G656" t="s">
        <v>976</v>
      </c>
      <c r="H656" s="1" t="s">
        <v>976</v>
      </c>
      <c r="I656" s="1">
        <v>245</v>
      </c>
      <c r="J656" s="20">
        <v>3</v>
      </c>
      <c r="K656" s="1">
        <v>0</v>
      </c>
      <c r="L656" s="1">
        <v>0</v>
      </c>
      <c r="M656" s="43" t="s">
        <v>2820</v>
      </c>
      <c r="O656" s="2" t="s">
        <v>2482</v>
      </c>
      <c r="P656" t="s">
        <v>24</v>
      </c>
      <c r="Q656" t="s">
        <v>802</v>
      </c>
    </row>
    <row r="657" spans="1:17" ht="15" customHeight="1" x14ac:dyDescent="0.25">
      <c r="A657" s="3" t="s">
        <v>1320</v>
      </c>
      <c r="B657" s="4" t="s">
        <v>2822</v>
      </c>
      <c r="C657" t="s">
        <v>1266</v>
      </c>
      <c r="D657">
        <v>1</v>
      </c>
      <c r="E657" t="s">
        <v>974</v>
      </c>
      <c r="F657" t="s">
        <v>975</v>
      </c>
      <c r="G657" t="s">
        <v>976</v>
      </c>
      <c r="H657" s="1" t="s">
        <v>976</v>
      </c>
      <c r="I657" s="1">
        <v>245</v>
      </c>
      <c r="J657" s="20">
        <v>0</v>
      </c>
      <c r="K657" s="1">
        <v>0</v>
      </c>
      <c r="L657" s="1">
        <v>0</v>
      </c>
      <c r="M657" s="43" t="s">
        <v>2820</v>
      </c>
      <c r="O657" s="2" t="s">
        <v>2482</v>
      </c>
      <c r="P657" t="s">
        <v>25</v>
      </c>
      <c r="Q657" t="s">
        <v>802</v>
      </c>
    </row>
    <row r="658" spans="1:17" ht="15" customHeight="1" x14ac:dyDescent="0.25">
      <c r="A658" s="3" t="s">
        <v>1321</v>
      </c>
      <c r="B658" s="4" t="s">
        <v>2822</v>
      </c>
      <c r="C658" t="s">
        <v>1266</v>
      </c>
      <c r="D658">
        <v>1</v>
      </c>
      <c r="E658" t="s">
        <v>974</v>
      </c>
      <c r="F658" t="s">
        <v>975</v>
      </c>
      <c r="G658" t="s">
        <v>976</v>
      </c>
      <c r="H658" s="1" t="s">
        <v>976</v>
      </c>
      <c r="I658" s="1">
        <v>245</v>
      </c>
      <c r="J658" s="20">
        <v>9</v>
      </c>
      <c r="K658" s="1">
        <v>0</v>
      </c>
      <c r="L658" s="1">
        <v>0</v>
      </c>
      <c r="M658" s="43" t="s">
        <v>2820</v>
      </c>
      <c r="O658" s="2" t="s">
        <v>2482</v>
      </c>
      <c r="P658" t="s">
        <v>23</v>
      </c>
      <c r="Q658" t="s">
        <v>802</v>
      </c>
    </row>
    <row r="659" spans="1:17" ht="15" customHeight="1" x14ac:dyDescent="0.25">
      <c r="A659" s="3" t="s">
        <v>1322</v>
      </c>
      <c r="B659" s="4" t="s">
        <v>2822</v>
      </c>
      <c r="C659" t="s">
        <v>1266</v>
      </c>
      <c r="D659">
        <v>1</v>
      </c>
      <c r="E659" t="s">
        <v>974</v>
      </c>
      <c r="F659" t="s">
        <v>975</v>
      </c>
      <c r="G659" t="s">
        <v>976</v>
      </c>
      <c r="H659" s="1" t="s">
        <v>976</v>
      </c>
      <c r="I659" s="1">
        <v>245</v>
      </c>
      <c r="J659" s="20">
        <v>2</v>
      </c>
      <c r="K659" s="1">
        <v>32.200000000000003</v>
      </c>
      <c r="L659" s="1">
        <v>64.400000000000006</v>
      </c>
      <c r="M659" s="43" t="s">
        <v>2820</v>
      </c>
      <c r="O659" s="2" t="s">
        <v>2482</v>
      </c>
      <c r="P659" t="s">
        <v>22</v>
      </c>
      <c r="Q659" t="s">
        <v>802</v>
      </c>
    </row>
    <row r="660" spans="1:17" ht="15" customHeight="1" x14ac:dyDescent="0.25">
      <c r="A660" s="3" t="s">
        <v>2390</v>
      </c>
      <c r="B660" s="4" t="s">
        <v>2821</v>
      </c>
      <c r="C660" t="s">
        <v>1266</v>
      </c>
      <c r="D660">
        <v>1</v>
      </c>
      <c r="E660" t="s">
        <v>974</v>
      </c>
      <c r="F660" t="s">
        <v>975</v>
      </c>
      <c r="G660" t="s">
        <v>180</v>
      </c>
      <c r="H660" s="1" t="s">
        <v>976</v>
      </c>
      <c r="I660" s="1">
        <v>270</v>
      </c>
      <c r="J660" s="20">
        <v>1</v>
      </c>
      <c r="K660" s="1">
        <v>20</v>
      </c>
      <c r="L660" s="1">
        <v>20</v>
      </c>
      <c r="M660" s="43" t="s">
        <v>2820</v>
      </c>
      <c r="O660" s="2" t="s">
        <v>2482</v>
      </c>
      <c r="P660" t="s">
        <v>23</v>
      </c>
      <c r="Q660" t="s">
        <v>803</v>
      </c>
    </row>
    <row r="661" spans="1:17" ht="15" customHeight="1" x14ac:dyDescent="0.25">
      <c r="A661" s="42" t="s">
        <v>2390</v>
      </c>
      <c r="B661" s="3" t="s">
        <v>2821</v>
      </c>
      <c r="C661" s="42" t="s">
        <v>1266</v>
      </c>
      <c r="D661">
        <v>3</v>
      </c>
      <c r="E661" t="s">
        <v>1179</v>
      </c>
      <c r="F661" t="s">
        <v>1180</v>
      </c>
      <c r="G661" t="s">
        <v>180</v>
      </c>
      <c r="H661" s="1" t="s">
        <v>976</v>
      </c>
      <c r="I661" s="1">
        <v>270</v>
      </c>
      <c r="J661" s="20">
        <v>0</v>
      </c>
      <c r="K661" s="1">
        <v>20</v>
      </c>
      <c r="L661" s="1">
        <v>0</v>
      </c>
      <c r="M661" s="43" t="s">
        <v>2820</v>
      </c>
      <c r="O661" s="2" t="s">
        <v>2482</v>
      </c>
      <c r="P661" t="s">
        <v>23</v>
      </c>
      <c r="Q661" t="s">
        <v>803</v>
      </c>
    </row>
    <row r="662" spans="1:17" ht="15" customHeight="1" x14ac:dyDescent="0.25">
      <c r="A662" s="3" t="s">
        <v>1323</v>
      </c>
      <c r="B662" s="4" t="s">
        <v>2823</v>
      </c>
      <c r="C662" t="s">
        <v>1266</v>
      </c>
      <c r="D662">
        <v>1</v>
      </c>
      <c r="E662" t="s">
        <v>974</v>
      </c>
      <c r="F662" t="s">
        <v>975</v>
      </c>
      <c r="G662" t="s">
        <v>180</v>
      </c>
      <c r="H662" s="1" t="s">
        <v>976</v>
      </c>
      <c r="I662" s="1">
        <v>230</v>
      </c>
      <c r="J662" s="20">
        <v>0</v>
      </c>
      <c r="K662" s="1">
        <v>35.15</v>
      </c>
      <c r="L662" s="1">
        <v>0</v>
      </c>
      <c r="M662" s="43" t="s">
        <v>2820</v>
      </c>
      <c r="O662" s="2" t="s">
        <v>2459</v>
      </c>
      <c r="P662" t="s">
        <v>24</v>
      </c>
      <c r="Q662" t="s">
        <v>804</v>
      </c>
    </row>
    <row r="663" spans="1:17" ht="15" customHeight="1" x14ac:dyDescent="0.25">
      <c r="A663" s="3" t="s">
        <v>1324</v>
      </c>
      <c r="B663" s="4" t="s">
        <v>2823</v>
      </c>
      <c r="C663" t="s">
        <v>1266</v>
      </c>
      <c r="D663">
        <v>1</v>
      </c>
      <c r="E663" t="s">
        <v>974</v>
      </c>
      <c r="F663" t="s">
        <v>975</v>
      </c>
      <c r="G663" t="s">
        <v>180</v>
      </c>
      <c r="H663" s="1" t="s">
        <v>976</v>
      </c>
      <c r="I663" s="1">
        <v>230</v>
      </c>
      <c r="J663" s="20">
        <v>0</v>
      </c>
      <c r="K663" s="1">
        <v>35.15</v>
      </c>
      <c r="L663" s="1">
        <v>0</v>
      </c>
      <c r="M663" s="43" t="s">
        <v>2820</v>
      </c>
      <c r="O663" s="2" t="s">
        <v>2459</v>
      </c>
      <c r="P663" t="s">
        <v>25</v>
      </c>
      <c r="Q663" t="s">
        <v>804</v>
      </c>
    </row>
    <row r="664" spans="1:17" ht="15" customHeight="1" x14ac:dyDescent="0.25">
      <c r="A664" s="3" t="s">
        <v>1325</v>
      </c>
      <c r="B664" s="4" t="s">
        <v>2823</v>
      </c>
      <c r="C664" t="s">
        <v>1266</v>
      </c>
      <c r="D664">
        <v>1</v>
      </c>
      <c r="E664" t="s">
        <v>974</v>
      </c>
      <c r="F664" t="s">
        <v>975</v>
      </c>
      <c r="G664" t="s">
        <v>180</v>
      </c>
      <c r="H664" s="1" t="s">
        <v>976</v>
      </c>
      <c r="I664" s="1">
        <v>230</v>
      </c>
      <c r="J664" s="20">
        <v>1</v>
      </c>
      <c r="K664" s="1">
        <v>35.15</v>
      </c>
      <c r="L664" s="1">
        <v>35.15</v>
      </c>
      <c r="M664" s="43" t="s">
        <v>2820</v>
      </c>
      <c r="O664" s="2" t="s">
        <v>2459</v>
      </c>
      <c r="P664" t="s">
        <v>23</v>
      </c>
      <c r="Q664" t="s">
        <v>804</v>
      </c>
    </row>
    <row r="665" spans="1:17" ht="15" customHeight="1" x14ac:dyDescent="0.25">
      <c r="A665" s="3" t="s">
        <v>1326</v>
      </c>
      <c r="B665" s="4" t="s">
        <v>2823</v>
      </c>
      <c r="C665" t="s">
        <v>1266</v>
      </c>
      <c r="D665">
        <v>1</v>
      </c>
      <c r="E665" t="s">
        <v>974</v>
      </c>
      <c r="F665" t="s">
        <v>975</v>
      </c>
      <c r="G665" t="s">
        <v>180</v>
      </c>
      <c r="H665" s="1" t="s">
        <v>976</v>
      </c>
      <c r="I665" s="1">
        <v>230</v>
      </c>
      <c r="J665" s="20">
        <v>0</v>
      </c>
      <c r="K665" s="1">
        <v>35.15</v>
      </c>
      <c r="L665" s="1">
        <v>0</v>
      </c>
      <c r="M665" s="43" t="s">
        <v>2820</v>
      </c>
      <c r="O665" s="2" t="s">
        <v>2459</v>
      </c>
      <c r="P665" t="s">
        <v>22</v>
      </c>
      <c r="Q665" t="s">
        <v>804</v>
      </c>
    </row>
    <row r="666" spans="1:17" ht="15" customHeight="1" x14ac:dyDescent="0.25">
      <c r="A666" s="3" t="s">
        <v>1327</v>
      </c>
      <c r="B666" s="4" t="s">
        <v>2823</v>
      </c>
      <c r="C666" t="s">
        <v>1266</v>
      </c>
      <c r="D666">
        <v>1</v>
      </c>
      <c r="E666" t="s">
        <v>974</v>
      </c>
      <c r="F666" t="s">
        <v>975</v>
      </c>
      <c r="G666" t="s">
        <v>180</v>
      </c>
      <c r="H666" s="1" t="s">
        <v>976</v>
      </c>
      <c r="I666" s="1">
        <v>230</v>
      </c>
      <c r="J666" s="20">
        <v>0</v>
      </c>
      <c r="K666" s="1">
        <v>35.15</v>
      </c>
      <c r="L666" s="1">
        <v>0</v>
      </c>
      <c r="M666" s="43" t="s">
        <v>2820</v>
      </c>
      <c r="O666" s="2" t="s">
        <v>2459</v>
      </c>
      <c r="P666" t="s">
        <v>21</v>
      </c>
      <c r="Q666" t="s">
        <v>804</v>
      </c>
    </row>
    <row r="667" spans="1:17" ht="15" customHeight="1" x14ac:dyDescent="0.25">
      <c r="A667" s="3" t="s">
        <v>1328</v>
      </c>
      <c r="B667" s="4" t="s">
        <v>2823</v>
      </c>
      <c r="C667" t="s">
        <v>1266</v>
      </c>
      <c r="D667">
        <v>1</v>
      </c>
      <c r="E667" t="s">
        <v>974</v>
      </c>
      <c r="F667" t="s">
        <v>975</v>
      </c>
      <c r="G667" t="s">
        <v>180</v>
      </c>
      <c r="H667" s="1" t="s">
        <v>976</v>
      </c>
      <c r="I667" s="1">
        <v>230</v>
      </c>
      <c r="J667" s="20">
        <v>1</v>
      </c>
      <c r="K667" s="1">
        <v>35.15</v>
      </c>
      <c r="L667" s="1">
        <v>35.15</v>
      </c>
      <c r="M667" s="43" t="s">
        <v>2820</v>
      </c>
      <c r="O667" s="2" t="s">
        <v>2459</v>
      </c>
      <c r="Q667" t="s">
        <v>804</v>
      </c>
    </row>
    <row r="668" spans="1:17" ht="15" customHeight="1" x14ac:dyDescent="0.25">
      <c r="A668" s="3" t="s">
        <v>1329</v>
      </c>
      <c r="B668" s="4" t="s">
        <v>257</v>
      </c>
      <c r="C668" t="s">
        <v>1266</v>
      </c>
      <c r="D668">
        <v>1</v>
      </c>
      <c r="E668" t="s">
        <v>974</v>
      </c>
      <c r="F668" t="s">
        <v>975</v>
      </c>
      <c r="G668" t="s">
        <v>180</v>
      </c>
      <c r="H668" s="1" t="s">
        <v>976</v>
      </c>
      <c r="I668" s="1">
        <v>230</v>
      </c>
      <c r="J668" s="20">
        <v>8</v>
      </c>
      <c r="K668" s="1">
        <v>33.76</v>
      </c>
      <c r="L668" s="1">
        <v>270.08</v>
      </c>
      <c r="M668" s="43" t="s">
        <v>2820</v>
      </c>
      <c r="P668" t="s">
        <v>24</v>
      </c>
      <c r="Q668" t="s">
        <v>257</v>
      </c>
    </row>
    <row r="669" spans="1:17" ht="15" customHeight="1" x14ac:dyDescent="0.25">
      <c r="A669" s="3" t="s">
        <v>1330</v>
      </c>
      <c r="B669" s="4" t="s">
        <v>258</v>
      </c>
      <c r="C669" t="s">
        <v>1266</v>
      </c>
      <c r="D669">
        <v>1</v>
      </c>
      <c r="E669" t="s">
        <v>974</v>
      </c>
      <c r="F669" t="s">
        <v>975</v>
      </c>
      <c r="G669" t="s">
        <v>180</v>
      </c>
      <c r="H669" s="1" t="s">
        <v>976</v>
      </c>
      <c r="I669" s="1">
        <v>230</v>
      </c>
      <c r="J669" s="20">
        <v>2</v>
      </c>
      <c r="K669" s="1">
        <v>33.76</v>
      </c>
      <c r="L669" s="1">
        <v>67.52</v>
      </c>
      <c r="M669" s="43" t="s">
        <v>2820</v>
      </c>
      <c r="P669" t="s">
        <v>25</v>
      </c>
      <c r="Q669" t="s">
        <v>258</v>
      </c>
    </row>
    <row r="670" spans="1:17" ht="15" customHeight="1" x14ac:dyDescent="0.25">
      <c r="A670" s="3" t="s">
        <v>1331</v>
      </c>
      <c r="B670" s="4" t="s">
        <v>259</v>
      </c>
      <c r="C670" t="s">
        <v>1266</v>
      </c>
      <c r="D670">
        <v>1</v>
      </c>
      <c r="E670" t="s">
        <v>974</v>
      </c>
      <c r="F670" t="s">
        <v>975</v>
      </c>
      <c r="G670" t="s">
        <v>180</v>
      </c>
      <c r="H670" s="1" t="s">
        <v>976</v>
      </c>
      <c r="I670" s="1">
        <v>230</v>
      </c>
      <c r="J670" s="20">
        <v>-1</v>
      </c>
      <c r="K670" s="1">
        <v>33.76</v>
      </c>
      <c r="L670" s="1">
        <v>-33.76</v>
      </c>
      <c r="M670" s="43" t="s">
        <v>2820</v>
      </c>
      <c r="P670" t="s">
        <v>23</v>
      </c>
      <c r="Q670" t="s">
        <v>259</v>
      </c>
    </row>
    <row r="671" spans="1:17" ht="15" customHeight="1" x14ac:dyDescent="0.25">
      <c r="A671" s="3" t="s">
        <v>1332</v>
      </c>
      <c r="B671" s="4" t="s">
        <v>260</v>
      </c>
      <c r="C671" t="s">
        <v>1266</v>
      </c>
      <c r="D671">
        <v>1</v>
      </c>
      <c r="E671" t="s">
        <v>974</v>
      </c>
      <c r="F671" t="s">
        <v>975</v>
      </c>
      <c r="G671" t="s">
        <v>180</v>
      </c>
      <c r="H671" s="1" t="s">
        <v>976</v>
      </c>
      <c r="I671" s="1">
        <v>230</v>
      </c>
      <c r="J671" s="20">
        <v>0</v>
      </c>
      <c r="K671" s="1">
        <v>33.76</v>
      </c>
      <c r="L671" s="1">
        <v>0</v>
      </c>
      <c r="M671" s="43" t="s">
        <v>2820</v>
      </c>
      <c r="P671" t="s">
        <v>22</v>
      </c>
      <c r="Q671" t="s">
        <v>260</v>
      </c>
    </row>
    <row r="672" spans="1:17" ht="15" customHeight="1" x14ac:dyDescent="0.25">
      <c r="A672" s="42" t="s">
        <v>1332</v>
      </c>
      <c r="B672" s="3" t="s">
        <v>260</v>
      </c>
      <c r="C672" s="42" t="s">
        <v>1266</v>
      </c>
      <c r="D672">
        <v>2</v>
      </c>
      <c r="E672" t="s">
        <v>1017</v>
      </c>
      <c r="F672" t="s">
        <v>975</v>
      </c>
      <c r="G672" t="s">
        <v>180</v>
      </c>
      <c r="H672" s="1" t="s">
        <v>976</v>
      </c>
      <c r="I672" s="1">
        <v>230</v>
      </c>
      <c r="J672" s="20">
        <v>0</v>
      </c>
      <c r="K672" s="1">
        <v>0</v>
      </c>
      <c r="L672" s="1">
        <v>0</v>
      </c>
      <c r="M672" s="43" t="s">
        <v>2820</v>
      </c>
      <c r="P672" t="s">
        <v>22</v>
      </c>
      <c r="Q672" t="s">
        <v>260</v>
      </c>
    </row>
    <row r="673" spans="1:17" ht="15" customHeight="1" x14ac:dyDescent="0.25">
      <c r="A673" s="3" t="s">
        <v>1333</v>
      </c>
      <c r="B673" s="4" t="s">
        <v>261</v>
      </c>
      <c r="C673" t="s">
        <v>1266</v>
      </c>
      <c r="D673">
        <v>1</v>
      </c>
      <c r="E673" t="s">
        <v>974</v>
      </c>
      <c r="F673" t="s">
        <v>975</v>
      </c>
      <c r="G673" t="s">
        <v>180</v>
      </c>
      <c r="H673" s="1" t="s">
        <v>976</v>
      </c>
      <c r="I673" s="1">
        <v>230</v>
      </c>
      <c r="J673" s="20">
        <v>0</v>
      </c>
      <c r="K673" s="1">
        <v>33.76</v>
      </c>
      <c r="L673" s="1">
        <v>0</v>
      </c>
      <c r="M673" s="43" t="s">
        <v>2820</v>
      </c>
      <c r="P673" t="s">
        <v>21</v>
      </c>
      <c r="Q673" t="s">
        <v>261</v>
      </c>
    </row>
    <row r="674" spans="1:17" ht="15" customHeight="1" x14ac:dyDescent="0.25">
      <c r="A674" s="3" t="s">
        <v>1334</v>
      </c>
      <c r="B674" s="4" t="s">
        <v>262</v>
      </c>
      <c r="C674" t="s">
        <v>1266</v>
      </c>
      <c r="D674">
        <v>1</v>
      </c>
      <c r="E674" t="s">
        <v>974</v>
      </c>
      <c r="F674" t="s">
        <v>975</v>
      </c>
      <c r="G674" t="s">
        <v>180</v>
      </c>
      <c r="H674" s="1" t="s">
        <v>976</v>
      </c>
      <c r="I674" s="1">
        <v>230</v>
      </c>
      <c r="J674" s="20">
        <v>0</v>
      </c>
      <c r="K674" s="1">
        <v>35.15</v>
      </c>
      <c r="L674" s="1">
        <v>0</v>
      </c>
      <c r="M674" s="43" t="s">
        <v>2820</v>
      </c>
      <c r="Q674" t="s">
        <v>262</v>
      </c>
    </row>
    <row r="675" spans="1:17" ht="15" customHeight="1" x14ac:dyDescent="0.25">
      <c r="A675" s="3" t="s">
        <v>2101</v>
      </c>
      <c r="B675" s="4" t="s">
        <v>485</v>
      </c>
      <c r="C675" t="s">
        <v>1266</v>
      </c>
      <c r="D675">
        <v>1</v>
      </c>
      <c r="E675" t="s">
        <v>974</v>
      </c>
      <c r="F675" t="s">
        <v>975</v>
      </c>
      <c r="G675" t="s">
        <v>180</v>
      </c>
      <c r="H675" s="1" t="s">
        <v>976</v>
      </c>
      <c r="I675" s="1">
        <v>315</v>
      </c>
      <c r="J675" s="20">
        <v>17</v>
      </c>
      <c r="K675" s="1">
        <v>45.525714000000001</v>
      </c>
      <c r="L675" s="1">
        <v>773.94</v>
      </c>
      <c r="M675" s="43" t="s">
        <v>2820</v>
      </c>
      <c r="P675" t="s">
        <v>24</v>
      </c>
      <c r="Q675" t="s">
        <v>485</v>
      </c>
    </row>
    <row r="676" spans="1:17" ht="15" customHeight="1" x14ac:dyDescent="0.25">
      <c r="A676" s="3" t="s">
        <v>2102</v>
      </c>
      <c r="B676" s="4" t="s">
        <v>486</v>
      </c>
      <c r="C676" t="s">
        <v>1266</v>
      </c>
      <c r="D676">
        <v>1</v>
      </c>
      <c r="E676" t="s">
        <v>974</v>
      </c>
      <c r="F676" t="s">
        <v>975</v>
      </c>
      <c r="G676" t="s">
        <v>180</v>
      </c>
      <c r="H676" s="1" t="s">
        <v>976</v>
      </c>
      <c r="I676" s="1">
        <v>315</v>
      </c>
      <c r="J676" s="20">
        <v>6</v>
      </c>
      <c r="K676" s="1">
        <v>46.44</v>
      </c>
      <c r="L676" s="1">
        <v>278.64</v>
      </c>
      <c r="M676" s="43" t="s">
        <v>2820</v>
      </c>
      <c r="P676" t="s">
        <v>25</v>
      </c>
      <c r="Q676" t="s">
        <v>486</v>
      </c>
    </row>
    <row r="677" spans="1:17" ht="15" customHeight="1" x14ac:dyDescent="0.25">
      <c r="A677" s="3" t="s">
        <v>2103</v>
      </c>
      <c r="B677" s="4" t="s">
        <v>487</v>
      </c>
      <c r="C677" t="s">
        <v>1266</v>
      </c>
      <c r="D677">
        <v>1</v>
      </c>
      <c r="E677" t="s">
        <v>974</v>
      </c>
      <c r="F677" t="s">
        <v>975</v>
      </c>
      <c r="G677" t="s">
        <v>180</v>
      </c>
      <c r="H677" s="1" t="s">
        <v>976</v>
      </c>
      <c r="I677" s="1">
        <v>315</v>
      </c>
      <c r="J677" s="20">
        <v>13</v>
      </c>
      <c r="K677" s="1">
        <v>45.53</v>
      </c>
      <c r="L677" s="1">
        <v>591.89</v>
      </c>
      <c r="M677" s="43" t="s">
        <v>2820</v>
      </c>
      <c r="P677" t="s">
        <v>23</v>
      </c>
      <c r="Q677" t="s">
        <v>487</v>
      </c>
    </row>
    <row r="678" spans="1:17" ht="15" customHeight="1" x14ac:dyDescent="0.25">
      <c r="A678" s="3" t="s">
        <v>2104</v>
      </c>
      <c r="B678" s="4" t="s">
        <v>488</v>
      </c>
      <c r="C678" t="s">
        <v>1266</v>
      </c>
      <c r="D678">
        <v>1</v>
      </c>
      <c r="E678" t="s">
        <v>974</v>
      </c>
      <c r="F678" t="s">
        <v>975</v>
      </c>
      <c r="G678" t="s">
        <v>180</v>
      </c>
      <c r="H678" s="1" t="s">
        <v>976</v>
      </c>
      <c r="I678" s="1">
        <v>315</v>
      </c>
      <c r="J678" s="20">
        <v>11</v>
      </c>
      <c r="K678" s="1">
        <v>46.44</v>
      </c>
      <c r="L678" s="1">
        <v>510.84</v>
      </c>
      <c r="M678" s="43" t="s">
        <v>2820</v>
      </c>
      <c r="P678" t="s">
        <v>22</v>
      </c>
      <c r="Q678" t="s">
        <v>488</v>
      </c>
    </row>
    <row r="679" spans="1:17" ht="15" customHeight="1" x14ac:dyDescent="0.25">
      <c r="A679" s="3" t="s">
        <v>2105</v>
      </c>
      <c r="B679" s="4" t="s">
        <v>489</v>
      </c>
      <c r="C679" t="s">
        <v>1266</v>
      </c>
      <c r="D679">
        <v>1</v>
      </c>
      <c r="E679" t="s">
        <v>974</v>
      </c>
      <c r="F679" t="s">
        <v>975</v>
      </c>
      <c r="G679" t="s">
        <v>180</v>
      </c>
      <c r="H679" s="1" t="s">
        <v>976</v>
      </c>
      <c r="I679" s="1">
        <v>315</v>
      </c>
      <c r="J679" s="20">
        <v>6</v>
      </c>
      <c r="K679" s="1">
        <v>45.415999999999997</v>
      </c>
      <c r="L679" s="1">
        <v>272.5</v>
      </c>
      <c r="M679" s="43" t="s">
        <v>2820</v>
      </c>
      <c r="P679" t="s">
        <v>21</v>
      </c>
      <c r="Q679" t="s">
        <v>489</v>
      </c>
    </row>
    <row r="680" spans="1:17" ht="15" customHeight="1" x14ac:dyDescent="0.25">
      <c r="A680" s="3" t="s">
        <v>2106</v>
      </c>
      <c r="B680" s="4" t="s">
        <v>490</v>
      </c>
      <c r="C680" t="s">
        <v>1266</v>
      </c>
      <c r="D680">
        <v>1</v>
      </c>
      <c r="E680" t="s">
        <v>974</v>
      </c>
      <c r="F680" t="s">
        <v>975</v>
      </c>
      <c r="G680" t="s">
        <v>180</v>
      </c>
      <c r="H680" s="1" t="s">
        <v>976</v>
      </c>
      <c r="I680" s="1">
        <v>315</v>
      </c>
      <c r="J680" s="20">
        <v>2</v>
      </c>
      <c r="K680" s="1">
        <v>46.44</v>
      </c>
      <c r="L680" s="1">
        <v>92.88</v>
      </c>
      <c r="M680" s="43" t="s">
        <v>2820</v>
      </c>
      <c r="Q680" t="s">
        <v>490</v>
      </c>
    </row>
    <row r="681" spans="1:17" ht="15" customHeight="1" x14ac:dyDescent="0.25">
      <c r="A681" s="3" t="s">
        <v>2107</v>
      </c>
      <c r="B681" s="4" t="s">
        <v>491</v>
      </c>
      <c r="C681" t="s">
        <v>1266</v>
      </c>
      <c r="D681">
        <v>1</v>
      </c>
      <c r="E681" t="s">
        <v>974</v>
      </c>
      <c r="F681" t="s">
        <v>975</v>
      </c>
      <c r="G681" t="s">
        <v>180</v>
      </c>
      <c r="H681" s="1" t="s">
        <v>976</v>
      </c>
      <c r="I681" s="1">
        <v>315</v>
      </c>
      <c r="J681" s="20">
        <v>19</v>
      </c>
      <c r="K681" s="1">
        <v>45.5</v>
      </c>
      <c r="L681" s="1">
        <v>864.5</v>
      </c>
      <c r="M681" s="43" t="s">
        <v>2820</v>
      </c>
      <c r="P681" t="s">
        <v>24</v>
      </c>
      <c r="Q681" t="s">
        <v>491</v>
      </c>
    </row>
    <row r="682" spans="1:17" ht="15" customHeight="1" x14ac:dyDescent="0.25">
      <c r="A682" s="3" t="s">
        <v>2108</v>
      </c>
      <c r="B682" s="4" t="s">
        <v>492</v>
      </c>
      <c r="C682" t="s">
        <v>1266</v>
      </c>
      <c r="D682">
        <v>1</v>
      </c>
      <c r="E682" t="s">
        <v>974</v>
      </c>
      <c r="F682" t="s">
        <v>975</v>
      </c>
      <c r="G682" t="s">
        <v>180</v>
      </c>
      <c r="H682" s="1" t="s">
        <v>976</v>
      </c>
      <c r="I682" s="1">
        <v>315</v>
      </c>
      <c r="J682" s="20">
        <v>8</v>
      </c>
      <c r="K682" s="1">
        <v>45.011111</v>
      </c>
      <c r="L682" s="1">
        <v>360.09</v>
      </c>
      <c r="M682" s="43" t="s">
        <v>2820</v>
      </c>
      <c r="P682" t="s">
        <v>25</v>
      </c>
      <c r="Q682" t="s">
        <v>492</v>
      </c>
    </row>
    <row r="683" spans="1:17" ht="15" customHeight="1" x14ac:dyDescent="0.25">
      <c r="A683" s="3" t="s">
        <v>2109</v>
      </c>
      <c r="B683" s="4" t="s">
        <v>493</v>
      </c>
      <c r="C683" t="s">
        <v>1266</v>
      </c>
      <c r="D683">
        <v>1</v>
      </c>
      <c r="E683" t="s">
        <v>974</v>
      </c>
      <c r="F683" t="s">
        <v>975</v>
      </c>
      <c r="G683" t="s">
        <v>180</v>
      </c>
      <c r="H683" s="1" t="s">
        <v>976</v>
      </c>
      <c r="I683" s="1">
        <v>315</v>
      </c>
      <c r="J683" s="20">
        <v>32</v>
      </c>
      <c r="K683" s="1">
        <v>44.4</v>
      </c>
      <c r="L683" s="1">
        <v>1420.8</v>
      </c>
      <c r="M683" s="43" t="s">
        <v>2820</v>
      </c>
      <c r="P683" t="s">
        <v>23</v>
      </c>
      <c r="Q683" t="s">
        <v>493</v>
      </c>
    </row>
    <row r="684" spans="1:17" ht="15" customHeight="1" x14ac:dyDescent="0.25">
      <c r="A684" s="42" t="s">
        <v>2109</v>
      </c>
      <c r="B684" s="3" t="s">
        <v>493</v>
      </c>
      <c r="C684" s="42" t="s">
        <v>1266</v>
      </c>
      <c r="D684">
        <v>2</v>
      </c>
      <c r="E684" t="s">
        <v>1017</v>
      </c>
      <c r="F684" t="s">
        <v>975</v>
      </c>
      <c r="G684" t="s">
        <v>180</v>
      </c>
      <c r="H684" s="1" t="s">
        <v>976</v>
      </c>
      <c r="I684" s="1">
        <v>315</v>
      </c>
      <c r="J684" s="20">
        <v>0</v>
      </c>
      <c r="K684" s="1">
        <v>43.3</v>
      </c>
      <c r="L684" s="1">
        <v>0</v>
      </c>
      <c r="M684" s="43" t="s">
        <v>2820</v>
      </c>
      <c r="P684" t="s">
        <v>23</v>
      </c>
      <c r="Q684" t="s">
        <v>493</v>
      </c>
    </row>
    <row r="685" spans="1:17" ht="15" customHeight="1" x14ac:dyDescent="0.25">
      <c r="A685" s="3" t="s">
        <v>2110</v>
      </c>
      <c r="B685" s="4" t="s">
        <v>494</v>
      </c>
      <c r="C685" t="s">
        <v>1266</v>
      </c>
      <c r="D685">
        <v>1</v>
      </c>
      <c r="E685" t="s">
        <v>974</v>
      </c>
      <c r="F685" t="s">
        <v>975</v>
      </c>
      <c r="G685" t="s">
        <v>180</v>
      </c>
      <c r="H685" s="1" t="s">
        <v>976</v>
      </c>
      <c r="I685" s="1">
        <v>315</v>
      </c>
      <c r="J685" s="20">
        <v>18</v>
      </c>
      <c r="K685" s="1">
        <v>44.36627</v>
      </c>
      <c r="L685" s="1">
        <v>798.59</v>
      </c>
      <c r="M685" s="43" t="s">
        <v>2820</v>
      </c>
      <c r="P685" t="s">
        <v>22</v>
      </c>
      <c r="Q685" t="s">
        <v>494</v>
      </c>
    </row>
    <row r="686" spans="1:17" ht="15" customHeight="1" x14ac:dyDescent="0.25">
      <c r="A686" s="42" t="s">
        <v>2110</v>
      </c>
      <c r="B686" s="3" t="s">
        <v>494</v>
      </c>
      <c r="C686" s="42" t="s">
        <v>1266</v>
      </c>
      <c r="D686">
        <v>4</v>
      </c>
      <c r="E686" t="s">
        <v>1018</v>
      </c>
      <c r="F686" t="s">
        <v>975</v>
      </c>
      <c r="G686" t="s">
        <v>180</v>
      </c>
      <c r="H686" s="1" t="s">
        <v>976</v>
      </c>
      <c r="I686" s="1">
        <v>315</v>
      </c>
      <c r="J686" s="20">
        <v>-1</v>
      </c>
      <c r="K686" s="1">
        <v>0</v>
      </c>
      <c r="L686" s="1">
        <v>0</v>
      </c>
      <c r="M686" s="43" t="s">
        <v>2820</v>
      </c>
      <c r="P686" t="s">
        <v>22</v>
      </c>
      <c r="Q686" t="s">
        <v>494</v>
      </c>
    </row>
    <row r="687" spans="1:17" ht="15" customHeight="1" x14ac:dyDescent="0.25">
      <c r="A687" s="3" t="s">
        <v>2111</v>
      </c>
      <c r="B687" s="4" t="s">
        <v>495</v>
      </c>
      <c r="C687" t="s">
        <v>1266</v>
      </c>
      <c r="D687">
        <v>1</v>
      </c>
      <c r="E687" t="s">
        <v>974</v>
      </c>
      <c r="F687" t="s">
        <v>975</v>
      </c>
      <c r="G687" t="s">
        <v>180</v>
      </c>
      <c r="H687" s="1" t="s">
        <v>976</v>
      </c>
      <c r="I687" s="1">
        <v>315</v>
      </c>
      <c r="J687" s="20">
        <v>5</v>
      </c>
      <c r="K687" s="1">
        <v>44.95</v>
      </c>
      <c r="L687" s="1">
        <v>224.75</v>
      </c>
      <c r="M687" s="43" t="s">
        <v>2820</v>
      </c>
      <c r="P687" t="s">
        <v>21</v>
      </c>
      <c r="Q687" t="s">
        <v>495</v>
      </c>
    </row>
    <row r="688" spans="1:17" ht="15" customHeight="1" x14ac:dyDescent="0.25">
      <c r="A688" s="3" t="s">
        <v>2112</v>
      </c>
      <c r="B688" s="4" t="s">
        <v>496</v>
      </c>
      <c r="C688" t="s">
        <v>1266</v>
      </c>
      <c r="D688">
        <v>1</v>
      </c>
      <c r="E688" t="s">
        <v>974</v>
      </c>
      <c r="F688" t="s">
        <v>975</v>
      </c>
      <c r="G688" t="s">
        <v>180</v>
      </c>
      <c r="H688" s="1" t="s">
        <v>976</v>
      </c>
      <c r="I688" s="1">
        <v>315</v>
      </c>
      <c r="J688" s="20">
        <v>3</v>
      </c>
      <c r="K688" s="1">
        <v>43.3</v>
      </c>
      <c r="L688" s="1">
        <v>129.9</v>
      </c>
      <c r="M688" s="43" t="s">
        <v>2820</v>
      </c>
      <c r="Q688" t="s">
        <v>496</v>
      </c>
    </row>
    <row r="689" spans="1:17" ht="15" customHeight="1" x14ac:dyDescent="0.25">
      <c r="A689" s="3" t="s">
        <v>2113</v>
      </c>
      <c r="B689" s="4" t="s">
        <v>2822</v>
      </c>
      <c r="C689" t="s">
        <v>1266</v>
      </c>
      <c r="D689">
        <v>1</v>
      </c>
      <c r="E689" t="s">
        <v>974</v>
      </c>
      <c r="F689" t="s">
        <v>975</v>
      </c>
      <c r="G689" t="s">
        <v>976</v>
      </c>
      <c r="H689" s="1" t="s">
        <v>976</v>
      </c>
      <c r="I689" s="1">
        <v>315</v>
      </c>
      <c r="J689" s="20">
        <v>4</v>
      </c>
      <c r="K689" s="1">
        <v>0</v>
      </c>
      <c r="L689" s="1">
        <v>0</v>
      </c>
      <c r="M689" s="43" t="s">
        <v>2820</v>
      </c>
      <c r="O689" s="2" t="s">
        <v>2443</v>
      </c>
      <c r="P689" t="s">
        <v>24</v>
      </c>
      <c r="Q689" t="s">
        <v>805</v>
      </c>
    </row>
    <row r="690" spans="1:17" ht="15" customHeight="1" x14ac:dyDescent="0.25">
      <c r="A690" s="3" t="s">
        <v>2114</v>
      </c>
      <c r="B690" s="4" t="s">
        <v>2822</v>
      </c>
      <c r="C690" t="s">
        <v>1266</v>
      </c>
      <c r="D690">
        <v>1</v>
      </c>
      <c r="E690" t="s">
        <v>974</v>
      </c>
      <c r="F690" t="s">
        <v>975</v>
      </c>
      <c r="G690" t="s">
        <v>180</v>
      </c>
      <c r="H690" s="1" t="s">
        <v>976</v>
      </c>
      <c r="I690" s="1">
        <v>290</v>
      </c>
      <c r="J690" s="20">
        <v>0</v>
      </c>
      <c r="K690" s="1">
        <v>0</v>
      </c>
      <c r="L690" s="1">
        <v>0</v>
      </c>
      <c r="M690" s="43" t="s">
        <v>2820</v>
      </c>
      <c r="O690" s="2" t="s">
        <v>2443</v>
      </c>
      <c r="P690" t="s">
        <v>24</v>
      </c>
      <c r="Q690" t="s">
        <v>805</v>
      </c>
    </row>
    <row r="691" spans="1:17" ht="15" customHeight="1" x14ac:dyDescent="0.25">
      <c r="A691" s="3" t="s">
        <v>2115</v>
      </c>
      <c r="B691" s="4" t="s">
        <v>2822</v>
      </c>
      <c r="C691" t="s">
        <v>1266</v>
      </c>
      <c r="D691">
        <v>1</v>
      </c>
      <c r="E691" t="s">
        <v>974</v>
      </c>
      <c r="F691" t="s">
        <v>975</v>
      </c>
      <c r="G691" t="s">
        <v>976</v>
      </c>
      <c r="H691" s="1" t="s">
        <v>976</v>
      </c>
      <c r="I691" s="1">
        <v>315</v>
      </c>
      <c r="J691" s="20">
        <v>3</v>
      </c>
      <c r="K691" s="1">
        <v>0</v>
      </c>
      <c r="L691" s="1">
        <v>0</v>
      </c>
      <c r="M691" s="43" t="s">
        <v>2820</v>
      </c>
      <c r="O691" s="2" t="s">
        <v>2443</v>
      </c>
      <c r="P691" t="s">
        <v>25</v>
      </c>
      <c r="Q691" t="s">
        <v>805</v>
      </c>
    </row>
    <row r="692" spans="1:17" ht="15" customHeight="1" x14ac:dyDescent="0.25">
      <c r="A692" s="3" t="s">
        <v>2116</v>
      </c>
      <c r="B692" s="4" t="s">
        <v>2822</v>
      </c>
      <c r="C692" t="s">
        <v>1266</v>
      </c>
      <c r="D692">
        <v>1</v>
      </c>
      <c r="E692" t="s">
        <v>974</v>
      </c>
      <c r="F692" t="s">
        <v>975</v>
      </c>
      <c r="G692" t="s">
        <v>180</v>
      </c>
      <c r="H692" s="1" t="s">
        <v>976</v>
      </c>
      <c r="I692" s="1">
        <v>290</v>
      </c>
      <c r="J692" s="20">
        <v>0</v>
      </c>
      <c r="K692" s="1">
        <v>0</v>
      </c>
      <c r="L692" s="1">
        <v>0</v>
      </c>
      <c r="M692" s="43" t="s">
        <v>2820</v>
      </c>
      <c r="O692" s="2" t="s">
        <v>2443</v>
      </c>
      <c r="P692" t="s">
        <v>25</v>
      </c>
      <c r="Q692" t="s">
        <v>805</v>
      </c>
    </row>
    <row r="693" spans="1:17" ht="15" customHeight="1" x14ac:dyDescent="0.25">
      <c r="A693" s="3" t="s">
        <v>2117</v>
      </c>
      <c r="B693" s="4" t="s">
        <v>2822</v>
      </c>
      <c r="C693" t="s">
        <v>1266</v>
      </c>
      <c r="D693">
        <v>1</v>
      </c>
      <c r="E693" t="s">
        <v>974</v>
      </c>
      <c r="F693" t="s">
        <v>975</v>
      </c>
      <c r="G693" t="s">
        <v>976</v>
      </c>
      <c r="H693" s="1" t="s">
        <v>976</v>
      </c>
      <c r="I693" s="1">
        <v>315</v>
      </c>
      <c r="J693" s="20">
        <v>13</v>
      </c>
      <c r="K693" s="1">
        <v>0</v>
      </c>
      <c r="L693" s="1">
        <v>0</v>
      </c>
      <c r="M693" s="43" t="s">
        <v>2820</v>
      </c>
      <c r="O693" s="2" t="s">
        <v>2443</v>
      </c>
      <c r="P693" t="s">
        <v>23</v>
      </c>
      <c r="Q693" t="s">
        <v>805</v>
      </c>
    </row>
    <row r="694" spans="1:17" ht="15" customHeight="1" x14ac:dyDescent="0.25">
      <c r="A694" s="3" t="s">
        <v>2118</v>
      </c>
      <c r="B694" s="4" t="s">
        <v>2822</v>
      </c>
      <c r="C694" t="s">
        <v>1266</v>
      </c>
      <c r="D694">
        <v>1</v>
      </c>
      <c r="E694" t="s">
        <v>974</v>
      </c>
      <c r="F694" t="s">
        <v>975</v>
      </c>
      <c r="G694" t="s">
        <v>180</v>
      </c>
      <c r="H694" s="1" t="s">
        <v>976</v>
      </c>
      <c r="I694" s="1">
        <v>290</v>
      </c>
      <c r="J694" s="20">
        <v>-1</v>
      </c>
      <c r="K694" s="1">
        <v>47.18</v>
      </c>
      <c r="L694" s="1">
        <v>-47.18</v>
      </c>
      <c r="M694" s="43" t="s">
        <v>2820</v>
      </c>
      <c r="O694" s="2" t="s">
        <v>2443</v>
      </c>
      <c r="P694" t="s">
        <v>23</v>
      </c>
      <c r="Q694" t="s">
        <v>805</v>
      </c>
    </row>
    <row r="695" spans="1:17" ht="15" customHeight="1" x14ac:dyDescent="0.25">
      <c r="A695" s="3" t="s">
        <v>2119</v>
      </c>
      <c r="B695" s="4" t="s">
        <v>2822</v>
      </c>
      <c r="C695" t="s">
        <v>1266</v>
      </c>
      <c r="D695">
        <v>1</v>
      </c>
      <c r="E695" t="s">
        <v>974</v>
      </c>
      <c r="F695" t="s">
        <v>975</v>
      </c>
      <c r="G695" t="s">
        <v>976</v>
      </c>
      <c r="H695" s="1" t="s">
        <v>976</v>
      </c>
      <c r="I695" s="1">
        <v>315</v>
      </c>
      <c r="J695" s="20">
        <v>13</v>
      </c>
      <c r="K695" s="1">
        <v>0</v>
      </c>
      <c r="L695" s="1">
        <v>0</v>
      </c>
      <c r="M695" s="43" t="s">
        <v>2820</v>
      </c>
      <c r="O695" s="2" t="s">
        <v>2443</v>
      </c>
      <c r="P695" t="s">
        <v>22</v>
      </c>
      <c r="Q695" t="s">
        <v>805</v>
      </c>
    </row>
    <row r="696" spans="1:17" ht="15" customHeight="1" x14ac:dyDescent="0.25">
      <c r="A696" s="3" t="s">
        <v>2120</v>
      </c>
      <c r="B696" s="4" t="s">
        <v>2822</v>
      </c>
      <c r="C696" t="s">
        <v>1266</v>
      </c>
      <c r="D696">
        <v>1</v>
      </c>
      <c r="E696" t="s">
        <v>974</v>
      </c>
      <c r="F696" t="s">
        <v>975</v>
      </c>
      <c r="G696" t="s">
        <v>976</v>
      </c>
      <c r="H696" s="1" t="s">
        <v>976</v>
      </c>
      <c r="I696" s="1">
        <v>315</v>
      </c>
      <c r="J696" s="20">
        <v>0</v>
      </c>
      <c r="K696" s="1">
        <v>0</v>
      </c>
      <c r="L696" s="1">
        <v>0</v>
      </c>
      <c r="M696" s="43" t="s">
        <v>2820</v>
      </c>
      <c r="O696" s="2" t="s">
        <v>2443</v>
      </c>
      <c r="P696" t="s">
        <v>21</v>
      </c>
      <c r="Q696" t="s">
        <v>805</v>
      </c>
    </row>
    <row r="697" spans="1:17" ht="15" customHeight="1" x14ac:dyDescent="0.25">
      <c r="A697" s="3" t="s">
        <v>2121</v>
      </c>
      <c r="B697" s="4" t="s">
        <v>2822</v>
      </c>
      <c r="C697" t="s">
        <v>1266</v>
      </c>
      <c r="D697">
        <v>1</v>
      </c>
      <c r="E697" t="s">
        <v>974</v>
      </c>
      <c r="F697" t="s">
        <v>975</v>
      </c>
      <c r="G697" t="s">
        <v>976</v>
      </c>
      <c r="H697" s="1" t="s">
        <v>976</v>
      </c>
      <c r="I697" s="1">
        <v>315</v>
      </c>
      <c r="J697" s="20">
        <v>2</v>
      </c>
      <c r="K697" s="1">
        <v>0</v>
      </c>
      <c r="L697" s="1">
        <v>0</v>
      </c>
      <c r="M697" s="43" t="s">
        <v>2820</v>
      </c>
      <c r="O697" s="2" t="s">
        <v>2443</v>
      </c>
      <c r="Q697" t="s">
        <v>805</v>
      </c>
    </row>
    <row r="698" spans="1:17" ht="15" customHeight="1" x14ac:dyDescent="0.25">
      <c r="A698" s="3" t="s">
        <v>2122</v>
      </c>
      <c r="B698" s="4" t="s">
        <v>497</v>
      </c>
      <c r="C698" t="s">
        <v>1266</v>
      </c>
      <c r="D698">
        <v>1</v>
      </c>
      <c r="E698" t="s">
        <v>974</v>
      </c>
      <c r="F698" t="s">
        <v>975</v>
      </c>
      <c r="G698" t="s">
        <v>180</v>
      </c>
      <c r="H698" s="1" t="s">
        <v>976</v>
      </c>
      <c r="I698" s="1">
        <v>315</v>
      </c>
      <c r="J698" s="20">
        <v>12</v>
      </c>
      <c r="K698" s="1">
        <v>52.725000000000001</v>
      </c>
      <c r="L698" s="1">
        <v>632.70000000000005</v>
      </c>
      <c r="M698" s="43" t="s">
        <v>2820</v>
      </c>
      <c r="P698" t="s">
        <v>24</v>
      </c>
      <c r="Q698" t="s">
        <v>497</v>
      </c>
    </row>
    <row r="699" spans="1:17" ht="15" customHeight="1" x14ac:dyDescent="0.25">
      <c r="A699" s="3" t="s">
        <v>2123</v>
      </c>
      <c r="B699" s="4" t="s">
        <v>498</v>
      </c>
      <c r="C699" t="s">
        <v>1266</v>
      </c>
      <c r="D699">
        <v>1</v>
      </c>
      <c r="E699" t="s">
        <v>974</v>
      </c>
      <c r="F699" t="s">
        <v>975</v>
      </c>
      <c r="G699" t="s">
        <v>180</v>
      </c>
      <c r="H699" s="1" t="s">
        <v>976</v>
      </c>
      <c r="I699" s="1">
        <v>315</v>
      </c>
      <c r="J699" s="20">
        <v>3</v>
      </c>
      <c r="K699" s="1">
        <v>50.704000000000001</v>
      </c>
      <c r="L699" s="1">
        <v>152.11000000000001</v>
      </c>
      <c r="M699" s="43" t="s">
        <v>2820</v>
      </c>
      <c r="Q699" t="s">
        <v>498</v>
      </c>
    </row>
    <row r="700" spans="1:17" ht="15" customHeight="1" x14ac:dyDescent="0.25">
      <c r="A700" s="3" t="s">
        <v>2124</v>
      </c>
      <c r="B700" s="4" t="s">
        <v>499</v>
      </c>
      <c r="C700" t="s">
        <v>1266</v>
      </c>
      <c r="D700">
        <v>1</v>
      </c>
      <c r="E700" t="s">
        <v>974</v>
      </c>
      <c r="F700" t="s">
        <v>975</v>
      </c>
      <c r="G700" t="s">
        <v>180</v>
      </c>
      <c r="H700" s="1" t="s">
        <v>976</v>
      </c>
      <c r="I700" s="1">
        <v>315</v>
      </c>
      <c r="J700" s="20">
        <v>16</v>
      </c>
      <c r="K700" s="1">
        <v>52.894736000000002</v>
      </c>
      <c r="L700" s="1">
        <v>846.32</v>
      </c>
      <c r="M700" s="43" t="s">
        <v>2820</v>
      </c>
      <c r="P700" t="s">
        <v>23</v>
      </c>
      <c r="Q700" t="s">
        <v>499</v>
      </c>
    </row>
    <row r="701" spans="1:17" ht="15" customHeight="1" x14ac:dyDescent="0.25">
      <c r="A701" s="3" t="s">
        <v>2125</v>
      </c>
      <c r="B701" s="4" t="s">
        <v>500</v>
      </c>
      <c r="C701" t="s">
        <v>1266</v>
      </c>
      <c r="D701">
        <v>1</v>
      </c>
      <c r="E701" t="s">
        <v>974</v>
      </c>
      <c r="F701" t="s">
        <v>975</v>
      </c>
      <c r="G701" t="s">
        <v>180</v>
      </c>
      <c r="H701" s="1" t="s">
        <v>976</v>
      </c>
      <c r="I701" s="1">
        <v>315</v>
      </c>
      <c r="J701" s="20">
        <v>11</v>
      </c>
      <c r="K701" s="1">
        <v>54.43</v>
      </c>
      <c r="L701" s="1">
        <v>598.73</v>
      </c>
      <c r="M701" s="43" t="s">
        <v>2820</v>
      </c>
      <c r="P701" t="s">
        <v>22</v>
      </c>
      <c r="Q701" t="s">
        <v>500</v>
      </c>
    </row>
    <row r="702" spans="1:17" ht="15" customHeight="1" x14ac:dyDescent="0.25">
      <c r="A702" s="3" t="s">
        <v>2126</v>
      </c>
      <c r="B702" s="4" t="s">
        <v>501</v>
      </c>
      <c r="C702" t="s">
        <v>1266</v>
      </c>
      <c r="D702">
        <v>1</v>
      </c>
      <c r="E702" t="s">
        <v>974</v>
      </c>
      <c r="F702" t="s">
        <v>975</v>
      </c>
      <c r="G702" t="s">
        <v>180</v>
      </c>
      <c r="H702" s="1" t="s">
        <v>976</v>
      </c>
      <c r="I702" s="1">
        <v>315</v>
      </c>
      <c r="J702" s="20">
        <v>4</v>
      </c>
      <c r="K702" s="1">
        <v>50.36</v>
      </c>
      <c r="L702" s="1">
        <v>201.44</v>
      </c>
      <c r="M702" s="43" t="s">
        <v>2820</v>
      </c>
      <c r="P702" t="s">
        <v>21</v>
      </c>
      <c r="Q702" t="s">
        <v>501</v>
      </c>
    </row>
    <row r="703" spans="1:17" ht="15" customHeight="1" x14ac:dyDescent="0.25">
      <c r="A703" s="3" t="s">
        <v>2127</v>
      </c>
      <c r="B703" s="4" t="s">
        <v>502</v>
      </c>
      <c r="C703" t="s">
        <v>1266</v>
      </c>
      <c r="D703">
        <v>1</v>
      </c>
      <c r="E703" t="s">
        <v>974</v>
      </c>
      <c r="F703" t="s">
        <v>975</v>
      </c>
      <c r="G703" t="s">
        <v>180</v>
      </c>
      <c r="H703" s="1" t="s">
        <v>976</v>
      </c>
      <c r="I703" s="1">
        <v>315</v>
      </c>
      <c r="J703" s="20">
        <v>2</v>
      </c>
      <c r="K703" s="1">
        <v>50.36</v>
      </c>
      <c r="L703" s="1">
        <v>100.72</v>
      </c>
      <c r="M703" s="43" t="s">
        <v>2820</v>
      </c>
      <c r="Q703" t="s">
        <v>502</v>
      </c>
    </row>
    <row r="704" spans="1:17" ht="15" customHeight="1" x14ac:dyDescent="0.25">
      <c r="A704" s="3" t="s">
        <v>2128</v>
      </c>
      <c r="B704" s="4" t="s">
        <v>503</v>
      </c>
      <c r="C704" t="s">
        <v>1266</v>
      </c>
      <c r="D704">
        <v>1</v>
      </c>
      <c r="E704" t="s">
        <v>974</v>
      </c>
      <c r="F704" t="s">
        <v>975</v>
      </c>
      <c r="G704" t="s">
        <v>180</v>
      </c>
      <c r="H704" s="1" t="s">
        <v>976</v>
      </c>
      <c r="I704" s="1">
        <v>290</v>
      </c>
      <c r="J704" s="20">
        <v>-1</v>
      </c>
      <c r="K704" s="1">
        <v>47.18</v>
      </c>
      <c r="L704" s="1">
        <v>-47.18</v>
      </c>
      <c r="M704" s="43" t="s">
        <v>2820</v>
      </c>
      <c r="P704" t="s">
        <v>24</v>
      </c>
      <c r="Q704" t="s">
        <v>503</v>
      </c>
    </row>
    <row r="705" spans="1:17" ht="15" customHeight="1" x14ac:dyDescent="0.25">
      <c r="A705" s="3" t="s">
        <v>2129</v>
      </c>
      <c r="B705" s="4" t="s">
        <v>504</v>
      </c>
      <c r="C705" t="s">
        <v>1266</v>
      </c>
      <c r="D705">
        <v>1</v>
      </c>
      <c r="E705" t="s">
        <v>974</v>
      </c>
      <c r="F705" t="s">
        <v>975</v>
      </c>
      <c r="G705" t="s">
        <v>180</v>
      </c>
      <c r="H705" s="1" t="s">
        <v>976</v>
      </c>
      <c r="I705" s="1">
        <v>290</v>
      </c>
      <c r="J705" s="20">
        <v>0</v>
      </c>
      <c r="K705" s="1">
        <v>47.18</v>
      </c>
      <c r="L705" s="1">
        <v>0</v>
      </c>
      <c r="M705" s="43" t="s">
        <v>2820</v>
      </c>
      <c r="P705" t="s">
        <v>25</v>
      </c>
      <c r="Q705" t="s">
        <v>504</v>
      </c>
    </row>
    <row r="706" spans="1:17" ht="15" customHeight="1" x14ac:dyDescent="0.25">
      <c r="A706" s="3" t="s">
        <v>2130</v>
      </c>
      <c r="B706" s="4" t="s">
        <v>505</v>
      </c>
      <c r="C706" t="s">
        <v>1266</v>
      </c>
      <c r="D706">
        <v>1</v>
      </c>
      <c r="E706" t="s">
        <v>974</v>
      </c>
      <c r="F706" t="s">
        <v>975</v>
      </c>
      <c r="G706" t="s">
        <v>180</v>
      </c>
      <c r="H706" s="1" t="s">
        <v>976</v>
      </c>
      <c r="I706" s="1">
        <v>290</v>
      </c>
      <c r="J706" s="20">
        <v>0</v>
      </c>
      <c r="K706" s="1">
        <v>47.18</v>
      </c>
      <c r="L706" s="1">
        <v>0</v>
      </c>
      <c r="M706" s="43" t="s">
        <v>2820</v>
      </c>
      <c r="P706" t="s">
        <v>23</v>
      </c>
      <c r="Q706" t="s">
        <v>505</v>
      </c>
    </row>
    <row r="707" spans="1:17" ht="15" customHeight="1" x14ac:dyDescent="0.25">
      <c r="A707" s="3" t="s">
        <v>2131</v>
      </c>
      <c r="B707" s="4" t="s">
        <v>506</v>
      </c>
      <c r="C707" t="s">
        <v>1266</v>
      </c>
      <c r="D707">
        <v>1</v>
      </c>
      <c r="E707" t="s">
        <v>974</v>
      </c>
      <c r="F707" t="s">
        <v>975</v>
      </c>
      <c r="G707" t="s">
        <v>180</v>
      </c>
      <c r="H707" s="1" t="s">
        <v>976</v>
      </c>
      <c r="I707" s="1">
        <v>290</v>
      </c>
      <c r="J707" s="20">
        <v>0</v>
      </c>
      <c r="K707" s="1">
        <v>47.18</v>
      </c>
      <c r="L707" s="1">
        <v>0</v>
      </c>
      <c r="M707" s="43" t="s">
        <v>2820</v>
      </c>
      <c r="P707" t="s">
        <v>22</v>
      </c>
      <c r="Q707" t="s">
        <v>506</v>
      </c>
    </row>
    <row r="708" spans="1:17" ht="15" customHeight="1" x14ac:dyDescent="0.25">
      <c r="A708" s="3" t="s">
        <v>2132</v>
      </c>
      <c r="B708" s="4" t="s">
        <v>507</v>
      </c>
      <c r="C708" t="s">
        <v>1266</v>
      </c>
      <c r="D708">
        <v>1</v>
      </c>
      <c r="E708" t="s">
        <v>974</v>
      </c>
      <c r="F708" t="s">
        <v>975</v>
      </c>
      <c r="G708" t="s">
        <v>180</v>
      </c>
      <c r="H708" s="1" t="s">
        <v>976</v>
      </c>
      <c r="I708" s="1">
        <v>270</v>
      </c>
      <c r="J708" s="20">
        <v>0</v>
      </c>
      <c r="K708" s="1">
        <v>33</v>
      </c>
      <c r="L708" s="1">
        <v>0</v>
      </c>
      <c r="M708" s="43" t="s">
        <v>2820</v>
      </c>
      <c r="P708" t="s">
        <v>24</v>
      </c>
      <c r="Q708" t="s">
        <v>507</v>
      </c>
    </row>
    <row r="709" spans="1:17" ht="15" customHeight="1" x14ac:dyDescent="0.25">
      <c r="A709" s="3" t="s">
        <v>2133</v>
      </c>
      <c r="B709" s="4" t="s">
        <v>508</v>
      </c>
      <c r="C709" t="s">
        <v>1266</v>
      </c>
      <c r="D709">
        <v>1</v>
      </c>
      <c r="E709" t="s">
        <v>974</v>
      </c>
      <c r="F709" t="s">
        <v>975</v>
      </c>
      <c r="G709" t="s">
        <v>180</v>
      </c>
      <c r="H709" s="1" t="s">
        <v>976</v>
      </c>
      <c r="I709" s="1">
        <v>270</v>
      </c>
      <c r="J709" s="20">
        <v>0</v>
      </c>
      <c r="K709" s="1">
        <v>0</v>
      </c>
      <c r="L709" s="1">
        <v>0</v>
      </c>
      <c r="M709" s="43" t="s">
        <v>2820</v>
      </c>
      <c r="P709" t="s">
        <v>25</v>
      </c>
      <c r="Q709" t="s">
        <v>508</v>
      </c>
    </row>
    <row r="710" spans="1:17" ht="15" customHeight="1" x14ac:dyDescent="0.25">
      <c r="A710" s="3" t="s">
        <v>1335</v>
      </c>
      <c r="B710" s="4" t="s">
        <v>263</v>
      </c>
      <c r="C710" t="s">
        <v>1266</v>
      </c>
      <c r="D710">
        <v>1</v>
      </c>
      <c r="E710" t="s">
        <v>974</v>
      </c>
      <c r="F710" t="s">
        <v>975</v>
      </c>
      <c r="G710" t="s">
        <v>180</v>
      </c>
      <c r="H710" s="1" t="s">
        <v>976</v>
      </c>
      <c r="I710" s="1">
        <v>270</v>
      </c>
      <c r="J710" s="20">
        <v>0</v>
      </c>
      <c r="K710" s="1">
        <v>33</v>
      </c>
      <c r="L710" s="1">
        <v>0</v>
      </c>
      <c r="M710" s="43" t="s">
        <v>2820</v>
      </c>
      <c r="P710" t="s">
        <v>23</v>
      </c>
      <c r="Q710" t="s">
        <v>263</v>
      </c>
    </row>
    <row r="711" spans="1:17" ht="15" customHeight="1" x14ac:dyDescent="0.25">
      <c r="A711" s="3" t="s">
        <v>2134</v>
      </c>
      <c r="B711" s="4" t="s">
        <v>509</v>
      </c>
      <c r="C711" t="s">
        <v>1266</v>
      </c>
      <c r="D711">
        <v>1</v>
      </c>
      <c r="E711" t="s">
        <v>974</v>
      </c>
      <c r="F711" t="s">
        <v>975</v>
      </c>
      <c r="G711" t="s">
        <v>180</v>
      </c>
      <c r="H711" s="1" t="s">
        <v>976</v>
      </c>
      <c r="I711" s="1">
        <v>270</v>
      </c>
      <c r="J711" s="20">
        <v>0</v>
      </c>
      <c r="K711" s="1">
        <v>33</v>
      </c>
      <c r="L711" s="1">
        <v>0</v>
      </c>
      <c r="M711" s="43" t="s">
        <v>2820</v>
      </c>
      <c r="P711" t="s">
        <v>22</v>
      </c>
      <c r="Q711" t="s">
        <v>509</v>
      </c>
    </row>
    <row r="712" spans="1:17" ht="15" customHeight="1" x14ac:dyDescent="0.25">
      <c r="A712" s="3" t="s">
        <v>2135</v>
      </c>
      <c r="B712" s="4" t="s">
        <v>510</v>
      </c>
      <c r="C712" t="s">
        <v>1266</v>
      </c>
      <c r="D712">
        <v>1</v>
      </c>
      <c r="E712" t="s">
        <v>974</v>
      </c>
      <c r="F712" t="s">
        <v>975</v>
      </c>
      <c r="G712" t="s">
        <v>180</v>
      </c>
      <c r="H712" s="1" t="s">
        <v>976</v>
      </c>
      <c r="I712" s="1">
        <v>270</v>
      </c>
      <c r="J712" s="20">
        <v>4</v>
      </c>
      <c r="K712" s="1">
        <v>40</v>
      </c>
      <c r="L712" s="1">
        <v>160</v>
      </c>
      <c r="M712" s="43" t="s">
        <v>2820</v>
      </c>
      <c r="P712" t="s">
        <v>24</v>
      </c>
      <c r="Q712" t="s">
        <v>510</v>
      </c>
    </row>
    <row r="713" spans="1:17" ht="15" customHeight="1" x14ac:dyDescent="0.25">
      <c r="A713" s="3" t="s">
        <v>2136</v>
      </c>
      <c r="B713" s="4" t="s">
        <v>511</v>
      </c>
      <c r="C713" t="s">
        <v>1266</v>
      </c>
      <c r="D713">
        <v>1</v>
      </c>
      <c r="E713" t="s">
        <v>974</v>
      </c>
      <c r="F713" t="s">
        <v>975</v>
      </c>
      <c r="G713" t="s">
        <v>180</v>
      </c>
      <c r="H713" s="1" t="s">
        <v>976</v>
      </c>
      <c r="I713" s="1">
        <v>270</v>
      </c>
      <c r="J713" s="20">
        <v>3</v>
      </c>
      <c r="K713" s="1">
        <v>40</v>
      </c>
      <c r="L713" s="1">
        <v>120</v>
      </c>
      <c r="M713" s="43" t="s">
        <v>2820</v>
      </c>
      <c r="P713" t="s">
        <v>25</v>
      </c>
      <c r="Q713" t="s">
        <v>511</v>
      </c>
    </row>
    <row r="714" spans="1:17" ht="15" customHeight="1" x14ac:dyDescent="0.25">
      <c r="A714" s="3" t="s">
        <v>2137</v>
      </c>
      <c r="B714" s="4" t="s">
        <v>512</v>
      </c>
      <c r="C714" t="s">
        <v>1266</v>
      </c>
      <c r="D714">
        <v>1</v>
      </c>
      <c r="E714" t="s">
        <v>974</v>
      </c>
      <c r="F714" t="s">
        <v>975</v>
      </c>
      <c r="G714" t="s">
        <v>180</v>
      </c>
      <c r="H714" s="1" t="s">
        <v>976</v>
      </c>
      <c r="I714" s="1">
        <v>270</v>
      </c>
      <c r="J714" s="20">
        <v>10</v>
      </c>
      <c r="K714" s="1">
        <v>36.363636</v>
      </c>
      <c r="L714" s="1">
        <v>363.64</v>
      </c>
      <c r="M714" s="43" t="s">
        <v>2820</v>
      </c>
      <c r="P714" t="s">
        <v>23</v>
      </c>
      <c r="Q714" t="s">
        <v>512</v>
      </c>
    </row>
    <row r="715" spans="1:17" ht="15" customHeight="1" x14ac:dyDescent="0.25">
      <c r="A715" s="3" t="s">
        <v>2138</v>
      </c>
      <c r="B715" s="4" t="s">
        <v>513</v>
      </c>
      <c r="C715" t="s">
        <v>1266</v>
      </c>
      <c r="D715">
        <v>1</v>
      </c>
      <c r="E715" t="s">
        <v>974</v>
      </c>
      <c r="F715" t="s">
        <v>975</v>
      </c>
      <c r="G715" t="s">
        <v>180</v>
      </c>
      <c r="H715" s="1" t="s">
        <v>976</v>
      </c>
      <c r="I715" s="1">
        <v>270</v>
      </c>
      <c r="J715" s="20">
        <v>4</v>
      </c>
      <c r="K715" s="1">
        <v>40</v>
      </c>
      <c r="L715" s="1">
        <v>160</v>
      </c>
      <c r="M715" s="43" t="s">
        <v>2820</v>
      </c>
      <c r="P715" t="s">
        <v>22</v>
      </c>
      <c r="Q715" t="s">
        <v>513</v>
      </c>
    </row>
    <row r="716" spans="1:17" ht="15" customHeight="1" x14ac:dyDescent="0.25">
      <c r="A716" s="3" t="s">
        <v>2139</v>
      </c>
      <c r="B716" s="4" t="s">
        <v>514</v>
      </c>
      <c r="C716" t="s">
        <v>1266</v>
      </c>
      <c r="D716">
        <v>1</v>
      </c>
      <c r="E716" t="s">
        <v>974</v>
      </c>
      <c r="F716" t="s">
        <v>975</v>
      </c>
      <c r="G716" t="s">
        <v>180</v>
      </c>
      <c r="H716" s="1" t="s">
        <v>976</v>
      </c>
      <c r="I716" s="1">
        <v>270</v>
      </c>
      <c r="J716" s="20">
        <v>3</v>
      </c>
      <c r="K716" s="1">
        <v>40</v>
      </c>
      <c r="L716" s="1">
        <v>120</v>
      </c>
      <c r="M716" s="43" t="s">
        <v>2820</v>
      </c>
      <c r="P716" t="s">
        <v>21</v>
      </c>
      <c r="Q716" t="s">
        <v>514</v>
      </c>
    </row>
    <row r="717" spans="1:17" ht="15" customHeight="1" x14ac:dyDescent="0.25">
      <c r="A717" s="3" t="s">
        <v>2140</v>
      </c>
      <c r="B717" s="4" t="s">
        <v>515</v>
      </c>
      <c r="C717" t="s">
        <v>1266</v>
      </c>
      <c r="D717">
        <v>1</v>
      </c>
      <c r="E717" t="s">
        <v>974</v>
      </c>
      <c r="F717" t="s">
        <v>975</v>
      </c>
      <c r="G717" t="s">
        <v>180</v>
      </c>
      <c r="H717" s="1" t="s">
        <v>976</v>
      </c>
      <c r="I717" s="1">
        <v>270</v>
      </c>
      <c r="J717" s="20">
        <v>2</v>
      </c>
      <c r="K717" s="1">
        <v>40</v>
      </c>
      <c r="L717" s="1">
        <v>80</v>
      </c>
      <c r="M717" s="43" t="s">
        <v>2820</v>
      </c>
      <c r="Q717" t="s">
        <v>515</v>
      </c>
    </row>
    <row r="718" spans="1:17" ht="15" customHeight="1" x14ac:dyDescent="0.25">
      <c r="A718" s="3" t="s">
        <v>2141</v>
      </c>
      <c r="B718" s="4" t="s">
        <v>516</v>
      </c>
      <c r="C718" t="s">
        <v>1266</v>
      </c>
      <c r="D718">
        <v>1</v>
      </c>
      <c r="E718" t="s">
        <v>974</v>
      </c>
      <c r="F718" t="s">
        <v>975</v>
      </c>
      <c r="G718" t="s">
        <v>180</v>
      </c>
      <c r="H718" s="1" t="s">
        <v>976</v>
      </c>
      <c r="I718" s="1">
        <v>270</v>
      </c>
      <c r="J718" s="20">
        <v>0</v>
      </c>
      <c r="K718" s="1">
        <v>33</v>
      </c>
      <c r="L718" s="1">
        <v>0</v>
      </c>
      <c r="M718" s="43" t="s">
        <v>2820</v>
      </c>
      <c r="P718" t="s">
        <v>24</v>
      </c>
      <c r="Q718" t="s">
        <v>516</v>
      </c>
    </row>
    <row r="719" spans="1:17" ht="15" customHeight="1" x14ac:dyDescent="0.25">
      <c r="A719" s="3" t="s">
        <v>2142</v>
      </c>
      <c r="B719" s="4" t="s">
        <v>517</v>
      </c>
      <c r="C719" t="s">
        <v>1266</v>
      </c>
      <c r="D719">
        <v>1</v>
      </c>
      <c r="E719" t="s">
        <v>974</v>
      </c>
      <c r="F719" t="s">
        <v>975</v>
      </c>
      <c r="G719" t="s">
        <v>180</v>
      </c>
      <c r="H719" s="1" t="s">
        <v>976</v>
      </c>
      <c r="I719" s="1">
        <v>270</v>
      </c>
      <c r="J719" s="20">
        <v>0</v>
      </c>
      <c r="K719" s="1">
        <v>0</v>
      </c>
      <c r="L719" s="1">
        <v>0</v>
      </c>
      <c r="M719" s="43" t="s">
        <v>2820</v>
      </c>
      <c r="P719" t="s">
        <v>25</v>
      </c>
      <c r="Q719" t="s">
        <v>517</v>
      </c>
    </row>
    <row r="720" spans="1:17" ht="15" customHeight="1" x14ac:dyDescent="0.25">
      <c r="A720" s="3" t="s">
        <v>2143</v>
      </c>
      <c r="B720" s="4" t="s">
        <v>518</v>
      </c>
      <c r="C720" t="s">
        <v>1266</v>
      </c>
      <c r="D720">
        <v>1</v>
      </c>
      <c r="E720" t="s">
        <v>974</v>
      </c>
      <c r="F720" t="s">
        <v>975</v>
      </c>
      <c r="G720" t="s">
        <v>180</v>
      </c>
      <c r="H720" s="1" t="s">
        <v>976</v>
      </c>
      <c r="I720" s="1">
        <v>270</v>
      </c>
      <c r="J720" s="20">
        <v>1</v>
      </c>
      <c r="K720" s="1">
        <v>33</v>
      </c>
      <c r="L720" s="1">
        <v>33</v>
      </c>
      <c r="M720" s="43" t="s">
        <v>2820</v>
      </c>
      <c r="P720" t="s">
        <v>23</v>
      </c>
      <c r="Q720" t="s">
        <v>518</v>
      </c>
    </row>
    <row r="721" spans="1:17" ht="15" customHeight="1" x14ac:dyDescent="0.25">
      <c r="A721" s="3" t="s">
        <v>2144</v>
      </c>
      <c r="B721" s="4" t="s">
        <v>519</v>
      </c>
      <c r="C721" t="s">
        <v>1266</v>
      </c>
      <c r="D721">
        <v>1</v>
      </c>
      <c r="E721" t="s">
        <v>974</v>
      </c>
      <c r="F721" t="s">
        <v>975</v>
      </c>
      <c r="G721" t="s">
        <v>180</v>
      </c>
      <c r="H721" s="1" t="s">
        <v>976</v>
      </c>
      <c r="I721" s="1">
        <v>270</v>
      </c>
      <c r="J721" s="20">
        <v>2</v>
      </c>
      <c r="K721" s="1">
        <v>33</v>
      </c>
      <c r="L721" s="1">
        <v>66</v>
      </c>
      <c r="M721" s="43" t="s">
        <v>2820</v>
      </c>
      <c r="P721" t="s">
        <v>22</v>
      </c>
      <c r="Q721" t="s">
        <v>519</v>
      </c>
    </row>
    <row r="722" spans="1:17" ht="15" customHeight="1" x14ac:dyDescent="0.25">
      <c r="A722" s="3" t="s">
        <v>2145</v>
      </c>
      <c r="B722" s="4" t="s">
        <v>520</v>
      </c>
      <c r="C722" t="s">
        <v>1266</v>
      </c>
      <c r="D722">
        <v>1</v>
      </c>
      <c r="E722" t="s">
        <v>974</v>
      </c>
      <c r="F722" t="s">
        <v>975</v>
      </c>
      <c r="G722" t="s">
        <v>180</v>
      </c>
      <c r="H722" s="1" t="s">
        <v>976</v>
      </c>
      <c r="I722" s="1">
        <v>270</v>
      </c>
      <c r="J722" s="20">
        <v>3</v>
      </c>
      <c r="K722" s="1">
        <v>45</v>
      </c>
      <c r="L722" s="1">
        <v>135</v>
      </c>
      <c r="M722" s="43" t="s">
        <v>2820</v>
      </c>
      <c r="P722" t="s">
        <v>24</v>
      </c>
      <c r="Q722" t="s">
        <v>520</v>
      </c>
    </row>
    <row r="723" spans="1:17" ht="15" customHeight="1" x14ac:dyDescent="0.25">
      <c r="A723" s="3" t="s">
        <v>2146</v>
      </c>
      <c r="B723" s="4" t="s">
        <v>521</v>
      </c>
      <c r="C723" t="s">
        <v>1266</v>
      </c>
      <c r="D723">
        <v>1</v>
      </c>
      <c r="E723" t="s">
        <v>974</v>
      </c>
      <c r="F723" t="s">
        <v>975</v>
      </c>
      <c r="G723" t="s">
        <v>180</v>
      </c>
      <c r="H723" s="1" t="s">
        <v>976</v>
      </c>
      <c r="I723" s="1">
        <v>270</v>
      </c>
      <c r="J723" s="20">
        <v>2</v>
      </c>
      <c r="K723" s="1">
        <v>45</v>
      </c>
      <c r="L723" s="1">
        <v>90</v>
      </c>
      <c r="M723" s="43" t="s">
        <v>2820</v>
      </c>
      <c r="P723" t="s">
        <v>25</v>
      </c>
      <c r="Q723" t="s">
        <v>521</v>
      </c>
    </row>
    <row r="724" spans="1:17" ht="15" customHeight="1" x14ac:dyDescent="0.25">
      <c r="A724" s="3" t="s">
        <v>2147</v>
      </c>
      <c r="B724" s="4" t="s">
        <v>522</v>
      </c>
      <c r="C724" t="s">
        <v>1266</v>
      </c>
      <c r="D724">
        <v>1</v>
      </c>
      <c r="E724" t="s">
        <v>974</v>
      </c>
      <c r="F724" t="s">
        <v>975</v>
      </c>
      <c r="G724" t="s">
        <v>180</v>
      </c>
      <c r="H724" s="1" t="s">
        <v>976</v>
      </c>
      <c r="I724" s="1">
        <v>270</v>
      </c>
      <c r="J724" s="20">
        <v>9</v>
      </c>
      <c r="K724" s="1">
        <v>45</v>
      </c>
      <c r="L724" s="1">
        <v>405</v>
      </c>
      <c r="M724" s="43" t="s">
        <v>2820</v>
      </c>
      <c r="P724" t="s">
        <v>23</v>
      </c>
      <c r="Q724" t="s">
        <v>522</v>
      </c>
    </row>
    <row r="725" spans="1:17" ht="15" customHeight="1" x14ac:dyDescent="0.25">
      <c r="A725" s="3" t="s">
        <v>2148</v>
      </c>
      <c r="B725" s="4" t="s">
        <v>523</v>
      </c>
      <c r="C725" t="s">
        <v>1266</v>
      </c>
      <c r="D725">
        <v>1</v>
      </c>
      <c r="E725" t="s">
        <v>974</v>
      </c>
      <c r="F725" t="s">
        <v>975</v>
      </c>
      <c r="G725" t="s">
        <v>180</v>
      </c>
      <c r="H725" s="1" t="s">
        <v>976</v>
      </c>
      <c r="I725" s="1">
        <v>270</v>
      </c>
      <c r="J725" s="20">
        <v>4</v>
      </c>
      <c r="K725" s="1">
        <v>39</v>
      </c>
      <c r="L725" s="1">
        <v>156</v>
      </c>
      <c r="M725" s="43" t="s">
        <v>2820</v>
      </c>
      <c r="P725" t="s">
        <v>22</v>
      </c>
      <c r="Q725" t="s">
        <v>523</v>
      </c>
    </row>
    <row r="726" spans="1:17" ht="15" customHeight="1" x14ac:dyDescent="0.25">
      <c r="A726" s="3" t="s">
        <v>2149</v>
      </c>
      <c r="B726" s="4" t="s">
        <v>524</v>
      </c>
      <c r="C726" t="s">
        <v>1266</v>
      </c>
      <c r="D726">
        <v>1</v>
      </c>
      <c r="E726" t="s">
        <v>974</v>
      </c>
      <c r="F726" t="s">
        <v>975</v>
      </c>
      <c r="G726" t="s">
        <v>180</v>
      </c>
      <c r="H726" s="1" t="s">
        <v>976</v>
      </c>
      <c r="I726" s="1">
        <v>270</v>
      </c>
      <c r="J726" s="20">
        <v>2</v>
      </c>
      <c r="K726" s="1">
        <v>45</v>
      </c>
      <c r="L726" s="1">
        <v>90</v>
      </c>
      <c r="M726" s="43" t="s">
        <v>2820</v>
      </c>
      <c r="P726" t="s">
        <v>21</v>
      </c>
      <c r="Q726" t="s">
        <v>524</v>
      </c>
    </row>
    <row r="727" spans="1:17" ht="15" customHeight="1" x14ac:dyDescent="0.25">
      <c r="A727" s="3" t="s">
        <v>2150</v>
      </c>
      <c r="B727" s="4" t="s">
        <v>525</v>
      </c>
      <c r="C727" t="s">
        <v>1266</v>
      </c>
      <c r="D727">
        <v>1</v>
      </c>
      <c r="E727" t="s">
        <v>974</v>
      </c>
      <c r="F727" t="s">
        <v>975</v>
      </c>
      <c r="G727" t="s">
        <v>180</v>
      </c>
      <c r="H727" s="1" t="s">
        <v>976</v>
      </c>
      <c r="I727" s="1">
        <v>270</v>
      </c>
      <c r="J727" s="20">
        <v>1</v>
      </c>
      <c r="K727" s="1">
        <v>45</v>
      </c>
      <c r="L727" s="1">
        <v>45</v>
      </c>
      <c r="M727" s="43" t="s">
        <v>2820</v>
      </c>
      <c r="Q727" t="s">
        <v>525</v>
      </c>
    </row>
    <row r="728" spans="1:17" ht="15" customHeight="1" x14ac:dyDescent="0.25">
      <c r="A728" s="3" t="s">
        <v>1336</v>
      </c>
      <c r="B728" s="4" t="s">
        <v>2825</v>
      </c>
      <c r="C728" t="s">
        <v>1266</v>
      </c>
      <c r="D728">
        <v>1</v>
      </c>
      <c r="E728" t="s">
        <v>974</v>
      </c>
      <c r="F728" t="s">
        <v>975</v>
      </c>
      <c r="G728" t="s">
        <v>180</v>
      </c>
      <c r="H728" s="1" t="s">
        <v>976</v>
      </c>
      <c r="I728" s="1">
        <v>230</v>
      </c>
      <c r="J728" s="20">
        <v>0</v>
      </c>
      <c r="K728" s="1">
        <v>35.15</v>
      </c>
      <c r="L728" s="1">
        <v>0</v>
      </c>
      <c r="M728" s="43" t="s">
        <v>2820</v>
      </c>
      <c r="O728" s="2" t="s">
        <v>2824</v>
      </c>
      <c r="P728" t="s">
        <v>24</v>
      </c>
      <c r="Q728" t="s">
        <v>806</v>
      </c>
    </row>
    <row r="729" spans="1:17" ht="15" customHeight="1" x14ac:dyDescent="0.25">
      <c r="A729" s="3" t="s">
        <v>1337</v>
      </c>
      <c r="B729" s="4" t="s">
        <v>2825</v>
      </c>
      <c r="C729" t="s">
        <v>1266</v>
      </c>
      <c r="D729">
        <v>1</v>
      </c>
      <c r="E729" t="s">
        <v>974</v>
      </c>
      <c r="F729" t="s">
        <v>975</v>
      </c>
      <c r="G729" t="s">
        <v>180</v>
      </c>
      <c r="H729" s="1" t="s">
        <v>976</v>
      </c>
      <c r="I729" s="1">
        <v>230</v>
      </c>
      <c r="J729" s="20">
        <v>0</v>
      </c>
      <c r="K729" s="1">
        <v>35.15</v>
      </c>
      <c r="L729" s="1">
        <v>0</v>
      </c>
      <c r="M729" s="43" t="s">
        <v>2820</v>
      </c>
      <c r="O729" s="2" t="s">
        <v>2824</v>
      </c>
      <c r="P729" t="s">
        <v>25</v>
      </c>
      <c r="Q729" t="s">
        <v>806</v>
      </c>
    </row>
    <row r="730" spans="1:17" ht="15" customHeight="1" x14ac:dyDescent="0.25">
      <c r="A730" s="3" t="s">
        <v>1338</v>
      </c>
      <c r="B730" s="4" t="s">
        <v>2825</v>
      </c>
      <c r="C730" t="s">
        <v>1266</v>
      </c>
      <c r="D730">
        <v>1</v>
      </c>
      <c r="E730" t="s">
        <v>974</v>
      </c>
      <c r="F730" t="s">
        <v>975</v>
      </c>
      <c r="G730" t="s">
        <v>180</v>
      </c>
      <c r="H730" s="1" t="s">
        <v>976</v>
      </c>
      <c r="I730" s="1">
        <v>230</v>
      </c>
      <c r="J730" s="20">
        <v>0</v>
      </c>
      <c r="K730" s="1">
        <v>35.15</v>
      </c>
      <c r="L730" s="1">
        <v>0</v>
      </c>
      <c r="M730" s="43" t="s">
        <v>2820</v>
      </c>
      <c r="O730" s="2" t="s">
        <v>2824</v>
      </c>
      <c r="P730" t="s">
        <v>23</v>
      </c>
      <c r="Q730" t="s">
        <v>806</v>
      </c>
    </row>
    <row r="731" spans="1:17" ht="15" customHeight="1" x14ac:dyDescent="0.25">
      <c r="A731" s="3" t="s">
        <v>1339</v>
      </c>
      <c r="B731" s="4" t="s">
        <v>2825</v>
      </c>
      <c r="C731" t="s">
        <v>1266</v>
      </c>
      <c r="D731">
        <v>1</v>
      </c>
      <c r="E731" t="s">
        <v>974</v>
      </c>
      <c r="F731" t="s">
        <v>975</v>
      </c>
      <c r="G731" t="s">
        <v>180</v>
      </c>
      <c r="H731" s="1" t="s">
        <v>976</v>
      </c>
      <c r="I731" s="1">
        <v>230</v>
      </c>
      <c r="J731" s="20">
        <v>0</v>
      </c>
      <c r="K731" s="1">
        <v>35.15</v>
      </c>
      <c r="L731" s="1">
        <v>0</v>
      </c>
      <c r="M731" s="43" t="s">
        <v>2820</v>
      </c>
      <c r="O731" s="2" t="s">
        <v>2824</v>
      </c>
      <c r="P731" t="s">
        <v>22</v>
      </c>
      <c r="Q731" t="s">
        <v>806</v>
      </c>
    </row>
    <row r="732" spans="1:17" ht="15" customHeight="1" x14ac:dyDescent="0.25">
      <c r="A732" s="3" t="s">
        <v>1340</v>
      </c>
      <c r="B732" s="4" t="s">
        <v>2825</v>
      </c>
      <c r="C732" t="s">
        <v>1266</v>
      </c>
      <c r="D732">
        <v>1</v>
      </c>
      <c r="E732" t="s">
        <v>974</v>
      </c>
      <c r="F732" t="s">
        <v>975</v>
      </c>
      <c r="G732" t="s">
        <v>180</v>
      </c>
      <c r="H732" s="1" t="s">
        <v>976</v>
      </c>
      <c r="I732" s="1">
        <v>230</v>
      </c>
      <c r="J732" s="20">
        <v>0</v>
      </c>
      <c r="K732" s="1">
        <v>35.15</v>
      </c>
      <c r="L732" s="1">
        <v>0</v>
      </c>
      <c r="M732" s="43" t="s">
        <v>2820</v>
      </c>
      <c r="O732" s="2" t="s">
        <v>2824</v>
      </c>
      <c r="P732" t="s">
        <v>21</v>
      </c>
      <c r="Q732" t="s">
        <v>806</v>
      </c>
    </row>
    <row r="733" spans="1:17" ht="15" customHeight="1" x14ac:dyDescent="0.25">
      <c r="A733" s="3" t="s">
        <v>1341</v>
      </c>
      <c r="B733" s="4" t="s">
        <v>2825</v>
      </c>
      <c r="C733" t="s">
        <v>1266</v>
      </c>
      <c r="D733">
        <v>1</v>
      </c>
      <c r="E733" t="s">
        <v>974</v>
      </c>
      <c r="F733" t="s">
        <v>975</v>
      </c>
      <c r="G733" t="s">
        <v>180</v>
      </c>
      <c r="H733" s="1" t="s">
        <v>976</v>
      </c>
      <c r="I733" s="1">
        <v>230</v>
      </c>
      <c r="J733" s="20">
        <v>1</v>
      </c>
      <c r="K733" s="1">
        <v>0</v>
      </c>
      <c r="L733" s="1">
        <v>0</v>
      </c>
      <c r="M733" s="43" t="s">
        <v>2820</v>
      </c>
      <c r="O733" s="2" t="s">
        <v>2824</v>
      </c>
      <c r="Q733" t="s">
        <v>806</v>
      </c>
    </row>
    <row r="734" spans="1:17" ht="15" customHeight="1" x14ac:dyDescent="0.25">
      <c r="A734" s="3" t="s">
        <v>2227</v>
      </c>
      <c r="B734" s="4" t="s">
        <v>2826</v>
      </c>
      <c r="C734" t="s">
        <v>1266</v>
      </c>
      <c r="D734">
        <v>1</v>
      </c>
      <c r="E734" t="s">
        <v>974</v>
      </c>
      <c r="F734" t="s">
        <v>975</v>
      </c>
      <c r="G734" t="s">
        <v>180</v>
      </c>
      <c r="H734" s="1" t="s">
        <v>976</v>
      </c>
      <c r="I734" s="1">
        <v>340</v>
      </c>
      <c r="J734" s="20">
        <v>2</v>
      </c>
      <c r="K734" s="1">
        <v>30</v>
      </c>
      <c r="L734" s="1">
        <v>60</v>
      </c>
      <c r="M734" s="43" t="s">
        <v>2820</v>
      </c>
      <c r="O734" s="2" t="s">
        <v>2472</v>
      </c>
      <c r="P734" t="s">
        <v>23</v>
      </c>
      <c r="Q734" t="s">
        <v>807</v>
      </c>
    </row>
    <row r="735" spans="1:17" ht="15" customHeight="1" x14ac:dyDescent="0.25">
      <c r="A735" s="42" t="s">
        <v>2227</v>
      </c>
      <c r="B735" s="3" t="s">
        <v>2826</v>
      </c>
      <c r="C735" s="42" t="s">
        <v>1266</v>
      </c>
      <c r="D735">
        <v>3</v>
      </c>
      <c r="E735" t="s">
        <v>1179</v>
      </c>
      <c r="F735" t="s">
        <v>1180</v>
      </c>
      <c r="G735" t="s">
        <v>180</v>
      </c>
      <c r="H735" s="1" t="s">
        <v>976</v>
      </c>
      <c r="I735" s="1">
        <v>340</v>
      </c>
      <c r="J735" s="20">
        <v>0</v>
      </c>
      <c r="K735" s="1">
        <v>30</v>
      </c>
      <c r="L735" s="1">
        <v>0</v>
      </c>
      <c r="M735" s="43" t="s">
        <v>2820</v>
      </c>
      <c r="O735" s="2" t="s">
        <v>2472</v>
      </c>
      <c r="P735" t="s">
        <v>23</v>
      </c>
      <c r="Q735" t="s">
        <v>807</v>
      </c>
    </row>
    <row r="736" spans="1:17" ht="15" customHeight="1" x14ac:dyDescent="0.25">
      <c r="A736" s="3" t="s">
        <v>2228</v>
      </c>
      <c r="B736" s="4" t="s">
        <v>2826</v>
      </c>
      <c r="C736" t="s">
        <v>1266</v>
      </c>
      <c r="D736">
        <v>1</v>
      </c>
      <c r="E736" t="s">
        <v>974</v>
      </c>
      <c r="F736" t="s">
        <v>975</v>
      </c>
      <c r="G736" t="s">
        <v>180</v>
      </c>
      <c r="H736" s="1" t="s">
        <v>976</v>
      </c>
      <c r="I736" s="1">
        <v>340</v>
      </c>
      <c r="J736" s="20">
        <v>1</v>
      </c>
      <c r="K736" s="1">
        <v>30</v>
      </c>
      <c r="L736" s="1">
        <v>30</v>
      </c>
      <c r="M736" s="43" t="s">
        <v>2820</v>
      </c>
      <c r="O736" s="2" t="s">
        <v>2508</v>
      </c>
      <c r="P736" t="s">
        <v>23</v>
      </c>
      <c r="Q736" t="s">
        <v>808</v>
      </c>
    </row>
    <row r="737" spans="1:17" ht="15" customHeight="1" x14ac:dyDescent="0.25">
      <c r="A737" s="42" t="s">
        <v>2228</v>
      </c>
      <c r="B737" s="3" t="s">
        <v>2826</v>
      </c>
      <c r="C737" s="42" t="s">
        <v>1266</v>
      </c>
      <c r="D737">
        <v>3</v>
      </c>
      <c r="E737" t="s">
        <v>1179</v>
      </c>
      <c r="F737" t="s">
        <v>1180</v>
      </c>
      <c r="G737" t="s">
        <v>180</v>
      </c>
      <c r="H737" s="1" t="s">
        <v>976</v>
      </c>
      <c r="I737" s="1">
        <v>340</v>
      </c>
      <c r="J737" s="20">
        <v>0</v>
      </c>
      <c r="K737" s="1">
        <v>30</v>
      </c>
      <c r="L737" s="1">
        <v>0</v>
      </c>
      <c r="M737" s="43" t="s">
        <v>2820</v>
      </c>
      <c r="O737" s="2" t="s">
        <v>2508</v>
      </c>
      <c r="P737" t="s">
        <v>23</v>
      </c>
      <c r="Q737" t="s">
        <v>808</v>
      </c>
    </row>
    <row r="738" spans="1:17" ht="15" customHeight="1" x14ac:dyDescent="0.25">
      <c r="A738" s="3" t="s">
        <v>2229</v>
      </c>
      <c r="B738" s="4" t="s">
        <v>2826</v>
      </c>
      <c r="C738" t="s">
        <v>1266</v>
      </c>
      <c r="D738">
        <v>1</v>
      </c>
      <c r="E738" t="s">
        <v>974</v>
      </c>
      <c r="F738" t="s">
        <v>975</v>
      </c>
      <c r="G738" t="s">
        <v>180</v>
      </c>
      <c r="H738" s="1" t="s">
        <v>976</v>
      </c>
      <c r="I738" s="1">
        <v>340</v>
      </c>
      <c r="J738" s="20">
        <v>3</v>
      </c>
      <c r="K738" s="1">
        <v>30</v>
      </c>
      <c r="L738" s="1">
        <v>90</v>
      </c>
      <c r="M738" s="43" t="s">
        <v>2820</v>
      </c>
      <c r="O738" s="2" t="s">
        <v>2827</v>
      </c>
      <c r="P738" t="s">
        <v>23</v>
      </c>
      <c r="Q738" t="s">
        <v>809</v>
      </c>
    </row>
    <row r="739" spans="1:17" ht="15" customHeight="1" x14ac:dyDescent="0.25">
      <c r="A739" s="42" t="s">
        <v>2229</v>
      </c>
      <c r="B739" s="3" t="s">
        <v>2826</v>
      </c>
      <c r="C739" s="42" t="s">
        <v>1266</v>
      </c>
      <c r="D739">
        <v>3</v>
      </c>
      <c r="E739" t="s">
        <v>1179</v>
      </c>
      <c r="F739" t="s">
        <v>1180</v>
      </c>
      <c r="G739" t="s">
        <v>180</v>
      </c>
      <c r="H739" s="1" t="s">
        <v>976</v>
      </c>
      <c r="I739" s="1">
        <v>340</v>
      </c>
      <c r="J739" s="20">
        <v>0</v>
      </c>
      <c r="K739" s="1">
        <v>30</v>
      </c>
      <c r="L739" s="1">
        <v>0</v>
      </c>
      <c r="M739" s="43" t="s">
        <v>2820</v>
      </c>
      <c r="O739" s="2" t="s">
        <v>2827</v>
      </c>
      <c r="P739" t="s">
        <v>23</v>
      </c>
      <c r="Q739" t="s">
        <v>809</v>
      </c>
    </row>
    <row r="740" spans="1:17" ht="15" customHeight="1" x14ac:dyDescent="0.25">
      <c r="A740" s="3" t="s">
        <v>1342</v>
      </c>
      <c r="B740" s="4" t="s">
        <v>2823</v>
      </c>
      <c r="C740" t="s">
        <v>1266</v>
      </c>
      <c r="D740">
        <v>1</v>
      </c>
      <c r="E740" t="s">
        <v>974</v>
      </c>
      <c r="F740" t="s">
        <v>975</v>
      </c>
      <c r="G740" t="s">
        <v>180</v>
      </c>
      <c r="H740" s="1" t="s">
        <v>976</v>
      </c>
      <c r="I740" s="1">
        <v>230</v>
      </c>
      <c r="J740" s="20">
        <v>5</v>
      </c>
      <c r="K740" s="1">
        <v>35.15</v>
      </c>
      <c r="L740" s="1">
        <v>175.75</v>
      </c>
      <c r="M740" s="43" t="s">
        <v>2820</v>
      </c>
      <c r="O740" s="2" t="s">
        <v>2447</v>
      </c>
      <c r="P740" t="s">
        <v>24</v>
      </c>
      <c r="Q740" t="s">
        <v>810</v>
      </c>
    </row>
    <row r="741" spans="1:17" ht="15" customHeight="1" x14ac:dyDescent="0.25">
      <c r="A741" s="3" t="s">
        <v>1343</v>
      </c>
      <c r="B741" s="4" t="s">
        <v>2823</v>
      </c>
      <c r="C741" t="s">
        <v>1266</v>
      </c>
      <c r="D741">
        <v>1</v>
      </c>
      <c r="E741" t="s">
        <v>974</v>
      </c>
      <c r="F741" t="s">
        <v>975</v>
      </c>
      <c r="G741" t="s">
        <v>180</v>
      </c>
      <c r="H741" s="1" t="s">
        <v>976</v>
      </c>
      <c r="I741" s="1">
        <v>230</v>
      </c>
      <c r="J741" s="20">
        <v>2</v>
      </c>
      <c r="K741" s="1">
        <v>35.15</v>
      </c>
      <c r="L741" s="1">
        <v>70.3</v>
      </c>
      <c r="M741" s="43" t="s">
        <v>2820</v>
      </c>
      <c r="O741" s="2" t="s">
        <v>2447</v>
      </c>
      <c r="P741" t="s">
        <v>25</v>
      </c>
      <c r="Q741" t="s">
        <v>810</v>
      </c>
    </row>
    <row r="742" spans="1:17" ht="15" customHeight="1" x14ac:dyDescent="0.25">
      <c r="A742" s="3" t="s">
        <v>1344</v>
      </c>
      <c r="B742" s="4" t="s">
        <v>2823</v>
      </c>
      <c r="C742" t="s">
        <v>1266</v>
      </c>
      <c r="D742">
        <v>1</v>
      </c>
      <c r="E742" t="s">
        <v>974</v>
      </c>
      <c r="F742" t="s">
        <v>975</v>
      </c>
      <c r="G742" t="s">
        <v>180</v>
      </c>
      <c r="H742" s="1" t="s">
        <v>976</v>
      </c>
      <c r="I742" s="1">
        <v>230</v>
      </c>
      <c r="J742" s="20">
        <v>6</v>
      </c>
      <c r="K742" s="1">
        <v>35.15</v>
      </c>
      <c r="L742" s="1">
        <v>210.9</v>
      </c>
      <c r="M742" s="43" t="s">
        <v>2820</v>
      </c>
      <c r="O742" s="2" t="s">
        <v>2447</v>
      </c>
      <c r="P742" t="s">
        <v>23</v>
      </c>
      <c r="Q742" t="s">
        <v>810</v>
      </c>
    </row>
    <row r="743" spans="1:17" ht="15" customHeight="1" x14ac:dyDescent="0.25">
      <c r="A743" s="3" t="s">
        <v>1345</v>
      </c>
      <c r="B743" s="4" t="s">
        <v>2823</v>
      </c>
      <c r="C743" t="s">
        <v>1266</v>
      </c>
      <c r="D743">
        <v>1</v>
      </c>
      <c r="E743" t="s">
        <v>974</v>
      </c>
      <c r="F743" t="s">
        <v>975</v>
      </c>
      <c r="G743" t="s">
        <v>180</v>
      </c>
      <c r="H743" s="1" t="s">
        <v>976</v>
      </c>
      <c r="I743" s="1">
        <v>230</v>
      </c>
      <c r="J743" s="20">
        <v>0</v>
      </c>
      <c r="K743" s="1">
        <v>35.15</v>
      </c>
      <c r="L743" s="1">
        <v>0</v>
      </c>
      <c r="M743" s="43" t="s">
        <v>2820</v>
      </c>
      <c r="O743" s="2" t="s">
        <v>2447</v>
      </c>
      <c r="P743" t="s">
        <v>22</v>
      </c>
      <c r="Q743" t="s">
        <v>810</v>
      </c>
    </row>
    <row r="744" spans="1:17" ht="15" customHeight="1" x14ac:dyDescent="0.25">
      <c r="A744" s="3" t="s">
        <v>1346</v>
      </c>
      <c r="B744" s="4" t="s">
        <v>2823</v>
      </c>
      <c r="C744" t="s">
        <v>1266</v>
      </c>
      <c r="D744">
        <v>1</v>
      </c>
      <c r="E744" t="s">
        <v>974</v>
      </c>
      <c r="F744" t="s">
        <v>975</v>
      </c>
      <c r="G744" t="s">
        <v>180</v>
      </c>
      <c r="H744" s="1" t="s">
        <v>976</v>
      </c>
      <c r="I744" s="1">
        <v>230</v>
      </c>
      <c r="J744" s="20">
        <v>0</v>
      </c>
      <c r="K744" s="1">
        <v>35.15</v>
      </c>
      <c r="L744" s="1">
        <v>0</v>
      </c>
      <c r="M744" s="43" t="s">
        <v>2820</v>
      </c>
      <c r="O744" s="2" t="s">
        <v>2447</v>
      </c>
      <c r="P744" t="s">
        <v>21</v>
      </c>
      <c r="Q744" t="s">
        <v>810</v>
      </c>
    </row>
    <row r="745" spans="1:17" ht="15" customHeight="1" x14ac:dyDescent="0.25">
      <c r="A745" s="3" t="s">
        <v>1347</v>
      </c>
      <c r="B745" s="4" t="s">
        <v>2823</v>
      </c>
      <c r="C745" t="s">
        <v>1266</v>
      </c>
      <c r="D745">
        <v>1</v>
      </c>
      <c r="E745" t="s">
        <v>974</v>
      </c>
      <c r="F745" t="s">
        <v>975</v>
      </c>
      <c r="G745" t="s">
        <v>180</v>
      </c>
      <c r="H745" s="1" t="s">
        <v>976</v>
      </c>
      <c r="I745" s="1">
        <v>230</v>
      </c>
      <c r="J745" s="20">
        <v>1</v>
      </c>
      <c r="K745" s="1">
        <v>35.15</v>
      </c>
      <c r="L745" s="1">
        <v>35.15</v>
      </c>
      <c r="M745" s="43" t="s">
        <v>2820</v>
      </c>
      <c r="O745" s="2" t="s">
        <v>2447</v>
      </c>
      <c r="Q745" t="s">
        <v>810</v>
      </c>
    </row>
    <row r="746" spans="1:17" ht="15" customHeight="1" x14ac:dyDescent="0.25">
      <c r="A746" s="3" t="s">
        <v>1348</v>
      </c>
      <c r="B746" s="4" t="s">
        <v>264</v>
      </c>
      <c r="C746" t="s">
        <v>1266</v>
      </c>
      <c r="D746">
        <v>1</v>
      </c>
      <c r="E746" t="s">
        <v>974</v>
      </c>
      <c r="F746" t="s">
        <v>975</v>
      </c>
      <c r="G746" t="s">
        <v>180</v>
      </c>
      <c r="H746" s="1" t="s">
        <v>976</v>
      </c>
      <c r="I746" s="1">
        <v>230</v>
      </c>
      <c r="J746" s="20">
        <v>1</v>
      </c>
      <c r="K746" s="1">
        <v>35.15</v>
      </c>
      <c r="L746" s="1">
        <v>35.15</v>
      </c>
      <c r="M746" s="43" t="s">
        <v>2820</v>
      </c>
      <c r="P746" t="s">
        <v>24</v>
      </c>
      <c r="Q746" t="s">
        <v>264</v>
      </c>
    </row>
    <row r="747" spans="1:17" ht="15" customHeight="1" x14ac:dyDescent="0.25">
      <c r="A747" s="3" t="s">
        <v>1349</v>
      </c>
      <c r="B747" s="4" t="s">
        <v>265</v>
      </c>
      <c r="C747" t="s">
        <v>1266</v>
      </c>
      <c r="D747">
        <v>1</v>
      </c>
      <c r="E747" t="s">
        <v>974</v>
      </c>
      <c r="F747" t="s">
        <v>975</v>
      </c>
      <c r="G747" t="s">
        <v>180</v>
      </c>
      <c r="H747" s="1" t="s">
        <v>976</v>
      </c>
      <c r="I747" s="1">
        <v>230</v>
      </c>
      <c r="J747" s="20">
        <v>0</v>
      </c>
      <c r="K747" s="1">
        <v>0</v>
      </c>
      <c r="L747" s="1">
        <v>0</v>
      </c>
      <c r="M747" s="43" t="s">
        <v>2820</v>
      </c>
      <c r="P747" t="s">
        <v>25</v>
      </c>
      <c r="Q747" t="s">
        <v>265</v>
      </c>
    </row>
    <row r="748" spans="1:17" ht="15" customHeight="1" x14ac:dyDescent="0.25">
      <c r="A748" s="3" t="s">
        <v>1350</v>
      </c>
      <c r="B748" s="4" t="s">
        <v>266</v>
      </c>
      <c r="C748" t="s">
        <v>1266</v>
      </c>
      <c r="D748">
        <v>1</v>
      </c>
      <c r="E748" t="s">
        <v>974</v>
      </c>
      <c r="F748" t="s">
        <v>975</v>
      </c>
      <c r="G748" t="s">
        <v>180</v>
      </c>
      <c r="H748" s="1" t="s">
        <v>976</v>
      </c>
      <c r="I748" s="1">
        <v>230</v>
      </c>
      <c r="J748" s="20">
        <v>0</v>
      </c>
      <c r="K748" s="1">
        <v>35.15</v>
      </c>
      <c r="L748" s="1">
        <v>0</v>
      </c>
      <c r="M748" s="43" t="s">
        <v>2820</v>
      </c>
      <c r="P748" t="s">
        <v>23</v>
      </c>
      <c r="Q748" t="s">
        <v>266</v>
      </c>
    </row>
    <row r="749" spans="1:17" ht="15" customHeight="1" x14ac:dyDescent="0.25">
      <c r="A749" s="3" t="s">
        <v>1351</v>
      </c>
      <c r="B749" s="4" t="s">
        <v>267</v>
      </c>
      <c r="C749" t="s">
        <v>1266</v>
      </c>
      <c r="D749">
        <v>1</v>
      </c>
      <c r="E749" t="s">
        <v>974</v>
      </c>
      <c r="F749" t="s">
        <v>975</v>
      </c>
      <c r="G749" t="s">
        <v>180</v>
      </c>
      <c r="H749" s="1" t="s">
        <v>976</v>
      </c>
      <c r="I749" s="1">
        <v>230</v>
      </c>
      <c r="J749" s="20">
        <v>0</v>
      </c>
      <c r="K749" s="1">
        <v>35.15</v>
      </c>
      <c r="L749" s="1">
        <v>0</v>
      </c>
      <c r="M749" s="43" t="s">
        <v>2820</v>
      </c>
      <c r="P749" t="s">
        <v>22</v>
      </c>
      <c r="Q749" t="s">
        <v>267</v>
      </c>
    </row>
    <row r="750" spans="1:17" ht="15" customHeight="1" x14ac:dyDescent="0.25">
      <c r="A750" s="3" t="s">
        <v>1352</v>
      </c>
      <c r="B750" s="4" t="s">
        <v>268</v>
      </c>
      <c r="C750" t="s">
        <v>1266</v>
      </c>
      <c r="D750">
        <v>1</v>
      </c>
      <c r="E750" t="s">
        <v>974</v>
      </c>
      <c r="F750" t="s">
        <v>975</v>
      </c>
      <c r="G750" t="s">
        <v>180</v>
      </c>
      <c r="H750" s="1" t="s">
        <v>976</v>
      </c>
      <c r="I750" s="1">
        <v>230</v>
      </c>
      <c r="J750" s="20">
        <v>0</v>
      </c>
      <c r="K750" s="1">
        <v>35.15</v>
      </c>
      <c r="L750" s="1">
        <v>0</v>
      </c>
      <c r="M750" s="43" t="s">
        <v>2820</v>
      </c>
      <c r="P750" t="s">
        <v>21</v>
      </c>
      <c r="Q750" t="s">
        <v>268</v>
      </c>
    </row>
    <row r="751" spans="1:17" ht="15" customHeight="1" x14ac:dyDescent="0.25">
      <c r="A751" s="3" t="s">
        <v>1353</v>
      </c>
      <c r="B751" s="4" t="s">
        <v>269</v>
      </c>
      <c r="C751" t="s">
        <v>1266</v>
      </c>
      <c r="D751">
        <v>1</v>
      </c>
      <c r="E751" t="s">
        <v>974</v>
      </c>
      <c r="F751" t="s">
        <v>975</v>
      </c>
      <c r="G751" t="s">
        <v>180</v>
      </c>
      <c r="H751" s="1" t="s">
        <v>976</v>
      </c>
      <c r="I751" s="1">
        <v>230</v>
      </c>
      <c r="J751" s="20">
        <v>0</v>
      </c>
      <c r="K751" s="1">
        <v>0</v>
      </c>
      <c r="L751" s="1">
        <v>0</v>
      </c>
      <c r="M751" s="43" t="s">
        <v>2820</v>
      </c>
      <c r="Q751" t="s">
        <v>269</v>
      </c>
    </row>
    <row r="752" spans="1:17" ht="15" customHeight="1" x14ac:dyDescent="0.25">
      <c r="A752" s="3" t="s">
        <v>1354</v>
      </c>
      <c r="B752" s="4" t="s">
        <v>2829</v>
      </c>
      <c r="C752" t="s">
        <v>1355</v>
      </c>
      <c r="D752">
        <v>1</v>
      </c>
      <c r="E752" t="s">
        <v>974</v>
      </c>
      <c r="F752" t="s">
        <v>975</v>
      </c>
      <c r="G752" t="s">
        <v>976</v>
      </c>
      <c r="H752" s="1" t="s">
        <v>976</v>
      </c>
      <c r="I752" s="1">
        <v>2300</v>
      </c>
      <c r="J752" s="20">
        <v>0</v>
      </c>
      <c r="K752" s="1">
        <v>474.03</v>
      </c>
      <c r="L752" s="1">
        <v>0</v>
      </c>
      <c r="M752" s="43" t="s">
        <v>2828</v>
      </c>
      <c r="O752" s="2" t="s">
        <v>2447</v>
      </c>
      <c r="P752" t="s">
        <v>24</v>
      </c>
      <c r="Q752" t="s">
        <v>811</v>
      </c>
    </row>
    <row r="753" spans="1:17" ht="15" customHeight="1" x14ac:dyDescent="0.25">
      <c r="A753" s="3" t="s">
        <v>1356</v>
      </c>
      <c r="B753" s="4" t="s">
        <v>2829</v>
      </c>
      <c r="C753" t="s">
        <v>1355</v>
      </c>
      <c r="D753">
        <v>1</v>
      </c>
      <c r="E753" t="s">
        <v>974</v>
      </c>
      <c r="F753" t="s">
        <v>975</v>
      </c>
      <c r="G753" t="s">
        <v>180</v>
      </c>
      <c r="H753" s="1" t="s">
        <v>976</v>
      </c>
      <c r="I753" s="1">
        <v>2300</v>
      </c>
      <c r="J753" s="20">
        <v>1</v>
      </c>
      <c r="K753" s="1">
        <v>474.03</v>
      </c>
      <c r="L753" s="1">
        <v>474.03</v>
      </c>
      <c r="M753" s="43" t="s">
        <v>2828</v>
      </c>
      <c r="O753" s="2" t="s">
        <v>2447</v>
      </c>
      <c r="P753" t="s">
        <v>23</v>
      </c>
      <c r="Q753" t="s">
        <v>811</v>
      </c>
    </row>
    <row r="754" spans="1:17" ht="15" customHeight="1" x14ac:dyDescent="0.25">
      <c r="A754" s="3" t="s">
        <v>1357</v>
      </c>
      <c r="B754" s="4" t="s">
        <v>2829</v>
      </c>
      <c r="C754" t="s">
        <v>1355</v>
      </c>
      <c r="D754">
        <v>1</v>
      </c>
      <c r="E754" t="s">
        <v>974</v>
      </c>
      <c r="F754" t="s">
        <v>975</v>
      </c>
      <c r="G754" t="s">
        <v>976</v>
      </c>
      <c r="H754" s="1" t="s">
        <v>976</v>
      </c>
      <c r="I754" s="1">
        <v>2300</v>
      </c>
      <c r="J754" s="20">
        <v>1</v>
      </c>
      <c r="K754" s="1">
        <v>474.03</v>
      </c>
      <c r="L754" s="1">
        <v>474.03</v>
      </c>
      <c r="M754" s="43" t="s">
        <v>2828</v>
      </c>
      <c r="O754" s="2" t="s">
        <v>2447</v>
      </c>
      <c r="P754" t="s">
        <v>22</v>
      </c>
      <c r="Q754" t="s">
        <v>811</v>
      </c>
    </row>
    <row r="755" spans="1:17" ht="15" customHeight="1" x14ac:dyDescent="0.25">
      <c r="A755" s="3" t="s">
        <v>1358</v>
      </c>
      <c r="B755" s="4" t="s">
        <v>2829</v>
      </c>
      <c r="C755" t="s">
        <v>1355</v>
      </c>
      <c r="D755">
        <v>1</v>
      </c>
      <c r="E755" t="s">
        <v>974</v>
      </c>
      <c r="F755" t="s">
        <v>975</v>
      </c>
      <c r="G755" t="s">
        <v>976</v>
      </c>
      <c r="H755" s="1" t="s">
        <v>976</v>
      </c>
      <c r="I755" s="1">
        <v>2300</v>
      </c>
      <c r="J755" s="20">
        <v>1</v>
      </c>
      <c r="K755" s="1">
        <v>474.03</v>
      </c>
      <c r="L755" s="1">
        <v>474.03</v>
      </c>
      <c r="M755" s="43" t="s">
        <v>2828</v>
      </c>
      <c r="O755" s="2" t="s">
        <v>2447</v>
      </c>
      <c r="P755" t="s">
        <v>21</v>
      </c>
      <c r="Q755" t="s">
        <v>811</v>
      </c>
    </row>
    <row r="756" spans="1:17" ht="15" customHeight="1" x14ac:dyDescent="0.25">
      <c r="A756" s="3" t="s">
        <v>1359</v>
      </c>
      <c r="B756" s="4" t="s">
        <v>2829</v>
      </c>
      <c r="C756" t="s">
        <v>1355</v>
      </c>
      <c r="D756">
        <v>1</v>
      </c>
      <c r="E756" t="s">
        <v>974</v>
      </c>
      <c r="F756" t="s">
        <v>975</v>
      </c>
      <c r="G756" t="s">
        <v>976</v>
      </c>
      <c r="H756" s="1" t="s">
        <v>976</v>
      </c>
      <c r="I756" s="1">
        <v>2300</v>
      </c>
      <c r="J756" s="20">
        <v>0</v>
      </c>
      <c r="K756" s="1">
        <v>378.33</v>
      </c>
      <c r="L756" s="1">
        <v>0</v>
      </c>
      <c r="M756" s="43" t="s">
        <v>2828</v>
      </c>
      <c r="O756" s="2" t="s">
        <v>2579</v>
      </c>
      <c r="P756" t="s">
        <v>23</v>
      </c>
      <c r="Q756" t="s">
        <v>812</v>
      </c>
    </row>
    <row r="757" spans="1:17" ht="15" customHeight="1" x14ac:dyDescent="0.25">
      <c r="A757" s="3" t="s">
        <v>1360</v>
      </c>
      <c r="B757" s="4" t="s">
        <v>2829</v>
      </c>
      <c r="C757" t="s">
        <v>1355</v>
      </c>
      <c r="D757">
        <v>1</v>
      </c>
      <c r="E757" t="s">
        <v>974</v>
      </c>
      <c r="F757" t="s">
        <v>975</v>
      </c>
      <c r="G757" t="s">
        <v>976</v>
      </c>
      <c r="H757" s="1" t="s">
        <v>976</v>
      </c>
      <c r="I757" s="1">
        <v>2300</v>
      </c>
      <c r="J757" s="20">
        <v>0</v>
      </c>
      <c r="K757" s="1">
        <v>378.33</v>
      </c>
      <c r="L757" s="1">
        <v>0</v>
      </c>
      <c r="M757" s="43" t="s">
        <v>2828</v>
      </c>
      <c r="O757" s="2" t="s">
        <v>2579</v>
      </c>
      <c r="P757" t="s">
        <v>22</v>
      </c>
      <c r="Q757" t="s">
        <v>812</v>
      </c>
    </row>
    <row r="758" spans="1:17" ht="15" customHeight="1" x14ac:dyDescent="0.25">
      <c r="A758" s="3" t="s">
        <v>1361</v>
      </c>
      <c r="B758" s="4" t="s">
        <v>2829</v>
      </c>
      <c r="C758" t="s">
        <v>1355</v>
      </c>
      <c r="D758">
        <v>1</v>
      </c>
      <c r="E758" t="s">
        <v>974</v>
      </c>
      <c r="F758" t="s">
        <v>975</v>
      </c>
      <c r="G758" t="s">
        <v>976</v>
      </c>
      <c r="H758" s="1" t="s">
        <v>976</v>
      </c>
      <c r="I758" s="1">
        <v>2300</v>
      </c>
      <c r="J758" s="20">
        <v>1</v>
      </c>
      <c r="K758" s="1">
        <v>378.33</v>
      </c>
      <c r="L758" s="1">
        <v>378.33</v>
      </c>
      <c r="M758" s="43" t="s">
        <v>2828</v>
      </c>
      <c r="O758" s="2" t="s">
        <v>2579</v>
      </c>
      <c r="P758" t="s">
        <v>21</v>
      </c>
      <c r="Q758" t="s">
        <v>812</v>
      </c>
    </row>
    <row r="759" spans="1:17" ht="15" customHeight="1" x14ac:dyDescent="0.25">
      <c r="A759" s="3" t="s">
        <v>1362</v>
      </c>
      <c r="B759" s="4" t="s">
        <v>2830</v>
      </c>
      <c r="C759" t="s">
        <v>1355</v>
      </c>
      <c r="D759">
        <v>1</v>
      </c>
      <c r="E759" t="s">
        <v>974</v>
      </c>
      <c r="F759" t="s">
        <v>975</v>
      </c>
      <c r="G759" t="s">
        <v>976</v>
      </c>
      <c r="H759" s="1" t="s">
        <v>976</v>
      </c>
      <c r="I759" s="1">
        <v>2300</v>
      </c>
      <c r="J759" s="20">
        <v>0</v>
      </c>
      <c r="K759" s="1">
        <v>0</v>
      </c>
      <c r="L759" s="1">
        <v>0</v>
      </c>
      <c r="M759" s="43" t="s">
        <v>2828</v>
      </c>
      <c r="O759" s="2" t="s">
        <v>2472</v>
      </c>
      <c r="Q759" t="s">
        <v>813</v>
      </c>
    </row>
    <row r="760" spans="1:17" ht="15" customHeight="1" x14ac:dyDescent="0.25">
      <c r="A760" s="3" t="s">
        <v>1363</v>
      </c>
      <c r="B760" s="4" t="s">
        <v>2829</v>
      </c>
      <c r="C760" t="s">
        <v>1355</v>
      </c>
      <c r="D760">
        <v>1</v>
      </c>
      <c r="E760" t="s">
        <v>974</v>
      </c>
      <c r="F760" t="s">
        <v>975</v>
      </c>
      <c r="G760" t="s">
        <v>976</v>
      </c>
      <c r="H760" s="1" t="s">
        <v>976</v>
      </c>
      <c r="I760" s="1">
        <v>2300</v>
      </c>
      <c r="J760" s="20">
        <v>3</v>
      </c>
      <c r="K760" s="1">
        <v>474.03</v>
      </c>
      <c r="L760" s="1">
        <v>1422.09</v>
      </c>
      <c r="M760" s="43" t="s">
        <v>2828</v>
      </c>
      <c r="O760" s="2" t="s">
        <v>2472</v>
      </c>
      <c r="P760" t="s">
        <v>24</v>
      </c>
      <c r="Q760" t="s">
        <v>814</v>
      </c>
    </row>
    <row r="761" spans="1:17" ht="15" customHeight="1" x14ac:dyDescent="0.25">
      <c r="A761" s="3" t="s">
        <v>1364</v>
      </c>
      <c r="B761" s="4" t="s">
        <v>2829</v>
      </c>
      <c r="C761" t="s">
        <v>1355</v>
      </c>
      <c r="D761">
        <v>1</v>
      </c>
      <c r="E761" t="s">
        <v>974</v>
      </c>
      <c r="F761" t="s">
        <v>975</v>
      </c>
      <c r="G761" t="s">
        <v>976</v>
      </c>
      <c r="H761" s="1" t="s">
        <v>976</v>
      </c>
      <c r="I761" s="1">
        <v>2300</v>
      </c>
      <c r="J761" s="20">
        <v>0</v>
      </c>
      <c r="K761" s="1">
        <v>474.03</v>
      </c>
      <c r="L761" s="1">
        <v>0</v>
      </c>
      <c r="M761" s="43" t="s">
        <v>2828</v>
      </c>
      <c r="O761" s="2" t="s">
        <v>2472</v>
      </c>
      <c r="P761" t="s">
        <v>25</v>
      </c>
      <c r="Q761" t="s">
        <v>814</v>
      </c>
    </row>
    <row r="762" spans="1:17" ht="15" customHeight="1" x14ac:dyDescent="0.25">
      <c r="A762" s="3" t="s">
        <v>1365</v>
      </c>
      <c r="B762" s="4" t="s">
        <v>2829</v>
      </c>
      <c r="C762" t="s">
        <v>1355</v>
      </c>
      <c r="D762">
        <v>1</v>
      </c>
      <c r="E762" t="s">
        <v>974</v>
      </c>
      <c r="F762" t="s">
        <v>975</v>
      </c>
      <c r="G762" t="s">
        <v>976</v>
      </c>
      <c r="H762" s="1" t="s">
        <v>976</v>
      </c>
      <c r="I762" s="1">
        <v>2300</v>
      </c>
      <c r="J762" s="20">
        <v>4</v>
      </c>
      <c r="K762" s="1">
        <v>474.03</v>
      </c>
      <c r="L762" s="1">
        <v>1896.12</v>
      </c>
      <c r="M762" s="43" t="s">
        <v>2828</v>
      </c>
      <c r="O762" s="2" t="s">
        <v>2472</v>
      </c>
      <c r="P762" t="s">
        <v>23</v>
      </c>
      <c r="Q762" t="s">
        <v>814</v>
      </c>
    </row>
    <row r="763" spans="1:17" ht="15" customHeight="1" x14ac:dyDescent="0.25">
      <c r="A763" s="3" t="s">
        <v>1366</v>
      </c>
      <c r="B763" s="4" t="s">
        <v>2829</v>
      </c>
      <c r="C763" t="s">
        <v>1355</v>
      </c>
      <c r="D763">
        <v>1</v>
      </c>
      <c r="E763" t="s">
        <v>974</v>
      </c>
      <c r="F763" t="s">
        <v>975</v>
      </c>
      <c r="G763" t="s">
        <v>976</v>
      </c>
      <c r="H763" s="1" t="s">
        <v>976</v>
      </c>
      <c r="I763" s="1">
        <v>2300</v>
      </c>
      <c r="J763" s="20">
        <v>1</v>
      </c>
      <c r="K763" s="1">
        <v>474.03</v>
      </c>
      <c r="L763" s="1">
        <v>474.03</v>
      </c>
      <c r="M763" s="43" t="s">
        <v>2828</v>
      </c>
      <c r="O763" s="2" t="s">
        <v>2472</v>
      </c>
      <c r="P763" t="s">
        <v>22</v>
      </c>
      <c r="Q763" t="s">
        <v>814</v>
      </c>
    </row>
    <row r="764" spans="1:17" ht="15" customHeight="1" x14ac:dyDescent="0.25">
      <c r="A764" s="3" t="s">
        <v>1367</v>
      </c>
      <c r="B764" s="4" t="s">
        <v>2829</v>
      </c>
      <c r="C764" t="s">
        <v>1355</v>
      </c>
      <c r="D764">
        <v>1</v>
      </c>
      <c r="E764" t="s">
        <v>974</v>
      </c>
      <c r="F764" t="s">
        <v>975</v>
      </c>
      <c r="G764" t="s">
        <v>976</v>
      </c>
      <c r="H764" s="1" t="s">
        <v>976</v>
      </c>
      <c r="I764" s="1">
        <v>2300</v>
      </c>
      <c r="J764" s="20">
        <v>0</v>
      </c>
      <c r="K764" s="1">
        <v>474.03</v>
      </c>
      <c r="L764" s="1">
        <v>0</v>
      </c>
      <c r="M764" s="43" t="s">
        <v>2828</v>
      </c>
      <c r="O764" s="2" t="s">
        <v>2472</v>
      </c>
      <c r="P764" t="s">
        <v>21</v>
      </c>
      <c r="Q764" t="s">
        <v>814</v>
      </c>
    </row>
    <row r="765" spans="1:17" ht="15" customHeight="1" x14ac:dyDescent="0.25">
      <c r="A765" s="3" t="s">
        <v>1368</v>
      </c>
      <c r="B765" s="4" t="s">
        <v>2832</v>
      </c>
      <c r="C765" t="s">
        <v>1369</v>
      </c>
      <c r="D765">
        <v>1</v>
      </c>
      <c r="E765" t="s">
        <v>974</v>
      </c>
      <c r="F765" t="s">
        <v>975</v>
      </c>
      <c r="G765" t="s">
        <v>180</v>
      </c>
      <c r="H765" s="1" t="s">
        <v>976</v>
      </c>
      <c r="I765" s="1">
        <v>729</v>
      </c>
      <c r="J765" s="20">
        <v>0</v>
      </c>
      <c r="K765" s="1">
        <v>145</v>
      </c>
      <c r="L765" s="1">
        <v>0</v>
      </c>
      <c r="M765" s="43" t="s">
        <v>2831</v>
      </c>
      <c r="O765" s="2" t="s">
        <v>2447</v>
      </c>
      <c r="P765" t="s">
        <v>23</v>
      </c>
      <c r="Q765" t="s">
        <v>815</v>
      </c>
    </row>
    <row r="766" spans="1:17" ht="15" customHeight="1" x14ac:dyDescent="0.25">
      <c r="A766" s="3" t="s">
        <v>1370</v>
      </c>
      <c r="B766" s="4" t="s">
        <v>2832</v>
      </c>
      <c r="C766" t="s">
        <v>1369</v>
      </c>
      <c r="D766">
        <v>1</v>
      </c>
      <c r="E766" t="s">
        <v>974</v>
      </c>
      <c r="F766" t="s">
        <v>975</v>
      </c>
      <c r="G766" t="s">
        <v>180</v>
      </c>
      <c r="H766" s="1" t="s">
        <v>976</v>
      </c>
      <c r="I766" s="1">
        <v>729</v>
      </c>
      <c r="J766" s="20">
        <v>0</v>
      </c>
      <c r="K766" s="1">
        <v>145.80000000000001</v>
      </c>
      <c r="L766" s="1">
        <v>0</v>
      </c>
      <c r="M766" s="43" t="s">
        <v>2831</v>
      </c>
      <c r="O766" s="2" t="s">
        <v>2482</v>
      </c>
      <c r="P766" t="s">
        <v>23</v>
      </c>
      <c r="Q766" t="s">
        <v>816</v>
      </c>
    </row>
    <row r="767" spans="1:17" ht="15" customHeight="1" x14ac:dyDescent="0.25">
      <c r="A767" s="3" t="s">
        <v>1371</v>
      </c>
      <c r="B767" s="4" t="s">
        <v>2833</v>
      </c>
      <c r="C767" t="s">
        <v>1369</v>
      </c>
      <c r="D767">
        <v>1</v>
      </c>
      <c r="E767" t="s">
        <v>974</v>
      </c>
      <c r="F767" t="s">
        <v>975</v>
      </c>
      <c r="G767" t="s">
        <v>180</v>
      </c>
      <c r="H767" s="1" t="s">
        <v>976</v>
      </c>
      <c r="I767" s="1">
        <v>525</v>
      </c>
      <c r="J767" s="20">
        <v>0</v>
      </c>
      <c r="K767" s="1">
        <v>0</v>
      </c>
      <c r="L767" s="1">
        <v>0</v>
      </c>
      <c r="M767" s="43" t="s">
        <v>2831</v>
      </c>
      <c r="O767" s="2" t="s">
        <v>2508</v>
      </c>
      <c r="P767" t="s">
        <v>24</v>
      </c>
      <c r="Q767" t="s">
        <v>817</v>
      </c>
    </row>
    <row r="768" spans="1:17" ht="15" customHeight="1" x14ac:dyDescent="0.25">
      <c r="A768" s="3" t="s">
        <v>1372</v>
      </c>
      <c r="B768" s="4" t="s">
        <v>2833</v>
      </c>
      <c r="C768" t="s">
        <v>1369</v>
      </c>
      <c r="D768">
        <v>1</v>
      </c>
      <c r="E768" t="s">
        <v>974</v>
      </c>
      <c r="F768" t="s">
        <v>975</v>
      </c>
      <c r="G768" t="s">
        <v>180</v>
      </c>
      <c r="H768" s="1" t="s">
        <v>976</v>
      </c>
      <c r="I768" s="1">
        <v>525</v>
      </c>
      <c r="J768" s="20">
        <v>0</v>
      </c>
      <c r="K768" s="1">
        <v>76.92</v>
      </c>
      <c r="L768" s="1">
        <v>0</v>
      </c>
      <c r="M768" s="43" t="s">
        <v>2831</v>
      </c>
      <c r="O768" s="2" t="s">
        <v>2508</v>
      </c>
      <c r="P768" t="s">
        <v>23</v>
      </c>
      <c r="Q768" t="s">
        <v>817</v>
      </c>
    </row>
    <row r="769" spans="1:17" ht="15" customHeight="1" x14ac:dyDescent="0.25">
      <c r="A769" s="42" t="s">
        <v>1372</v>
      </c>
      <c r="B769" s="3" t="s">
        <v>2833</v>
      </c>
      <c r="C769" s="42" t="s">
        <v>1369</v>
      </c>
      <c r="D769">
        <v>3</v>
      </c>
      <c r="E769" t="s">
        <v>1179</v>
      </c>
      <c r="F769" t="s">
        <v>1180</v>
      </c>
      <c r="G769" t="s">
        <v>180</v>
      </c>
      <c r="H769" s="1" t="s">
        <v>976</v>
      </c>
      <c r="I769" s="1">
        <v>525</v>
      </c>
      <c r="J769" s="20">
        <v>0</v>
      </c>
      <c r="K769" s="1">
        <v>76.92</v>
      </c>
      <c r="L769" s="1">
        <v>0</v>
      </c>
      <c r="M769" s="43" t="s">
        <v>2831</v>
      </c>
      <c r="O769" s="2" t="s">
        <v>2508</v>
      </c>
      <c r="P769" t="s">
        <v>23</v>
      </c>
      <c r="Q769" t="s">
        <v>817</v>
      </c>
    </row>
    <row r="770" spans="1:17" ht="15" customHeight="1" x14ac:dyDescent="0.25">
      <c r="A770" s="3" t="s">
        <v>1373</v>
      </c>
      <c r="B770" s="4" t="s">
        <v>2833</v>
      </c>
      <c r="C770" t="s">
        <v>1369</v>
      </c>
      <c r="D770">
        <v>1</v>
      </c>
      <c r="E770" t="s">
        <v>974</v>
      </c>
      <c r="F770" t="s">
        <v>975</v>
      </c>
      <c r="G770" t="s">
        <v>180</v>
      </c>
      <c r="H770" s="1" t="s">
        <v>976</v>
      </c>
      <c r="I770" s="1">
        <v>525</v>
      </c>
      <c r="J770" s="20">
        <v>0</v>
      </c>
      <c r="K770" s="1">
        <v>0</v>
      </c>
      <c r="L770" s="1">
        <v>0</v>
      </c>
      <c r="M770" s="43" t="s">
        <v>2831</v>
      </c>
      <c r="O770" s="2" t="s">
        <v>2508</v>
      </c>
      <c r="P770" t="s">
        <v>22</v>
      </c>
      <c r="Q770" t="s">
        <v>817</v>
      </c>
    </row>
    <row r="771" spans="1:17" ht="15" customHeight="1" x14ac:dyDescent="0.25">
      <c r="A771" s="3" t="s">
        <v>1374</v>
      </c>
      <c r="B771" s="4" t="s">
        <v>2834</v>
      </c>
      <c r="C771" t="s">
        <v>1369</v>
      </c>
      <c r="D771">
        <v>1</v>
      </c>
      <c r="E771" t="s">
        <v>974</v>
      </c>
      <c r="F771" t="s">
        <v>975</v>
      </c>
      <c r="G771" t="s">
        <v>180</v>
      </c>
      <c r="H771" s="1" t="s">
        <v>976</v>
      </c>
      <c r="I771" s="1">
        <v>1150</v>
      </c>
      <c r="J771" s="20">
        <v>0</v>
      </c>
      <c r="K771" s="1">
        <v>0</v>
      </c>
      <c r="L771" s="1">
        <v>0</v>
      </c>
      <c r="M771" s="43" t="s">
        <v>2831</v>
      </c>
      <c r="O771" s="2" t="s">
        <v>2508</v>
      </c>
      <c r="P771" t="s">
        <v>24</v>
      </c>
      <c r="Q771" t="s">
        <v>818</v>
      </c>
    </row>
    <row r="772" spans="1:17" ht="15" customHeight="1" x14ac:dyDescent="0.25">
      <c r="A772" s="3" t="s">
        <v>1375</v>
      </c>
      <c r="B772" s="4" t="s">
        <v>2834</v>
      </c>
      <c r="C772" t="s">
        <v>1369</v>
      </c>
      <c r="D772">
        <v>1</v>
      </c>
      <c r="E772" t="s">
        <v>974</v>
      </c>
      <c r="F772" t="s">
        <v>975</v>
      </c>
      <c r="G772" t="s">
        <v>180</v>
      </c>
      <c r="H772" s="1" t="s">
        <v>976</v>
      </c>
      <c r="I772" s="1">
        <v>1150</v>
      </c>
      <c r="J772" s="20">
        <v>0</v>
      </c>
      <c r="K772" s="1">
        <v>0</v>
      </c>
      <c r="L772" s="1">
        <v>0</v>
      </c>
      <c r="M772" s="43" t="s">
        <v>2831</v>
      </c>
      <c r="O772" s="2" t="s">
        <v>2508</v>
      </c>
      <c r="P772" t="s">
        <v>22</v>
      </c>
      <c r="Q772" t="s">
        <v>818</v>
      </c>
    </row>
    <row r="773" spans="1:17" ht="15" customHeight="1" x14ac:dyDescent="0.25">
      <c r="A773" s="3" t="s">
        <v>1376</v>
      </c>
      <c r="B773" s="4" t="s">
        <v>2834</v>
      </c>
      <c r="C773" t="s">
        <v>1369</v>
      </c>
      <c r="D773">
        <v>1</v>
      </c>
      <c r="E773" t="s">
        <v>974</v>
      </c>
      <c r="F773" t="s">
        <v>975</v>
      </c>
      <c r="G773" t="s">
        <v>180</v>
      </c>
      <c r="H773" s="1" t="s">
        <v>976</v>
      </c>
      <c r="I773" s="1">
        <v>1150</v>
      </c>
      <c r="J773" s="20">
        <v>3</v>
      </c>
      <c r="K773" s="1">
        <v>76.92</v>
      </c>
      <c r="L773" s="1">
        <v>230.76</v>
      </c>
      <c r="M773" s="43" t="s">
        <v>2831</v>
      </c>
      <c r="O773" s="2" t="s">
        <v>2508</v>
      </c>
      <c r="P773" t="s">
        <v>23</v>
      </c>
      <c r="Q773" t="s">
        <v>818</v>
      </c>
    </row>
    <row r="774" spans="1:17" ht="15" customHeight="1" x14ac:dyDescent="0.25">
      <c r="A774" s="42" t="s">
        <v>1376</v>
      </c>
      <c r="B774" s="3" t="s">
        <v>2834</v>
      </c>
      <c r="C774" s="42" t="s">
        <v>1369</v>
      </c>
      <c r="D774">
        <v>3</v>
      </c>
      <c r="E774" t="s">
        <v>1179</v>
      </c>
      <c r="F774" t="s">
        <v>1180</v>
      </c>
      <c r="G774" t="s">
        <v>180</v>
      </c>
      <c r="H774" s="1" t="s">
        <v>976</v>
      </c>
      <c r="I774" s="1">
        <v>1150</v>
      </c>
      <c r="J774" s="20">
        <v>0</v>
      </c>
      <c r="K774" s="1">
        <v>76.92</v>
      </c>
      <c r="L774" s="1">
        <v>0</v>
      </c>
      <c r="M774" s="43" t="s">
        <v>2831</v>
      </c>
      <c r="O774" s="2" t="s">
        <v>2508</v>
      </c>
      <c r="P774" t="s">
        <v>23</v>
      </c>
      <c r="Q774" t="s">
        <v>818</v>
      </c>
    </row>
    <row r="775" spans="1:17" ht="15" customHeight="1" x14ac:dyDescent="0.25">
      <c r="A775" s="3" t="s">
        <v>1377</v>
      </c>
      <c r="B775" s="4" t="s">
        <v>2834</v>
      </c>
      <c r="C775" t="s">
        <v>1369</v>
      </c>
      <c r="D775">
        <v>1</v>
      </c>
      <c r="E775" t="s">
        <v>974</v>
      </c>
      <c r="F775" t="s">
        <v>975</v>
      </c>
      <c r="G775" t="s">
        <v>180</v>
      </c>
      <c r="H775" s="1" t="s">
        <v>976</v>
      </c>
      <c r="I775" s="1">
        <v>1150</v>
      </c>
      <c r="J775" s="20">
        <v>0</v>
      </c>
      <c r="K775" s="1">
        <v>120</v>
      </c>
      <c r="L775" s="1">
        <v>0</v>
      </c>
      <c r="M775" s="43" t="s">
        <v>2831</v>
      </c>
      <c r="O775" s="2" t="s">
        <v>2508</v>
      </c>
      <c r="Q775" t="s">
        <v>818</v>
      </c>
    </row>
    <row r="776" spans="1:17" ht="15" customHeight="1" x14ac:dyDescent="0.25">
      <c r="A776" s="3" t="s">
        <v>1378</v>
      </c>
      <c r="B776" s="4" t="s">
        <v>2834</v>
      </c>
      <c r="C776" t="s">
        <v>1369</v>
      </c>
      <c r="D776">
        <v>1</v>
      </c>
      <c r="E776" t="s">
        <v>974</v>
      </c>
      <c r="F776" t="s">
        <v>975</v>
      </c>
      <c r="G776" t="s">
        <v>180</v>
      </c>
      <c r="H776" s="1" t="s">
        <v>976</v>
      </c>
      <c r="I776" s="1">
        <v>860</v>
      </c>
      <c r="J776" s="20">
        <v>0</v>
      </c>
      <c r="K776" s="1">
        <v>310</v>
      </c>
      <c r="L776" s="1">
        <v>0</v>
      </c>
      <c r="M776" s="43" t="s">
        <v>2831</v>
      </c>
      <c r="O776" s="2" t="s">
        <v>2443</v>
      </c>
      <c r="P776" t="s">
        <v>23</v>
      </c>
      <c r="Q776" t="s">
        <v>819</v>
      </c>
    </row>
    <row r="777" spans="1:17" ht="15" customHeight="1" x14ac:dyDescent="0.25">
      <c r="A777" s="3" t="s">
        <v>1379</v>
      </c>
      <c r="B777" s="4" t="s">
        <v>2834</v>
      </c>
      <c r="C777" t="s">
        <v>1369</v>
      </c>
      <c r="D777">
        <v>1</v>
      </c>
      <c r="E777" t="s">
        <v>974</v>
      </c>
      <c r="F777" t="s">
        <v>975</v>
      </c>
      <c r="G777" t="s">
        <v>180</v>
      </c>
      <c r="H777" s="1" t="s">
        <v>976</v>
      </c>
      <c r="I777" s="1">
        <v>845</v>
      </c>
      <c r="J777" s="20">
        <v>9</v>
      </c>
      <c r="K777" s="1">
        <v>135.11000000000001</v>
      </c>
      <c r="L777" s="1">
        <v>1215.99</v>
      </c>
      <c r="M777" s="43" t="s">
        <v>2831</v>
      </c>
      <c r="O777" s="2" t="s">
        <v>2508</v>
      </c>
      <c r="Q777" t="s">
        <v>818</v>
      </c>
    </row>
    <row r="778" spans="1:17" ht="15" customHeight="1" x14ac:dyDescent="0.25">
      <c r="A778" s="3" t="s">
        <v>1380</v>
      </c>
      <c r="B778" s="4" t="s">
        <v>2835</v>
      </c>
      <c r="C778" t="s">
        <v>1369</v>
      </c>
      <c r="D778">
        <v>1</v>
      </c>
      <c r="E778" t="s">
        <v>974</v>
      </c>
      <c r="F778" t="s">
        <v>975</v>
      </c>
      <c r="G778" t="s">
        <v>180</v>
      </c>
      <c r="H778" s="1" t="s">
        <v>976</v>
      </c>
      <c r="I778" s="1">
        <v>810</v>
      </c>
      <c r="J778" s="20">
        <v>0</v>
      </c>
      <c r="K778" s="1">
        <v>162</v>
      </c>
      <c r="L778" s="1">
        <v>0</v>
      </c>
      <c r="M778" s="43" t="s">
        <v>2831</v>
      </c>
      <c r="O778" s="2" t="s">
        <v>2443</v>
      </c>
      <c r="P778" t="s">
        <v>23</v>
      </c>
      <c r="Q778" t="s">
        <v>820</v>
      </c>
    </row>
    <row r="779" spans="1:17" ht="15" customHeight="1" x14ac:dyDescent="0.25">
      <c r="A779" s="3" t="s">
        <v>1381</v>
      </c>
      <c r="B779" s="4" t="s">
        <v>2833</v>
      </c>
      <c r="C779" t="s">
        <v>1369</v>
      </c>
      <c r="D779">
        <v>1</v>
      </c>
      <c r="E779" t="s">
        <v>974</v>
      </c>
      <c r="F779" t="s">
        <v>975</v>
      </c>
      <c r="G779" t="s">
        <v>180</v>
      </c>
      <c r="H779" s="1" t="s">
        <v>976</v>
      </c>
      <c r="I779" s="1">
        <v>860</v>
      </c>
      <c r="J779" s="20">
        <v>1</v>
      </c>
      <c r="K779" s="1">
        <v>120</v>
      </c>
      <c r="L779" s="1">
        <v>120</v>
      </c>
      <c r="M779" s="43" t="s">
        <v>2831</v>
      </c>
      <c r="O779" s="2" t="s">
        <v>2447</v>
      </c>
      <c r="P779" t="s">
        <v>23</v>
      </c>
      <c r="Q779" t="s">
        <v>821</v>
      </c>
    </row>
    <row r="780" spans="1:17" ht="15" customHeight="1" x14ac:dyDescent="0.25">
      <c r="A780" s="3" t="s">
        <v>1382</v>
      </c>
      <c r="B780" s="4" t="s">
        <v>2837</v>
      </c>
      <c r="C780" t="s">
        <v>1383</v>
      </c>
      <c r="D780">
        <v>1</v>
      </c>
      <c r="E780" t="s">
        <v>974</v>
      </c>
      <c r="F780" t="s">
        <v>975</v>
      </c>
      <c r="G780" t="s">
        <v>976</v>
      </c>
      <c r="H780" s="1" t="s">
        <v>976</v>
      </c>
      <c r="I780" s="1">
        <v>830</v>
      </c>
      <c r="J780" s="20">
        <v>2</v>
      </c>
      <c r="K780" s="1">
        <v>229</v>
      </c>
      <c r="L780" s="1">
        <v>458</v>
      </c>
      <c r="M780" s="43" t="s">
        <v>2836</v>
      </c>
      <c r="O780" s="2" t="s">
        <v>2443</v>
      </c>
      <c r="P780">
        <v>35</v>
      </c>
      <c r="Q780" t="s">
        <v>822</v>
      </c>
    </row>
    <row r="781" spans="1:17" ht="15" customHeight="1" x14ac:dyDescent="0.25">
      <c r="A781" s="3" t="s">
        <v>1384</v>
      </c>
      <c r="B781" s="4" t="s">
        <v>2837</v>
      </c>
      <c r="C781" t="s">
        <v>1383</v>
      </c>
      <c r="D781">
        <v>1</v>
      </c>
      <c r="E781" t="s">
        <v>974</v>
      </c>
      <c r="F781" t="s">
        <v>975</v>
      </c>
      <c r="G781" t="s">
        <v>976</v>
      </c>
      <c r="H781" s="1" t="s">
        <v>976</v>
      </c>
      <c r="I781" s="1">
        <v>830</v>
      </c>
      <c r="J781" s="20">
        <v>2</v>
      </c>
      <c r="K781" s="1">
        <v>229</v>
      </c>
      <c r="L781" s="1">
        <v>458</v>
      </c>
      <c r="M781" s="43" t="s">
        <v>2836</v>
      </c>
      <c r="O781" s="2" t="s">
        <v>2443</v>
      </c>
      <c r="P781">
        <v>36</v>
      </c>
      <c r="Q781" t="s">
        <v>822</v>
      </c>
    </row>
    <row r="782" spans="1:17" ht="15" customHeight="1" x14ac:dyDescent="0.25">
      <c r="A782" s="3" t="s">
        <v>1385</v>
      </c>
      <c r="B782" s="4" t="s">
        <v>2837</v>
      </c>
      <c r="C782" t="s">
        <v>1383</v>
      </c>
      <c r="D782">
        <v>1</v>
      </c>
      <c r="E782" t="s">
        <v>974</v>
      </c>
      <c r="F782" t="s">
        <v>975</v>
      </c>
      <c r="G782" t="s">
        <v>976</v>
      </c>
      <c r="H782" s="1" t="s">
        <v>976</v>
      </c>
      <c r="I782" s="1">
        <v>830</v>
      </c>
      <c r="J782" s="20">
        <v>3</v>
      </c>
      <c r="K782" s="1">
        <v>229</v>
      </c>
      <c r="L782" s="1">
        <v>687</v>
      </c>
      <c r="M782" s="43" t="s">
        <v>2836</v>
      </c>
      <c r="O782" s="2" t="s">
        <v>2443</v>
      </c>
      <c r="P782">
        <v>37</v>
      </c>
      <c r="Q782" t="s">
        <v>822</v>
      </c>
    </row>
    <row r="783" spans="1:17" ht="15" customHeight="1" x14ac:dyDescent="0.25">
      <c r="A783" s="3" t="s">
        <v>1386</v>
      </c>
      <c r="B783" s="4" t="s">
        <v>2837</v>
      </c>
      <c r="C783" t="s">
        <v>1383</v>
      </c>
      <c r="D783">
        <v>1</v>
      </c>
      <c r="E783" t="s">
        <v>974</v>
      </c>
      <c r="F783" t="s">
        <v>975</v>
      </c>
      <c r="G783" t="s">
        <v>976</v>
      </c>
      <c r="H783" s="1" t="s">
        <v>976</v>
      </c>
      <c r="I783" s="1">
        <v>830</v>
      </c>
      <c r="J783" s="20">
        <v>3</v>
      </c>
      <c r="K783" s="1">
        <v>229</v>
      </c>
      <c r="L783" s="1">
        <v>687</v>
      </c>
      <c r="M783" s="43" t="s">
        <v>2836</v>
      </c>
      <c r="O783" s="2" t="s">
        <v>2443</v>
      </c>
      <c r="P783">
        <v>38</v>
      </c>
      <c r="Q783" t="s">
        <v>822</v>
      </c>
    </row>
    <row r="784" spans="1:17" ht="15" customHeight="1" x14ac:dyDescent="0.25">
      <c r="A784" s="3" t="s">
        <v>1387</v>
      </c>
      <c r="B784" s="4" t="s">
        <v>2837</v>
      </c>
      <c r="C784" t="s">
        <v>1383</v>
      </c>
      <c r="D784">
        <v>1</v>
      </c>
      <c r="E784" t="s">
        <v>974</v>
      </c>
      <c r="F784" t="s">
        <v>975</v>
      </c>
      <c r="G784" t="s">
        <v>976</v>
      </c>
      <c r="H784" s="1" t="s">
        <v>976</v>
      </c>
      <c r="I784" s="1">
        <v>830</v>
      </c>
      <c r="J784" s="20">
        <v>3</v>
      </c>
      <c r="K784" s="1">
        <v>229</v>
      </c>
      <c r="L784" s="1">
        <v>687</v>
      </c>
      <c r="M784" s="43" t="s">
        <v>2836</v>
      </c>
      <c r="O784" s="2" t="s">
        <v>2443</v>
      </c>
      <c r="P784">
        <v>39</v>
      </c>
      <c r="Q784" t="s">
        <v>822</v>
      </c>
    </row>
    <row r="785" spans="1:17" ht="15" customHeight="1" x14ac:dyDescent="0.25">
      <c r="A785" s="3" t="s">
        <v>1388</v>
      </c>
      <c r="B785" s="4" t="s">
        <v>2837</v>
      </c>
      <c r="C785" t="s">
        <v>1383</v>
      </c>
      <c r="D785">
        <v>1</v>
      </c>
      <c r="E785" t="s">
        <v>974</v>
      </c>
      <c r="F785" t="s">
        <v>975</v>
      </c>
      <c r="G785" t="s">
        <v>976</v>
      </c>
      <c r="H785" s="1" t="s">
        <v>976</v>
      </c>
      <c r="I785" s="1">
        <v>830</v>
      </c>
      <c r="J785" s="20">
        <v>3</v>
      </c>
      <c r="K785" s="1">
        <v>229</v>
      </c>
      <c r="L785" s="1">
        <v>687</v>
      </c>
      <c r="M785" s="43" t="s">
        <v>2836</v>
      </c>
      <c r="O785" s="2" t="s">
        <v>2443</v>
      </c>
      <c r="P785">
        <v>40</v>
      </c>
      <c r="Q785" t="s">
        <v>822</v>
      </c>
    </row>
    <row r="786" spans="1:17" ht="15" customHeight="1" x14ac:dyDescent="0.25">
      <c r="A786" s="3" t="s">
        <v>1389</v>
      </c>
      <c r="B786" s="4" t="s">
        <v>2837</v>
      </c>
      <c r="C786" t="s">
        <v>1383</v>
      </c>
      <c r="D786">
        <v>1</v>
      </c>
      <c r="E786" t="s">
        <v>974</v>
      </c>
      <c r="F786" t="s">
        <v>975</v>
      </c>
      <c r="G786" t="s">
        <v>976</v>
      </c>
      <c r="H786" s="1" t="s">
        <v>976</v>
      </c>
      <c r="I786" s="1">
        <v>830</v>
      </c>
      <c r="J786" s="20">
        <v>4</v>
      </c>
      <c r="K786" s="1">
        <v>229</v>
      </c>
      <c r="L786" s="1">
        <v>916</v>
      </c>
      <c r="M786" s="43" t="s">
        <v>2836</v>
      </c>
      <c r="O786" s="2" t="s">
        <v>2443</v>
      </c>
      <c r="Q786" t="s">
        <v>822</v>
      </c>
    </row>
    <row r="787" spans="1:17" ht="15" customHeight="1" x14ac:dyDescent="0.25">
      <c r="A787" s="3" t="s">
        <v>1390</v>
      </c>
      <c r="B787" s="4" t="s">
        <v>2837</v>
      </c>
      <c r="C787" t="s">
        <v>1383</v>
      </c>
      <c r="D787">
        <v>1</v>
      </c>
      <c r="E787" t="s">
        <v>974</v>
      </c>
      <c r="F787" t="s">
        <v>975</v>
      </c>
      <c r="G787" t="s">
        <v>976</v>
      </c>
      <c r="H787" s="1" t="s">
        <v>976</v>
      </c>
      <c r="I787" s="1">
        <v>830</v>
      </c>
      <c r="J787" s="20">
        <v>4</v>
      </c>
      <c r="K787" s="1">
        <v>229</v>
      </c>
      <c r="L787" s="1">
        <v>916</v>
      </c>
      <c r="M787" s="43" t="s">
        <v>2836</v>
      </c>
      <c r="O787" s="2" t="s">
        <v>2443</v>
      </c>
      <c r="P787">
        <v>42</v>
      </c>
      <c r="Q787" t="s">
        <v>822</v>
      </c>
    </row>
    <row r="788" spans="1:17" ht="15" customHeight="1" x14ac:dyDescent="0.25">
      <c r="A788" s="3" t="s">
        <v>1391</v>
      </c>
      <c r="B788" s="4" t="s">
        <v>2837</v>
      </c>
      <c r="C788" t="s">
        <v>1383</v>
      </c>
      <c r="D788">
        <v>1</v>
      </c>
      <c r="E788" t="s">
        <v>974</v>
      </c>
      <c r="F788" t="s">
        <v>975</v>
      </c>
      <c r="G788" t="s">
        <v>976</v>
      </c>
      <c r="H788" s="1" t="s">
        <v>976</v>
      </c>
      <c r="I788" s="1">
        <v>830</v>
      </c>
      <c r="J788" s="20">
        <v>3</v>
      </c>
      <c r="K788" s="1">
        <v>229</v>
      </c>
      <c r="L788" s="1">
        <v>687</v>
      </c>
      <c r="M788" s="43" t="s">
        <v>2836</v>
      </c>
      <c r="O788" s="2" t="s">
        <v>2443</v>
      </c>
      <c r="Q788" t="s">
        <v>822</v>
      </c>
    </row>
    <row r="789" spans="1:17" ht="15" customHeight="1" x14ac:dyDescent="0.25">
      <c r="A789" s="3" t="s">
        <v>1392</v>
      </c>
      <c r="B789" s="4" t="s">
        <v>2837</v>
      </c>
      <c r="C789" t="s">
        <v>1383</v>
      </c>
      <c r="D789">
        <v>1</v>
      </c>
      <c r="E789" t="s">
        <v>974</v>
      </c>
      <c r="F789" t="s">
        <v>975</v>
      </c>
      <c r="G789" t="s">
        <v>976</v>
      </c>
      <c r="H789" s="1" t="s">
        <v>976</v>
      </c>
      <c r="I789" s="1">
        <v>830</v>
      </c>
      <c r="J789" s="20">
        <v>2</v>
      </c>
      <c r="K789" s="1">
        <v>229</v>
      </c>
      <c r="L789" s="1">
        <v>458</v>
      </c>
      <c r="M789" s="43" t="s">
        <v>2836</v>
      </c>
      <c r="O789" s="2" t="s">
        <v>2443</v>
      </c>
      <c r="P789">
        <v>44</v>
      </c>
      <c r="Q789" t="s">
        <v>822</v>
      </c>
    </row>
    <row r="790" spans="1:17" ht="15" customHeight="1" x14ac:dyDescent="0.25">
      <c r="A790" s="3" t="s">
        <v>1393</v>
      </c>
      <c r="B790" s="4" t="s">
        <v>2837</v>
      </c>
      <c r="C790" t="s">
        <v>1383</v>
      </c>
      <c r="D790">
        <v>1</v>
      </c>
      <c r="E790" t="s">
        <v>974</v>
      </c>
      <c r="F790" t="s">
        <v>975</v>
      </c>
      <c r="G790" t="s">
        <v>976</v>
      </c>
      <c r="H790" s="1" t="s">
        <v>976</v>
      </c>
      <c r="I790" s="1">
        <v>0.1</v>
      </c>
      <c r="J790" s="20">
        <v>0</v>
      </c>
      <c r="K790" s="1">
        <v>0</v>
      </c>
      <c r="L790" s="1">
        <v>0</v>
      </c>
      <c r="M790" s="43" t="s">
        <v>2836</v>
      </c>
      <c r="O790" s="2" t="s">
        <v>2443</v>
      </c>
      <c r="Q790" t="s">
        <v>822</v>
      </c>
    </row>
    <row r="791" spans="1:17" ht="15" customHeight="1" x14ac:dyDescent="0.25">
      <c r="A791" s="3" t="s">
        <v>1394</v>
      </c>
      <c r="B791" s="4" t="s">
        <v>270</v>
      </c>
      <c r="C791" t="s">
        <v>1383</v>
      </c>
      <c r="D791">
        <v>1</v>
      </c>
      <c r="E791" t="s">
        <v>974</v>
      </c>
      <c r="F791" t="s">
        <v>975</v>
      </c>
      <c r="G791" t="s">
        <v>976</v>
      </c>
      <c r="H791" s="1" t="s">
        <v>976</v>
      </c>
      <c r="I791" s="1">
        <v>830</v>
      </c>
      <c r="J791" s="20">
        <v>0</v>
      </c>
      <c r="K791" s="1">
        <v>229</v>
      </c>
      <c r="L791" s="1">
        <v>0</v>
      </c>
      <c r="M791" s="43" t="s">
        <v>2836</v>
      </c>
      <c r="P791">
        <v>35</v>
      </c>
      <c r="Q791" t="s">
        <v>270</v>
      </c>
    </row>
    <row r="792" spans="1:17" ht="15" customHeight="1" x14ac:dyDescent="0.25">
      <c r="A792" s="3" t="s">
        <v>1395</v>
      </c>
      <c r="B792" s="4" t="s">
        <v>271</v>
      </c>
      <c r="C792" t="s">
        <v>1383</v>
      </c>
      <c r="D792">
        <v>1</v>
      </c>
      <c r="E792" t="s">
        <v>974</v>
      </c>
      <c r="F792" t="s">
        <v>975</v>
      </c>
      <c r="G792" t="s">
        <v>976</v>
      </c>
      <c r="H792" s="1" t="s">
        <v>976</v>
      </c>
      <c r="I792" s="1">
        <v>830</v>
      </c>
      <c r="J792" s="20">
        <v>1</v>
      </c>
      <c r="K792" s="1">
        <v>229</v>
      </c>
      <c r="L792" s="1">
        <v>229</v>
      </c>
      <c r="M792" s="43" t="s">
        <v>2836</v>
      </c>
      <c r="P792">
        <v>36</v>
      </c>
      <c r="Q792" t="s">
        <v>271</v>
      </c>
    </row>
    <row r="793" spans="1:17" ht="15" customHeight="1" x14ac:dyDescent="0.25">
      <c r="A793" s="3" t="s">
        <v>1396</v>
      </c>
      <c r="B793" s="4" t="s">
        <v>272</v>
      </c>
      <c r="C793" t="s">
        <v>1383</v>
      </c>
      <c r="D793">
        <v>1</v>
      </c>
      <c r="E793" t="s">
        <v>974</v>
      </c>
      <c r="F793" t="s">
        <v>975</v>
      </c>
      <c r="G793" t="s">
        <v>976</v>
      </c>
      <c r="H793" s="1" t="s">
        <v>976</v>
      </c>
      <c r="I793" s="1">
        <v>830</v>
      </c>
      <c r="J793" s="20">
        <v>1</v>
      </c>
      <c r="K793" s="1">
        <v>229</v>
      </c>
      <c r="L793" s="1">
        <v>229</v>
      </c>
      <c r="M793" s="43" t="s">
        <v>2836</v>
      </c>
      <c r="P793">
        <v>37</v>
      </c>
      <c r="Q793" t="s">
        <v>272</v>
      </c>
    </row>
    <row r="794" spans="1:17" ht="15" customHeight="1" x14ac:dyDescent="0.25">
      <c r="A794" s="3" t="s">
        <v>1397</v>
      </c>
      <c r="B794" s="4" t="s">
        <v>273</v>
      </c>
      <c r="C794" t="s">
        <v>1383</v>
      </c>
      <c r="D794">
        <v>1</v>
      </c>
      <c r="E794" t="s">
        <v>974</v>
      </c>
      <c r="F794" t="s">
        <v>975</v>
      </c>
      <c r="G794" t="s">
        <v>976</v>
      </c>
      <c r="H794" s="1" t="s">
        <v>976</v>
      </c>
      <c r="I794" s="1">
        <v>830</v>
      </c>
      <c r="J794" s="20">
        <v>1</v>
      </c>
      <c r="K794" s="1">
        <v>229</v>
      </c>
      <c r="L794" s="1">
        <v>229</v>
      </c>
      <c r="M794" s="43" t="s">
        <v>2836</v>
      </c>
      <c r="P794">
        <v>38</v>
      </c>
      <c r="Q794" t="s">
        <v>273</v>
      </c>
    </row>
    <row r="795" spans="1:17" ht="15" customHeight="1" x14ac:dyDescent="0.25">
      <c r="A795" s="3" t="s">
        <v>1398</v>
      </c>
      <c r="B795" s="4" t="s">
        <v>274</v>
      </c>
      <c r="C795" t="s">
        <v>1383</v>
      </c>
      <c r="D795">
        <v>1</v>
      </c>
      <c r="E795" t="s">
        <v>974</v>
      </c>
      <c r="F795" t="s">
        <v>975</v>
      </c>
      <c r="G795" t="s">
        <v>976</v>
      </c>
      <c r="H795" s="1" t="s">
        <v>976</v>
      </c>
      <c r="I795" s="1">
        <v>830</v>
      </c>
      <c r="J795" s="20">
        <v>3</v>
      </c>
      <c r="K795" s="1">
        <v>229</v>
      </c>
      <c r="L795" s="1">
        <v>687</v>
      </c>
      <c r="M795" s="43" t="s">
        <v>2836</v>
      </c>
      <c r="P795">
        <v>39</v>
      </c>
      <c r="Q795" t="s">
        <v>274</v>
      </c>
    </row>
    <row r="796" spans="1:17" ht="15" customHeight="1" x14ac:dyDescent="0.25">
      <c r="A796" s="3" t="s">
        <v>1399</v>
      </c>
      <c r="B796" s="4" t="s">
        <v>275</v>
      </c>
      <c r="C796" t="s">
        <v>1383</v>
      </c>
      <c r="D796">
        <v>1</v>
      </c>
      <c r="E796" t="s">
        <v>974</v>
      </c>
      <c r="F796" t="s">
        <v>975</v>
      </c>
      <c r="G796" t="s">
        <v>976</v>
      </c>
      <c r="H796" s="1" t="s">
        <v>976</v>
      </c>
      <c r="I796" s="1">
        <v>830</v>
      </c>
      <c r="J796" s="20">
        <v>2</v>
      </c>
      <c r="K796" s="1">
        <v>229</v>
      </c>
      <c r="L796" s="1">
        <v>458</v>
      </c>
      <c r="M796" s="43" t="s">
        <v>2836</v>
      </c>
      <c r="P796">
        <v>40</v>
      </c>
      <c r="Q796" t="s">
        <v>275</v>
      </c>
    </row>
    <row r="797" spans="1:17" ht="15" customHeight="1" x14ac:dyDescent="0.25">
      <c r="A797" s="3" t="s">
        <v>1400</v>
      </c>
      <c r="B797" s="4" t="s">
        <v>276</v>
      </c>
      <c r="C797" t="s">
        <v>1383</v>
      </c>
      <c r="D797">
        <v>1</v>
      </c>
      <c r="E797" t="s">
        <v>974</v>
      </c>
      <c r="F797" t="s">
        <v>975</v>
      </c>
      <c r="G797" t="s">
        <v>976</v>
      </c>
      <c r="H797" s="1" t="s">
        <v>976</v>
      </c>
      <c r="I797" s="1">
        <v>830</v>
      </c>
      <c r="J797" s="20">
        <v>2</v>
      </c>
      <c r="K797" s="1">
        <v>229</v>
      </c>
      <c r="L797" s="1">
        <v>458</v>
      </c>
      <c r="M797" s="43" t="s">
        <v>2836</v>
      </c>
      <c r="Q797" t="s">
        <v>276</v>
      </c>
    </row>
    <row r="798" spans="1:17" ht="15" customHeight="1" x14ac:dyDescent="0.25">
      <c r="A798" s="3" t="s">
        <v>1401</v>
      </c>
      <c r="B798" s="4" t="s">
        <v>277</v>
      </c>
      <c r="C798" t="s">
        <v>1383</v>
      </c>
      <c r="D798">
        <v>1</v>
      </c>
      <c r="E798" t="s">
        <v>974</v>
      </c>
      <c r="F798" t="s">
        <v>975</v>
      </c>
      <c r="G798" t="s">
        <v>976</v>
      </c>
      <c r="H798" s="1" t="s">
        <v>976</v>
      </c>
      <c r="I798" s="1">
        <v>830</v>
      </c>
      <c r="J798" s="20">
        <v>2</v>
      </c>
      <c r="K798" s="1">
        <v>229</v>
      </c>
      <c r="L798" s="1">
        <v>458</v>
      </c>
      <c r="M798" s="43" t="s">
        <v>2836</v>
      </c>
      <c r="P798">
        <v>42</v>
      </c>
      <c r="Q798" t="s">
        <v>277</v>
      </c>
    </row>
    <row r="799" spans="1:17" ht="15" customHeight="1" x14ac:dyDescent="0.25">
      <c r="A799" s="3" t="s">
        <v>1402</v>
      </c>
      <c r="B799" s="4" t="s">
        <v>278</v>
      </c>
      <c r="C799" t="s">
        <v>1383</v>
      </c>
      <c r="D799">
        <v>1</v>
      </c>
      <c r="E799" t="s">
        <v>974</v>
      </c>
      <c r="F799" t="s">
        <v>975</v>
      </c>
      <c r="G799" t="s">
        <v>976</v>
      </c>
      <c r="H799" s="1" t="s">
        <v>976</v>
      </c>
      <c r="I799" s="1">
        <v>830</v>
      </c>
      <c r="J799" s="20">
        <v>2</v>
      </c>
      <c r="K799" s="1">
        <v>229</v>
      </c>
      <c r="L799" s="1">
        <v>458</v>
      </c>
      <c r="M799" s="43" t="s">
        <v>2836</v>
      </c>
      <c r="Q799" t="s">
        <v>278</v>
      </c>
    </row>
    <row r="800" spans="1:17" ht="15" customHeight="1" x14ac:dyDescent="0.25">
      <c r="A800" s="3" t="s">
        <v>1403</v>
      </c>
      <c r="B800" s="4" t="s">
        <v>279</v>
      </c>
      <c r="C800" t="s">
        <v>1383</v>
      </c>
      <c r="D800">
        <v>1</v>
      </c>
      <c r="E800" t="s">
        <v>974</v>
      </c>
      <c r="F800" t="s">
        <v>975</v>
      </c>
      <c r="G800" t="s">
        <v>976</v>
      </c>
      <c r="H800" s="1" t="s">
        <v>976</v>
      </c>
      <c r="I800" s="1">
        <v>830</v>
      </c>
      <c r="J800" s="20">
        <v>1</v>
      </c>
      <c r="K800" s="1">
        <v>229</v>
      </c>
      <c r="L800" s="1">
        <v>229</v>
      </c>
      <c r="M800" s="43" t="s">
        <v>2836</v>
      </c>
      <c r="P800">
        <v>44</v>
      </c>
      <c r="Q800" t="s">
        <v>279</v>
      </c>
    </row>
    <row r="801" spans="1:17" ht="15" customHeight="1" x14ac:dyDescent="0.25">
      <c r="A801" s="3" t="s">
        <v>2230</v>
      </c>
      <c r="B801" s="4" t="s">
        <v>2838</v>
      </c>
      <c r="C801" t="s">
        <v>1383</v>
      </c>
      <c r="D801">
        <v>1</v>
      </c>
      <c r="E801" t="s">
        <v>974</v>
      </c>
      <c r="F801" t="s">
        <v>975</v>
      </c>
      <c r="G801" t="s">
        <v>180</v>
      </c>
      <c r="H801" s="1" t="s">
        <v>976</v>
      </c>
      <c r="I801" s="1">
        <v>89</v>
      </c>
      <c r="J801" s="20">
        <v>20</v>
      </c>
      <c r="K801" s="1">
        <v>24</v>
      </c>
      <c r="L801" s="1">
        <v>480</v>
      </c>
      <c r="M801" s="43" t="s">
        <v>2836</v>
      </c>
      <c r="O801" s="2" t="s">
        <v>2443</v>
      </c>
      <c r="Q801" t="s">
        <v>823</v>
      </c>
    </row>
    <row r="802" spans="1:17" ht="15" customHeight="1" x14ac:dyDescent="0.25">
      <c r="A802" s="3" t="s">
        <v>2231</v>
      </c>
      <c r="B802" s="4" t="s">
        <v>2838</v>
      </c>
      <c r="C802" t="s">
        <v>1383</v>
      </c>
      <c r="D802">
        <v>1</v>
      </c>
      <c r="E802" t="s">
        <v>974</v>
      </c>
      <c r="F802" t="s">
        <v>975</v>
      </c>
      <c r="G802" t="s">
        <v>180</v>
      </c>
      <c r="H802" s="1" t="s">
        <v>976</v>
      </c>
      <c r="I802" s="1">
        <v>89</v>
      </c>
      <c r="J802" s="20">
        <v>18</v>
      </c>
      <c r="K802" s="1">
        <v>89</v>
      </c>
      <c r="L802" s="1">
        <v>1602</v>
      </c>
      <c r="M802" s="43" t="s">
        <v>2836</v>
      </c>
      <c r="O802" s="2" t="s">
        <v>2443</v>
      </c>
      <c r="Q802" t="s">
        <v>823</v>
      </c>
    </row>
    <row r="803" spans="1:17" ht="15" customHeight="1" x14ac:dyDescent="0.25">
      <c r="A803" s="3" t="s">
        <v>2232</v>
      </c>
      <c r="B803" s="4" t="s">
        <v>2839</v>
      </c>
      <c r="C803" t="s">
        <v>1383</v>
      </c>
      <c r="D803">
        <v>1</v>
      </c>
      <c r="E803" t="s">
        <v>974</v>
      </c>
      <c r="F803" t="s">
        <v>975</v>
      </c>
      <c r="G803" t="s">
        <v>180</v>
      </c>
      <c r="H803" s="1" t="s">
        <v>976</v>
      </c>
      <c r="I803" s="1">
        <v>89</v>
      </c>
      <c r="J803" s="20">
        <v>10</v>
      </c>
      <c r="K803" s="1">
        <v>24</v>
      </c>
      <c r="L803" s="1">
        <v>240</v>
      </c>
      <c r="M803" s="43" t="s">
        <v>2836</v>
      </c>
      <c r="O803" s="2" t="s">
        <v>2447</v>
      </c>
      <c r="Q803" t="s">
        <v>824</v>
      </c>
    </row>
    <row r="804" spans="1:17" ht="15" customHeight="1" x14ac:dyDescent="0.25">
      <c r="A804" s="3" t="s">
        <v>2233</v>
      </c>
      <c r="B804" s="4" t="s">
        <v>2839</v>
      </c>
      <c r="C804" t="s">
        <v>1383</v>
      </c>
      <c r="D804">
        <v>1</v>
      </c>
      <c r="E804" t="s">
        <v>974</v>
      </c>
      <c r="F804" t="s">
        <v>975</v>
      </c>
      <c r="G804" t="s">
        <v>180</v>
      </c>
      <c r="H804" s="1" t="s">
        <v>976</v>
      </c>
      <c r="I804" s="1">
        <v>89</v>
      </c>
      <c r="J804" s="20">
        <v>17</v>
      </c>
      <c r="K804" s="1">
        <v>24</v>
      </c>
      <c r="L804" s="1">
        <v>408</v>
      </c>
      <c r="M804" s="43" t="s">
        <v>2836</v>
      </c>
      <c r="O804" s="2" t="s">
        <v>2447</v>
      </c>
      <c r="Q804" t="s">
        <v>824</v>
      </c>
    </row>
    <row r="805" spans="1:17" ht="15" customHeight="1" x14ac:dyDescent="0.25">
      <c r="A805" s="3" t="s">
        <v>2234</v>
      </c>
      <c r="B805" s="4" t="s">
        <v>2839</v>
      </c>
      <c r="C805" t="s">
        <v>1383</v>
      </c>
      <c r="D805">
        <v>1</v>
      </c>
      <c r="E805" t="s">
        <v>974</v>
      </c>
      <c r="F805" t="s">
        <v>975</v>
      </c>
      <c r="G805" t="s">
        <v>180</v>
      </c>
      <c r="H805" s="1" t="s">
        <v>976</v>
      </c>
      <c r="I805" s="1">
        <v>89</v>
      </c>
      <c r="J805" s="20">
        <v>1</v>
      </c>
      <c r="K805" s="1">
        <v>24</v>
      </c>
      <c r="L805" s="1">
        <v>24</v>
      </c>
      <c r="M805" s="43" t="s">
        <v>2836</v>
      </c>
      <c r="O805" s="2" t="s">
        <v>2447</v>
      </c>
      <c r="Q805" t="s">
        <v>824</v>
      </c>
    </row>
    <row r="806" spans="1:17" ht="15" customHeight="1" x14ac:dyDescent="0.25">
      <c r="A806" s="3" t="s">
        <v>2235</v>
      </c>
      <c r="B806" s="4" t="s">
        <v>2840</v>
      </c>
      <c r="C806" t="s">
        <v>1383</v>
      </c>
      <c r="D806">
        <v>1</v>
      </c>
      <c r="E806" t="s">
        <v>974</v>
      </c>
      <c r="F806" t="s">
        <v>975</v>
      </c>
      <c r="G806" t="s">
        <v>180</v>
      </c>
      <c r="H806" s="1" t="s">
        <v>976</v>
      </c>
      <c r="I806" s="1">
        <v>89</v>
      </c>
      <c r="J806" s="20">
        <v>23</v>
      </c>
      <c r="K806" s="1">
        <v>24</v>
      </c>
      <c r="L806" s="1">
        <v>552</v>
      </c>
      <c r="M806" s="43" t="s">
        <v>2836</v>
      </c>
      <c r="O806" s="2" t="s">
        <v>2472</v>
      </c>
      <c r="Q806" t="s">
        <v>825</v>
      </c>
    </row>
    <row r="807" spans="1:17" ht="15" customHeight="1" x14ac:dyDescent="0.25">
      <c r="A807" s="3" t="s">
        <v>2236</v>
      </c>
      <c r="B807" s="4" t="s">
        <v>2840</v>
      </c>
      <c r="C807" t="s">
        <v>1383</v>
      </c>
      <c r="D807">
        <v>1</v>
      </c>
      <c r="E807" t="s">
        <v>974</v>
      </c>
      <c r="F807" t="s">
        <v>975</v>
      </c>
      <c r="G807" t="s">
        <v>180</v>
      </c>
      <c r="H807" s="1" t="s">
        <v>976</v>
      </c>
      <c r="I807" s="1">
        <v>89</v>
      </c>
      <c r="J807" s="20">
        <v>63</v>
      </c>
      <c r="K807" s="1">
        <v>24</v>
      </c>
      <c r="L807" s="1">
        <v>1512</v>
      </c>
      <c r="M807" s="43" t="s">
        <v>2836</v>
      </c>
      <c r="O807" s="2" t="s">
        <v>2472</v>
      </c>
      <c r="Q807" t="s">
        <v>825</v>
      </c>
    </row>
    <row r="808" spans="1:17" ht="15" customHeight="1" x14ac:dyDescent="0.25">
      <c r="A808" s="3" t="s">
        <v>2237</v>
      </c>
      <c r="B808" s="4" t="s">
        <v>2840</v>
      </c>
      <c r="C808" t="s">
        <v>1383</v>
      </c>
      <c r="D808">
        <v>1</v>
      </c>
      <c r="E808" t="s">
        <v>974</v>
      </c>
      <c r="F808" t="s">
        <v>975</v>
      </c>
      <c r="G808" t="s">
        <v>180</v>
      </c>
      <c r="H808" s="1" t="s">
        <v>976</v>
      </c>
      <c r="I808" s="1">
        <v>89</v>
      </c>
      <c r="J808" s="20">
        <v>53</v>
      </c>
      <c r="K808" s="1">
        <v>24</v>
      </c>
      <c r="L808" s="1">
        <v>1272</v>
      </c>
      <c r="M808" s="43" t="s">
        <v>2836</v>
      </c>
      <c r="O808" s="2" t="s">
        <v>2472</v>
      </c>
      <c r="Q808" t="s">
        <v>825</v>
      </c>
    </row>
    <row r="809" spans="1:17" ht="15" customHeight="1" x14ac:dyDescent="0.25">
      <c r="A809" s="3" t="s">
        <v>2238</v>
      </c>
      <c r="B809" s="4" t="s">
        <v>2840</v>
      </c>
      <c r="C809" t="s">
        <v>1383</v>
      </c>
      <c r="D809">
        <v>1</v>
      </c>
      <c r="E809" t="s">
        <v>974</v>
      </c>
      <c r="F809" t="s">
        <v>975</v>
      </c>
      <c r="G809" t="s">
        <v>180</v>
      </c>
      <c r="H809" s="1" t="s">
        <v>976</v>
      </c>
      <c r="I809" s="1">
        <v>89</v>
      </c>
      <c r="J809" s="20">
        <v>-2</v>
      </c>
      <c r="K809" s="1">
        <v>0</v>
      </c>
      <c r="L809" s="1">
        <v>0</v>
      </c>
      <c r="M809" s="43" t="s">
        <v>2836</v>
      </c>
      <c r="O809" s="2" t="s">
        <v>2472</v>
      </c>
      <c r="Q809" t="s">
        <v>825</v>
      </c>
    </row>
    <row r="810" spans="1:17" ht="15" customHeight="1" x14ac:dyDescent="0.25">
      <c r="A810" s="3" t="s">
        <v>1404</v>
      </c>
      <c r="B810" s="4" t="s">
        <v>2841</v>
      </c>
      <c r="C810" t="s">
        <v>1383</v>
      </c>
      <c r="D810">
        <v>1</v>
      </c>
      <c r="E810" t="s">
        <v>974</v>
      </c>
      <c r="F810" t="s">
        <v>975</v>
      </c>
      <c r="G810" t="s">
        <v>180</v>
      </c>
      <c r="H810" s="1" t="s">
        <v>976</v>
      </c>
      <c r="I810" s="1">
        <v>59.9</v>
      </c>
      <c r="J810" s="20">
        <v>22</v>
      </c>
      <c r="K810" s="1">
        <v>19</v>
      </c>
      <c r="L810" s="1">
        <v>418</v>
      </c>
      <c r="M810" s="43" t="s">
        <v>2836</v>
      </c>
      <c r="O810" s="2" t="s">
        <v>2472</v>
      </c>
      <c r="Q810" t="s">
        <v>826</v>
      </c>
    </row>
    <row r="811" spans="1:17" ht="15" customHeight="1" x14ac:dyDescent="0.25">
      <c r="A811" s="3" t="s">
        <v>1405</v>
      </c>
      <c r="B811" s="4" t="s">
        <v>2841</v>
      </c>
      <c r="C811" t="s">
        <v>1383</v>
      </c>
      <c r="D811">
        <v>1</v>
      </c>
      <c r="E811" t="s">
        <v>974</v>
      </c>
      <c r="F811" t="s">
        <v>975</v>
      </c>
      <c r="G811" t="s">
        <v>180</v>
      </c>
      <c r="H811" s="1" t="s">
        <v>976</v>
      </c>
      <c r="I811" s="1">
        <v>59.9</v>
      </c>
      <c r="J811" s="20">
        <v>34</v>
      </c>
      <c r="K811" s="1">
        <v>19</v>
      </c>
      <c r="L811" s="1">
        <v>646</v>
      </c>
      <c r="M811" s="43" t="s">
        <v>2836</v>
      </c>
      <c r="O811" s="2" t="s">
        <v>2472</v>
      </c>
      <c r="Q811" t="s">
        <v>826</v>
      </c>
    </row>
    <row r="812" spans="1:17" ht="15" customHeight="1" x14ac:dyDescent="0.25">
      <c r="A812" s="3" t="s">
        <v>1406</v>
      </c>
      <c r="B812" s="4" t="s">
        <v>2841</v>
      </c>
      <c r="C812" t="s">
        <v>1383</v>
      </c>
      <c r="D812">
        <v>1</v>
      </c>
      <c r="E812" t="s">
        <v>974</v>
      </c>
      <c r="F812" t="s">
        <v>975</v>
      </c>
      <c r="G812" t="s">
        <v>180</v>
      </c>
      <c r="H812" s="1" t="s">
        <v>976</v>
      </c>
      <c r="I812" s="1">
        <v>59.9</v>
      </c>
      <c r="J812" s="20">
        <v>24</v>
      </c>
      <c r="K812" s="1">
        <v>19</v>
      </c>
      <c r="L812" s="1">
        <v>456</v>
      </c>
      <c r="M812" s="43" t="s">
        <v>2836</v>
      </c>
      <c r="O812" s="2" t="s">
        <v>2472</v>
      </c>
      <c r="Q812" t="s">
        <v>826</v>
      </c>
    </row>
    <row r="813" spans="1:17" ht="15" customHeight="1" x14ac:dyDescent="0.25">
      <c r="A813" s="3" t="s">
        <v>1407</v>
      </c>
      <c r="B813" s="4" t="s">
        <v>2841</v>
      </c>
      <c r="C813" t="s">
        <v>1383</v>
      </c>
      <c r="D813">
        <v>1</v>
      </c>
      <c r="E813" t="s">
        <v>974</v>
      </c>
      <c r="F813" t="s">
        <v>975</v>
      </c>
      <c r="G813" t="s">
        <v>180</v>
      </c>
      <c r="H813" s="1" t="s">
        <v>976</v>
      </c>
      <c r="I813" s="1">
        <v>59.9</v>
      </c>
      <c r="J813" s="20">
        <v>-7</v>
      </c>
      <c r="K813" s="1">
        <v>19</v>
      </c>
      <c r="L813" s="1">
        <v>-133</v>
      </c>
      <c r="M813" s="43" t="s">
        <v>2836</v>
      </c>
      <c r="O813" s="2" t="s">
        <v>2472</v>
      </c>
      <c r="Q813" t="s">
        <v>826</v>
      </c>
    </row>
    <row r="814" spans="1:17" ht="15" customHeight="1" x14ac:dyDescent="0.25">
      <c r="A814" s="3" t="s">
        <v>1408</v>
      </c>
      <c r="B814" s="4" t="s">
        <v>2841</v>
      </c>
      <c r="C814" t="s">
        <v>1383</v>
      </c>
      <c r="D814">
        <v>1</v>
      </c>
      <c r="E814" t="s">
        <v>974</v>
      </c>
      <c r="F814" t="s">
        <v>975</v>
      </c>
      <c r="G814" t="s">
        <v>180</v>
      </c>
      <c r="H814" s="1" t="s">
        <v>976</v>
      </c>
      <c r="I814" s="1">
        <v>59.9</v>
      </c>
      <c r="J814" s="20">
        <v>9</v>
      </c>
      <c r="K814" s="1">
        <v>19</v>
      </c>
      <c r="L814" s="1">
        <v>171</v>
      </c>
      <c r="M814" s="43" t="s">
        <v>2836</v>
      </c>
      <c r="O814" s="2" t="s">
        <v>2472</v>
      </c>
      <c r="Q814" t="s">
        <v>826</v>
      </c>
    </row>
    <row r="815" spans="1:17" ht="15" customHeight="1" x14ac:dyDescent="0.25">
      <c r="A815" s="3" t="s">
        <v>1409</v>
      </c>
      <c r="B815" s="4" t="s">
        <v>2841</v>
      </c>
      <c r="C815" t="s">
        <v>1383</v>
      </c>
      <c r="D815">
        <v>1</v>
      </c>
      <c r="E815" t="s">
        <v>974</v>
      </c>
      <c r="F815" t="s">
        <v>975</v>
      </c>
      <c r="G815" t="s">
        <v>180</v>
      </c>
      <c r="H815" s="1" t="s">
        <v>976</v>
      </c>
      <c r="I815" s="1">
        <v>59.9</v>
      </c>
      <c r="J815" s="20">
        <v>23</v>
      </c>
      <c r="K815" s="1">
        <v>19</v>
      </c>
      <c r="L815" s="1">
        <v>437</v>
      </c>
      <c r="M815" s="43" t="s">
        <v>2836</v>
      </c>
      <c r="O815" s="2" t="s">
        <v>2482</v>
      </c>
      <c r="Q815" t="s">
        <v>827</v>
      </c>
    </row>
    <row r="816" spans="1:17" ht="15" customHeight="1" x14ac:dyDescent="0.25">
      <c r="A816" s="3" t="s">
        <v>1410</v>
      </c>
      <c r="B816" s="4" t="s">
        <v>2841</v>
      </c>
      <c r="C816" t="s">
        <v>1383</v>
      </c>
      <c r="D816">
        <v>1</v>
      </c>
      <c r="E816" t="s">
        <v>974</v>
      </c>
      <c r="F816" t="s">
        <v>975</v>
      </c>
      <c r="G816" t="s">
        <v>180</v>
      </c>
      <c r="H816" s="1" t="s">
        <v>976</v>
      </c>
      <c r="I816" s="1">
        <v>59.9</v>
      </c>
      <c r="J816" s="20">
        <v>22</v>
      </c>
      <c r="K816" s="1">
        <v>19</v>
      </c>
      <c r="L816" s="1">
        <v>418</v>
      </c>
      <c r="M816" s="43" t="s">
        <v>2836</v>
      </c>
      <c r="O816" s="2" t="s">
        <v>2482</v>
      </c>
      <c r="Q816" t="s">
        <v>827</v>
      </c>
    </row>
    <row r="817" spans="1:17" ht="15" customHeight="1" x14ac:dyDescent="0.25">
      <c r="A817" s="3" t="s">
        <v>1411</v>
      </c>
      <c r="B817" s="4" t="s">
        <v>2841</v>
      </c>
      <c r="C817" t="s">
        <v>1383</v>
      </c>
      <c r="D817">
        <v>1</v>
      </c>
      <c r="E817" t="s">
        <v>974</v>
      </c>
      <c r="F817" t="s">
        <v>975</v>
      </c>
      <c r="G817" t="s">
        <v>180</v>
      </c>
      <c r="H817" s="1" t="s">
        <v>976</v>
      </c>
      <c r="I817" s="1">
        <v>59.9</v>
      </c>
      <c r="J817" s="20">
        <v>30</v>
      </c>
      <c r="K817" s="1">
        <v>19</v>
      </c>
      <c r="L817" s="1">
        <v>570</v>
      </c>
      <c r="M817" s="43" t="s">
        <v>2836</v>
      </c>
      <c r="O817" s="2" t="s">
        <v>2482</v>
      </c>
      <c r="Q817" t="s">
        <v>827</v>
      </c>
    </row>
    <row r="818" spans="1:17" ht="15" customHeight="1" x14ac:dyDescent="0.25">
      <c r="A818" s="3" t="s">
        <v>1412</v>
      </c>
      <c r="B818" s="4" t="s">
        <v>2841</v>
      </c>
      <c r="C818" t="s">
        <v>1383</v>
      </c>
      <c r="D818">
        <v>1</v>
      </c>
      <c r="E818" t="s">
        <v>974</v>
      </c>
      <c r="F818" t="s">
        <v>975</v>
      </c>
      <c r="G818" t="s">
        <v>180</v>
      </c>
      <c r="H818" s="1" t="s">
        <v>976</v>
      </c>
      <c r="I818" s="1">
        <v>59.9</v>
      </c>
      <c r="J818" s="20">
        <v>15</v>
      </c>
      <c r="K818" s="1">
        <v>19</v>
      </c>
      <c r="L818" s="1">
        <v>285</v>
      </c>
      <c r="M818" s="43" t="s">
        <v>2836</v>
      </c>
      <c r="O818" s="2" t="s">
        <v>2482</v>
      </c>
      <c r="Q818" t="s">
        <v>827</v>
      </c>
    </row>
    <row r="819" spans="1:17" ht="15" customHeight="1" x14ac:dyDescent="0.25">
      <c r="A819" s="3" t="s">
        <v>1413</v>
      </c>
      <c r="B819" s="4" t="s">
        <v>2841</v>
      </c>
      <c r="C819" t="s">
        <v>1383</v>
      </c>
      <c r="D819">
        <v>1</v>
      </c>
      <c r="E819" t="s">
        <v>974</v>
      </c>
      <c r="F819" t="s">
        <v>975</v>
      </c>
      <c r="G819" t="s">
        <v>180</v>
      </c>
      <c r="H819" s="1" t="s">
        <v>976</v>
      </c>
      <c r="I819" s="1">
        <v>59.9</v>
      </c>
      <c r="J819" s="20">
        <v>14</v>
      </c>
      <c r="K819" s="1">
        <v>19</v>
      </c>
      <c r="L819" s="1">
        <v>266</v>
      </c>
      <c r="M819" s="43" t="s">
        <v>2836</v>
      </c>
      <c r="O819" s="2" t="s">
        <v>2482</v>
      </c>
      <c r="Q819" t="s">
        <v>827</v>
      </c>
    </row>
    <row r="820" spans="1:17" ht="15" customHeight="1" x14ac:dyDescent="0.25">
      <c r="A820" s="3" t="s">
        <v>2239</v>
      </c>
      <c r="B820" s="4" t="s">
        <v>2842</v>
      </c>
      <c r="C820" t="s">
        <v>1383</v>
      </c>
      <c r="D820">
        <v>1</v>
      </c>
      <c r="E820" t="s">
        <v>974</v>
      </c>
      <c r="F820" t="s">
        <v>975</v>
      </c>
      <c r="G820" t="s">
        <v>180</v>
      </c>
      <c r="H820" s="1" t="s">
        <v>976</v>
      </c>
      <c r="I820" s="1">
        <v>89</v>
      </c>
      <c r="J820" s="20">
        <v>7</v>
      </c>
      <c r="K820" s="1">
        <v>24</v>
      </c>
      <c r="L820" s="1">
        <v>168</v>
      </c>
      <c r="M820" s="43" t="s">
        <v>2836</v>
      </c>
      <c r="O820" s="2" t="s">
        <v>2472</v>
      </c>
      <c r="Q820" t="s">
        <v>828</v>
      </c>
    </row>
    <row r="821" spans="1:17" ht="15" customHeight="1" x14ac:dyDescent="0.25">
      <c r="A821" s="3" t="s">
        <v>2240</v>
      </c>
      <c r="B821" s="4" t="s">
        <v>2842</v>
      </c>
      <c r="C821" t="s">
        <v>1383</v>
      </c>
      <c r="D821">
        <v>1</v>
      </c>
      <c r="E821" t="s">
        <v>974</v>
      </c>
      <c r="F821" t="s">
        <v>975</v>
      </c>
      <c r="G821" t="s">
        <v>180</v>
      </c>
      <c r="H821" s="1" t="s">
        <v>976</v>
      </c>
      <c r="I821" s="1">
        <v>89</v>
      </c>
      <c r="J821" s="20">
        <v>4</v>
      </c>
      <c r="K821" s="1">
        <v>24</v>
      </c>
      <c r="L821" s="1">
        <v>96</v>
      </c>
      <c r="M821" s="43" t="s">
        <v>2836</v>
      </c>
      <c r="O821" s="2" t="s">
        <v>2472</v>
      </c>
      <c r="Q821" t="s">
        <v>828</v>
      </c>
    </row>
    <row r="822" spans="1:17" ht="15" customHeight="1" x14ac:dyDescent="0.25">
      <c r="A822" s="3" t="s">
        <v>2241</v>
      </c>
      <c r="B822" s="4" t="s">
        <v>2842</v>
      </c>
      <c r="C822" t="s">
        <v>1383</v>
      </c>
      <c r="D822">
        <v>1</v>
      </c>
      <c r="E822" t="s">
        <v>974</v>
      </c>
      <c r="F822" t="s">
        <v>975</v>
      </c>
      <c r="G822" t="s">
        <v>180</v>
      </c>
      <c r="H822" s="1" t="s">
        <v>976</v>
      </c>
      <c r="I822" s="1">
        <v>89</v>
      </c>
      <c r="J822" s="20">
        <v>6</v>
      </c>
      <c r="K822" s="1">
        <v>24</v>
      </c>
      <c r="L822" s="1">
        <v>144</v>
      </c>
      <c r="M822" s="43" t="s">
        <v>2836</v>
      </c>
      <c r="O822" s="2" t="s">
        <v>2472</v>
      </c>
      <c r="Q822" t="s">
        <v>828</v>
      </c>
    </row>
    <row r="823" spans="1:17" ht="15" customHeight="1" x14ac:dyDescent="0.25">
      <c r="A823" s="3" t="s">
        <v>1414</v>
      </c>
      <c r="B823" s="4" t="s">
        <v>2845</v>
      </c>
      <c r="C823" t="s">
        <v>1415</v>
      </c>
      <c r="D823">
        <v>1</v>
      </c>
      <c r="E823" t="s">
        <v>974</v>
      </c>
      <c r="F823" t="s">
        <v>975</v>
      </c>
      <c r="G823" t="s">
        <v>180</v>
      </c>
      <c r="H823" s="1" t="s">
        <v>976</v>
      </c>
      <c r="I823" s="1">
        <v>390</v>
      </c>
      <c r="J823" s="20">
        <v>10</v>
      </c>
      <c r="K823" s="1">
        <v>32</v>
      </c>
      <c r="L823" s="1">
        <v>320</v>
      </c>
      <c r="M823" s="43" t="s">
        <v>2843</v>
      </c>
      <c r="O823" s="2" t="s">
        <v>2844</v>
      </c>
      <c r="P823" t="s">
        <v>24</v>
      </c>
      <c r="Q823" t="s">
        <v>829</v>
      </c>
    </row>
    <row r="824" spans="1:17" ht="15" customHeight="1" x14ac:dyDescent="0.25">
      <c r="A824" s="3" t="s">
        <v>1416</v>
      </c>
      <c r="B824" s="4" t="s">
        <v>2845</v>
      </c>
      <c r="C824" t="s">
        <v>1415</v>
      </c>
      <c r="D824">
        <v>1</v>
      </c>
      <c r="E824" t="s">
        <v>974</v>
      </c>
      <c r="F824" t="s">
        <v>975</v>
      </c>
      <c r="G824" t="s">
        <v>180</v>
      </c>
      <c r="H824" s="1" t="s">
        <v>976</v>
      </c>
      <c r="I824" s="1">
        <v>390</v>
      </c>
      <c r="J824" s="20">
        <v>4</v>
      </c>
      <c r="K824" s="1">
        <v>32</v>
      </c>
      <c r="L824" s="1">
        <v>128</v>
      </c>
      <c r="M824" s="43" t="s">
        <v>2843</v>
      </c>
      <c r="O824" s="2" t="s">
        <v>2844</v>
      </c>
      <c r="P824" t="s">
        <v>25</v>
      </c>
      <c r="Q824" t="s">
        <v>829</v>
      </c>
    </row>
    <row r="825" spans="1:17" ht="15" customHeight="1" x14ac:dyDescent="0.25">
      <c r="A825" s="3" t="s">
        <v>1417</v>
      </c>
      <c r="B825" s="4" t="s">
        <v>2845</v>
      </c>
      <c r="C825" t="s">
        <v>1415</v>
      </c>
      <c r="D825">
        <v>1</v>
      </c>
      <c r="E825" t="s">
        <v>974</v>
      </c>
      <c r="F825" t="s">
        <v>975</v>
      </c>
      <c r="G825" t="s">
        <v>180</v>
      </c>
      <c r="H825" s="1" t="s">
        <v>976</v>
      </c>
      <c r="I825" s="1">
        <v>390</v>
      </c>
      <c r="J825" s="20">
        <v>15</v>
      </c>
      <c r="K825" s="1">
        <v>32</v>
      </c>
      <c r="L825" s="1">
        <v>480</v>
      </c>
      <c r="M825" s="43" t="s">
        <v>2843</v>
      </c>
      <c r="O825" s="2" t="s">
        <v>2844</v>
      </c>
      <c r="P825" t="s">
        <v>23</v>
      </c>
      <c r="Q825" t="s">
        <v>829</v>
      </c>
    </row>
    <row r="826" spans="1:17" ht="15" customHeight="1" x14ac:dyDescent="0.25">
      <c r="A826" s="3" t="s">
        <v>1418</v>
      </c>
      <c r="B826" s="4" t="s">
        <v>2845</v>
      </c>
      <c r="C826" t="s">
        <v>1415</v>
      </c>
      <c r="D826">
        <v>1</v>
      </c>
      <c r="E826" t="s">
        <v>974</v>
      </c>
      <c r="F826" t="s">
        <v>975</v>
      </c>
      <c r="G826" t="s">
        <v>180</v>
      </c>
      <c r="H826" s="1" t="s">
        <v>976</v>
      </c>
      <c r="I826" s="1">
        <v>390</v>
      </c>
      <c r="J826" s="20">
        <v>8</v>
      </c>
      <c r="K826" s="1">
        <v>32</v>
      </c>
      <c r="L826" s="1">
        <v>256</v>
      </c>
      <c r="M826" s="43" t="s">
        <v>2843</v>
      </c>
      <c r="O826" s="2" t="s">
        <v>2844</v>
      </c>
      <c r="P826" t="s">
        <v>22</v>
      </c>
      <c r="Q826" t="s">
        <v>829</v>
      </c>
    </row>
    <row r="827" spans="1:17" ht="15" customHeight="1" x14ac:dyDescent="0.25">
      <c r="A827" s="3" t="s">
        <v>1419</v>
      </c>
      <c r="B827" s="4" t="s">
        <v>2846</v>
      </c>
      <c r="C827" t="s">
        <v>1415</v>
      </c>
      <c r="D827">
        <v>1</v>
      </c>
      <c r="E827" t="s">
        <v>974</v>
      </c>
      <c r="F827" t="s">
        <v>975</v>
      </c>
      <c r="G827" t="s">
        <v>976</v>
      </c>
      <c r="H827" s="1" t="s">
        <v>976</v>
      </c>
      <c r="I827" s="1">
        <v>680</v>
      </c>
      <c r="J827" s="20">
        <v>4</v>
      </c>
      <c r="K827" s="1">
        <v>106</v>
      </c>
      <c r="L827" s="1">
        <v>424</v>
      </c>
      <c r="M827" s="43" t="s">
        <v>2843</v>
      </c>
      <c r="O827" s="2" t="s">
        <v>2447</v>
      </c>
      <c r="P827" t="s">
        <v>24</v>
      </c>
      <c r="Q827" t="s">
        <v>830</v>
      </c>
    </row>
    <row r="828" spans="1:17" ht="15" customHeight="1" x14ac:dyDescent="0.25">
      <c r="A828" s="3" t="s">
        <v>1420</v>
      </c>
      <c r="B828" s="4" t="s">
        <v>2846</v>
      </c>
      <c r="C828" t="s">
        <v>1415</v>
      </c>
      <c r="D828">
        <v>1</v>
      </c>
      <c r="E828" t="s">
        <v>974</v>
      </c>
      <c r="F828" t="s">
        <v>975</v>
      </c>
      <c r="G828" t="s">
        <v>976</v>
      </c>
      <c r="H828" s="1" t="s">
        <v>976</v>
      </c>
      <c r="I828" s="1">
        <v>680</v>
      </c>
      <c r="J828" s="20">
        <v>1</v>
      </c>
      <c r="K828" s="1">
        <v>106</v>
      </c>
      <c r="L828" s="1">
        <v>106</v>
      </c>
      <c r="M828" s="43" t="s">
        <v>2843</v>
      </c>
      <c r="O828" s="2" t="s">
        <v>2447</v>
      </c>
      <c r="P828" t="s">
        <v>25</v>
      </c>
      <c r="Q828" t="s">
        <v>830</v>
      </c>
    </row>
    <row r="829" spans="1:17" ht="15" customHeight="1" x14ac:dyDescent="0.25">
      <c r="A829" s="3" t="s">
        <v>1421</v>
      </c>
      <c r="B829" s="4" t="s">
        <v>2846</v>
      </c>
      <c r="C829" t="s">
        <v>1415</v>
      </c>
      <c r="D829">
        <v>1</v>
      </c>
      <c r="E829" t="s">
        <v>974</v>
      </c>
      <c r="F829" t="s">
        <v>975</v>
      </c>
      <c r="G829" t="s">
        <v>976</v>
      </c>
      <c r="H829" s="1" t="s">
        <v>976</v>
      </c>
      <c r="I829" s="1">
        <v>680</v>
      </c>
      <c r="J829" s="20">
        <v>2</v>
      </c>
      <c r="K829" s="1">
        <v>106</v>
      </c>
      <c r="L829" s="1">
        <v>212</v>
      </c>
      <c r="M829" s="43" t="s">
        <v>2843</v>
      </c>
      <c r="O829" s="2" t="s">
        <v>2447</v>
      </c>
      <c r="P829" t="s">
        <v>23</v>
      </c>
      <c r="Q829" t="s">
        <v>830</v>
      </c>
    </row>
    <row r="830" spans="1:17" ht="15" customHeight="1" x14ac:dyDescent="0.25">
      <c r="A830" s="3" t="s">
        <v>1422</v>
      </c>
      <c r="B830" s="4" t="s">
        <v>2846</v>
      </c>
      <c r="C830" t="s">
        <v>1415</v>
      </c>
      <c r="D830">
        <v>1</v>
      </c>
      <c r="E830" t="s">
        <v>974</v>
      </c>
      <c r="F830" t="s">
        <v>975</v>
      </c>
      <c r="G830" t="s">
        <v>976</v>
      </c>
      <c r="H830" s="1" t="s">
        <v>976</v>
      </c>
      <c r="I830" s="1">
        <v>680</v>
      </c>
      <c r="J830" s="20">
        <v>0</v>
      </c>
      <c r="K830" s="1">
        <v>106</v>
      </c>
      <c r="L830" s="1">
        <v>0</v>
      </c>
      <c r="M830" s="43" t="s">
        <v>2843</v>
      </c>
      <c r="O830" s="2" t="s">
        <v>2447</v>
      </c>
      <c r="P830" t="s">
        <v>22</v>
      </c>
      <c r="Q830" t="s">
        <v>830</v>
      </c>
    </row>
    <row r="831" spans="1:17" ht="15" customHeight="1" x14ac:dyDescent="0.25">
      <c r="A831" s="3" t="s">
        <v>1423</v>
      </c>
      <c r="B831" s="4" t="s">
        <v>2846</v>
      </c>
      <c r="C831" t="s">
        <v>1415</v>
      </c>
      <c r="D831">
        <v>1</v>
      </c>
      <c r="E831" t="s">
        <v>974</v>
      </c>
      <c r="F831" t="s">
        <v>975</v>
      </c>
      <c r="G831" t="s">
        <v>976</v>
      </c>
      <c r="H831" s="1" t="s">
        <v>976</v>
      </c>
      <c r="I831" s="1">
        <v>680</v>
      </c>
      <c r="J831" s="20">
        <v>0</v>
      </c>
      <c r="K831" s="1">
        <v>106</v>
      </c>
      <c r="L831" s="1">
        <v>0</v>
      </c>
      <c r="M831" s="43" t="s">
        <v>2843</v>
      </c>
      <c r="O831" s="2" t="s">
        <v>2447</v>
      </c>
      <c r="P831" t="s">
        <v>21</v>
      </c>
      <c r="Q831" t="s">
        <v>830</v>
      </c>
    </row>
    <row r="832" spans="1:17" ht="15" customHeight="1" x14ac:dyDescent="0.25">
      <c r="A832" s="3" t="s">
        <v>1424</v>
      </c>
      <c r="B832" s="4" t="s">
        <v>2846</v>
      </c>
      <c r="C832" t="s">
        <v>1415</v>
      </c>
      <c r="D832">
        <v>1</v>
      </c>
      <c r="E832" t="s">
        <v>974</v>
      </c>
      <c r="F832" t="s">
        <v>975</v>
      </c>
      <c r="G832" t="s">
        <v>976</v>
      </c>
      <c r="H832" s="1" t="s">
        <v>976</v>
      </c>
      <c r="I832" s="1">
        <v>680</v>
      </c>
      <c r="J832" s="20">
        <v>3</v>
      </c>
      <c r="K832" s="1">
        <v>106</v>
      </c>
      <c r="L832" s="1">
        <v>318</v>
      </c>
      <c r="M832" s="43" t="s">
        <v>2843</v>
      </c>
      <c r="O832" s="2" t="s">
        <v>2727</v>
      </c>
      <c r="P832" t="s">
        <v>24</v>
      </c>
      <c r="Q832" t="s">
        <v>831</v>
      </c>
    </row>
    <row r="833" spans="1:17" ht="15" customHeight="1" x14ac:dyDescent="0.25">
      <c r="A833" s="3" t="s">
        <v>1425</v>
      </c>
      <c r="B833" s="4" t="s">
        <v>2846</v>
      </c>
      <c r="C833" t="s">
        <v>1415</v>
      </c>
      <c r="D833">
        <v>1</v>
      </c>
      <c r="E833" t="s">
        <v>974</v>
      </c>
      <c r="F833" t="s">
        <v>975</v>
      </c>
      <c r="G833" t="s">
        <v>976</v>
      </c>
      <c r="H833" s="1" t="s">
        <v>976</v>
      </c>
      <c r="I833" s="1">
        <v>680</v>
      </c>
      <c r="J833" s="20">
        <v>1</v>
      </c>
      <c r="K833" s="1">
        <v>106</v>
      </c>
      <c r="L833" s="1">
        <v>106</v>
      </c>
      <c r="M833" s="43" t="s">
        <v>2843</v>
      </c>
      <c r="O833" s="2" t="s">
        <v>2727</v>
      </c>
      <c r="P833" t="s">
        <v>25</v>
      </c>
      <c r="Q833" t="s">
        <v>831</v>
      </c>
    </row>
    <row r="834" spans="1:17" ht="15" customHeight="1" x14ac:dyDescent="0.25">
      <c r="A834" s="3" t="s">
        <v>1426</v>
      </c>
      <c r="B834" s="4" t="s">
        <v>2846</v>
      </c>
      <c r="C834" t="s">
        <v>1415</v>
      </c>
      <c r="D834">
        <v>1</v>
      </c>
      <c r="E834" t="s">
        <v>974</v>
      </c>
      <c r="F834" t="s">
        <v>975</v>
      </c>
      <c r="G834" t="s">
        <v>976</v>
      </c>
      <c r="H834" s="1" t="s">
        <v>976</v>
      </c>
      <c r="I834" s="1">
        <v>680</v>
      </c>
      <c r="J834" s="20">
        <v>7</v>
      </c>
      <c r="K834" s="1">
        <v>106</v>
      </c>
      <c r="L834" s="1">
        <v>742</v>
      </c>
      <c r="M834" s="43" t="s">
        <v>2843</v>
      </c>
      <c r="O834" s="2" t="s">
        <v>2727</v>
      </c>
      <c r="P834" t="s">
        <v>23</v>
      </c>
      <c r="Q834" t="s">
        <v>831</v>
      </c>
    </row>
    <row r="835" spans="1:17" ht="15" customHeight="1" x14ac:dyDescent="0.25">
      <c r="A835" s="3" t="s">
        <v>1427</v>
      </c>
      <c r="B835" s="4" t="s">
        <v>2846</v>
      </c>
      <c r="C835" t="s">
        <v>1415</v>
      </c>
      <c r="D835">
        <v>1</v>
      </c>
      <c r="E835" t="s">
        <v>974</v>
      </c>
      <c r="F835" t="s">
        <v>975</v>
      </c>
      <c r="G835" t="s">
        <v>976</v>
      </c>
      <c r="H835" s="1" t="s">
        <v>976</v>
      </c>
      <c r="I835" s="1">
        <v>680</v>
      </c>
      <c r="J835" s="20">
        <v>0</v>
      </c>
      <c r="K835" s="1">
        <v>106</v>
      </c>
      <c r="L835" s="1">
        <v>0</v>
      </c>
      <c r="M835" s="43" t="s">
        <v>2843</v>
      </c>
      <c r="O835" s="2" t="s">
        <v>2727</v>
      </c>
      <c r="P835" t="s">
        <v>22</v>
      </c>
      <c r="Q835" t="s">
        <v>831</v>
      </c>
    </row>
    <row r="836" spans="1:17" ht="15" customHeight="1" x14ac:dyDescent="0.25">
      <c r="A836" s="3" t="s">
        <v>1428</v>
      </c>
      <c r="B836" s="4" t="s">
        <v>2846</v>
      </c>
      <c r="C836" t="s">
        <v>1415</v>
      </c>
      <c r="D836">
        <v>1</v>
      </c>
      <c r="E836" t="s">
        <v>974</v>
      </c>
      <c r="F836" t="s">
        <v>975</v>
      </c>
      <c r="G836" t="s">
        <v>976</v>
      </c>
      <c r="H836" s="1" t="s">
        <v>976</v>
      </c>
      <c r="I836" s="1">
        <v>680</v>
      </c>
      <c r="J836" s="20">
        <v>1</v>
      </c>
      <c r="K836" s="1">
        <v>106</v>
      </c>
      <c r="L836" s="1">
        <v>106</v>
      </c>
      <c r="M836" s="43" t="s">
        <v>2843</v>
      </c>
      <c r="O836" s="2" t="s">
        <v>2727</v>
      </c>
      <c r="P836" t="s">
        <v>21</v>
      </c>
      <c r="Q836" t="s">
        <v>831</v>
      </c>
    </row>
    <row r="837" spans="1:17" ht="15" customHeight="1" x14ac:dyDescent="0.25">
      <c r="A837" s="3" t="s">
        <v>1429</v>
      </c>
      <c r="B837" s="4" t="s">
        <v>2847</v>
      </c>
      <c r="C837" t="s">
        <v>1415</v>
      </c>
      <c r="D837">
        <v>1</v>
      </c>
      <c r="E837" t="s">
        <v>974</v>
      </c>
      <c r="F837" t="s">
        <v>975</v>
      </c>
      <c r="G837" t="s">
        <v>180</v>
      </c>
      <c r="H837" s="1" t="s">
        <v>976</v>
      </c>
      <c r="I837" s="1">
        <v>1160</v>
      </c>
      <c r="J837" s="20">
        <v>6</v>
      </c>
      <c r="K837" s="1">
        <v>0</v>
      </c>
      <c r="L837" s="1">
        <v>0</v>
      </c>
      <c r="M837" s="43" t="s">
        <v>2843</v>
      </c>
      <c r="O837" s="2" t="s">
        <v>2508</v>
      </c>
      <c r="P837" t="s">
        <v>23</v>
      </c>
      <c r="Q837" t="s">
        <v>832</v>
      </c>
    </row>
    <row r="838" spans="1:17" ht="15" customHeight="1" x14ac:dyDescent="0.25">
      <c r="A838" s="42" t="s">
        <v>1429</v>
      </c>
      <c r="B838" s="3" t="s">
        <v>2847</v>
      </c>
      <c r="C838" s="42" t="s">
        <v>1415</v>
      </c>
      <c r="D838">
        <v>3</v>
      </c>
      <c r="E838" t="s">
        <v>1179</v>
      </c>
      <c r="F838" t="s">
        <v>1180</v>
      </c>
      <c r="G838" t="s">
        <v>180</v>
      </c>
      <c r="H838" s="1" t="s">
        <v>976</v>
      </c>
      <c r="I838" s="1">
        <v>1160</v>
      </c>
      <c r="J838" s="20">
        <v>1</v>
      </c>
      <c r="K838" s="1">
        <v>1160</v>
      </c>
      <c r="L838" s="1">
        <v>1160</v>
      </c>
      <c r="M838" s="43" t="s">
        <v>2843</v>
      </c>
      <c r="O838" s="2" t="s">
        <v>2508</v>
      </c>
      <c r="P838" t="s">
        <v>23</v>
      </c>
      <c r="Q838" t="s">
        <v>832</v>
      </c>
    </row>
    <row r="839" spans="1:17" ht="15" customHeight="1" x14ac:dyDescent="0.25">
      <c r="A839" s="3" t="s">
        <v>1430</v>
      </c>
      <c r="B839" s="4" t="s">
        <v>2847</v>
      </c>
      <c r="C839" t="s">
        <v>1415</v>
      </c>
      <c r="D839">
        <v>1</v>
      </c>
      <c r="E839" t="s">
        <v>974</v>
      </c>
      <c r="F839" t="s">
        <v>975</v>
      </c>
      <c r="G839" t="s">
        <v>180</v>
      </c>
      <c r="H839" s="1" t="s">
        <v>976</v>
      </c>
      <c r="I839" s="1">
        <v>1160</v>
      </c>
      <c r="J839" s="20">
        <v>2</v>
      </c>
      <c r="K839" s="1">
        <v>0</v>
      </c>
      <c r="L839" s="1">
        <v>0</v>
      </c>
      <c r="M839" s="43" t="s">
        <v>2843</v>
      </c>
      <c r="O839" s="2" t="s">
        <v>2482</v>
      </c>
      <c r="P839" t="s">
        <v>23</v>
      </c>
      <c r="Q839" t="s">
        <v>833</v>
      </c>
    </row>
    <row r="840" spans="1:17" ht="15" customHeight="1" x14ac:dyDescent="0.25">
      <c r="A840" s="42" t="s">
        <v>1430</v>
      </c>
      <c r="B840" s="3" t="s">
        <v>2847</v>
      </c>
      <c r="C840" s="42" t="s">
        <v>1415</v>
      </c>
      <c r="D840">
        <v>3</v>
      </c>
      <c r="E840" t="s">
        <v>1179</v>
      </c>
      <c r="F840" t="s">
        <v>1180</v>
      </c>
      <c r="G840" t="s">
        <v>180</v>
      </c>
      <c r="H840" s="1" t="s">
        <v>976</v>
      </c>
      <c r="I840" s="1">
        <v>1160</v>
      </c>
      <c r="J840" s="20">
        <v>1</v>
      </c>
      <c r="K840" s="1">
        <v>1160</v>
      </c>
      <c r="L840" s="1">
        <v>1160</v>
      </c>
      <c r="M840" s="43" t="s">
        <v>2843</v>
      </c>
      <c r="O840" s="2" t="s">
        <v>2482</v>
      </c>
      <c r="P840" t="s">
        <v>23</v>
      </c>
      <c r="Q840" t="s">
        <v>833</v>
      </c>
    </row>
    <row r="841" spans="1:17" ht="15" customHeight="1" x14ac:dyDescent="0.25">
      <c r="A841" s="42" t="s">
        <v>1430</v>
      </c>
      <c r="B841" s="3" t="s">
        <v>2847</v>
      </c>
      <c r="C841" s="42" t="s">
        <v>1415</v>
      </c>
      <c r="D841">
        <v>4</v>
      </c>
      <c r="E841" t="s">
        <v>1018</v>
      </c>
      <c r="F841" t="s">
        <v>975</v>
      </c>
      <c r="G841" t="s">
        <v>180</v>
      </c>
      <c r="H841" s="1" t="s">
        <v>976</v>
      </c>
      <c r="I841" s="1">
        <v>1160</v>
      </c>
      <c r="J841" s="20">
        <v>1</v>
      </c>
      <c r="K841" s="1">
        <v>1200</v>
      </c>
      <c r="L841" s="1">
        <v>1200</v>
      </c>
      <c r="M841" s="43" t="s">
        <v>2843</v>
      </c>
      <c r="O841" s="2" t="s">
        <v>2482</v>
      </c>
      <c r="P841" t="s">
        <v>23</v>
      </c>
      <c r="Q841" t="s">
        <v>833</v>
      </c>
    </row>
    <row r="842" spans="1:17" ht="15" customHeight="1" x14ac:dyDescent="0.25">
      <c r="A842" s="3" t="s">
        <v>1431</v>
      </c>
      <c r="B842" s="4" t="s">
        <v>2848</v>
      </c>
      <c r="C842" t="s">
        <v>1415</v>
      </c>
      <c r="D842">
        <v>1</v>
      </c>
      <c r="E842" t="s">
        <v>974</v>
      </c>
      <c r="F842" t="s">
        <v>975</v>
      </c>
      <c r="G842" t="s">
        <v>180</v>
      </c>
      <c r="H842" s="1" t="s">
        <v>976</v>
      </c>
      <c r="I842" s="1">
        <v>710</v>
      </c>
      <c r="J842" s="20">
        <v>11</v>
      </c>
      <c r="K842" s="1">
        <v>125.44</v>
      </c>
      <c r="L842" s="1">
        <v>1379.84</v>
      </c>
      <c r="M842" s="43" t="s">
        <v>2843</v>
      </c>
      <c r="O842" s="2" t="s">
        <v>2447</v>
      </c>
      <c r="P842" t="s">
        <v>24</v>
      </c>
      <c r="Q842" t="s">
        <v>834</v>
      </c>
    </row>
    <row r="843" spans="1:17" ht="15" customHeight="1" x14ac:dyDescent="0.25">
      <c r="A843" s="3" t="s">
        <v>1432</v>
      </c>
      <c r="B843" s="4" t="s">
        <v>2848</v>
      </c>
      <c r="C843" t="s">
        <v>1415</v>
      </c>
      <c r="D843">
        <v>1</v>
      </c>
      <c r="E843" t="s">
        <v>974</v>
      </c>
      <c r="F843" t="s">
        <v>975</v>
      </c>
      <c r="G843" t="s">
        <v>180</v>
      </c>
      <c r="H843" s="1" t="s">
        <v>976</v>
      </c>
      <c r="I843" s="1">
        <v>710</v>
      </c>
      <c r="J843" s="20">
        <v>4</v>
      </c>
      <c r="K843" s="1">
        <v>125.44</v>
      </c>
      <c r="L843" s="1">
        <v>501.76</v>
      </c>
      <c r="M843" s="43" t="s">
        <v>2843</v>
      </c>
      <c r="O843" s="2" t="s">
        <v>2447</v>
      </c>
      <c r="P843" t="s">
        <v>25</v>
      </c>
      <c r="Q843" t="s">
        <v>834</v>
      </c>
    </row>
    <row r="844" spans="1:17" ht="15" customHeight="1" x14ac:dyDescent="0.25">
      <c r="A844" s="3" t="s">
        <v>1433</v>
      </c>
      <c r="B844" s="4" t="s">
        <v>2848</v>
      </c>
      <c r="C844" t="s">
        <v>1415</v>
      </c>
      <c r="D844">
        <v>1</v>
      </c>
      <c r="E844" t="s">
        <v>974</v>
      </c>
      <c r="F844" t="s">
        <v>975</v>
      </c>
      <c r="G844" t="s">
        <v>180</v>
      </c>
      <c r="H844" s="1" t="s">
        <v>976</v>
      </c>
      <c r="I844" s="1">
        <v>710</v>
      </c>
      <c r="J844" s="20">
        <v>18</v>
      </c>
      <c r="K844" s="1">
        <v>125.44</v>
      </c>
      <c r="L844" s="1">
        <v>2257.92</v>
      </c>
      <c r="M844" s="43" t="s">
        <v>2843</v>
      </c>
      <c r="O844" s="2" t="s">
        <v>2447</v>
      </c>
      <c r="P844" t="s">
        <v>23</v>
      </c>
      <c r="Q844" t="s">
        <v>834</v>
      </c>
    </row>
    <row r="845" spans="1:17" ht="15" customHeight="1" x14ac:dyDescent="0.25">
      <c r="A845" s="3" t="s">
        <v>1434</v>
      </c>
      <c r="B845" s="4" t="s">
        <v>2848</v>
      </c>
      <c r="C845" t="s">
        <v>1415</v>
      </c>
      <c r="D845">
        <v>1</v>
      </c>
      <c r="E845" t="s">
        <v>974</v>
      </c>
      <c r="F845" t="s">
        <v>975</v>
      </c>
      <c r="G845" t="s">
        <v>180</v>
      </c>
      <c r="H845" s="1" t="s">
        <v>976</v>
      </c>
      <c r="I845" s="1">
        <v>710</v>
      </c>
      <c r="J845" s="20">
        <v>5</v>
      </c>
      <c r="K845" s="1">
        <v>125.44</v>
      </c>
      <c r="L845" s="1">
        <v>627.20000000000005</v>
      </c>
      <c r="M845" s="43" t="s">
        <v>2843</v>
      </c>
      <c r="O845" s="2" t="s">
        <v>2447</v>
      </c>
      <c r="P845" t="s">
        <v>22</v>
      </c>
      <c r="Q845" t="s">
        <v>834</v>
      </c>
    </row>
    <row r="846" spans="1:17" ht="15" customHeight="1" x14ac:dyDescent="0.25">
      <c r="A846" s="3" t="s">
        <v>1435</v>
      </c>
      <c r="B846" s="4" t="s">
        <v>2848</v>
      </c>
      <c r="C846" t="s">
        <v>1415</v>
      </c>
      <c r="D846">
        <v>1</v>
      </c>
      <c r="E846" t="s">
        <v>974</v>
      </c>
      <c r="F846" t="s">
        <v>975</v>
      </c>
      <c r="G846" t="s">
        <v>180</v>
      </c>
      <c r="H846" s="1" t="s">
        <v>976</v>
      </c>
      <c r="I846" s="1">
        <v>710</v>
      </c>
      <c r="J846" s="20">
        <v>0</v>
      </c>
      <c r="K846" s="1">
        <v>125.44</v>
      </c>
      <c r="L846" s="1">
        <v>0</v>
      </c>
      <c r="M846" s="43" t="s">
        <v>2843</v>
      </c>
      <c r="O846" s="2" t="s">
        <v>2447</v>
      </c>
      <c r="P846" t="s">
        <v>21</v>
      </c>
      <c r="Q846" t="s">
        <v>834</v>
      </c>
    </row>
    <row r="847" spans="1:17" ht="15" customHeight="1" x14ac:dyDescent="0.25">
      <c r="A847" s="3" t="s">
        <v>1436</v>
      </c>
      <c r="B847" s="4" t="s">
        <v>2848</v>
      </c>
      <c r="C847" t="s">
        <v>1415</v>
      </c>
      <c r="D847">
        <v>1</v>
      </c>
      <c r="E847" t="s">
        <v>974</v>
      </c>
      <c r="F847" t="s">
        <v>975</v>
      </c>
      <c r="G847" t="s">
        <v>180</v>
      </c>
      <c r="H847" s="1" t="s">
        <v>976</v>
      </c>
      <c r="I847" s="1">
        <v>710</v>
      </c>
      <c r="J847" s="20">
        <v>6</v>
      </c>
      <c r="K847" s="1">
        <v>125.44</v>
      </c>
      <c r="L847" s="1">
        <v>752.64</v>
      </c>
      <c r="M847" s="43" t="s">
        <v>2843</v>
      </c>
      <c r="O847" s="2" t="s">
        <v>2437</v>
      </c>
      <c r="P847" t="s">
        <v>24</v>
      </c>
      <c r="Q847" t="s">
        <v>835</v>
      </c>
    </row>
    <row r="848" spans="1:17" ht="15" customHeight="1" x14ac:dyDescent="0.25">
      <c r="A848" s="3" t="s">
        <v>1437</v>
      </c>
      <c r="B848" s="4" t="s">
        <v>2848</v>
      </c>
      <c r="C848" t="s">
        <v>1415</v>
      </c>
      <c r="D848">
        <v>1</v>
      </c>
      <c r="E848" t="s">
        <v>974</v>
      </c>
      <c r="F848" t="s">
        <v>975</v>
      </c>
      <c r="G848" t="s">
        <v>180</v>
      </c>
      <c r="H848" s="1" t="s">
        <v>976</v>
      </c>
      <c r="I848" s="1">
        <v>710</v>
      </c>
      <c r="J848" s="20">
        <v>2</v>
      </c>
      <c r="K848" s="1">
        <v>125.44</v>
      </c>
      <c r="L848" s="1">
        <v>250.88</v>
      </c>
      <c r="M848" s="43" t="s">
        <v>2843</v>
      </c>
      <c r="O848" s="2" t="s">
        <v>2437</v>
      </c>
      <c r="P848" t="s">
        <v>25</v>
      </c>
      <c r="Q848" t="s">
        <v>835</v>
      </c>
    </row>
    <row r="849" spans="1:17" ht="15" customHeight="1" x14ac:dyDescent="0.25">
      <c r="A849" s="3" t="s">
        <v>1438</v>
      </c>
      <c r="B849" s="4" t="s">
        <v>2848</v>
      </c>
      <c r="C849" t="s">
        <v>1415</v>
      </c>
      <c r="D849">
        <v>1</v>
      </c>
      <c r="E849" t="s">
        <v>974</v>
      </c>
      <c r="F849" t="s">
        <v>975</v>
      </c>
      <c r="G849" t="s">
        <v>180</v>
      </c>
      <c r="H849" s="1" t="s">
        <v>976</v>
      </c>
      <c r="I849" s="1">
        <v>710</v>
      </c>
      <c r="J849" s="20">
        <v>15</v>
      </c>
      <c r="K849" s="1">
        <v>125.44</v>
      </c>
      <c r="L849" s="1">
        <v>1881.6</v>
      </c>
      <c r="M849" s="43" t="s">
        <v>2843</v>
      </c>
      <c r="O849" s="2" t="s">
        <v>2437</v>
      </c>
      <c r="P849" t="s">
        <v>23</v>
      </c>
      <c r="Q849" t="s">
        <v>835</v>
      </c>
    </row>
    <row r="850" spans="1:17" ht="15" customHeight="1" x14ac:dyDescent="0.25">
      <c r="A850" s="3" t="s">
        <v>1439</v>
      </c>
      <c r="B850" s="4" t="s">
        <v>2848</v>
      </c>
      <c r="C850" t="s">
        <v>1415</v>
      </c>
      <c r="D850">
        <v>1</v>
      </c>
      <c r="E850" t="s">
        <v>974</v>
      </c>
      <c r="F850" t="s">
        <v>975</v>
      </c>
      <c r="G850" t="s">
        <v>180</v>
      </c>
      <c r="H850" s="1" t="s">
        <v>976</v>
      </c>
      <c r="I850" s="1">
        <v>710</v>
      </c>
      <c r="J850" s="20">
        <v>0</v>
      </c>
      <c r="K850" s="1">
        <v>125.44</v>
      </c>
      <c r="L850" s="1">
        <v>0</v>
      </c>
      <c r="M850" s="43" t="s">
        <v>2843</v>
      </c>
      <c r="O850" s="2" t="s">
        <v>2437</v>
      </c>
      <c r="P850" t="s">
        <v>22</v>
      </c>
      <c r="Q850" t="s">
        <v>835</v>
      </c>
    </row>
    <row r="851" spans="1:17" ht="15" customHeight="1" x14ac:dyDescent="0.25">
      <c r="A851" s="3" t="s">
        <v>1440</v>
      </c>
      <c r="B851" s="4" t="s">
        <v>2848</v>
      </c>
      <c r="C851" t="s">
        <v>1415</v>
      </c>
      <c r="D851">
        <v>1</v>
      </c>
      <c r="E851" t="s">
        <v>974</v>
      </c>
      <c r="F851" t="s">
        <v>975</v>
      </c>
      <c r="G851" t="s">
        <v>180</v>
      </c>
      <c r="H851" s="1" t="s">
        <v>976</v>
      </c>
      <c r="I851" s="1">
        <v>710</v>
      </c>
      <c r="J851" s="20">
        <v>1</v>
      </c>
      <c r="K851" s="1">
        <v>125.44</v>
      </c>
      <c r="L851" s="1">
        <v>125.44</v>
      </c>
      <c r="M851" s="43" t="s">
        <v>2843</v>
      </c>
      <c r="O851" s="2" t="s">
        <v>2437</v>
      </c>
      <c r="P851" t="s">
        <v>21</v>
      </c>
      <c r="Q851" t="s">
        <v>835</v>
      </c>
    </row>
    <row r="852" spans="1:17" ht="15" customHeight="1" x14ac:dyDescent="0.25">
      <c r="A852" s="3" t="s">
        <v>1441</v>
      </c>
      <c r="B852" s="4" t="s">
        <v>1415</v>
      </c>
      <c r="C852" t="s">
        <v>1415</v>
      </c>
      <c r="D852">
        <v>1</v>
      </c>
      <c r="E852" t="s">
        <v>974</v>
      </c>
      <c r="F852" t="s">
        <v>975</v>
      </c>
      <c r="G852" t="s">
        <v>180</v>
      </c>
      <c r="H852" s="1" t="s">
        <v>976</v>
      </c>
      <c r="I852" s="1">
        <v>490</v>
      </c>
      <c r="J852" s="20">
        <v>1</v>
      </c>
      <c r="K852" s="1">
        <v>50</v>
      </c>
      <c r="L852" s="1">
        <v>50</v>
      </c>
      <c r="M852" s="43" t="s">
        <v>2843</v>
      </c>
      <c r="O852" s="2" t="s">
        <v>2463</v>
      </c>
      <c r="P852" t="s">
        <v>24</v>
      </c>
      <c r="Q852" t="s">
        <v>836</v>
      </c>
    </row>
    <row r="853" spans="1:17" ht="15" customHeight="1" x14ac:dyDescent="0.25">
      <c r="A853" s="3" t="s">
        <v>1442</v>
      </c>
      <c r="B853" s="4" t="s">
        <v>280</v>
      </c>
      <c r="C853" t="s">
        <v>1415</v>
      </c>
      <c r="D853">
        <v>1</v>
      </c>
      <c r="E853" t="s">
        <v>974</v>
      </c>
      <c r="F853" t="s">
        <v>975</v>
      </c>
      <c r="G853" t="s">
        <v>180</v>
      </c>
      <c r="H853" s="1" t="s">
        <v>976</v>
      </c>
      <c r="I853" s="1">
        <v>780</v>
      </c>
      <c r="J853" s="20">
        <v>0</v>
      </c>
      <c r="K853" s="1">
        <v>0</v>
      </c>
      <c r="L853" s="1">
        <v>0</v>
      </c>
      <c r="M853" s="43" t="s">
        <v>2843</v>
      </c>
      <c r="Q853" t="s">
        <v>280</v>
      </c>
    </row>
    <row r="854" spans="1:17" ht="15" customHeight="1" x14ac:dyDescent="0.25">
      <c r="A854" s="3" t="s">
        <v>1443</v>
      </c>
      <c r="B854" s="4" t="s">
        <v>2849</v>
      </c>
      <c r="C854" t="s">
        <v>1415</v>
      </c>
      <c r="D854">
        <v>1</v>
      </c>
      <c r="E854" t="s">
        <v>974</v>
      </c>
      <c r="F854" t="s">
        <v>975</v>
      </c>
      <c r="G854" t="s">
        <v>180</v>
      </c>
      <c r="H854" s="1" t="s">
        <v>976</v>
      </c>
      <c r="I854" s="1">
        <v>390</v>
      </c>
      <c r="J854" s="20">
        <v>9</v>
      </c>
      <c r="K854" s="1">
        <v>32</v>
      </c>
      <c r="L854" s="1">
        <v>288</v>
      </c>
      <c r="M854" s="43" t="s">
        <v>2843</v>
      </c>
      <c r="O854" s="2" t="s">
        <v>2467</v>
      </c>
      <c r="P854" t="s">
        <v>24</v>
      </c>
      <c r="Q854" t="s">
        <v>837</v>
      </c>
    </row>
    <row r="855" spans="1:17" ht="15" customHeight="1" x14ac:dyDescent="0.25">
      <c r="A855" s="3" t="s">
        <v>1444</v>
      </c>
      <c r="B855" s="4" t="s">
        <v>2849</v>
      </c>
      <c r="C855" t="s">
        <v>1415</v>
      </c>
      <c r="D855">
        <v>1</v>
      </c>
      <c r="E855" t="s">
        <v>974</v>
      </c>
      <c r="F855" t="s">
        <v>975</v>
      </c>
      <c r="G855" t="s">
        <v>180</v>
      </c>
      <c r="H855" s="1" t="s">
        <v>976</v>
      </c>
      <c r="I855" s="1">
        <v>390</v>
      </c>
      <c r="J855" s="20">
        <v>3</v>
      </c>
      <c r="K855" s="1">
        <v>32</v>
      </c>
      <c r="L855" s="1">
        <v>96</v>
      </c>
      <c r="M855" s="43" t="s">
        <v>2843</v>
      </c>
      <c r="O855" s="2" t="s">
        <v>2467</v>
      </c>
      <c r="P855" t="s">
        <v>25</v>
      </c>
      <c r="Q855" t="s">
        <v>837</v>
      </c>
    </row>
    <row r="856" spans="1:17" ht="15" customHeight="1" x14ac:dyDescent="0.25">
      <c r="A856" s="3" t="s">
        <v>1445</v>
      </c>
      <c r="B856" s="4" t="s">
        <v>2849</v>
      </c>
      <c r="C856" t="s">
        <v>1415</v>
      </c>
      <c r="D856">
        <v>1</v>
      </c>
      <c r="E856" t="s">
        <v>974</v>
      </c>
      <c r="F856" t="s">
        <v>975</v>
      </c>
      <c r="G856" t="s">
        <v>180</v>
      </c>
      <c r="H856" s="1" t="s">
        <v>976</v>
      </c>
      <c r="I856" s="1">
        <v>390</v>
      </c>
      <c r="J856" s="20">
        <v>15</v>
      </c>
      <c r="K856" s="1">
        <v>32</v>
      </c>
      <c r="L856" s="1">
        <v>480</v>
      </c>
      <c r="M856" s="43" t="s">
        <v>2843</v>
      </c>
      <c r="O856" s="2" t="s">
        <v>2467</v>
      </c>
      <c r="P856" t="s">
        <v>23</v>
      </c>
      <c r="Q856" t="s">
        <v>837</v>
      </c>
    </row>
    <row r="857" spans="1:17" ht="15" customHeight="1" x14ac:dyDescent="0.25">
      <c r="A857" s="3" t="s">
        <v>1446</v>
      </c>
      <c r="B857" s="4" t="s">
        <v>2849</v>
      </c>
      <c r="C857" t="s">
        <v>1415</v>
      </c>
      <c r="D857">
        <v>1</v>
      </c>
      <c r="E857" t="s">
        <v>974</v>
      </c>
      <c r="F857" t="s">
        <v>975</v>
      </c>
      <c r="G857" t="s">
        <v>180</v>
      </c>
      <c r="H857" s="1" t="s">
        <v>976</v>
      </c>
      <c r="I857" s="1">
        <v>390</v>
      </c>
      <c r="J857" s="20">
        <v>7</v>
      </c>
      <c r="K857" s="1">
        <v>32</v>
      </c>
      <c r="L857" s="1">
        <v>224</v>
      </c>
      <c r="M857" s="43" t="s">
        <v>2843</v>
      </c>
      <c r="O857" s="2" t="s">
        <v>2467</v>
      </c>
      <c r="P857" t="s">
        <v>22</v>
      </c>
      <c r="Q857" t="s">
        <v>837</v>
      </c>
    </row>
    <row r="858" spans="1:17" ht="15" customHeight="1" x14ac:dyDescent="0.25">
      <c r="A858" s="3" t="s">
        <v>1447</v>
      </c>
      <c r="B858" s="4" t="s">
        <v>2850</v>
      </c>
      <c r="C858" t="s">
        <v>1415</v>
      </c>
      <c r="D858">
        <v>1</v>
      </c>
      <c r="E858" t="s">
        <v>974</v>
      </c>
      <c r="F858" t="s">
        <v>975</v>
      </c>
      <c r="G858" t="s">
        <v>976</v>
      </c>
      <c r="H858" s="1" t="s">
        <v>976</v>
      </c>
      <c r="I858" s="1">
        <v>670</v>
      </c>
      <c r="J858" s="20">
        <v>6</v>
      </c>
      <c r="K858" s="1">
        <v>112</v>
      </c>
      <c r="L858" s="1">
        <v>672</v>
      </c>
      <c r="M858" s="43" t="s">
        <v>2843</v>
      </c>
      <c r="O858" s="2" t="s">
        <v>2447</v>
      </c>
      <c r="P858" t="s">
        <v>24</v>
      </c>
      <c r="Q858" t="s">
        <v>838</v>
      </c>
    </row>
    <row r="859" spans="1:17" ht="15" customHeight="1" x14ac:dyDescent="0.25">
      <c r="A859" s="3" t="s">
        <v>1448</v>
      </c>
      <c r="B859" s="4" t="s">
        <v>2850</v>
      </c>
      <c r="C859" t="s">
        <v>1415</v>
      </c>
      <c r="D859">
        <v>1</v>
      </c>
      <c r="E859" t="s">
        <v>974</v>
      </c>
      <c r="F859" t="s">
        <v>975</v>
      </c>
      <c r="G859" t="s">
        <v>976</v>
      </c>
      <c r="H859" s="1" t="s">
        <v>976</v>
      </c>
      <c r="I859" s="1">
        <v>670</v>
      </c>
      <c r="J859" s="20">
        <v>2</v>
      </c>
      <c r="K859" s="1">
        <v>112</v>
      </c>
      <c r="L859" s="1">
        <v>224</v>
      </c>
      <c r="M859" s="43" t="s">
        <v>2843</v>
      </c>
      <c r="O859" s="2" t="s">
        <v>2447</v>
      </c>
      <c r="P859" t="s">
        <v>25</v>
      </c>
      <c r="Q859" t="s">
        <v>838</v>
      </c>
    </row>
    <row r="860" spans="1:17" ht="15" customHeight="1" x14ac:dyDescent="0.25">
      <c r="A860" s="3" t="s">
        <v>1449</v>
      </c>
      <c r="B860" s="4" t="s">
        <v>2850</v>
      </c>
      <c r="C860" t="s">
        <v>1415</v>
      </c>
      <c r="D860">
        <v>1</v>
      </c>
      <c r="E860" t="s">
        <v>974</v>
      </c>
      <c r="F860" t="s">
        <v>975</v>
      </c>
      <c r="G860" t="s">
        <v>976</v>
      </c>
      <c r="H860" s="1" t="s">
        <v>976</v>
      </c>
      <c r="I860" s="1">
        <v>670</v>
      </c>
      <c r="J860" s="20">
        <v>22</v>
      </c>
      <c r="K860" s="1">
        <v>112</v>
      </c>
      <c r="L860" s="1">
        <v>2464</v>
      </c>
      <c r="M860" s="43" t="s">
        <v>2843</v>
      </c>
      <c r="O860" s="2" t="s">
        <v>2447</v>
      </c>
      <c r="P860" t="s">
        <v>23</v>
      </c>
      <c r="Q860" t="s">
        <v>838</v>
      </c>
    </row>
    <row r="861" spans="1:17" ht="15" customHeight="1" x14ac:dyDescent="0.25">
      <c r="A861" s="3" t="s">
        <v>1450</v>
      </c>
      <c r="B861" s="4" t="s">
        <v>2850</v>
      </c>
      <c r="C861" t="s">
        <v>1415</v>
      </c>
      <c r="D861">
        <v>1</v>
      </c>
      <c r="E861" t="s">
        <v>974</v>
      </c>
      <c r="F861" t="s">
        <v>975</v>
      </c>
      <c r="G861" t="s">
        <v>976</v>
      </c>
      <c r="H861" s="1" t="s">
        <v>976</v>
      </c>
      <c r="I861" s="1">
        <v>670</v>
      </c>
      <c r="J861" s="20">
        <v>7</v>
      </c>
      <c r="K861" s="1">
        <v>112</v>
      </c>
      <c r="L861" s="1">
        <v>784</v>
      </c>
      <c r="M861" s="43" t="s">
        <v>2843</v>
      </c>
      <c r="O861" s="2" t="s">
        <v>2447</v>
      </c>
      <c r="P861" t="s">
        <v>22</v>
      </c>
      <c r="Q861" t="s">
        <v>838</v>
      </c>
    </row>
    <row r="862" spans="1:17" ht="15" customHeight="1" x14ac:dyDescent="0.25">
      <c r="A862" s="3" t="s">
        <v>1451</v>
      </c>
      <c r="B862" s="4" t="s">
        <v>2850</v>
      </c>
      <c r="C862" t="s">
        <v>1415</v>
      </c>
      <c r="D862">
        <v>1</v>
      </c>
      <c r="E862" t="s">
        <v>974</v>
      </c>
      <c r="F862" t="s">
        <v>975</v>
      </c>
      <c r="G862" t="s">
        <v>976</v>
      </c>
      <c r="H862" s="1" t="s">
        <v>976</v>
      </c>
      <c r="I862" s="1">
        <v>670</v>
      </c>
      <c r="J862" s="20">
        <v>2</v>
      </c>
      <c r="K862" s="1">
        <v>112</v>
      </c>
      <c r="L862" s="1">
        <v>224</v>
      </c>
      <c r="M862" s="43" t="s">
        <v>2843</v>
      </c>
      <c r="O862" s="2" t="s">
        <v>2447</v>
      </c>
      <c r="P862" t="s">
        <v>21</v>
      </c>
      <c r="Q862" t="s">
        <v>838</v>
      </c>
    </row>
    <row r="863" spans="1:17" ht="15" customHeight="1" x14ac:dyDescent="0.25">
      <c r="A863" s="3" t="s">
        <v>1452</v>
      </c>
      <c r="B863" s="4" t="s">
        <v>2850</v>
      </c>
      <c r="C863" t="s">
        <v>1415</v>
      </c>
      <c r="D863">
        <v>1</v>
      </c>
      <c r="E863" t="s">
        <v>974</v>
      </c>
      <c r="F863" t="s">
        <v>975</v>
      </c>
      <c r="G863" t="s">
        <v>976</v>
      </c>
      <c r="H863" s="1" t="s">
        <v>976</v>
      </c>
      <c r="I863" s="1">
        <v>670</v>
      </c>
      <c r="J863" s="20">
        <v>7</v>
      </c>
      <c r="K863" s="1">
        <v>115</v>
      </c>
      <c r="L863" s="1">
        <v>805</v>
      </c>
      <c r="M863" s="43" t="s">
        <v>2843</v>
      </c>
      <c r="O863" s="2" t="s">
        <v>2472</v>
      </c>
      <c r="P863" t="s">
        <v>24</v>
      </c>
      <c r="Q863" t="s">
        <v>839</v>
      </c>
    </row>
    <row r="864" spans="1:17" ht="15" customHeight="1" x14ac:dyDescent="0.25">
      <c r="A864" s="3" t="s">
        <v>1453</v>
      </c>
      <c r="B864" s="4" t="s">
        <v>2850</v>
      </c>
      <c r="C864" t="s">
        <v>1415</v>
      </c>
      <c r="D864">
        <v>1</v>
      </c>
      <c r="E864" t="s">
        <v>974</v>
      </c>
      <c r="F864" t="s">
        <v>975</v>
      </c>
      <c r="G864" t="s">
        <v>976</v>
      </c>
      <c r="H864" s="1" t="s">
        <v>976</v>
      </c>
      <c r="I864" s="1">
        <v>670</v>
      </c>
      <c r="J864" s="20">
        <v>3</v>
      </c>
      <c r="K864" s="1">
        <v>115</v>
      </c>
      <c r="L864" s="1">
        <v>345</v>
      </c>
      <c r="M864" s="43" t="s">
        <v>2843</v>
      </c>
      <c r="O864" s="2" t="s">
        <v>2472</v>
      </c>
      <c r="P864" t="s">
        <v>25</v>
      </c>
      <c r="Q864" t="s">
        <v>839</v>
      </c>
    </row>
    <row r="865" spans="1:17" ht="15" customHeight="1" x14ac:dyDescent="0.25">
      <c r="A865" s="3" t="s">
        <v>1454</v>
      </c>
      <c r="B865" s="4" t="s">
        <v>2850</v>
      </c>
      <c r="C865" t="s">
        <v>1415</v>
      </c>
      <c r="D865">
        <v>1</v>
      </c>
      <c r="E865" t="s">
        <v>974</v>
      </c>
      <c r="F865" t="s">
        <v>975</v>
      </c>
      <c r="G865" t="s">
        <v>976</v>
      </c>
      <c r="H865" s="1" t="s">
        <v>976</v>
      </c>
      <c r="I865" s="1">
        <v>670</v>
      </c>
      <c r="J865" s="20">
        <v>20</v>
      </c>
      <c r="K865" s="1">
        <v>115</v>
      </c>
      <c r="L865" s="1">
        <v>2300</v>
      </c>
      <c r="M865" s="43" t="s">
        <v>2843</v>
      </c>
      <c r="O865" s="2" t="s">
        <v>2472</v>
      </c>
      <c r="P865" t="s">
        <v>23</v>
      </c>
      <c r="Q865" t="s">
        <v>839</v>
      </c>
    </row>
    <row r="866" spans="1:17" ht="15" customHeight="1" x14ac:dyDescent="0.25">
      <c r="A866" s="42" t="s">
        <v>1454</v>
      </c>
      <c r="B866" s="3" t="s">
        <v>2850</v>
      </c>
      <c r="C866" s="42" t="s">
        <v>1415</v>
      </c>
      <c r="D866">
        <v>3</v>
      </c>
      <c r="E866" t="s">
        <v>1179</v>
      </c>
      <c r="F866" t="s">
        <v>1180</v>
      </c>
      <c r="G866" t="s">
        <v>976</v>
      </c>
      <c r="H866" s="1" t="s">
        <v>976</v>
      </c>
      <c r="I866" s="1">
        <v>670</v>
      </c>
      <c r="J866" s="20">
        <v>2</v>
      </c>
      <c r="K866" s="1">
        <v>670</v>
      </c>
      <c r="L866" s="1">
        <v>1340</v>
      </c>
      <c r="M866" s="43" t="s">
        <v>2843</v>
      </c>
      <c r="O866" s="2" t="s">
        <v>2472</v>
      </c>
      <c r="P866" t="s">
        <v>23</v>
      </c>
      <c r="Q866" t="s">
        <v>839</v>
      </c>
    </row>
    <row r="867" spans="1:17" ht="15" customHeight="1" x14ac:dyDescent="0.25">
      <c r="A867" s="3" t="s">
        <v>1455</v>
      </c>
      <c r="B867" s="4" t="s">
        <v>2850</v>
      </c>
      <c r="C867" t="s">
        <v>1415</v>
      </c>
      <c r="D867">
        <v>1</v>
      </c>
      <c r="E867" t="s">
        <v>974</v>
      </c>
      <c r="F867" t="s">
        <v>975</v>
      </c>
      <c r="G867" t="s">
        <v>976</v>
      </c>
      <c r="H867" s="1" t="s">
        <v>976</v>
      </c>
      <c r="I867" s="1">
        <v>670</v>
      </c>
      <c r="J867" s="20">
        <v>10</v>
      </c>
      <c r="K867" s="1">
        <v>115</v>
      </c>
      <c r="L867" s="1">
        <v>1150</v>
      </c>
      <c r="M867" s="43" t="s">
        <v>2843</v>
      </c>
      <c r="O867" s="2" t="s">
        <v>2472</v>
      </c>
      <c r="P867" t="s">
        <v>22</v>
      </c>
      <c r="Q867" t="s">
        <v>839</v>
      </c>
    </row>
    <row r="868" spans="1:17" ht="15" customHeight="1" x14ac:dyDescent="0.25">
      <c r="A868" s="42" t="s">
        <v>1455</v>
      </c>
      <c r="B868" s="3" t="s">
        <v>2850</v>
      </c>
      <c r="C868" s="42" t="s">
        <v>1415</v>
      </c>
      <c r="D868">
        <v>3</v>
      </c>
      <c r="E868" t="s">
        <v>1179</v>
      </c>
      <c r="F868" t="s">
        <v>1180</v>
      </c>
      <c r="G868" t="s">
        <v>976</v>
      </c>
      <c r="H868" s="1" t="s">
        <v>976</v>
      </c>
      <c r="I868" s="1">
        <v>670</v>
      </c>
      <c r="J868" s="20">
        <v>1</v>
      </c>
      <c r="K868" s="1">
        <v>670</v>
      </c>
      <c r="L868" s="1">
        <v>670</v>
      </c>
      <c r="M868" s="43" t="s">
        <v>2843</v>
      </c>
      <c r="O868" s="2" t="s">
        <v>2472</v>
      </c>
      <c r="P868" t="s">
        <v>22</v>
      </c>
      <c r="Q868" t="s">
        <v>839</v>
      </c>
    </row>
    <row r="869" spans="1:17" ht="15" customHeight="1" x14ac:dyDescent="0.25">
      <c r="A869" s="3" t="s">
        <v>1456</v>
      </c>
      <c r="B869" s="4" t="s">
        <v>2850</v>
      </c>
      <c r="C869" t="s">
        <v>1415</v>
      </c>
      <c r="D869">
        <v>1</v>
      </c>
      <c r="E869" t="s">
        <v>974</v>
      </c>
      <c r="F869" t="s">
        <v>975</v>
      </c>
      <c r="G869" t="s">
        <v>976</v>
      </c>
      <c r="H869" s="1" t="s">
        <v>976</v>
      </c>
      <c r="I869" s="1">
        <v>670</v>
      </c>
      <c r="J869" s="20">
        <v>0</v>
      </c>
      <c r="K869" s="1">
        <v>0</v>
      </c>
      <c r="L869" s="1">
        <v>0</v>
      </c>
      <c r="M869" s="43" t="s">
        <v>2843</v>
      </c>
      <c r="N869" s="1" t="s">
        <v>2616</v>
      </c>
      <c r="O869" s="2" t="s">
        <v>2472</v>
      </c>
      <c r="Q869" t="s">
        <v>839</v>
      </c>
    </row>
    <row r="870" spans="1:17" ht="15" customHeight="1" x14ac:dyDescent="0.25">
      <c r="A870" s="3" t="s">
        <v>1457</v>
      </c>
      <c r="B870" s="4" t="s">
        <v>2850</v>
      </c>
      <c r="C870" t="s">
        <v>1415</v>
      </c>
      <c r="D870">
        <v>1</v>
      </c>
      <c r="E870" t="s">
        <v>974</v>
      </c>
      <c r="F870" t="s">
        <v>975</v>
      </c>
      <c r="G870" t="s">
        <v>976</v>
      </c>
      <c r="H870" s="1" t="s">
        <v>976</v>
      </c>
      <c r="I870" s="1">
        <v>670</v>
      </c>
      <c r="J870" s="20">
        <v>4</v>
      </c>
      <c r="K870" s="1">
        <v>115</v>
      </c>
      <c r="L870" s="1">
        <v>460</v>
      </c>
      <c r="M870" s="43" t="s">
        <v>2843</v>
      </c>
      <c r="O870" s="2" t="s">
        <v>2472</v>
      </c>
      <c r="P870" t="s">
        <v>21</v>
      </c>
      <c r="Q870" t="s">
        <v>839</v>
      </c>
    </row>
    <row r="871" spans="1:17" ht="15" customHeight="1" x14ac:dyDescent="0.25">
      <c r="A871" s="3" t="s">
        <v>1458</v>
      </c>
      <c r="B871" s="4" t="s">
        <v>2851</v>
      </c>
      <c r="C871" t="s">
        <v>1415</v>
      </c>
      <c r="D871">
        <v>1</v>
      </c>
      <c r="E871" t="s">
        <v>974</v>
      </c>
      <c r="F871" t="s">
        <v>975</v>
      </c>
      <c r="G871" t="s">
        <v>180</v>
      </c>
      <c r="H871" s="1" t="s">
        <v>976</v>
      </c>
      <c r="I871" s="1">
        <v>1150</v>
      </c>
      <c r="J871" s="20">
        <v>-1</v>
      </c>
      <c r="K871" s="1">
        <v>0</v>
      </c>
      <c r="L871" s="1">
        <v>0</v>
      </c>
      <c r="M871" s="43" t="s">
        <v>2843</v>
      </c>
      <c r="O871" s="2" t="s">
        <v>2579</v>
      </c>
      <c r="Q871" t="s">
        <v>840</v>
      </c>
    </row>
    <row r="872" spans="1:17" ht="15" customHeight="1" x14ac:dyDescent="0.25">
      <c r="A872" s="3" t="s">
        <v>1459</v>
      </c>
      <c r="B872" s="4" t="s">
        <v>1415</v>
      </c>
      <c r="C872" t="s">
        <v>1415</v>
      </c>
      <c r="D872">
        <v>1</v>
      </c>
      <c r="E872" t="s">
        <v>974</v>
      </c>
      <c r="F872" t="s">
        <v>975</v>
      </c>
      <c r="G872" t="s">
        <v>180</v>
      </c>
      <c r="H872" s="1" t="s">
        <v>976</v>
      </c>
      <c r="I872" s="1">
        <v>570</v>
      </c>
      <c r="J872" s="20">
        <v>0</v>
      </c>
      <c r="K872" s="1">
        <v>112</v>
      </c>
      <c r="L872" s="1">
        <v>0</v>
      </c>
      <c r="M872" s="43" t="s">
        <v>2843</v>
      </c>
      <c r="O872" s="2" t="s">
        <v>2472</v>
      </c>
      <c r="P872" t="s">
        <v>23</v>
      </c>
      <c r="Q872" t="s">
        <v>841</v>
      </c>
    </row>
    <row r="873" spans="1:17" ht="15" customHeight="1" x14ac:dyDescent="0.25">
      <c r="A873" s="3" t="s">
        <v>1460</v>
      </c>
      <c r="B873" s="4" t="s">
        <v>1415</v>
      </c>
      <c r="C873" t="s">
        <v>1415</v>
      </c>
      <c r="D873">
        <v>1</v>
      </c>
      <c r="E873" t="s">
        <v>974</v>
      </c>
      <c r="F873" t="s">
        <v>975</v>
      </c>
      <c r="G873" t="s">
        <v>180</v>
      </c>
      <c r="H873" s="1" t="s">
        <v>976</v>
      </c>
      <c r="I873" s="1">
        <v>570</v>
      </c>
      <c r="J873" s="20">
        <v>0</v>
      </c>
      <c r="K873" s="1">
        <v>60</v>
      </c>
      <c r="L873" s="1">
        <v>0</v>
      </c>
      <c r="M873" s="43" t="s">
        <v>2843</v>
      </c>
      <c r="O873" s="2" t="s">
        <v>2482</v>
      </c>
      <c r="P873" t="s">
        <v>24</v>
      </c>
      <c r="Q873" t="s">
        <v>842</v>
      </c>
    </row>
    <row r="874" spans="1:17" ht="15" customHeight="1" x14ac:dyDescent="0.25">
      <c r="A874" s="3" t="s">
        <v>1461</v>
      </c>
      <c r="B874" s="4" t="s">
        <v>1415</v>
      </c>
      <c r="C874" t="s">
        <v>1415</v>
      </c>
      <c r="D874">
        <v>1</v>
      </c>
      <c r="E874" t="s">
        <v>974</v>
      </c>
      <c r="F874" t="s">
        <v>975</v>
      </c>
      <c r="G874" t="s">
        <v>180</v>
      </c>
      <c r="H874" s="1" t="s">
        <v>976</v>
      </c>
      <c r="I874" s="1">
        <v>570</v>
      </c>
      <c r="J874" s="20">
        <v>0</v>
      </c>
      <c r="K874" s="1">
        <v>60</v>
      </c>
      <c r="L874" s="1">
        <v>0</v>
      </c>
      <c r="M874" s="43" t="s">
        <v>2843</v>
      </c>
      <c r="O874" s="2" t="s">
        <v>2482</v>
      </c>
      <c r="P874" t="s">
        <v>23</v>
      </c>
      <c r="Q874" t="s">
        <v>842</v>
      </c>
    </row>
    <row r="875" spans="1:17" ht="15" customHeight="1" x14ac:dyDescent="0.25">
      <c r="A875" s="3" t="s">
        <v>1462</v>
      </c>
      <c r="B875" s="4" t="s">
        <v>1415</v>
      </c>
      <c r="C875" t="s">
        <v>1415</v>
      </c>
      <c r="D875">
        <v>1</v>
      </c>
      <c r="E875" t="s">
        <v>974</v>
      </c>
      <c r="F875" t="s">
        <v>975</v>
      </c>
      <c r="G875" t="s">
        <v>180</v>
      </c>
      <c r="H875" s="1" t="s">
        <v>976</v>
      </c>
      <c r="I875" s="1">
        <v>390</v>
      </c>
      <c r="J875" s="20">
        <v>2</v>
      </c>
      <c r="K875" s="1">
        <v>32</v>
      </c>
      <c r="L875" s="1">
        <v>64</v>
      </c>
      <c r="M875" s="43" t="s">
        <v>2843</v>
      </c>
      <c r="O875" s="2" t="s">
        <v>2495</v>
      </c>
      <c r="P875" t="s">
        <v>24</v>
      </c>
      <c r="Q875" t="s">
        <v>843</v>
      </c>
    </row>
    <row r="876" spans="1:17" ht="15" customHeight="1" x14ac:dyDescent="0.25">
      <c r="A876" s="3" t="s">
        <v>1463</v>
      </c>
      <c r="B876" s="4" t="s">
        <v>1415</v>
      </c>
      <c r="C876" t="s">
        <v>1415</v>
      </c>
      <c r="D876">
        <v>1</v>
      </c>
      <c r="E876" t="s">
        <v>974</v>
      </c>
      <c r="F876" t="s">
        <v>975</v>
      </c>
      <c r="G876" t="s">
        <v>180</v>
      </c>
      <c r="H876" s="1" t="s">
        <v>976</v>
      </c>
      <c r="I876" s="1">
        <v>390</v>
      </c>
      <c r="J876" s="20">
        <v>0</v>
      </c>
      <c r="K876" s="1">
        <v>32</v>
      </c>
      <c r="L876" s="1">
        <v>0</v>
      </c>
      <c r="M876" s="43" t="s">
        <v>2843</v>
      </c>
      <c r="O876" s="2" t="s">
        <v>2495</v>
      </c>
      <c r="P876" t="s">
        <v>25</v>
      </c>
      <c r="Q876" t="s">
        <v>843</v>
      </c>
    </row>
    <row r="877" spans="1:17" ht="15" customHeight="1" x14ac:dyDescent="0.25">
      <c r="A877" s="3" t="s">
        <v>1464</v>
      </c>
      <c r="B877" s="4" t="s">
        <v>1415</v>
      </c>
      <c r="C877" t="s">
        <v>1415</v>
      </c>
      <c r="D877">
        <v>1</v>
      </c>
      <c r="E877" t="s">
        <v>974</v>
      </c>
      <c r="F877" t="s">
        <v>975</v>
      </c>
      <c r="G877" t="s">
        <v>180</v>
      </c>
      <c r="H877" s="1" t="s">
        <v>976</v>
      </c>
      <c r="I877" s="1">
        <v>390</v>
      </c>
      <c r="J877" s="20">
        <v>3</v>
      </c>
      <c r="K877" s="1">
        <v>32</v>
      </c>
      <c r="L877" s="1">
        <v>96</v>
      </c>
      <c r="M877" s="43" t="s">
        <v>2843</v>
      </c>
      <c r="O877" s="2" t="s">
        <v>2495</v>
      </c>
      <c r="P877" t="s">
        <v>23</v>
      </c>
      <c r="Q877" t="s">
        <v>843</v>
      </c>
    </row>
    <row r="878" spans="1:17" ht="15" customHeight="1" x14ac:dyDescent="0.25">
      <c r="A878" s="3" t="s">
        <v>1465</v>
      </c>
      <c r="B878" s="4" t="s">
        <v>1415</v>
      </c>
      <c r="C878" t="s">
        <v>1415</v>
      </c>
      <c r="D878">
        <v>1</v>
      </c>
      <c r="E878" t="s">
        <v>974</v>
      </c>
      <c r="F878" t="s">
        <v>975</v>
      </c>
      <c r="G878" t="s">
        <v>180</v>
      </c>
      <c r="H878" s="1" t="s">
        <v>976</v>
      </c>
      <c r="I878" s="1">
        <v>390</v>
      </c>
      <c r="J878" s="20">
        <v>5</v>
      </c>
      <c r="K878" s="1">
        <v>32</v>
      </c>
      <c r="L878" s="1">
        <v>160</v>
      </c>
      <c r="M878" s="43" t="s">
        <v>2843</v>
      </c>
      <c r="O878" s="2" t="s">
        <v>2495</v>
      </c>
      <c r="P878" t="s">
        <v>22</v>
      </c>
      <c r="Q878" t="s">
        <v>843</v>
      </c>
    </row>
    <row r="879" spans="1:17" ht="15" customHeight="1" x14ac:dyDescent="0.25">
      <c r="A879" s="3" t="s">
        <v>1466</v>
      </c>
      <c r="B879" s="4" t="s">
        <v>1415</v>
      </c>
      <c r="C879" t="s">
        <v>1415</v>
      </c>
      <c r="D879">
        <v>1</v>
      </c>
      <c r="E879" t="s">
        <v>974</v>
      </c>
      <c r="F879" t="s">
        <v>975</v>
      </c>
      <c r="G879" t="s">
        <v>180</v>
      </c>
      <c r="H879" s="1" t="s">
        <v>976</v>
      </c>
      <c r="I879" s="1">
        <v>990</v>
      </c>
      <c r="J879" s="20">
        <v>0</v>
      </c>
      <c r="K879" s="1">
        <v>0</v>
      </c>
      <c r="L879" s="1">
        <v>0</v>
      </c>
      <c r="M879" s="43" t="s">
        <v>2843</v>
      </c>
      <c r="O879" s="2" t="s">
        <v>2579</v>
      </c>
      <c r="P879" t="s">
        <v>24</v>
      </c>
      <c r="Q879" t="s">
        <v>844</v>
      </c>
    </row>
    <row r="880" spans="1:17" ht="15" customHeight="1" x14ac:dyDescent="0.25">
      <c r="A880" s="3" t="s">
        <v>1467</v>
      </c>
      <c r="B880" s="4" t="s">
        <v>1415</v>
      </c>
      <c r="C880" t="s">
        <v>1415</v>
      </c>
      <c r="D880">
        <v>1</v>
      </c>
      <c r="E880" t="s">
        <v>974</v>
      </c>
      <c r="F880" t="s">
        <v>975</v>
      </c>
      <c r="G880" t="s">
        <v>180</v>
      </c>
      <c r="H880" s="1" t="s">
        <v>976</v>
      </c>
      <c r="I880" s="1">
        <v>990</v>
      </c>
      <c r="J880" s="20">
        <v>0</v>
      </c>
      <c r="K880" s="1">
        <v>0</v>
      </c>
      <c r="L880" s="1">
        <v>0</v>
      </c>
      <c r="M880" s="43" t="s">
        <v>2843</v>
      </c>
      <c r="O880" s="2" t="s">
        <v>2579</v>
      </c>
      <c r="P880" t="s">
        <v>23</v>
      </c>
      <c r="Q880" t="s">
        <v>844</v>
      </c>
    </row>
    <row r="881" spans="1:17" ht="15" customHeight="1" x14ac:dyDescent="0.25">
      <c r="A881" s="3" t="s">
        <v>1468</v>
      </c>
      <c r="B881" s="4" t="s">
        <v>1415</v>
      </c>
      <c r="C881" t="s">
        <v>1415</v>
      </c>
      <c r="D881">
        <v>1</v>
      </c>
      <c r="E881" t="s">
        <v>974</v>
      </c>
      <c r="F881" t="s">
        <v>975</v>
      </c>
      <c r="G881" t="s">
        <v>180</v>
      </c>
      <c r="H881" s="1" t="s">
        <v>976</v>
      </c>
      <c r="I881" s="1">
        <v>990</v>
      </c>
      <c r="J881" s="20">
        <v>0</v>
      </c>
      <c r="K881" s="1">
        <v>0</v>
      </c>
      <c r="L881" s="1">
        <v>0</v>
      </c>
      <c r="M881" s="43" t="s">
        <v>2843</v>
      </c>
      <c r="O881" s="2" t="s">
        <v>2579</v>
      </c>
      <c r="P881" t="s">
        <v>22</v>
      </c>
      <c r="Q881" t="s">
        <v>844</v>
      </c>
    </row>
    <row r="882" spans="1:17" ht="15" customHeight="1" x14ac:dyDescent="0.25">
      <c r="A882" s="3" t="s">
        <v>1469</v>
      </c>
      <c r="B882" s="4" t="s">
        <v>1415</v>
      </c>
      <c r="C882" t="s">
        <v>1415</v>
      </c>
      <c r="D882">
        <v>1</v>
      </c>
      <c r="E882" t="s">
        <v>974</v>
      </c>
      <c r="F882" t="s">
        <v>975</v>
      </c>
      <c r="G882" t="s">
        <v>180</v>
      </c>
      <c r="H882" s="1" t="s">
        <v>976</v>
      </c>
      <c r="I882" s="1">
        <v>690</v>
      </c>
      <c r="J882" s="20">
        <v>2</v>
      </c>
      <c r="K882" s="1">
        <v>127.84</v>
      </c>
      <c r="L882" s="1">
        <v>255.68</v>
      </c>
      <c r="M882" s="43" t="s">
        <v>2843</v>
      </c>
      <c r="O882" s="2" t="s">
        <v>2852</v>
      </c>
      <c r="P882" t="s">
        <v>24</v>
      </c>
      <c r="Q882" t="s">
        <v>845</v>
      </c>
    </row>
    <row r="883" spans="1:17" ht="15" customHeight="1" x14ac:dyDescent="0.25">
      <c r="A883" s="42" t="s">
        <v>1469</v>
      </c>
      <c r="B883" s="3" t="s">
        <v>1415</v>
      </c>
      <c r="C883" s="42" t="s">
        <v>1415</v>
      </c>
      <c r="D883">
        <v>3</v>
      </c>
      <c r="E883" t="s">
        <v>1179</v>
      </c>
      <c r="F883" t="s">
        <v>1180</v>
      </c>
      <c r="G883" t="s">
        <v>180</v>
      </c>
      <c r="H883" s="1" t="s">
        <v>976</v>
      </c>
      <c r="I883" s="1">
        <v>690</v>
      </c>
      <c r="J883" s="20">
        <v>0</v>
      </c>
      <c r="K883" s="1">
        <v>127.84</v>
      </c>
      <c r="L883" s="1">
        <v>0</v>
      </c>
      <c r="M883" s="43" t="s">
        <v>2843</v>
      </c>
      <c r="O883" s="2" t="s">
        <v>2852</v>
      </c>
      <c r="P883" t="s">
        <v>24</v>
      </c>
      <c r="Q883" t="s">
        <v>845</v>
      </c>
    </row>
    <row r="884" spans="1:17" ht="15" customHeight="1" x14ac:dyDescent="0.25">
      <c r="A884" s="3" t="s">
        <v>1470</v>
      </c>
      <c r="B884" s="4" t="s">
        <v>1415</v>
      </c>
      <c r="C884" t="s">
        <v>1415</v>
      </c>
      <c r="D884">
        <v>1</v>
      </c>
      <c r="E884" t="s">
        <v>974</v>
      </c>
      <c r="F884" t="s">
        <v>975</v>
      </c>
      <c r="G884" t="s">
        <v>180</v>
      </c>
      <c r="H884" s="1" t="s">
        <v>976</v>
      </c>
      <c r="I884" s="1">
        <v>690</v>
      </c>
      <c r="J884" s="20">
        <v>1</v>
      </c>
      <c r="K884" s="1">
        <v>120</v>
      </c>
      <c r="L884" s="1">
        <v>120</v>
      </c>
      <c r="M884" s="43" t="s">
        <v>2843</v>
      </c>
      <c r="O884" s="2" t="s">
        <v>2852</v>
      </c>
      <c r="P884" t="s">
        <v>25</v>
      </c>
      <c r="Q884" t="s">
        <v>845</v>
      </c>
    </row>
    <row r="885" spans="1:17" ht="15" customHeight="1" x14ac:dyDescent="0.25">
      <c r="A885" s="42" t="s">
        <v>1470</v>
      </c>
      <c r="B885" s="3" t="s">
        <v>1415</v>
      </c>
      <c r="C885" s="42" t="s">
        <v>1415</v>
      </c>
      <c r="D885">
        <v>3</v>
      </c>
      <c r="E885" t="s">
        <v>1179</v>
      </c>
      <c r="F885" t="s">
        <v>1180</v>
      </c>
      <c r="G885" t="s">
        <v>180</v>
      </c>
      <c r="H885" s="1" t="s">
        <v>976</v>
      </c>
      <c r="I885" s="1">
        <v>690</v>
      </c>
      <c r="J885" s="20">
        <v>0</v>
      </c>
      <c r="K885" s="1">
        <v>120</v>
      </c>
      <c r="L885" s="1">
        <v>0</v>
      </c>
      <c r="M885" s="43" t="s">
        <v>2843</v>
      </c>
      <c r="O885" s="2" t="s">
        <v>2852</v>
      </c>
      <c r="P885" t="s">
        <v>25</v>
      </c>
      <c r="Q885" t="s">
        <v>845</v>
      </c>
    </row>
    <row r="886" spans="1:17" ht="15" customHeight="1" x14ac:dyDescent="0.25">
      <c r="A886" s="3" t="s">
        <v>1471</v>
      </c>
      <c r="B886" s="4" t="s">
        <v>1415</v>
      </c>
      <c r="C886" t="s">
        <v>1415</v>
      </c>
      <c r="D886">
        <v>1</v>
      </c>
      <c r="E886" t="s">
        <v>974</v>
      </c>
      <c r="F886" t="s">
        <v>975</v>
      </c>
      <c r="G886" t="s">
        <v>180</v>
      </c>
      <c r="H886" s="1" t="s">
        <v>976</v>
      </c>
      <c r="I886" s="1">
        <v>690</v>
      </c>
      <c r="J886" s="20">
        <v>3</v>
      </c>
      <c r="K886" s="1">
        <v>127.84</v>
      </c>
      <c r="L886" s="1">
        <v>383.52</v>
      </c>
      <c r="M886" s="43" t="s">
        <v>2843</v>
      </c>
      <c r="O886" s="2" t="s">
        <v>2852</v>
      </c>
      <c r="P886" t="s">
        <v>23</v>
      </c>
      <c r="Q886" t="s">
        <v>845</v>
      </c>
    </row>
    <row r="887" spans="1:17" ht="15" customHeight="1" x14ac:dyDescent="0.25">
      <c r="A887" s="42" t="s">
        <v>1471</v>
      </c>
      <c r="B887" s="3" t="s">
        <v>1415</v>
      </c>
      <c r="C887" s="42" t="s">
        <v>1415</v>
      </c>
      <c r="D887">
        <v>3</v>
      </c>
      <c r="E887" t="s">
        <v>1179</v>
      </c>
      <c r="F887" t="s">
        <v>1180</v>
      </c>
      <c r="G887" t="s">
        <v>180</v>
      </c>
      <c r="H887" s="1" t="s">
        <v>976</v>
      </c>
      <c r="I887" s="1">
        <v>690</v>
      </c>
      <c r="J887" s="20">
        <v>0</v>
      </c>
      <c r="K887" s="1">
        <v>127.84</v>
      </c>
      <c r="L887" s="1">
        <v>0</v>
      </c>
      <c r="M887" s="43" t="s">
        <v>2843</v>
      </c>
      <c r="O887" s="2" t="s">
        <v>2852</v>
      </c>
      <c r="P887" t="s">
        <v>23</v>
      </c>
      <c r="Q887" t="s">
        <v>845</v>
      </c>
    </row>
    <row r="888" spans="1:17" ht="15" customHeight="1" x14ac:dyDescent="0.25">
      <c r="A888" s="3" t="s">
        <v>1472</v>
      </c>
      <c r="B888" s="4" t="s">
        <v>1415</v>
      </c>
      <c r="C888" t="s">
        <v>1415</v>
      </c>
      <c r="D888">
        <v>1</v>
      </c>
      <c r="E888" t="s">
        <v>974</v>
      </c>
      <c r="F888" t="s">
        <v>975</v>
      </c>
      <c r="G888" t="s">
        <v>180</v>
      </c>
      <c r="H888" s="1" t="s">
        <v>976</v>
      </c>
      <c r="I888" s="1">
        <v>690</v>
      </c>
      <c r="J888" s="20">
        <v>1</v>
      </c>
      <c r="K888" s="1">
        <v>127.84</v>
      </c>
      <c r="L888" s="1">
        <v>127.84</v>
      </c>
      <c r="M888" s="43" t="s">
        <v>2843</v>
      </c>
      <c r="O888" s="2" t="s">
        <v>2852</v>
      </c>
      <c r="P888" t="s">
        <v>22</v>
      </c>
      <c r="Q888" t="s">
        <v>845</v>
      </c>
    </row>
    <row r="889" spans="1:17" ht="15" customHeight="1" x14ac:dyDescent="0.25">
      <c r="A889" s="42" t="s">
        <v>1472</v>
      </c>
      <c r="B889" s="3" t="s">
        <v>1415</v>
      </c>
      <c r="C889" s="42" t="s">
        <v>1415</v>
      </c>
      <c r="D889">
        <v>3</v>
      </c>
      <c r="E889" t="s">
        <v>1179</v>
      </c>
      <c r="F889" t="s">
        <v>1180</v>
      </c>
      <c r="G889" t="s">
        <v>180</v>
      </c>
      <c r="H889" s="1" t="s">
        <v>976</v>
      </c>
      <c r="I889" s="1">
        <v>690</v>
      </c>
      <c r="J889" s="20">
        <v>0</v>
      </c>
      <c r="K889" s="1">
        <v>127.84</v>
      </c>
      <c r="L889" s="1">
        <v>0</v>
      </c>
      <c r="M889" s="43" t="s">
        <v>2843</v>
      </c>
      <c r="O889" s="2" t="s">
        <v>2852</v>
      </c>
      <c r="P889" t="s">
        <v>22</v>
      </c>
      <c r="Q889" t="s">
        <v>845</v>
      </c>
    </row>
    <row r="890" spans="1:17" ht="15" customHeight="1" x14ac:dyDescent="0.25">
      <c r="A890" s="3" t="s">
        <v>1473</v>
      </c>
      <c r="B890" s="4" t="s">
        <v>281</v>
      </c>
      <c r="C890" t="s">
        <v>1415</v>
      </c>
      <c r="D890">
        <v>1</v>
      </c>
      <c r="E890" t="s">
        <v>974</v>
      </c>
      <c r="F890" t="s">
        <v>975</v>
      </c>
      <c r="G890" t="s">
        <v>180</v>
      </c>
      <c r="H890" s="1" t="s">
        <v>976</v>
      </c>
      <c r="I890" s="1">
        <v>520</v>
      </c>
      <c r="J890" s="20">
        <v>0</v>
      </c>
      <c r="K890" s="1">
        <v>88.91</v>
      </c>
      <c r="L890" s="1">
        <v>0</v>
      </c>
      <c r="M890" s="43" t="s">
        <v>2843</v>
      </c>
      <c r="P890" t="s">
        <v>24</v>
      </c>
      <c r="Q890" t="s">
        <v>281</v>
      </c>
    </row>
    <row r="891" spans="1:17" ht="15" customHeight="1" x14ac:dyDescent="0.25">
      <c r="A891" s="3" t="s">
        <v>1474</v>
      </c>
      <c r="B891" s="4" t="s">
        <v>282</v>
      </c>
      <c r="C891" t="s">
        <v>1415</v>
      </c>
      <c r="D891">
        <v>1</v>
      </c>
      <c r="E891" t="s">
        <v>974</v>
      </c>
      <c r="F891" t="s">
        <v>975</v>
      </c>
      <c r="G891" t="s">
        <v>180</v>
      </c>
      <c r="H891" s="1" t="s">
        <v>976</v>
      </c>
      <c r="I891" s="1">
        <v>520</v>
      </c>
      <c r="J891" s="20">
        <v>0</v>
      </c>
      <c r="K891" s="1">
        <v>88.91</v>
      </c>
      <c r="L891" s="1">
        <v>0</v>
      </c>
      <c r="M891" s="43" t="s">
        <v>2843</v>
      </c>
      <c r="P891" t="s">
        <v>25</v>
      </c>
      <c r="Q891" t="s">
        <v>282</v>
      </c>
    </row>
    <row r="892" spans="1:17" ht="15" customHeight="1" x14ac:dyDescent="0.25">
      <c r="A892" s="3" t="s">
        <v>1475</v>
      </c>
      <c r="B892" s="4" t="s">
        <v>283</v>
      </c>
      <c r="C892" t="s">
        <v>1415</v>
      </c>
      <c r="D892">
        <v>1</v>
      </c>
      <c r="E892" t="s">
        <v>974</v>
      </c>
      <c r="F892" t="s">
        <v>975</v>
      </c>
      <c r="G892" t="s">
        <v>180</v>
      </c>
      <c r="H892" s="1" t="s">
        <v>976</v>
      </c>
      <c r="I892" s="1">
        <v>520</v>
      </c>
      <c r="J892" s="20">
        <v>0</v>
      </c>
      <c r="K892" s="1">
        <v>0</v>
      </c>
      <c r="L892" s="1">
        <v>0</v>
      </c>
      <c r="M892" s="43" t="s">
        <v>2843</v>
      </c>
      <c r="P892" t="s">
        <v>23</v>
      </c>
      <c r="Q892" t="s">
        <v>283</v>
      </c>
    </row>
    <row r="893" spans="1:17" ht="15" customHeight="1" x14ac:dyDescent="0.25">
      <c r="A893" s="3" t="s">
        <v>1476</v>
      </c>
      <c r="B893" s="4" t="s">
        <v>284</v>
      </c>
      <c r="C893" t="s">
        <v>1415</v>
      </c>
      <c r="D893">
        <v>1</v>
      </c>
      <c r="E893" t="s">
        <v>974</v>
      </c>
      <c r="F893" t="s">
        <v>975</v>
      </c>
      <c r="G893" t="s">
        <v>180</v>
      </c>
      <c r="H893" s="1" t="s">
        <v>976</v>
      </c>
      <c r="I893" s="1">
        <v>520</v>
      </c>
      <c r="J893" s="20">
        <v>0</v>
      </c>
      <c r="K893" s="1">
        <v>0</v>
      </c>
      <c r="L893" s="1">
        <v>0</v>
      </c>
      <c r="M893" s="43" t="s">
        <v>2843</v>
      </c>
      <c r="P893" t="s">
        <v>22</v>
      </c>
      <c r="Q893" t="s">
        <v>284</v>
      </c>
    </row>
    <row r="894" spans="1:17" ht="15" customHeight="1" x14ac:dyDescent="0.25">
      <c r="A894" s="3" t="s">
        <v>1477</v>
      </c>
      <c r="B894" s="4" t="s">
        <v>2853</v>
      </c>
      <c r="C894" t="s">
        <v>1415</v>
      </c>
      <c r="D894">
        <v>1</v>
      </c>
      <c r="E894" t="s">
        <v>974</v>
      </c>
      <c r="F894" t="s">
        <v>975</v>
      </c>
      <c r="G894" t="s">
        <v>180</v>
      </c>
      <c r="H894" s="1" t="s">
        <v>976</v>
      </c>
      <c r="I894" s="1">
        <v>615</v>
      </c>
      <c r="J894" s="20">
        <v>1</v>
      </c>
      <c r="K894" s="1">
        <v>93.49</v>
      </c>
      <c r="L894" s="1">
        <v>93.49</v>
      </c>
      <c r="M894" s="43" t="s">
        <v>2843</v>
      </c>
      <c r="O894" s="2" t="s">
        <v>2447</v>
      </c>
      <c r="P894" t="s">
        <v>24</v>
      </c>
      <c r="Q894" t="s">
        <v>846</v>
      </c>
    </row>
    <row r="895" spans="1:17" ht="15" customHeight="1" x14ac:dyDescent="0.25">
      <c r="A895" s="3" t="s">
        <v>1478</v>
      </c>
      <c r="B895" s="4" t="s">
        <v>2853</v>
      </c>
      <c r="C895" t="s">
        <v>1415</v>
      </c>
      <c r="D895">
        <v>1</v>
      </c>
      <c r="E895" t="s">
        <v>974</v>
      </c>
      <c r="F895" t="s">
        <v>975</v>
      </c>
      <c r="G895" t="s">
        <v>180</v>
      </c>
      <c r="H895" s="1" t="s">
        <v>976</v>
      </c>
      <c r="I895" s="1">
        <v>615</v>
      </c>
      <c r="J895" s="20">
        <v>1</v>
      </c>
      <c r="K895" s="1">
        <v>93.4</v>
      </c>
      <c r="L895" s="1">
        <v>93.4</v>
      </c>
      <c r="M895" s="43" t="s">
        <v>2843</v>
      </c>
      <c r="O895" s="2" t="s">
        <v>2447</v>
      </c>
      <c r="P895" t="s">
        <v>25</v>
      </c>
      <c r="Q895" t="s">
        <v>846</v>
      </c>
    </row>
    <row r="896" spans="1:17" ht="15" customHeight="1" x14ac:dyDescent="0.25">
      <c r="A896" s="3" t="s">
        <v>1479</v>
      </c>
      <c r="B896" s="4" t="s">
        <v>2853</v>
      </c>
      <c r="C896" t="s">
        <v>1415</v>
      </c>
      <c r="D896">
        <v>1</v>
      </c>
      <c r="E896" t="s">
        <v>974</v>
      </c>
      <c r="F896" t="s">
        <v>975</v>
      </c>
      <c r="G896" t="s">
        <v>180</v>
      </c>
      <c r="H896" s="1" t="s">
        <v>976</v>
      </c>
      <c r="I896" s="1">
        <v>615</v>
      </c>
      <c r="J896" s="20">
        <v>0</v>
      </c>
      <c r="K896" s="1">
        <v>93.4</v>
      </c>
      <c r="L896" s="1">
        <v>0</v>
      </c>
      <c r="M896" s="43" t="s">
        <v>2843</v>
      </c>
      <c r="O896" s="2" t="s">
        <v>2447</v>
      </c>
      <c r="P896" t="s">
        <v>23</v>
      </c>
      <c r="Q896" t="s">
        <v>846</v>
      </c>
    </row>
    <row r="897" spans="1:17" ht="15" customHeight="1" x14ac:dyDescent="0.25">
      <c r="A897" s="3" t="s">
        <v>1480</v>
      </c>
      <c r="B897" s="4" t="s">
        <v>2853</v>
      </c>
      <c r="C897" t="s">
        <v>1415</v>
      </c>
      <c r="D897">
        <v>1</v>
      </c>
      <c r="E897" t="s">
        <v>974</v>
      </c>
      <c r="F897" t="s">
        <v>975</v>
      </c>
      <c r="G897" t="s">
        <v>180</v>
      </c>
      <c r="H897" s="1" t="s">
        <v>976</v>
      </c>
      <c r="I897" s="1">
        <v>615</v>
      </c>
      <c r="J897" s="20">
        <v>0</v>
      </c>
      <c r="K897" s="1">
        <v>93.4</v>
      </c>
      <c r="L897" s="1">
        <v>0</v>
      </c>
      <c r="M897" s="43" t="s">
        <v>2843</v>
      </c>
      <c r="O897" s="2" t="s">
        <v>2447</v>
      </c>
      <c r="P897" t="s">
        <v>22</v>
      </c>
      <c r="Q897" t="s">
        <v>846</v>
      </c>
    </row>
    <row r="898" spans="1:17" ht="15" customHeight="1" x14ac:dyDescent="0.25">
      <c r="A898" s="42" t="s">
        <v>1480</v>
      </c>
      <c r="B898" s="3" t="s">
        <v>2853</v>
      </c>
      <c r="C898" s="42" t="s">
        <v>1415</v>
      </c>
      <c r="D898">
        <v>2</v>
      </c>
      <c r="E898" t="s">
        <v>1017</v>
      </c>
      <c r="F898" t="s">
        <v>975</v>
      </c>
      <c r="G898" t="s">
        <v>180</v>
      </c>
      <c r="H898" s="1" t="s">
        <v>976</v>
      </c>
      <c r="I898" s="1">
        <v>615</v>
      </c>
      <c r="J898" s="20">
        <v>0</v>
      </c>
      <c r="K898" s="1">
        <v>93.4</v>
      </c>
      <c r="L898" s="1">
        <v>0</v>
      </c>
      <c r="M898" s="43" t="s">
        <v>2843</v>
      </c>
      <c r="O898" s="2" t="s">
        <v>2447</v>
      </c>
      <c r="P898" t="s">
        <v>22</v>
      </c>
      <c r="Q898" t="s">
        <v>846</v>
      </c>
    </row>
    <row r="899" spans="1:17" ht="15" customHeight="1" x14ac:dyDescent="0.25">
      <c r="A899" s="3" t="s">
        <v>1481</v>
      </c>
      <c r="B899" s="4" t="s">
        <v>285</v>
      </c>
      <c r="C899" t="s">
        <v>1415</v>
      </c>
      <c r="D899">
        <v>1</v>
      </c>
      <c r="E899" t="s">
        <v>974</v>
      </c>
      <c r="F899" t="s">
        <v>975</v>
      </c>
      <c r="G899" t="s">
        <v>180</v>
      </c>
      <c r="H899" s="1" t="s">
        <v>976</v>
      </c>
      <c r="I899" s="1">
        <v>615</v>
      </c>
      <c r="J899" s="20">
        <v>1</v>
      </c>
      <c r="K899" s="1">
        <v>91.53</v>
      </c>
      <c r="L899" s="1">
        <v>91.53</v>
      </c>
      <c r="M899" s="43" t="s">
        <v>2843</v>
      </c>
      <c r="P899" t="s">
        <v>24</v>
      </c>
      <c r="Q899" t="s">
        <v>285</v>
      </c>
    </row>
    <row r="900" spans="1:17" ht="15" customHeight="1" x14ac:dyDescent="0.25">
      <c r="A900" s="3" t="s">
        <v>1482</v>
      </c>
      <c r="B900" s="4" t="s">
        <v>286</v>
      </c>
      <c r="C900" t="s">
        <v>1415</v>
      </c>
      <c r="D900">
        <v>1</v>
      </c>
      <c r="E900" t="s">
        <v>974</v>
      </c>
      <c r="F900" t="s">
        <v>975</v>
      </c>
      <c r="G900" t="s">
        <v>180</v>
      </c>
      <c r="H900" s="1" t="s">
        <v>976</v>
      </c>
      <c r="I900" s="1">
        <v>615</v>
      </c>
      <c r="J900" s="20">
        <v>1</v>
      </c>
      <c r="K900" s="1">
        <v>91.53</v>
      </c>
      <c r="L900" s="1">
        <v>91.53</v>
      </c>
      <c r="M900" s="43" t="s">
        <v>2843</v>
      </c>
      <c r="P900" t="s">
        <v>25</v>
      </c>
      <c r="Q900" t="s">
        <v>286</v>
      </c>
    </row>
    <row r="901" spans="1:17" ht="15" customHeight="1" x14ac:dyDescent="0.25">
      <c r="A901" s="3" t="s">
        <v>1483</v>
      </c>
      <c r="B901" s="4" t="s">
        <v>287</v>
      </c>
      <c r="C901" t="s">
        <v>1415</v>
      </c>
      <c r="D901">
        <v>1</v>
      </c>
      <c r="E901" t="s">
        <v>974</v>
      </c>
      <c r="F901" t="s">
        <v>975</v>
      </c>
      <c r="G901" t="s">
        <v>180</v>
      </c>
      <c r="H901" s="1" t="s">
        <v>976</v>
      </c>
      <c r="I901" s="1">
        <v>615</v>
      </c>
      <c r="J901" s="20">
        <v>3</v>
      </c>
      <c r="K901" s="1">
        <v>91.53</v>
      </c>
      <c r="L901" s="1">
        <v>274.58999999999997</v>
      </c>
      <c r="M901" s="43" t="s">
        <v>2843</v>
      </c>
      <c r="P901" t="s">
        <v>23</v>
      </c>
      <c r="Q901" t="s">
        <v>287</v>
      </c>
    </row>
    <row r="902" spans="1:17" ht="15" customHeight="1" x14ac:dyDescent="0.25">
      <c r="A902" s="3" t="s">
        <v>1484</v>
      </c>
      <c r="B902" s="4" t="s">
        <v>288</v>
      </c>
      <c r="C902" t="s">
        <v>1415</v>
      </c>
      <c r="D902">
        <v>1</v>
      </c>
      <c r="E902" t="s">
        <v>974</v>
      </c>
      <c r="F902" t="s">
        <v>975</v>
      </c>
      <c r="G902" t="s">
        <v>180</v>
      </c>
      <c r="H902" s="1" t="s">
        <v>976</v>
      </c>
      <c r="I902" s="1">
        <v>615</v>
      </c>
      <c r="J902" s="20">
        <v>0</v>
      </c>
      <c r="K902" s="1">
        <v>91.53</v>
      </c>
      <c r="L902" s="1">
        <v>0</v>
      </c>
      <c r="M902" s="43" t="s">
        <v>2843</v>
      </c>
      <c r="P902" t="s">
        <v>22</v>
      </c>
      <c r="Q902" t="s">
        <v>288</v>
      </c>
    </row>
    <row r="903" spans="1:17" ht="15" customHeight="1" x14ac:dyDescent="0.25">
      <c r="A903" s="3" t="s">
        <v>1485</v>
      </c>
      <c r="B903" s="4" t="s">
        <v>2854</v>
      </c>
      <c r="C903" t="s">
        <v>1415</v>
      </c>
      <c r="D903">
        <v>1</v>
      </c>
      <c r="E903" t="s">
        <v>974</v>
      </c>
      <c r="F903" t="s">
        <v>975</v>
      </c>
      <c r="G903" t="s">
        <v>180</v>
      </c>
      <c r="H903" s="1" t="s">
        <v>976</v>
      </c>
      <c r="I903" s="1">
        <v>520</v>
      </c>
      <c r="J903" s="20">
        <v>1</v>
      </c>
      <c r="K903" s="1">
        <v>71.27</v>
      </c>
      <c r="L903" s="1">
        <v>71.27</v>
      </c>
      <c r="M903" s="43" t="s">
        <v>2843</v>
      </c>
      <c r="O903" s="2" t="s">
        <v>2482</v>
      </c>
      <c r="P903" t="s">
        <v>24</v>
      </c>
      <c r="Q903" t="s">
        <v>847</v>
      </c>
    </row>
    <row r="904" spans="1:17" ht="15" customHeight="1" x14ac:dyDescent="0.25">
      <c r="A904" s="3" t="s">
        <v>1486</v>
      </c>
      <c r="B904" s="4" t="s">
        <v>2854</v>
      </c>
      <c r="C904" t="s">
        <v>1415</v>
      </c>
      <c r="D904">
        <v>1</v>
      </c>
      <c r="E904" t="s">
        <v>974</v>
      </c>
      <c r="F904" t="s">
        <v>975</v>
      </c>
      <c r="G904" t="s">
        <v>180</v>
      </c>
      <c r="H904" s="1" t="s">
        <v>976</v>
      </c>
      <c r="I904" s="1">
        <v>520</v>
      </c>
      <c r="J904" s="20">
        <v>0</v>
      </c>
      <c r="K904" s="1">
        <v>71.27</v>
      </c>
      <c r="L904" s="1">
        <v>0</v>
      </c>
      <c r="M904" s="43" t="s">
        <v>2843</v>
      </c>
      <c r="O904" s="2" t="s">
        <v>2482</v>
      </c>
      <c r="P904" t="s">
        <v>25</v>
      </c>
      <c r="Q904" t="s">
        <v>847</v>
      </c>
    </row>
    <row r="905" spans="1:17" ht="15" customHeight="1" x14ac:dyDescent="0.25">
      <c r="A905" s="3" t="s">
        <v>1487</v>
      </c>
      <c r="B905" s="4" t="s">
        <v>2854</v>
      </c>
      <c r="C905" t="s">
        <v>1415</v>
      </c>
      <c r="D905">
        <v>1</v>
      </c>
      <c r="E905" t="s">
        <v>974</v>
      </c>
      <c r="F905" t="s">
        <v>975</v>
      </c>
      <c r="G905" t="s">
        <v>180</v>
      </c>
      <c r="H905" s="1" t="s">
        <v>976</v>
      </c>
      <c r="I905" s="1">
        <v>520</v>
      </c>
      <c r="J905" s="20">
        <v>0</v>
      </c>
      <c r="K905" s="1">
        <v>71.27</v>
      </c>
      <c r="L905" s="1">
        <v>0</v>
      </c>
      <c r="M905" s="43" t="s">
        <v>2843</v>
      </c>
      <c r="O905" s="2" t="s">
        <v>2482</v>
      </c>
      <c r="P905" t="s">
        <v>23</v>
      </c>
      <c r="Q905" t="s">
        <v>847</v>
      </c>
    </row>
    <row r="906" spans="1:17" ht="15" customHeight="1" x14ac:dyDescent="0.25">
      <c r="A906" s="3" t="s">
        <v>1488</v>
      </c>
      <c r="B906" s="4" t="s">
        <v>2854</v>
      </c>
      <c r="C906" t="s">
        <v>1415</v>
      </c>
      <c r="D906">
        <v>1</v>
      </c>
      <c r="E906" t="s">
        <v>974</v>
      </c>
      <c r="F906" t="s">
        <v>975</v>
      </c>
      <c r="G906" t="s">
        <v>180</v>
      </c>
      <c r="H906" s="1" t="s">
        <v>976</v>
      </c>
      <c r="I906" s="1">
        <v>520</v>
      </c>
      <c r="J906" s="20">
        <v>0</v>
      </c>
      <c r="K906" s="1">
        <v>71.27</v>
      </c>
      <c r="L906" s="1">
        <v>0</v>
      </c>
      <c r="M906" s="43" t="s">
        <v>2843</v>
      </c>
      <c r="O906" s="2" t="s">
        <v>2482</v>
      </c>
      <c r="P906" t="s">
        <v>22</v>
      </c>
      <c r="Q906" t="s">
        <v>847</v>
      </c>
    </row>
    <row r="907" spans="1:17" ht="15" customHeight="1" x14ac:dyDescent="0.25">
      <c r="A907" s="3" t="s">
        <v>1489</v>
      </c>
      <c r="B907" s="4" t="s">
        <v>2853</v>
      </c>
      <c r="C907" t="s">
        <v>1415</v>
      </c>
      <c r="D907">
        <v>1</v>
      </c>
      <c r="E907" t="s">
        <v>974</v>
      </c>
      <c r="F907" t="s">
        <v>975</v>
      </c>
      <c r="G907" t="s">
        <v>180</v>
      </c>
      <c r="H907" s="1" t="s">
        <v>976</v>
      </c>
      <c r="I907" s="1">
        <v>615</v>
      </c>
      <c r="J907" s="20">
        <v>2</v>
      </c>
      <c r="K907" s="1">
        <v>91.53</v>
      </c>
      <c r="L907" s="1">
        <v>183.06</v>
      </c>
      <c r="M907" s="43" t="s">
        <v>2843</v>
      </c>
      <c r="O907" s="2" t="s">
        <v>2727</v>
      </c>
      <c r="P907" t="s">
        <v>24</v>
      </c>
      <c r="Q907" t="s">
        <v>848</v>
      </c>
    </row>
    <row r="908" spans="1:17" ht="15" customHeight="1" x14ac:dyDescent="0.25">
      <c r="A908" s="3" t="s">
        <v>1490</v>
      </c>
      <c r="B908" s="4" t="s">
        <v>2853</v>
      </c>
      <c r="C908" t="s">
        <v>1415</v>
      </c>
      <c r="D908">
        <v>1</v>
      </c>
      <c r="E908" t="s">
        <v>974</v>
      </c>
      <c r="F908" t="s">
        <v>975</v>
      </c>
      <c r="G908" t="s">
        <v>180</v>
      </c>
      <c r="H908" s="1" t="s">
        <v>976</v>
      </c>
      <c r="I908" s="1">
        <v>615</v>
      </c>
      <c r="J908" s="20">
        <v>0</v>
      </c>
      <c r="K908" s="1">
        <v>91.53</v>
      </c>
      <c r="L908" s="1">
        <v>0</v>
      </c>
      <c r="M908" s="43" t="s">
        <v>2843</v>
      </c>
      <c r="O908" s="2" t="s">
        <v>2727</v>
      </c>
      <c r="P908" t="s">
        <v>25</v>
      </c>
      <c r="Q908" t="s">
        <v>848</v>
      </c>
    </row>
    <row r="909" spans="1:17" ht="15" customHeight="1" x14ac:dyDescent="0.25">
      <c r="A909" s="3" t="s">
        <v>1491</v>
      </c>
      <c r="B909" s="4" t="s">
        <v>2853</v>
      </c>
      <c r="C909" t="s">
        <v>1415</v>
      </c>
      <c r="D909">
        <v>1</v>
      </c>
      <c r="E909" t="s">
        <v>974</v>
      </c>
      <c r="F909" t="s">
        <v>975</v>
      </c>
      <c r="G909" t="s">
        <v>180</v>
      </c>
      <c r="H909" s="1" t="s">
        <v>976</v>
      </c>
      <c r="I909" s="1">
        <v>615</v>
      </c>
      <c r="J909" s="20">
        <v>2</v>
      </c>
      <c r="K909" s="1">
        <v>91.53</v>
      </c>
      <c r="L909" s="1">
        <v>183.06</v>
      </c>
      <c r="M909" s="43" t="s">
        <v>2843</v>
      </c>
      <c r="O909" s="2" t="s">
        <v>2727</v>
      </c>
      <c r="P909" t="s">
        <v>23</v>
      </c>
      <c r="Q909" t="s">
        <v>848</v>
      </c>
    </row>
    <row r="910" spans="1:17" ht="15" customHeight="1" x14ac:dyDescent="0.25">
      <c r="A910" s="3" t="s">
        <v>1492</v>
      </c>
      <c r="B910" s="4" t="s">
        <v>2853</v>
      </c>
      <c r="C910" t="s">
        <v>1415</v>
      </c>
      <c r="D910">
        <v>1</v>
      </c>
      <c r="E910" t="s">
        <v>974</v>
      </c>
      <c r="F910" t="s">
        <v>975</v>
      </c>
      <c r="G910" t="s">
        <v>180</v>
      </c>
      <c r="H910" s="1" t="s">
        <v>976</v>
      </c>
      <c r="I910" s="1">
        <v>615</v>
      </c>
      <c r="J910" s="20">
        <v>0</v>
      </c>
      <c r="K910" s="1">
        <v>91.53</v>
      </c>
      <c r="L910" s="1">
        <v>0</v>
      </c>
      <c r="M910" s="43" t="s">
        <v>2843</v>
      </c>
      <c r="O910" s="2" t="s">
        <v>2727</v>
      </c>
      <c r="P910" t="s">
        <v>22</v>
      </c>
      <c r="Q910" t="s">
        <v>848</v>
      </c>
    </row>
    <row r="911" spans="1:17" ht="15" customHeight="1" x14ac:dyDescent="0.25">
      <c r="A911" s="3" t="s">
        <v>1493</v>
      </c>
      <c r="B911" s="4" t="s">
        <v>1415</v>
      </c>
      <c r="C911" t="s">
        <v>1415</v>
      </c>
      <c r="D911">
        <v>1</v>
      </c>
      <c r="E911" t="s">
        <v>974</v>
      </c>
      <c r="F911" t="s">
        <v>975</v>
      </c>
      <c r="G911" t="s">
        <v>180</v>
      </c>
      <c r="H911" s="1" t="s">
        <v>976</v>
      </c>
      <c r="I911" s="1">
        <v>595</v>
      </c>
      <c r="J911" s="20">
        <v>1</v>
      </c>
      <c r="K911" s="1">
        <v>0</v>
      </c>
      <c r="L911" s="1">
        <v>0</v>
      </c>
      <c r="M911" s="43" t="s">
        <v>2843</v>
      </c>
      <c r="O911" s="2" t="s">
        <v>2579</v>
      </c>
      <c r="P911" t="s">
        <v>23</v>
      </c>
      <c r="Q911" t="s">
        <v>844</v>
      </c>
    </row>
    <row r="912" spans="1:17" ht="15" customHeight="1" x14ac:dyDescent="0.25">
      <c r="A912" s="3" t="s">
        <v>1494</v>
      </c>
      <c r="B912" s="4" t="s">
        <v>2855</v>
      </c>
      <c r="C912" t="s">
        <v>1415</v>
      </c>
      <c r="D912">
        <v>1</v>
      </c>
      <c r="E912" t="s">
        <v>974</v>
      </c>
      <c r="F912" t="s">
        <v>975</v>
      </c>
      <c r="G912" t="s">
        <v>180</v>
      </c>
      <c r="H912" s="1" t="s">
        <v>976</v>
      </c>
      <c r="I912" s="1">
        <v>1200</v>
      </c>
      <c r="J912" s="20">
        <v>0</v>
      </c>
      <c r="K912" s="1">
        <v>218</v>
      </c>
      <c r="L912" s="1">
        <v>0</v>
      </c>
      <c r="M912" s="43" t="s">
        <v>2843</v>
      </c>
      <c r="O912" s="2" t="s">
        <v>2508</v>
      </c>
      <c r="Q912" t="s">
        <v>849</v>
      </c>
    </row>
    <row r="913" spans="1:17" ht="15" customHeight="1" x14ac:dyDescent="0.25">
      <c r="A913" s="3" t="s">
        <v>1495</v>
      </c>
      <c r="B913" s="4" t="s">
        <v>289</v>
      </c>
      <c r="C913" t="s">
        <v>1415</v>
      </c>
      <c r="D913">
        <v>1</v>
      </c>
      <c r="E913" t="s">
        <v>974</v>
      </c>
      <c r="F913" t="s">
        <v>975</v>
      </c>
      <c r="G913" t="s">
        <v>180</v>
      </c>
      <c r="H913" s="1" t="s">
        <v>976</v>
      </c>
      <c r="I913" s="1">
        <v>390</v>
      </c>
      <c r="J913" s="20">
        <v>6</v>
      </c>
      <c r="K913" s="1">
        <v>0</v>
      </c>
      <c r="L913" s="1">
        <v>0</v>
      </c>
      <c r="M913" s="43" t="s">
        <v>2843</v>
      </c>
      <c r="P913" t="s">
        <v>24</v>
      </c>
      <c r="Q913" t="s">
        <v>289</v>
      </c>
    </row>
    <row r="914" spans="1:17" ht="15" customHeight="1" x14ac:dyDescent="0.25">
      <c r="A914" s="3" t="s">
        <v>1496</v>
      </c>
      <c r="B914" s="4" t="s">
        <v>290</v>
      </c>
      <c r="C914" t="s">
        <v>1415</v>
      </c>
      <c r="D914">
        <v>1</v>
      </c>
      <c r="E914" t="s">
        <v>974</v>
      </c>
      <c r="F914" t="s">
        <v>975</v>
      </c>
      <c r="G914" t="s">
        <v>180</v>
      </c>
      <c r="H914" s="1" t="s">
        <v>976</v>
      </c>
      <c r="I914" s="1">
        <v>390</v>
      </c>
      <c r="J914" s="20">
        <v>3</v>
      </c>
      <c r="K914" s="1">
        <v>0</v>
      </c>
      <c r="L914" s="1">
        <v>0</v>
      </c>
      <c r="M914" s="43" t="s">
        <v>2843</v>
      </c>
      <c r="P914" t="s">
        <v>25</v>
      </c>
      <c r="Q914" t="s">
        <v>290</v>
      </c>
    </row>
    <row r="915" spans="1:17" ht="15" customHeight="1" x14ac:dyDescent="0.25">
      <c r="A915" s="3" t="s">
        <v>1497</v>
      </c>
      <c r="B915" s="4" t="s">
        <v>291</v>
      </c>
      <c r="C915" t="s">
        <v>1415</v>
      </c>
      <c r="D915">
        <v>1</v>
      </c>
      <c r="E915" t="s">
        <v>974</v>
      </c>
      <c r="F915" t="s">
        <v>975</v>
      </c>
      <c r="G915" t="s">
        <v>180</v>
      </c>
      <c r="H915" s="1" t="s">
        <v>976</v>
      </c>
      <c r="I915" s="1">
        <v>390</v>
      </c>
      <c r="J915" s="20">
        <v>6</v>
      </c>
      <c r="K915" s="1">
        <v>70.900000000000006</v>
      </c>
      <c r="L915" s="1">
        <v>425.4</v>
      </c>
      <c r="M915" s="43" t="s">
        <v>2843</v>
      </c>
      <c r="P915" t="s">
        <v>23</v>
      </c>
      <c r="Q915" t="s">
        <v>291</v>
      </c>
    </row>
    <row r="916" spans="1:17" ht="15" customHeight="1" x14ac:dyDescent="0.25">
      <c r="A916" s="3" t="s">
        <v>1498</v>
      </c>
      <c r="B916" s="4" t="s">
        <v>292</v>
      </c>
      <c r="C916" t="s">
        <v>1415</v>
      </c>
      <c r="D916">
        <v>1</v>
      </c>
      <c r="E916" t="s">
        <v>974</v>
      </c>
      <c r="F916" t="s">
        <v>975</v>
      </c>
      <c r="G916" t="s">
        <v>180</v>
      </c>
      <c r="H916" s="1" t="s">
        <v>976</v>
      </c>
      <c r="I916" s="1">
        <v>390</v>
      </c>
      <c r="J916" s="20">
        <v>4</v>
      </c>
      <c r="K916" s="1">
        <v>0</v>
      </c>
      <c r="L916" s="1">
        <v>0</v>
      </c>
      <c r="M916" s="43" t="s">
        <v>2843</v>
      </c>
      <c r="P916" t="s">
        <v>22</v>
      </c>
      <c r="Q916" t="s">
        <v>292</v>
      </c>
    </row>
    <row r="917" spans="1:17" ht="15" customHeight="1" x14ac:dyDescent="0.25">
      <c r="A917" s="3" t="s">
        <v>1499</v>
      </c>
      <c r="B917" s="4" t="s">
        <v>293</v>
      </c>
      <c r="C917" t="s">
        <v>1415</v>
      </c>
      <c r="D917">
        <v>1</v>
      </c>
      <c r="E917" t="s">
        <v>974</v>
      </c>
      <c r="F917" t="s">
        <v>975</v>
      </c>
      <c r="G917" t="s">
        <v>180</v>
      </c>
      <c r="H917" s="1" t="s">
        <v>976</v>
      </c>
      <c r="I917" s="1">
        <v>570</v>
      </c>
      <c r="J917" s="20">
        <v>0</v>
      </c>
      <c r="K917" s="1">
        <v>0</v>
      </c>
      <c r="L917" s="1">
        <v>0</v>
      </c>
      <c r="M917" s="43" t="s">
        <v>2843</v>
      </c>
      <c r="P917" t="s">
        <v>23</v>
      </c>
      <c r="Q917" t="s">
        <v>293</v>
      </c>
    </row>
    <row r="918" spans="1:17" ht="15" customHeight="1" x14ac:dyDescent="0.25">
      <c r="A918" s="3" t="s">
        <v>1500</v>
      </c>
      <c r="B918" s="4" t="s">
        <v>294</v>
      </c>
      <c r="C918" t="s">
        <v>1415</v>
      </c>
      <c r="D918">
        <v>1</v>
      </c>
      <c r="E918" t="s">
        <v>974</v>
      </c>
      <c r="F918" t="s">
        <v>975</v>
      </c>
      <c r="G918" t="s">
        <v>180</v>
      </c>
      <c r="H918" s="1" t="s">
        <v>976</v>
      </c>
      <c r="I918" s="1">
        <v>570</v>
      </c>
      <c r="J918" s="20">
        <v>0</v>
      </c>
      <c r="K918" s="1">
        <v>0</v>
      </c>
      <c r="L918" s="1">
        <v>0</v>
      </c>
      <c r="M918" s="43" t="s">
        <v>2843</v>
      </c>
      <c r="P918" t="s">
        <v>24</v>
      </c>
      <c r="Q918" t="s">
        <v>294</v>
      </c>
    </row>
    <row r="919" spans="1:17" ht="15" customHeight="1" x14ac:dyDescent="0.25">
      <c r="A919" s="3" t="s">
        <v>1501</v>
      </c>
      <c r="B919" s="4" t="s">
        <v>850</v>
      </c>
      <c r="C919" t="s">
        <v>1415</v>
      </c>
      <c r="D919">
        <v>1</v>
      </c>
      <c r="E919" t="s">
        <v>974</v>
      </c>
      <c r="F919" t="s">
        <v>975</v>
      </c>
      <c r="G919" t="s">
        <v>976</v>
      </c>
      <c r="H919" s="1" t="s">
        <v>976</v>
      </c>
      <c r="I919" s="1">
        <v>790</v>
      </c>
      <c r="J919" s="20">
        <v>-1</v>
      </c>
      <c r="K919" s="1">
        <v>0</v>
      </c>
      <c r="L919" s="1">
        <v>0</v>
      </c>
      <c r="M919" s="43" t="s">
        <v>2843</v>
      </c>
      <c r="N919" s="1" t="s">
        <v>2616</v>
      </c>
      <c r="Q919" t="s">
        <v>850</v>
      </c>
    </row>
    <row r="920" spans="1:17" ht="15" customHeight="1" x14ac:dyDescent="0.25">
      <c r="A920" s="3" t="s">
        <v>1502</v>
      </c>
      <c r="B920" s="4" t="s">
        <v>2856</v>
      </c>
      <c r="C920" t="s">
        <v>1415</v>
      </c>
      <c r="D920">
        <v>1</v>
      </c>
      <c r="E920" t="s">
        <v>974</v>
      </c>
      <c r="F920" t="s">
        <v>975</v>
      </c>
      <c r="G920" t="s">
        <v>976</v>
      </c>
      <c r="H920" s="1" t="s">
        <v>976</v>
      </c>
      <c r="I920" s="1">
        <v>680</v>
      </c>
      <c r="J920" s="20">
        <v>6</v>
      </c>
      <c r="K920" s="1">
        <v>121.4</v>
      </c>
      <c r="L920" s="1">
        <v>728.4</v>
      </c>
      <c r="M920" s="43" t="s">
        <v>2843</v>
      </c>
      <c r="O920" s="2" t="s">
        <v>2447</v>
      </c>
      <c r="P920" t="s">
        <v>24</v>
      </c>
      <c r="Q920" t="s">
        <v>851</v>
      </c>
    </row>
    <row r="921" spans="1:17" ht="15" customHeight="1" x14ac:dyDescent="0.25">
      <c r="A921" s="42" t="s">
        <v>1502</v>
      </c>
      <c r="B921" s="3" t="s">
        <v>2856</v>
      </c>
      <c r="C921" s="42" t="s">
        <v>1415</v>
      </c>
      <c r="D921">
        <v>3</v>
      </c>
      <c r="E921" t="s">
        <v>1179</v>
      </c>
      <c r="F921" t="s">
        <v>1180</v>
      </c>
      <c r="G921" t="s">
        <v>976</v>
      </c>
      <c r="H921" s="1" t="s">
        <v>976</v>
      </c>
      <c r="I921" s="1">
        <v>680</v>
      </c>
      <c r="J921" s="20">
        <v>1</v>
      </c>
      <c r="K921" s="1">
        <v>680</v>
      </c>
      <c r="L921" s="1">
        <v>680</v>
      </c>
      <c r="M921" s="43" t="s">
        <v>2843</v>
      </c>
      <c r="O921" s="2" t="s">
        <v>2447</v>
      </c>
      <c r="P921" t="s">
        <v>24</v>
      </c>
      <c r="Q921" t="s">
        <v>851</v>
      </c>
    </row>
    <row r="922" spans="1:17" ht="15" customHeight="1" x14ac:dyDescent="0.25">
      <c r="A922" s="3" t="s">
        <v>1503</v>
      </c>
      <c r="B922" s="4" t="s">
        <v>2856</v>
      </c>
      <c r="C922" t="s">
        <v>1415</v>
      </c>
      <c r="D922">
        <v>1</v>
      </c>
      <c r="E922" t="s">
        <v>974</v>
      </c>
      <c r="F922" t="s">
        <v>975</v>
      </c>
      <c r="G922" t="s">
        <v>976</v>
      </c>
      <c r="H922" s="1" t="s">
        <v>976</v>
      </c>
      <c r="I922" s="1">
        <v>680</v>
      </c>
      <c r="J922" s="20">
        <v>1</v>
      </c>
      <c r="K922" s="1">
        <v>121.4</v>
      </c>
      <c r="L922" s="1">
        <v>121.4</v>
      </c>
      <c r="M922" s="43" t="s">
        <v>2843</v>
      </c>
      <c r="O922" s="2" t="s">
        <v>2447</v>
      </c>
      <c r="P922" t="s">
        <v>25</v>
      </c>
      <c r="Q922" t="s">
        <v>851</v>
      </c>
    </row>
    <row r="923" spans="1:17" ht="15" customHeight="1" x14ac:dyDescent="0.25">
      <c r="A923" s="3" t="s">
        <v>1504</v>
      </c>
      <c r="B923" s="4" t="s">
        <v>2856</v>
      </c>
      <c r="C923" t="s">
        <v>1415</v>
      </c>
      <c r="D923">
        <v>1</v>
      </c>
      <c r="E923" t="s">
        <v>974</v>
      </c>
      <c r="F923" t="s">
        <v>975</v>
      </c>
      <c r="G923" t="s">
        <v>976</v>
      </c>
      <c r="H923" s="1" t="s">
        <v>976</v>
      </c>
      <c r="I923" s="1">
        <v>680</v>
      </c>
      <c r="J923" s="20">
        <v>10</v>
      </c>
      <c r="K923" s="1">
        <v>121.3</v>
      </c>
      <c r="L923" s="1">
        <v>1213</v>
      </c>
      <c r="M923" s="43" t="s">
        <v>2843</v>
      </c>
      <c r="O923" s="2" t="s">
        <v>2447</v>
      </c>
      <c r="P923" t="s">
        <v>23</v>
      </c>
      <c r="Q923" t="s">
        <v>851</v>
      </c>
    </row>
    <row r="924" spans="1:17" ht="15" customHeight="1" x14ac:dyDescent="0.25">
      <c r="A924" s="42" t="s">
        <v>1504</v>
      </c>
      <c r="B924" s="3" t="s">
        <v>2856</v>
      </c>
      <c r="C924" s="42" t="s">
        <v>1415</v>
      </c>
      <c r="D924">
        <v>3</v>
      </c>
      <c r="E924" t="s">
        <v>1179</v>
      </c>
      <c r="F924" t="s">
        <v>1180</v>
      </c>
      <c r="G924" t="s">
        <v>976</v>
      </c>
      <c r="H924" s="1" t="s">
        <v>976</v>
      </c>
      <c r="I924" s="1">
        <v>680</v>
      </c>
      <c r="J924" s="20">
        <v>2</v>
      </c>
      <c r="K924" s="1">
        <v>680</v>
      </c>
      <c r="L924" s="1">
        <v>1360</v>
      </c>
      <c r="M924" s="43" t="s">
        <v>2843</v>
      </c>
      <c r="O924" s="2" t="s">
        <v>2447</v>
      </c>
      <c r="P924" t="s">
        <v>23</v>
      </c>
      <c r="Q924" t="s">
        <v>851</v>
      </c>
    </row>
    <row r="925" spans="1:17" ht="15" customHeight="1" x14ac:dyDescent="0.25">
      <c r="A925" s="3" t="s">
        <v>1505</v>
      </c>
      <c r="B925" s="4" t="s">
        <v>2856</v>
      </c>
      <c r="C925" t="s">
        <v>1415</v>
      </c>
      <c r="D925">
        <v>1</v>
      </c>
      <c r="E925" t="s">
        <v>974</v>
      </c>
      <c r="F925" t="s">
        <v>975</v>
      </c>
      <c r="G925" t="s">
        <v>976</v>
      </c>
      <c r="H925" s="1" t="s">
        <v>976</v>
      </c>
      <c r="I925" s="1">
        <v>680</v>
      </c>
      <c r="J925" s="20">
        <v>1</v>
      </c>
      <c r="K925" s="1">
        <v>121.39859800000001</v>
      </c>
      <c r="L925" s="1">
        <v>121.4</v>
      </c>
      <c r="M925" s="43" t="s">
        <v>2843</v>
      </c>
      <c r="O925" s="2" t="s">
        <v>2447</v>
      </c>
      <c r="P925" t="s">
        <v>22</v>
      </c>
      <c r="Q925" t="s">
        <v>851</v>
      </c>
    </row>
    <row r="926" spans="1:17" ht="15" customHeight="1" x14ac:dyDescent="0.25">
      <c r="A926" s="42" t="s">
        <v>1505</v>
      </c>
      <c r="B926" s="3" t="s">
        <v>2856</v>
      </c>
      <c r="C926" s="42" t="s">
        <v>1415</v>
      </c>
      <c r="D926">
        <v>3</v>
      </c>
      <c r="E926" t="s">
        <v>1179</v>
      </c>
      <c r="F926" t="s">
        <v>1180</v>
      </c>
      <c r="G926" t="s">
        <v>976</v>
      </c>
      <c r="H926" s="1" t="s">
        <v>976</v>
      </c>
      <c r="I926" s="1">
        <v>680</v>
      </c>
      <c r="J926" s="20">
        <v>1</v>
      </c>
      <c r="K926" s="1">
        <v>680</v>
      </c>
      <c r="L926" s="1">
        <v>680</v>
      </c>
      <c r="M926" s="43" t="s">
        <v>2843</v>
      </c>
      <c r="O926" s="2" t="s">
        <v>2447</v>
      </c>
      <c r="P926" t="s">
        <v>22</v>
      </c>
      <c r="Q926" t="s">
        <v>851</v>
      </c>
    </row>
    <row r="927" spans="1:17" ht="15" customHeight="1" x14ac:dyDescent="0.25">
      <c r="A927" s="3" t="s">
        <v>1506</v>
      </c>
      <c r="B927" s="4" t="s">
        <v>2856</v>
      </c>
      <c r="C927" t="s">
        <v>1415</v>
      </c>
      <c r="D927">
        <v>1</v>
      </c>
      <c r="E927" t="s">
        <v>974</v>
      </c>
      <c r="F927" t="s">
        <v>975</v>
      </c>
      <c r="G927" t="s">
        <v>976</v>
      </c>
      <c r="H927" s="1" t="s">
        <v>976</v>
      </c>
      <c r="I927" s="1">
        <v>680</v>
      </c>
      <c r="J927" s="20">
        <v>0</v>
      </c>
      <c r="K927" s="1">
        <v>118.45</v>
      </c>
      <c r="L927" s="1">
        <v>0</v>
      </c>
      <c r="M927" s="43" t="s">
        <v>2843</v>
      </c>
      <c r="O927" s="2" t="s">
        <v>2447</v>
      </c>
      <c r="P927" t="s">
        <v>21</v>
      </c>
      <c r="Q927" t="s">
        <v>851</v>
      </c>
    </row>
    <row r="928" spans="1:17" ht="15" customHeight="1" x14ac:dyDescent="0.25">
      <c r="A928" s="3" t="s">
        <v>1507</v>
      </c>
      <c r="B928" s="4" t="s">
        <v>295</v>
      </c>
      <c r="C928" t="s">
        <v>1415</v>
      </c>
      <c r="D928">
        <v>1</v>
      </c>
      <c r="E928" t="s">
        <v>974</v>
      </c>
      <c r="F928" t="s">
        <v>975</v>
      </c>
      <c r="G928" t="s">
        <v>180</v>
      </c>
      <c r="H928" s="1" t="s">
        <v>976</v>
      </c>
      <c r="I928" s="1">
        <v>680</v>
      </c>
      <c r="J928" s="20">
        <v>2</v>
      </c>
      <c r="K928" s="1">
        <v>119.5</v>
      </c>
      <c r="L928" s="1">
        <v>239</v>
      </c>
      <c r="M928" s="43" t="s">
        <v>2843</v>
      </c>
      <c r="P928" t="s">
        <v>24</v>
      </c>
      <c r="Q928" t="s">
        <v>295</v>
      </c>
    </row>
    <row r="929" spans="1:17" ht="15" customHeight="1" x14ac:dyDescent="0.25">
      <c r="A929" s="42" t="s">
        <v>1507</v>
      </c>
      <c r="B929" s="3" t="s">
        <v>295</v>
      </c>
      <c r="C929" s="42" t="s">
        <v>1415</v>
      </c>
      <c r="D929">
        <v>3</v>
      </c>
      <c r="E929" t="s">
        <v>1179</v>
      </c>
      <c r="F929" t="s">
        <v>1180</v>
      </c>
      <c r="G929" t="s">
        <v>180</v>
      </c>
      <c r="H929" s="1" t="s">
        <v>976</v>
      </c>
      <c r="I929" s="1">
        <v>680</v>
      </c>
      <c r="J929" s="20">
        <v>1</v>
      </c>
      <c r="K929" s="1">
        <v>680</v>
      </c>
      <c r="L929" s="1">
        <v>680</v>
      </c>
      <c r="M929" s="43" t="s">
        <v>2843</v>
      </c>
      <c r="P929" t="s">
        <v>24</v>
      </c>
      <c r="Q929" t="s">
        <v>295</v>
      </c>
    </row>
    <row r="930" spans="1:17" ht="15" customHeight="1" x14ac:dyDescent="0.25">
      <c r="A930" s="3" t="s">
        <v>1508</v>
      </c>
      <c r="B930" s="4" t="s">
        <v>296</v>
      </c>
      <c r="C930" t="s">
        <v>1415</v>
      </c>
      <c r="D930">
        <v>1</v>
      </c>
      <c r="E930" t="s">
        <v>974</v>
      </c>
      <c r="F930" t="s">
        <v>975</v>
      </c>
      <c r="G930" t="s">
        <v>180</v>
      </c>
      <c r="H930" s="1" t="s">
        <v>976</v>
      </c>
      <c r="I930" s="1">
        <v>680</v>
      </c>
      <c r="J930" s="20">
        <v>0</v>
      </c>
      <c r="K930" s="1">
        <v>119.5</v>
      </c>
      <c r="L930" s="1">
        <v>0</v>
      </c>
      <c r="M930" s="43" t="s">
        <v>2843</v>
      </c>
      <c r="P930" t="s">
        <v>25</v>
      </c>
      <c r="Q930" t="s">
        <v>296</v>
      </c>
    </row>
    <row r="931" spans="1:17" ht="15" customHeight="1" x14ac:dyDescent="0.25">
      <c r="A931" s="3" t="s">
        <v>1509</v>
      </c>
      <c r="B931" s="4" t="s">
        <v>297</v>
      </c>
      <c r="C931" t="s">
        <v>1415</v>
      </c>
      <c r="D931">
        <v>1</v>
      </c>
      <c r="E931" t="s">
        <v>974</v>
      </c>
      <c r="F931" t="s">
        <v>975</v>
      </c>
      <c r="G931" t="s">
        <v>180</v>
      </c>
      <c r="H931" s="1" t="s">
        <v>976</v>
      </c>
      <c r="I931" s="1">
        <v>680</v>
      </c>
      <c r="J931" s="20">
        <v>16</v>
      </c>
      <c r="K931" s="1">
        <v>117.880421</v>
      </c>
      <c r="L931" s="1">
        <v>1886.09</v>
      </c>
      <c r="M931" s="43" t="s">
        <v>2843</v>
      </c>
      <c r="P931" t="s">
        <v>23</v>
      </c>
      <c r="Q931" t="s">
        <v>297</v>
      </c>
    </row>
    <row r="932" spans="1:17" ht="15" customHeight="1" x14ac:dyDescent="0.25">
      <c r="A932" s="42" t="s">
        <v>1509</v>
      </c>
      <c r="B932" s="3" t="s">
        <v>297</v>
      </c>
      <c r="C932" s="42" t="s">
        <v>1415</v>
      </c>
      <c r="D932">
        <v>2</v>
      </c>
      <c r="E932" t="s">
        <v>1017</v>
      </c>
      <c r="F932" t="s">
        <v>975</v>
      </c>
      <c r="G932" t="s">
        <v>180</v>
      </c>
      <c r="H932" s="1" t="s">
        <v>976</v>
      </c>
      <c r="I932" s="1">
        <v>680</v>
      </c>
      <c r="J932" s="20">
        <v>0</v>
      </c>
      <c r="K932" s="1">
        <v>108.51</v>
      </c>
      <c r="L932" s="1">
        <v>0</v>
      </c>
      <c r="M932" s="43" t="s">
        <v>2843</v>
      </c>
      <c r="P932" t="s">
        <v>23</v>
      </c>
      <c r="Q932" t="s">
        <v>297</v>
      </c>
    </row>
    <row r="933" spans="1:17" ht="15" customHeight="1" x14ac:dyDescent="0.25">
      <c r="A933" s="42" t="s">
        <v>1509</v>
      </c>
      <c r="B933" s="3" t="s">
        <v>297</v>
      </c>
      <c r="C933" s="42" t="s">
        <v>1415</v>
      </c>
      <c r="D933">
        <v>3</v>
      </c>
      <c r="E933" t="s">
        <v>1179</v>
      </c>
      <c r="F933" t="s">
        <v>1180</v>
      </c>
      <c r="G933" t="s">
        <v>180</v>
      </c>
      <c r="H933" s="1" t="s">
        <v>976</v>
      </c>
      <c r="I933" s="1">
        <v>680</v>
      </c>
      <c r="J933" s="20">
        <v>2</v>
      </c>
      <c r="K933" s="1">
        <v>680</v>
      </c>
      <c r="L933" s="1">
        <v>1360</v>
      </c>
      <c r="M933" s="43" t="s">
        <v>2843</v>
      </c>
      <c r="P933" t="s">
        <v>23</v>
      </c>
      <c r="Q933" t="s">
        <v>297</v>
      </c>
    </row>
    <row r="934" spans="1:17" ht="15" customHeight="1" x14ac:dyDescent="0.25">
      <c r="A934" s="3" t="s">
        <v>1510</v>
      </c>
      <c r="B934" s="4" t="s">
        <v>298</v>
      </c>
      <c r="C934" t="s">
        <v>1415</v>
      </c>
      <c r="D934">
        <v>1</v>
      </c>
      <c r="E934" t="s">
        <v>974</v>
      </c>
      <c r="F934" t="s">
        <v>975</v>
      </c>
      <c r="G934" t="s">
        <v>180</v>
      </c>
      <c r="H934" s="1" t="s">
        <v>976</v>
      </c>
      <c r="I934" s="1">
        <v>680</v>
      </c>
      <c r="J934" s="20">
        <v>0</v>
      </c>
      <c r="K934" s="1">
        <v>119.5</v>
      </c>
      <c r="L934" s="1">
        <v>0</v>
      </c>
      <c r="M934" s="43" t="s">
        <v>2843</v>
      </c>
      <c r="P934" t="s">
        <v>22</v>
      </c>
      <c r="Q934" t="s">
        <v>298</v>
      </c>
    </row>
    <row r="935" spans="1:17" ht="15" customHeight="1" x14ac:dyDescent="0.25">
      <c r="A935" s="42" t="s">
        <v>1510</v>
      </c>
      <c r="B935" s="3" t="s">
        <v>298</v>
      </c>
      <c r="C935" s="42" t="s">
        <v>1415</v>
      </c>
      <c r="D935">
        <v>3</v>
      </c>
      <c r="E935" t="s">
        <v>1179</v>
      </c>
      <c r="F935" t="s">
        <v>1180</v>
      </c>
      <c r="G935" t="s">
        <v>180</v>
      </c>
      <c r="H935" s="1" t="s">
        <v>976</v>
      </c>
      <c r="I935" s="1">
        <v>680</v>
      </c>
      <c r="J935" s="20">
        <v>0</v>
      </c>
      <c r="K935" s="1">
        <v>680</v>
      </c>
      <c r="L935" s="1">
        <v>0</v>
      </c>
      <c r="M935" s="43" t="s">
        <v>2843</v>
      </c>
      <c r="P935" t="s">
        <v>22</v>
      </c>
      <c r="Q935" t="s">
        <v>298</v>
      </c>
    </row>
    <row r="936" spans="1:17" ht="15" customHeight="1" x14ac:dyDescent="0.25">
      <c r="A936" s="3" t="s">
        <v>1511</v>
      </c>
      <c r="B936" s="4" t="s">
        <v>299</v>
      </c>
      <c r="C936" t="s">
        <v>1415</v>
      </c>
      <c r="D936">
        <v>1</v>
      </c>
      <c r="E936" t="s">
        <v>974</v>
      </c>
      <c r="F936" t="s">
        <v>975</v>
      </c>
      <c r="G936" t="s">
        <v>180</v>
      </c>
      <c r="H936" s="1" t="s">
        <v>976</v>
      </c>
      <c r="I936" s="1">
        <v>680</v>
      </c>
      <c r="J936" s="20">
        <v>0</v>
      </c>
      <c r="K936" s="1">
        <v>117.5</v>
      </c>
      <c r="L936" s="1">
        <v>0</v>
      </c>
      <c r="M936" s="43" t="s">
        <v>2843</v>
      </c>
      <c r="P936" t="s">
        <v>21</v>
      </c>
      <c r="Q936" t="s">
        <v>299</v>
      </c>
    </row>
    <row r="937" spans="1:17" ht="15" customHeight="1" x14ac:dyDescent="0.25">
      <c r="A937" s="3" t="s">
        <v>1512</v>
      </c>
      <c r="B937" s="4" t="s">
        <v>2857</v>
      </c>
      <c r="C937" t="s">
        <v>1415</v>
      </c>
      <c r="D937">
        <v>1</v>
      </c>
      <c r="E937" t="s">
        <v>974</v>
      </c>
      <c r="F937" t="s">
        <v>975</v>
      </c>
      <c r="G937" t="s">
        <v>180</v>
      </c>
      <c r="H937" s="1" t="s">
        <v>976</v>
      </c>
      <c r="I937" s="1">
        <v>490</v>
      </c>
      <c r="J937" s="20">
        <v>1</v>
      </c>
      <c r="K937" s="1">
        <v>90</v>
      </c>
      <c r="L937" s="1">
        <v>90</v>
      </c>
      <c r="M937" s="43" t="s">
        <v>2843</v>
      </c>
      <c r="O937" s="2" t="s">
        <v>2579</v>
      </c>
      <c r="P937" t="s">
        <v>23</v>
      </c>
      <c r="Q937" t="s">
        <v>852</v>
      </c>
    </row>
    <row r="938" spans="1:17" ht="15" customHeight="1" x14ac:dyDescent="0.25">
      <c r="A938" s="3" t="s">
        <v>1513</v>
      </c>
      <c r="B938" s="4" t="s">
        <v>300</v>
      </c>
      <c r="C938" t="s">
        <v>1415</v>
      </c>
      <c r="D938">
        <v>1</v>
      </c>
      <c r="E938" t="s">
        <v>974</v>
      </c>
      <c r="F938" t="s">
        <v>975</v>
      </c>
      <c r="G938" t="s">
        <v>976</v>
      </c>
      <c r="H938" s="1" t="s">
        <v>976</v>
      </c>
      <c r="I938" s="1">
        <v>790</v>
      </c>
      <c r="J938" s="20">
        <v>9</v>
      </c>
      <c r="K938" s="1">
        <v>152</v>
      </c>
      <c r="L938" s="1">
        <v>1368</v>
      </c>
      <c r="M938" s="43" t="s">
        <v>2843</v>
      </c>
      <c r="P938" t="s">
        <v>24</v>
      </c>
      <c r="Q938" t="s">
        <v>300</v>
      </c>
    </row>
    <row r="939" spans="1:17" ht="15" customHeight="1" x14ac:dyDescent="0.25">
      <c r="A939" s="3" t="s">
        <v>1514</v>
      </c>
      <c r="B939" s="4" t="s">
        <v>301</v>
      </c>
      <c r="C939" t="s">
        <v>1415</v>
      </c>
      <c r="D939">
        <v>1</v>
      </c>
      <c r="E939" t="s">
        <v>974</v>
      </c>
      <c r="F939" t="s">
        <v>975</v>
      </c>
      <c r="G939" t="s">
        <v>976</v>
      </c>
      <c r="H939" s="1" t="s">
        <v>976</v>
      </c>
      <c r="I939" s="1">
        <v>790</v>
      </c>
      <c r="J939" s="20">
        <v>0</v>
      </c>
      <c r="K939" s="1">
        <v>152</v>
      </c>
      <c r="L939" s="1">
        <v>0</v>
      </c>
      <c r="M939" s="43" t="s">
        <v>2843</v>
      </c>
      <c r="P939" t="s">
        <v>25</v>
      </c>
      <c r="Q939" t="s">
        <v>301</v>
      </c>
    </row>
    <row r="940" spans="1:17" ht="15" customHeight="1" x14ac:dyDescent="0.25">
      <c r="A940" s="3" t="s">
        <v>1515</v>
      </c>
      <c r="B940" s="4" t="s">
        <v>302</v>
      </c>
      <c r="C940" t="s">
        <v>1415</v>
      </c>
      <c r="D940">
        <v>1</v>
      </c>
      <c r="E940" t="s">
        <v>974</v>
      </c>
      <c r="F940" t="s">
        <v>975</v>
      </c>
      <c r="G940" t="s">
        <v>976</v>
      </c>
      <c r="H940" s="1" t="s">
        <v>976</v>
      </c>
      <c r="I940" s="1">
        <v>790</v>
      </c>
      <c r="J940" s="20">
        <v>14</v>
      </c>
      <c r="K940" s="1">
        <v>152</v>
      </c>
      <c r="L940" s="1">
        <v>2128</v>
      </c>
      <c r="M940" s="43" t="s">
        <v>2843</v>
      </c>
      <c r="P940" t="s">
        <v>23</v>
      </c>
      <c r="Q940" t="s">
        <v>302</v>
      </c>
    </row>
    <row r="941" spans="1:17" ht="15" customHeight="1" x14ac:dyDescent="0.25">
      <c r="A941" s="3" t="s">
        <v>1516</v>
      </c>
      <c r="B941" s="4" t="s">
        <v>303</v>
      </c>
      <c r="C941" t="s">
        <v>1415</v>
      </c>
      <c r="D941">
        <v>1</v>
      </c>
      <c r="E941" t="s">
        <v>974</v>
      </c>
      <c r="F941" t="s">
        <v>975</v>
      </c>
      <c r="G941" t="s">
        <v>976</v>
      </c>
      <c r="H941" s="1" t="s">
        <v>976</v>
      </c>
      <c r="I941" s="1">
        <v>790</v>
      </c>
      <c r="J941" s="20">
        <v>-1</v>
      </c>
      <c r="K941" s="1">
        <v>152</v>
      </c>
      <c r="L941" s="1">
        <v>-152</v>
      </c>
      <c r="M941" s="43" t="s">
        <v>2843</v>
      </c>
      <c r="P941" t="s">
        <v>22</v>
      </c>
      <c r="Q941" t="s">
        <v>303</v>
      </c>
    </row>
    <row r="942" spans="1:17" ht="15" customHeight="1" x14ac:dyDescent="0.25">
      <c r="A942" s="42" t="s">
        <v>1516</v>
      </c>
      <c r="B942" s="3" t="s">
        <v>303</v>
      </c>
      <c r="C942" s="42" t="s">
        <v>1415</v>
      </c>
      <c r="D942">
        <v>3</v>
      </c>
      <c r="E942" t="s">
        <v>1179</v>
      </c>
      <c r="F942" t="s">
        <v>1180</v>
      </c>
      <c r="G942" t="s">
        <v>976</v>
      </c>
      <c r="H942" s="1" t="s">
        <v>976</v>
      </c>
      <c r="I942" s="1">
        <v>790</v>
      </c>
      <c r="J942" s="20">
        <v>1</v>
      </c>
      <c r="K942" s="1">
        <v>790</v>
      </c>
      <c r="L942" s="1">
        <v>790</v>
      </c>
      <c r="M942" s="43" t="s">
        <v>2843</v>
      </c>
      <c r="P942" t="s">
        <v>22</v>
      </c>
      <c r="Q942" t="s">
        <v>303</v>
      </c>
    </row>
    <row r="943" spans="1:17" ht="15" customHeight="1" x14ac:dyDescent="0.25">
      <c r="A943" s="3" t="s">
        <v>1517</v>
      </c>
      <c r="B943" s="4" t="s">
        <v>304</v>
      </c>
      <c r="C943" t="s">
        <v>1415</v>
      </c>
      <c r="D943">
        <v>1</v>
      </c>
      <c r="E943" t="s">
        <v>974</v>
      </c>
      <c r="F943" t="s">
        <v>975</v>
      </c>
      <c r="G943" t="s">
        <v>976</v>
      </c>
      <c r="H943" s="1" t="s">
        <v>976</v>
      </c>
      <c r="I943" s="1">
        <v>790</v>
      </c>
      <c r="J943" s="20">
        <v>1</v>
      </c>
      <c r="K943" s="1">
        <v>152</v>
      </c>
      <c r="L943" s="1">
        <v>152</v>
      </c>
      <c r="M943" s="43" t="s">
        <v>2843</v>
      </c>
      <c r="P943" t="s">
        <v>21</v>
      </c>
      <c r="Q943" t="s">
        <v>304</v>
      </c>
    </row>
    <row r="944" spans="1:17" ht="15" customHeight="1" x14ac:dyDescent="0.25">
      <c r="A944" s="3" t="s">
        <v>1518</v>
      </c>
      <c r="B944" s="4" t="s">
        <v>305</v>
      </c>
      <c r="C944" t="s">
        <v>1415</v>
      </c>
      <c r="D944">
        <v>1</v>
      </c>
      <c r="E944" t="s">
        <v>974</v>
      </c>
      <c r="F944" t="s">
        <v>975</v>
      </c>
      <c r="G944" t="s">
        <v>976</v>
      </c>
      <c r="H944" s="1" t="s">
        <v>976</v>
      </c>
      <c r="I944" s="1">
        <v>790</v>
      </c>
      <c r="J944" s="20">
        <v>9</v>
      </c>
      <c r="K944" s="1">
        <v>152</v>
      </c>
      <c r="L944" s="1">
        <v>1368</v>
      </c>
      <c r="M944" s="43" t="s">
        <v>2843</v>
      </c>
      <c r="P944" t="s">
        <v>24</v>
      </c>
      <c r="Q944" t="s">
        <v>305</v>
      </c>
    </row>
    <row r="945" spans="1:17" ht="15" customHeight="1" x14ac:dyDescent="0.25">
      <c r="A945" s="3" t="s">
        <v>1519</v>
      </c>
      <c r="B945" s="4" t="s">
        <v>306</v>
      </c>
      <c r="C945" t="s">
        <v>1415</v>
      </c>
      <c r="D945">
        <v>1</v>
      </c>
      <c r="E945" t="s">
        <v>974</v>
      </c>
      <c r="F945" t="s">
        <v>975</v>
      </c>
      <c r="G945" t="s">
        <v>976</v>
      </c>
      <c r="H945" s="1" t="s">
        <v>976</v>
      </c>
      <c r="I945" s="1">
        <v>790</v>
      </c>
      <c r="J945" s="20">
        <v>0</v>
      </c>
      <c r="K945" s="1">
        <v>152</v>
      </c>
      <c r="L945" s="1">
        <v>0</v>
      </c>
      <c r="M945" s="43" t="s">
        <v>2843</v>
      </c>
      <c r="P945" t="s">
        <v>25</v>
      </c>
      <c r="Q945" t="s">
        <v>306</v>
      </c>
    </row>
    <row r="946" spans="1:17" ht="15" customHeight="1" x14ac:dyDescent="0.25">
      <c r="A946" s="3" t="s">
        <v>1520</v>
      </c>
      <c r="B946" s="4" t="s">
        <v>307</v>
      </c>
      <c r="C946" t="s">
        <v>1415</v>
      </c>
      <c r="D946">
        <v>1</v>
      </c>
      <c r="E946" t="s">
        <v>974</v>
      </c>
      <c r="F946" t="s">
        <v>975</v>
      </c>
      <c r="G946" t="s">
        <v>976</v>
      </c>
      <c r="H946" s="1" t="s">
        <v>976</v>
      </c>
      <c r="I946" s="1">
        <v>790</v>
      </c>
      <c r="J946" s="20">
        <v>15</v>
      </c>
      <c r="K946" s="1">
        <v>152</v>
      </c>
      <c r="L946" s="1">
        <v>2280</v>
      </c>
      <c r="M946" s="43" t="s">
        <v>2843</v>
      </c>
      <c r="P946" t="s">
        <v>23</v>
      </c>
      <c r="Q946" t="s">
        <v>307</v>
      </c>
    </row>
    <row r="947" spans="1:17" ht="15" customHeight="1" x14ac:dyDescent="0.25">
      <c r="A947" s="42" t="s">
        <v>1520</v>
      </c>
      <c r="B947" s="3" t="s">
        <v>307</v>
      </c>
      <c r="C947" s="42" t="s">
        <v>1415</v>
      </c>
      <c r="D947">
        <v>3</v>
      </c>
      <c r="E947" t="s">
        <v>1179</v>
      </c>
      <c r="F947" t="s">
        <v>1180</v>
      </c>
      <c r="G947" t="s">
        <v>976</v>
      </c>
      <c r="H947" s="1" t="s">
        <v>976</v>
      </c>
      <c r="I947" s="1">
        <v>790</v>
      </c>
      <c r="J947" s="20">
        <v>-1</v>
      </c>
      <c r="K947" s="1">
        <v>0</v>
      </c>
      <c r="L947" s="1">
        <v>0</v>
      </c>
      <c r="M947" s="43" t="s">
        <v>2843</v>
      </c>
      <c r="P947" t="s">
        <v>23</v>
      </c>
      <c r="Q947" t="s">
        <v>307</v>
      </c>
    </row>
    <row r="948" spans="1:17" ht="15" customHeight="1" x14ac:dyDescent="0.25">
      <c r="A948" s="3" t="s">
        <v>1521</v>
      </c>
      <c r="B948" s="4" t="s">
        <v>308</v>
      </c>
      <c r="C948" t="s">
        <v>1415</v>
      </c>
      <c r="D948">
        <v>1</v>
      </c>
      <c r="E948" t="s">
        <v>974</v>
      </c>
      <c r="F948" t="s">
        <v>975</v>
      </c>
      <c r="G948" t="s">
        <v>976</v>
      </c>
      <c r="H948" s="1" t="s">
        <v>976</v>
      </c>
      <c r="I948" s="1">
        <v>790</v>
      </c>
      <c r="J948" s="20">
        <v>0</v>
      </c>
      <c r="K948" s="1">
        <v>152</v>
      </c>
      <c r="L948" s="1">
        <v>0</v>
      </c>
      <c r="M948" s="43" t="s">
        <v>2843</v>
      </c>
      <c r="P948" t="s">
        <v>22</v>
      </c>
      <c r="Q948" t="s">
        <v>308</v>
      </c>
    </row>
    <row r="949" spans="1:17" ht="15" customHeight="1" x14ac:dyDescent="0.25">
      <c r="A949" s="3" t="s">
        <v>1522</v>
      </c>
      <c r="B949" s="4" t="s">
        <v>309</v>
      </c>
      <c r="C949" t="s">
        <v>1415</v>
      </c>
      <c r="D949">
        <v>1</v>
      </c>
      <c r="E949" t="s">
        <v>974</v>
      </c>
      <c r="F949" t="s">
        <v>975</v>
      </c>
      <c r="G949" t="s">
        <v>976</v>
      </c>
      <c r="H949" s="1" t="s">
        <v>976</v>
      </c>
      <c r="I949" s="1">
        <v>790</v>
      </c>
      <c r="J949" s="20">
        <v>1</v>
      </c>
      <c r="K949" s="1">
        <v>152</v>
      </c>
      <c r="L949" s="1">
        <v>152</v>
      </c>
      <c r="M949" s="43" t="s">
        <v>2843</v>
      </c>
      <c r="P949" t="s">
        <v>21</v>
      </c>
      <c r="Q949" t="s">
        <v>309</v>
      </c>
    </row>
    <row r="950" spans="1:17" ht="15" customHeight="1" x14ac:dyDescent="0.25">
      <c r="A950" s="3" t="s">
        <v>1523</v>
      </c>
      <c r="B950" s="4" t="s">
        <v>2858</v>
      </c>
      <c r="C950" t="s">
        <v>1415</v>
      </c>
      <c r="D950">
        <v>1</v>
      </c>
      <c r="E950" t="s">
        <v>974</v>
      </c>
      <c r="F950" t="s">
        <v>975</v>
      </c>
      <c r="G950" t="s">
        <v>180</v>
      </c>
      <c r="H950" s="1" t="s">
        <v>976</v>
      </c>
      <c r="I950" s="1">
        <v>790</v>
      </c>
      <c r="J950" s="20">
        <v>5</v>
      </c>
      <c r="K950" s="1">
        <v>119.999999</v>
      </c>
      <c r="L950" s="1">
        <v>600</v>
      </c>
      <c r="M950" s="43" t="s">
        <v>2843</v>
      </c>
      <c r="O950" s="2" t="s">
        <v>2447</v>
      </c>
      <c r="P950" t="s">
        <v>24</v>
      </c>
      <c r="Q950" t="s">
        <v>853</v>
      </c>
    </row>
    <row r="951" spans="1:17" ht="15" customHeight="1" x14ac:dyDescent="0.25">
      <c r="A951" s="42" t="s">
        <v>1523</v>
      </c>
      <c r="B951" s="3" t="s">
        <v>2858</v>
      </c>
      <c r="C951" s="42" t="s">
        <v>1415</v>
      </c>
      <c r="D951">
        <v>3</v>
      </c>
      <c r="E951" t="s">
        <v>1179</v>
      </c>
      <c r="F951" t="s">
        <v>1180</v>
      </c>
      <c r="G951" t="s">
        <v>180</v>
      </c>
      <c r="H951" s="1" t="s">
        <v>976</v>
      </c>
      <c r="I951" s="1">
        <v>790</v>
      </c>
      <c r="J951" s="20">
        <v>0</v>
      </c>
      <c r="K951" s="1">
        <v>80</v>
      </c>
      <c r="L951" s="1">
        <v>0</v>
      </c>
      <c r="M951" s="43" t="s">
        <v>2843</v>
      </c>
      <c r="O951" s="2" t="s">
        <v>2447</v>
      </c>
      <c r="P951" t="s">
        <v>24</v>
      </c>
      <c r="Q951" t="s">
        <v>853</v>
      </c>
    </row>
    <row r="952" spans="1:17" ht="15" customHeight="1" x14ac:dyDescent="0.25">
      <c r="A952" s="3" t="s">
        <v>1524</v>
      </c>
      <c r="B952" s="4" t="s">
        <v>2858</v>
      </c>
      <c r="C952" t="s">
        <v>1415</v>
      </c>
      <c r="D952">
        <v>1</v>
      </c>
      <c r="E952" t="s">
        <v>974</v>
      </c>
      <c r="F952" t="s">
        <v>975</v>
      </c>
      <c r="G952" t="s">
        <v>180</v>
      </c>
      <c r="H952" s="1" t="s">
        <v>976</v>
      </c>
      <c r="I952" s="1">
        <v>790</v>
      </c>
      <c r="J952" s="20">
        <v>1</v>
      </c>
      <c r="K952" s="1">
        <v>135</v>
      </c>
      <c r="L952" s="1">
        <v>135</v>
      </c>
      <c r="M952" s="43" t="s">
        <v>2843</v>
      </c>
      <c r="O952" s="2" t="s">
        <v>2447</v>
      </c>
      <c r="P952" t="s">
        <v>23</v>
      </c>
      <c r="Q952" t="s">
        <v>853</v>
      </c>
    </row>
    <row r="953" spans="1:17" ht="15" customHeight="1" x14ac:dyDescent="0.25">
      <c r="A953" s="42" t="s">
        <v>1524</v>
      </c>
      <c r="B953" s="3" t="s">
        <v>2858</v>
      </c>
      <c r="C953" s="42" t="s">
        <v>1415</v>
      </c>
      <c r="D953">
        <v>3</v>
      </c>
      <c r="E953" t="s">
        <v>1179</v>
      </c>
      <c r="F953" t="s">
        <v>1180</v>
      </c>
      <c r="G953" t="s">
        <v>180</v>
      </c>
      <c r="H953" s="1" t="s">
        <v>976</v>
      </c>
      <c r="I953" s="1">
        <v>790</v>
      </c>
      <c r="J953" s="20">
        <v>0</v>
      </c>
      <c r="K953" s="1">
        <v>110</v>
      </c>
      <c r="L953" s="1">
        <v>0</v>
      </c>
      <c r="M953" s="43" t="s">
        <v>2843</v>
      </c>
      <c r="O953" s="2" t="s">
        <v>2447</v>
      </c>
      <c r="P953" t="s">
        <v>23</v>
      </c>
      <c r="Q953" t="s">
        <v>853</v>
      </c>
    </row>
    <row r="954" spans="1:17" ht="15" customHeight="1" x14ac:dyDescent="0.25">
      <c r="A954" s="3" t="s">
        <v>1525</v>
      </c>
      <c r="B954" s="4" t="s">
        <v>2858</v>
      </c>
      <c r="C954" t="s">
        <v>1415</v>
      </c>
      <c r="D954">
        <v>1</v>
      </c>
      <c r="E954" t="s">
        <v>974</v>
      </c>
      <c r="F954" t="s">
        <v>975</v>
      </c>
      <c r="G954" t="s">
        <v>180</v>
      </c>
      <c r="H954" s="1" t="s">
        <v>976</v>
      </c>
      <c r="I954" s="1">
        <v>790</v>
      </c>
      <c r="J954" s="20">
        <v>0</v>
      </c>
      <c r="K954" s="1">
        <v>0</v>
      </c>
      <c r="L954" s="1">
        <v>0</v>
      </c>
      <c r="M954" s="43" t="s">
        <v>2843</v>
      </c>
      <c r="O954" s="2" t="s">
        <v>2447</v>
      </c>
      <c r="P954" t="s">
        <v>22</v>
      </c>
      <c r="Q954" t="s">
        <v>853</v>
      </c>
    </row>
    <row r="955" spans="1:17" ht="15" customHeight="1" x14ac:dyDescent="0.25">
      <c r="A955" s="3" t="s">
        <v>1526</v>
      </c>
      <c r="B955" s="4" t="s">
        <v>2859</v>
      </c>
      <c r="C955" t="s">
        <v>1415</v>
      </c>
      <c r="D955">
        <v>1</v>
      </c>
      <c r="E955" t="s">
        <v>974</v>
      </c>
      <c r="F955" t="s">
        <v>975</v>
      </c>
      <c r="G955" t="s">
        <v>180</v>
      </c>
      <c r="H955" s="1" t="s">
        <v>976</v>
      </c>
      <c r="I955" s="1">
        <v>710</v>
      </c>
      <c r="J955" s="20">
        <v>2</v>
      </c>
      <c r="K955" s="1">
        <v>126.45</v>
      </c>
      <c r="L955" s="1">
        <v>252.9</v>
      </c>
      <c r="M955" s="43" t="s">
        <v>2843</v>
      </c>
      <c r="O955" s="2" t="s">
        <v>2472</v>
      </c>
      <c r="P955" t="s">
        <v>24</v>
      </c>
      <c r="Q955" t="s">
        <v>854</v>
      </c>
    </row>
    <row r="956" spans="1:17" ht="15" customHeight="1" x14ac:dyDescent="0.25">
      <c r="A956" s="42" t="s">
        <v>1526</v>
      </c>
      <c r="B956" s="3" t="s">
        <v>2859</v>
      </c>
      <c r="C956" s="42" t="s">
        <v>1415</v>
      </c>
      <c r="D956">
        <v>3</v>
      </c>
      <c r="E956" t="s">
        <v>1179</v>
      </c>
      <c r="F956" t="s">
        <v>1180</v>
      </c>
      <c r="G956" t="s">
        <v>180</v>
      </c>
      <c r="H956" s="1" t="s">
        <v>976</v>
      </c>
      <c r="I956" s="1">
        <v>710</v>
      </c>
      <c r="J956" s="20">
        <v>0</v>
      </c>
      <c r="K956" s="1">
        <v>126.45</v>
      </c>
      <c r="L956" s="1">
        <v>0</v>
      </c>
      <c r="M956" s="43" t="s">
        <v>2843</v>
      </c>
      <c r="O956" s="2" t="s">
        <v>2472</v>
      </c>
      <c r="P956" t="s">
        <v>24</v>
      </c>
      <c r="Q956" t="s">
        <v>854</v>
      </c>
    </row>
    <row r="957" spans="1:17" ht="15" customHeight="1" x14ac:dyDescent="0.25">
      <c r="A957" s="3" t="s">
        <v>1527</v>
      </c>
      <c r="B957" s="4" t="s">
        <v>2859</v>
      </c>
      <c r="C957" t="s">
        <v>1415</v>
      </c>
      <c r="D957">
        <v>1</v>
      </c>
      <c r="E957" t="s">
        <v>974</v>
      </c>
      <c r="F957" t="s">
        <v>975</v>
      </c>
      <c r="G957" t="s">
        <v>180</v>
      </c>
      <c r="H957" s="1" t="s">
        <v>976</v>
      </c>
      <c r="I957" s="1">
        <v>710</v>
      </c>
      <c r="J957" s="20">
        <v>1</v>
      </c>
      <c r="K957" s="1">
        <v>126.45</v>
      </c>
      <c r="L957" s="1">
        <v>126.45</v>
      </c>
      <c r="M957" s="43" t="s">
        <v>2843</v>
      </c>
      <c r="O957" s="2" t="s">
        <v>2472</v>
      </c>
      <c r="P957" t="s">
        <v>25</v>
      </c>
      <c r="Q957" t="s">
        <v>854</v>
      </c>
    </row>
    <row r="958" spans="1:17" ht="15" customHeight="1" x14ac:dyDescent="0.25">
      <c r="A958" s="3" t="s">
        <v>1528</v>
      </c>
      <c r="B958" s="4" t="s">
        <v>2859</v>
      </c>
      <c r="C958" t="s">
        <v>1415</v>
      </c>
      <c r="D958">
        <v>1</v>
      </c>
      <c r="E958" t="s">
        <v>974</v>
      </c>
      <c r="F958" t="s">
        <v>975</v>
      </c>
      <c r="G958" t="s">
        <v>180</v>
      </c>
      <c r="H958" s="1" t="s">
        <v>976</v>
      </c>
      <c r="I958" s="1">
        <v>710</v>
      </c>
      <c r="J958" s="20">
        <v>0</v>
      </c>
      <c r="K958" s="1">
        <v>126.45</v>
      </c>
      <c r="L958" s="1">
        <v>0</v>
      </c>
      <c r="M958" s="43" t="s">
        <v>2843</v>
      </c>
      <c r="O958" s="2" t="s">
        <v>2472</v>
      </c>
      <c r="P958" t="s">
        <v>23</v>
      </c>
      <c r="Q958" t="s">
        <v>854</v>
      </c>
    </row>
    <row r="959" spans="1:17" ht="15" customHeight="1" x14ac:dyDescent="0.25">
      <c r="A959" s="42" t="s">
        <v>1528</v>
      </c>
      <c r="B959" s="3" t="s">
        <v>2859</v>
      </c>
      <c r="C959" s="42" t="s">
        <v>1415</v>
      </c>
      <c r="D959">
        <v>3</v>
      </c>
      <c r="E959" t="s">
        <v>1179</v>
      </c>
      <c r="F959" t="s">
        <v>1180</v>
      </c>
      <c r="G959" t="s">
        <v>180</v>
      </c>
      <c r="H959" s="1" t="s">
        <v>976</v>
      </c>
      <c r="I959" s="1">
        <v>710</v>
      </c>
      <c r="J959" s="20">
        <v>0</v>
      </c>
      <c r="K959" s="1">
        <v>126.45</v>
      </c>
      <c r="L959" s="1">
        <v>0</v>
      </c>
      <c r="M959" s="43" t="s">
        <v>2843</v>
      </c>
      <c r="O959" s="2" t="s">
        <v>2472</v>
      </c>
      <c r="P959" t="s">
        <v>23</v>
      </c>
      <c r="Q959" t="s">
        <v>854</v>
      </c>
    </row>
    <row r="960" spans="1:17" ht="15" customHeight="1" x14ac:dyDescent="0.25">
      <c r="A960" s="3" t="s">
        <v>1529</v>
      </c>
      <c r="B960" s="4" t="s">
        <v>2859</v>
      </c>
      <c r="C960" t="s">
        <v>1415</v>
      </c>
      <c r="D960">
        <v>1</v>
      </c>
      <c r="E960" t="s">
        <v>974</v>
      </c>
      <c r="F960" t="s">
        <v>975</v>
      </c>
      <c r="G960" t="s">
        <v>180</v>
      </c>
      <c r="H960" s="1" t="s">
        <v>976</v>
      </c>
      <c r="I960" s="1">
        <v>710</v>
      </c>
      <c r="J960" s="20">
        <v>1</v>
      </c>
      <c r="K960" s="1">
        <v>126.45</v>
      </c>
      <c r="L960" s="1">
        <v>126.45</v>
      </c>
      <c r="M960" s="43" t="s">
        <v>2843</v>
      </c>
      <c r="O960" s="2" t="s">
        <v>2472</v>
      </c>
      <c r="P960" t="s">
        <v>22</v>
      </c>
      <c r="Q960" t="s">
        <v>854</v>
      </c>
    </row>
    <row r="961" spans="1:17" ht="15" customHeight="1" x14ac:dyDescent="0.25">
      <c r="A961" s="42" t="s">
        <v>1529</v>
      </c>
      <c r="B961" s="3" t="s">
        <v>2859</v>
      </c>
      <c r="C961" s="42" t="s">
        <v>1415</v>
      </c>
      <c r="D961">
        <v>3</v>
      </c>
      <c r="E961" t="s">
        <v>1179</v>
      </c>
      <c r="F961" t="s">
        <v>1180</v>
      </c>
      <c r="G961" t="s">
        <v>180</v>
      </c>
      <c r="H961" s="1" t="s">
        <v>976</v>
      </c>
      <c r="I961" s="1">
        <v>710</v>
      </c>
      <c r="J961" s="20">
        <v>0</v>
      </c>
      <c r="K961" s="1">
        <v>126.45</v>
      </c>
      <c r="L961" s="1">
        <v>0</v>
      </c>
      <c r="M961" s="43" t="s">
        <v>2843</v>
      </c>
      <c r="O961" s="2" t="s">
        <v>2472</v>
      </c>
      <c r="P961" t="s">
        <v>22</v>
      </c>
      <c r="Q961" t="s">
        <v>854</v>
      </c>
    </row>
    <row r="962" spans="1:17" ht="15" customHeight="1" x14ac:dyDescent="0.25">
      <c r="A962" s="3" t="s">
        <v>1530</v>
      </c>
      <c r="B962" s="4" t="s">
        <v>2860</v>
      </c>
      <c r="C962" t="s">
        <v>1415</v>
      </c>
      <c r="D962">
        <v>1</v>
      </c>
      <c r="E962" t="s">
        <v>974</v>
      </c>
      <c r="F962" t="s">
        <v>975</v>
      </c>
      <c r="G962" t="s">
        <v>180</v>
      </c>
      <c r="H962" s="1" t="s">
        <v>976</v>
      </c>
      <c r="I962" s="1">
        <v>980</v>
      </c>
      <c r="J962" s="20">
        <v>0</v>
      </c>
      <c r="K962" s="1">
        <v>198</v>
      </c>
      <c r="L962" s="1">
        <v>0</v>
      </c>
      <c r="M962" s="43" t="s">
        <v>2843</v>
      </c>
      <c r="O962" s="2" t="s">
        <v>2528</v>
      </c>
      <c r="P962" t="s">
        <v>24</v>
      </c>
      <c r="Q962" t="s">
        <v>855</v>
      </c>
    </row>
    <row r="963" spans="1:17" ht="15" customHeight="1" x14ac:dyDescent="0.25">
      <c r="A963" s="3" t="s">
        <v>1531</v>
      </c>
      <c r="B963" s="4" t="s">
        <v>2860</v>
      </c>
      <c r="C963" t="s">
        <v>1415</v>
      </c>
      <c r="D963">
        <v>1</v>
      </c>
      <c r="E963" t="s">
        <v>974</v>
      </c>
      <c r="F963" t="s">
        <v>975</v>
      </c>
      <c r="G963" t="s">
        <v>180</v>
      </c>
      <c r="H963" s="1" t="s">
        <v>976</v>
      </c>
      <c r="I963" s="1">
        <v>980</v>
      </c>
      <c r="J963" s="20">
        <v>0</v>
      </c>
      <c r="K963" s="1">
        <v>0</v>
      </c>
      <c r="L963" s="1">
        <v>0</v>
      </c>
      <c r="M963" s="43" t="s">
        <v>2843</v>
      </c>
      <c r="O963" s="2" t="s">
        <v>2528</v>
      </c>
      <c r="P963" t="s">
        <v>25</v>
      </c>
      <c r="Q963" t="s">
        <v>855</v>
      </c>
    </row>
    <row r="964" spans="1:17" ht="15" customHeight="1" x14ac:dyDescent="0.25">
      <c r="A964" s="3" t="s">
        <v>1532</v>
      </c>
      <c r="B964" s="4" t="s">
        <v>2860</v>
      </c>
      <c r="C964" t="s">
        <v>1415</v>
      </c>
      <c r="D964">
        <v>1</v>
      </c>
      <c r="E964" t="s">
        <v>974</v>
      </c>
      <c r="F964" t="s">
        <v>975</v>
      </c>
      <c r="G964" t="s">
        <v>180</v>
      </c>
      <c r="H964" s="1" t="s">
        <v>976</v>
      </c>
      <c r="I964" s="1">
        <v>980</v>
      </c>
      <c r="J964" s="20">
        <v>0</v>
      </c>
      <c r="K964" s="1">
        <v>0</v>
      </c>
      <c r="L964" s="1">
        <v>0</v>
      </c>
      <c r="M964" s="43" t="s">
        <v>2843</v>
      </c>
      <c r="O964" s="2" t="s">
        <v>2528</v>
      </c>
      <c r="P964" t="s">
        <v>23</v>
      </c>
      <c r="Q964" t="s">
        <v>855</v>
      </c>
    </row>
    <row r="965" spans="1:17" ht="15" customHeight="1" x14ac:dyDescent="0.25">
      <c r="A965" s="3" t="s">
        <v>1533</v>
      </c>
      <c r="B965" s="4" t="s">
        <v>2860</v>
      </c>
      <c r="C965" t="s">
        <v>1415</v>
      </c>
      <c r="D965">
        <v>1</v>
      </c>
      <c r="E965" t="s">
        <v>974</v>
      </c>
      <c r="F965" t="s">
        <v>975</v>
      </c>
      <c r="G965" t="s">
        <v>180</v>
      </c>
      <c r="H965" s="1" t="s">
        <v>976</v>
      </c>
      <c r="I965" s="1">
        <v>980</v>
      </c>
      <c r="J965" s="20">
        <v>0</v>
      </c>
      <c r="K965" s="1">
        <v>0</v>
      </c>
      <c r="L965" s="1">
        <v>0</v>
      </c>
      <c r="M965" s="43" t="s">
        <v>2843</v>
      </c>
      <c r="O965" s="2" t="s">
        <v>2528</v>
      </c>
      <c r="P965" t="s">
        <v>22</v>
      </c>
      <c r="Q965" t="s">
        <v>855</v>
      </c>
    </row>
    <row r="966" spans="1:17" ht="15" customHeight="1" x14ac:dyDescent="0.25">
      <c r="A966" s="3" t="s">
        <v>1534</v>
      </c>
      <c r="B966" s="4" t="s">
        <v>2849</v>
      </c>
      <c r="C966" t="s">
        <v>1415</v>
      </c>
      <c r="D966">
        <v>1</v>
      </c>
      <c r="E966" t="s">
        <v>974</v>
      </c>
      <c r="F966" t="s">
        <v>975</v>
      </c>
      <c r="G966" t="s">
        <v>180</v>
      </c>
      <c r="H966" s="1" t="s">
        <v>976</v>
      </c>
      <c r="I966" s="1">
        <v>425</v>
      </c>
      <c r="J966" s="20">
        <v>7</v>
      </c>
      <c r="K966" s="1">
        <v>73.5</v>
      </c>
      <c r="L966" s="1">
        <v>514.5</v>
      </c>
      <c r="M966" s="43" t="s">
        <v>2843</v>
      </c>
      <c r="O966" s="2" t="s">
        <v>2447</v>
      </c>
      <c r="P966" t="s">
        <v>24</v>
      </c>
      <c r="Q966" t="s">
        <v>856</v>
      </c>
    </row>
    <row r="967" spans="1:17" ht="15" customHeight="1" x14ac:dyDescent="0.25">
      <c r="A967" s="3" t="s">
        <v>1535</v>
      </c>
      <c r="B967" s="4" t="s">
        <v>2849</v>
      </c>
      <c r="C967" t="s">
        <v>1415</v>
      </c>
      <c r="D967">
        <v>1</v>
      </c>
      <c r="E967" t="s">
        <v>974</v>
      </c>
      <c r="F967" t="s">
        <v>975</v>
      </c>
      <c r="G967" t="s">
        <v>180</v>
      </c>
      <c r="H967" s="1" t="s">
        <v>976</v>
      </c>
      <c r="I967" s="1">
        <v>425</v>
      </c>
      <c r="J967" s="20">
        <v>2</v>
      </c>
      <c r="K967" s="1">
        <v>73.5</v>
      </c>
      <c r="L967" s="1">
        <v>147</v>
      </c>
      <c r="M967" s="43" t="s">
        <v>2843</v>
      </c>
      <c r="O967" s="2" t="s">
        <v>2447</v>
      </c>
      <c r="P967" t="s">
        <v>25</v>
      </c>
      <c r="Q967" t="s">
        <v>856</v>
      </c>
    </row>
    <row r="968" spans="1:17" ht="15" customHeight="1" x14ac:dyDescent="0.25">
      <c r="A968" s="3" t="s">
        <v>1536</v>
      </c>
      <c r="B968" s="4" t="s">
        <v>2849</v>
      </c>
      <c r="C968" t="s">
        <v>1415</v>
      </c>
      <c r="D968">
        <v>1</v>
      </c>
      <c r="E968" t="s">
        <v>974</v>
      </c>
      <c r="F968" t="s">
        <v>975</v>
      </c>
      <c r="G968" t="s">
        <v>180</v>
      </c>
      <c r="H968" s="1" t="s">
        <v>976</v>
      </c>
      <c r="I968" s="1">
        <v>425</v>
      </c>
      <c r="J968" s="20">
        <v>17</v>
      </c>
      <c r="K968" s="1">
        <v>73.5</v>
      </c>
      <c r="L968" s="1">
        <v>1249.5</v>
      </c>
      <c r="M968" s="43" t="s">
        <v>2843</v>
      </c>
      <c r="O968" s="2" t="s">
        <v>2447</v>
      </c>
      <c r="P968" t="s">
        <v>23</v>
      </c>
      <c r="Q968" t="s">
        <v>856</v>
      </c>
    </row>
    <row r="969" spans="1:17" ht="15" customHeight="1" x14ac:dyDescent="0.25">
      <c r="A969" s="3" t="s">
        <v>1537</v>
      </c>
      <c r="B969" s="4" t="s">
        <v>2849</v>
      </c>
      <c r="C969" t="s">
        <v>1415</v>
      </c>
      <c r="D969">
        <v>1</v>
      </c>
      <c r="E969" t="s">
        <v>974</v>
      </c>
      <c r="F969" t="s">
        <v>975</v>
      </c>
      <c r="G969" t="s">
        <v>180</v>
      </c>
      <c r="H969" s="1" t="s">
        <v>976</v>
      </c>
      <c r="I969" s="1">
        <v>425</v>
      </c>
      <c r="J969" s="20">
        <v>6</v>
      </c>
      <c r="K969" s="1">
        <v>73.5</v>
      </c>
      <c r="L969" s="1">
        <v>441</v>
      </c>
      <c r="M969" s="43" t="s">
        <v>2843</v>
      </c>
      <c r="O969" s="2" t="s">
        <v>2447</v>
      </c>
      <c r="P969" t="s">
        <v>22</v>
      </c>
      <c r="Q969" t="s">
        <v>856</v>
      </c>
    </row>
    <row r="970" spans="1:17" ht="15" customHeight="1" x14ac:dyDescent="0.25">
      <c r="A970" s="3" t="s">
        <v>1538</v>
      </c>
      <c r="B970" s="4" t="s">
        <v>2849</v>
      </c>
      <c r="C970" t="s">
        <v>1415</v>
      </c>
      <c r="D970">
        <v>1</v>
      </c>
      <c r="E970" t="s">
        <v>974</v>
      </c>
      <c r="F970" t="s">
        <v>975</v>
      </c>
      <c r="G970" t="s">
        <v>180</v>
      </c>
      <c r="H970" s="1" t="s">
        <v>976</v>
      </c>
      <c r="I970" s="1">
        <v>425</v>
      </c>
      <c r="J970" s="20">
        <v>1</v>
      </c>
      <c r="K970" s="1">
        <v>73.5</v>
      </c>
      <c r="L970" s="1">
        <v>73.5</v>
      </c>
      <c r="M970" s="43" t="s">
        <v>2843</v>
      </c>
      <c r="O970" s="2" t="s">
        <v>2447</v>
      </c>
      <c r="P970" t="s">
        <v>21</v>
      </c>
      <c r="Q970" t="s">
        <v>856</v>
      </c>
    </row>
    <row r="971" spans="1:17" ht="15" customHeight="1" x14ac:dyDescent="0.25">
      <c r="A971" s="3" t="s">
        <v>1539</v>
      </c>
      <c r="B971" s="4" t="s">
        <v>2849</v>
      </c>
      <c r="C971" t="s">
        <v>1415</v>
      </c>
      <c r="D971">
        <v>1</v>
      </c>
      <c r="E971" t="s">
        <v>974</v>
      </c>
      <c r="F971" t="s">
        <v>975</v>
      </c>
      <c r="G971" t="s">
        <v>180</v>
      </c>
      <c r="H971" s="1" t="s">
        <v>976</v>
      </c>
      <c r="I971" s="1">
        <v>425</v>
      </c>
      <c r="J971" s="20">
        <v>3</v>
      </c>
      <c r="K971" s="1">
        <v>73.5</v>
      </c>
      <c r="L971" s="1">
        <v>220.5</v>
      </c>
      <c r="M971" s="43" t="s">
        <v>2843</v>
      </c>
      <c r="O971" s="2" t="s">
        <v>2463</v>
      </c>
      <c r="P971" t="s">
        <v>24</v>
      </c>
      <c r="Q971" t="s">
        <v>857</v>
      </c>
    </row>
    <row r="972" spans="1:17" ht="15" customHeight="1" x14ac:dyDescent="0.25">
      <c r="A972" s="3" t="s">
        <v>1540</v>
      </c>
      <c r="B972" s="4" t="s">
        <v>2849</v>
      </c>
      <c r="C972" t="s">
        <v>1415</v>
      </c>
      <c r="D972">
        <v>1</v>
      </c>
      <c r="E972" t="s">
        <v>974</v>
      </c>
      <c r="F972" t="s">
        <v>975</v>
      </c>
      <c r="G972" t="s">
        <v>180</v>
      </c>
      <c r="H972" s="1" t="s">
        <v>976</v>
      </c>
      <c r="I972" s="1">
        <v>425</v>
      </c>
      <c r="J972" s="20">
        <v>2</v>
      </c>
      <c r="K972" s="1">
        <v>73.5</v>
      </c>
      <c r="L972" s="1">
        <v>147</v>
      </c>
      <c r="M972" s="43" t="s">
        <v>2843</v>
      </c>
      <c r="O972" s="2" t="s">
        <v>2463</v>
      </c>
      <c r="P972" t="s">
        <v>25</v>
      </c>
      <c r="Q972" t="s">
        <v>857</v>
      </c>
    </row>
    <row r="973" spans="1:17" ht="15" customHeight="1" x14ac:dyDescent="0.25">
      <c r="A973" s="3" t="s">
        <v>1541</v>
      </c>
      <c r="B973" s="4" t="s">
        <v>2849</v>
      </c>
      <c r="C973" t="s">
        <v>1415</v>
      </c>
      <c r="D973">
        <v>1</v>
      </c>
      <c r="E973" t="s">
        <v>974</v>
      </c>
      <c r="F973" t="s">
        <v>975</v>
      </c>
      <c r="G973" t="s">
        <v>180</v>
      </c>
      <c r="H973" s="1" t="s">
        <v>976</v>
      </c>
      <c r="I973" s="1">
        <v>425</v>
      </c>
      <c r="J973" s="20">
        <v>15</v>
      </c>
      <c r="K973" s="1">
        <v>73.5</v>
      </c>
      <c r="L973" s="1">
        <v>1102.5</v>
      </c>
      <c r="M973" s="43" t="s">
        <v>2843</v>
      </c>
      <c r="O973" s="2" t="s">
        <v>2463</v>
      </c>
      <c r="P973" t="s">
        <v>23</v>
      </c>
      <c r="Q973" t="s">
        <v>857</v>
      </c>
    </row>
    <row r="974" spans="1:17" ht="15" customHeight="1" x14ac:dyDescent="0.25">
      <c r="A974" s="42" t="s">
        <v>1541</v>
      </c>
      <c r="B974" s="3" t="s">
        <v>2849</v>
      </c>
      <c r="C974" s="42" t="s">
        <v>1415</v>
      </c>
      <c r="D974">
        <v>2</v>
      </c>
      <c r="E974" t="s">
        <v>1017</v>
      </c>
      <c r="F974" t="s">
        <v>975</v>
      </c>
      <c r="G974" t="s">
        <v>180</v>
      </c>
      <c r="H974" s="1" t="s">
        <v>976</v>
      </c>
      <c r="I974" s="1">
        <v>425</v>
      </c>
      <c r="J974" s="20">
        <v>0</v>
      </c>
      <c r="K974" s="1">
        <v>0</v>
      </c>
      <c r="L974" s="1">
        <v>0</v>
      </c>
      <c r="M974" s="43" t="s">
        <v>2843</v>
      </c>
      <c r="O974" s="2" t="s">
        <v>2463</v>
      </c>
      <c r="P974" t="s">
        <v>23</v>
      </c>
      <c r="Q974" t="s">
        <v>857</v>
      </c>
    </row>
    <row r="975" spans="1:17" ht="15" customHeight="1" x14ac:dyDescent="0.25">
      <c r="A975" s="3" t="s">
        <v>1542</v>
      </c>
      <c r="B975" s="4" t="s">
        <v>2849</v>
      </c>
      <c r="C975" t="s">
        <v>1415</v>
      </c>
      <c r="D975">
        <v>1</v>
      </c>
      <c r="E975" t="s">
        <v>974</v>
      </c>
      <c r="F975" t="s">
        <v>975</v>
      </c>
      <c r="G975" t="s">
        <v>180</v>
      </c>
      <c r="H975" s="1" t="s">
        <v>976</v>
      </c>
      <c r="I975" s="1">
        <v>425</v>
      </c>
      <c r="J975" s="20">
        <v>2</v>
      </c>
      <c r="K975" s="1">
        <v>73.5</v>
      </c>
      <c r="L975" s="1">
        <v>147</v>
      </c>
      <c r="M975" s="43" t="s">
        <v>2843</v>
      </c>
      <c r="O975" s="2" t="s">
        <v>2463</v>
      </c>
      <c r="P975" t="s">
        <v>22</v>
      </c>
      <c r="Q975" t="s">
        <v>857</v>
      </c>
    </row>
    <row r="976" spans="1:17" ht="15" customHeight="1" x14ac:dyDescent="0.25">
      <c r="A976" s="3" t="s">
        <v>1543</v>
      </c>
      <c r="B976" s="4" t="s">
        <v>2849</v>
      </c>
      <c r="C976" t="s">
        <v>1415</v>
      </c>
      <c r="D976">
        <v>1</v>
      </c>
      <c r="E976" t="s">
        <v>974</v>
      </c>
      <c r="F976" t="s">
        <v>975</v>
      </c>
      <c r="G976" t="s">
        <v>180</v>
      </c>
      <c r="H976" s="1" t="s">
        <v>976</v>
      </c>
      <c r="I976" s="1">
        <v>425</v>
      </c>
      <c r="J976" s="20">
        <v>0</v>
      </c>
      <c r="K976" s="1">
        <v>73.5</v>
      </c>
      <c r="L976" s="1">
        <v>0</v>
      </c>
      <c r="M976" s="43" t="s">
        <v>2843</v>
      </c>
      <c r="O976" s="2" t="s">
        <v>2463</v>
      </c>
      <c r="Q976" t="s">
        <v>857</v>
      </c>
    </row>
    <row r="977" spans="1:17" ht="15" customHeight="1" x14ac:dyDescent="0.25">
      <c r="A977" s="3" t="s">
        <v>1544</v>
      </c>
      <c r="B977" s="4" t="s">
        <v>310</v>
      </c>
      <c r="C977" t="s">
        <v>1415</v>
      </c>
      <c r="D977">
        <v>1</v>
      </c>
      <c r="E977" t="s">
        <v>974</v>
      </c>
      <c r="F977" t="s">
        <v>975</v>
      </c>
      <c r="G977" t="s">
        <v>180</v>
      </c>
      <c r="H977" s="1" t="s">
        <v>976</v>
      </c>
      <c r="I977" s="1">
        <v>265</v>
      </c>
      <c r="J977" s="20">
        <v>2</v>
      </c>
      <c r="K977" s="1">
        <v>58.57</v>
      </c>
      <c r="L977" s="1">
        <v>117.14</v>
      </c>
      <c r="M977" s="43" t="s">
        <v>2843</v>
      </c>
      <c r="P977" t="s">
        <v>24</v>
      </c>
      <c r="Q977" t="s">
        <v>310</v>
      </c>
    </row>
    <row r="978" spans="1:17" ht="15" customHeight="1" x14ac:dyDescent="0.25">
      <c r="A978" s="3" t="s">
        <v>1545</v>
      </c>
      <c r="B978" s="4" t="s">
        <v>311</v>
      </c>
      <c r="C978" t="s">
        <v>1415</v>
      </c>
      <c r="D978">
        <v>1</v>
      </c>
      <c r="E978" t="s">
        <v>974</v>
      </c>
      <c r="F978" t="s">
        <v>975</v>
      </c>
      <c r="G978" t="s">
        <v>180</v>
      </c>
      <c r="H978" s="1" t="s">
        <v>976</v>
      </c>
      <c r="I978" s="1">
        <v>265</v>
      </c>
      <c r="J978" s="20">
        <v>2</v>
      </c>
      <c r="K978" s="1">
        <v>58.57</v>
      </c>
      <c r="L978" s="1">
        <v>117.14</v>
      </c>
      <c r="M978" s="43" t="s">
        <v>2843</v>
      </c>
      <c r="P978" t="s">
        <v>25</v>
      </c>
      <c r="Q978" t="s">
        <v>311</v>
      </c>
    </row>
    <row r="979" spans="1:17" ht="15" customHeight="1" x14ac:dyDescent="0.25">
      <c r="A979" s="3" t="s">
        <v>1546</v>
      </c>
      <c r="B979" s="4" t="s">
        <v>312</v>
      </c>
      <c r="C979" t="s">
        <v>1415</v>
      </c>
      <c r="D979">
        <v>1</v>
      </c>
      <c r="E979" t="s">
        <v>974</v>
      </c>
      <c r="F979" t="s">
        <v>975</v>
      </c>
      <c r="G979" t="s">
        <v>180</v>
      </c>
      <c r="H979" s="1" t="s">
        <v>976</v>
      </c>
      <c r="I979" s="1">
        <v>265</v>
      </c>
      <c r="J979" s="20">
        <v>10</v>
      </c>
      <c r="K979" s="1">
        <v>58.57</v>
      </c>
      <c r="L979" s="1">
        <v>585.70000000000005</v>
      </c>
      <c r="M979" s="43" t="s">
        <v>2843</v>
      </c>
      <c r="P979" t="s">
        <v>23</v>
      </c>
      <c r="Q979" t="s">
        <v>312</v>
      </c>
    </row>
    <row r="980" spans="1:17" ht="15" customHeight="1" x14ac:dyDescent="0.25">
      <c r="A980" s="42" t="s">
        <v>1546</v>
      </c>
      <c r="B980" s="3" t="s">
        <v>312</v>
      </c>
      <c r="C980" s="42" t="s">
        <v>1415</v>
      </c>
      <c r="D980">
        <v>3</v>
      </c>
      <c r="E980" t="s">
        <v>1179</v>
      </c>
      <c r="F980" t="s">
        <v>1180</v>
      </c>
      <c r="G980" t="s">
        <v>180</v>
      </c>
      <c r="H980" s="1" t="s">
        <v>976</v>
      </c>
      <c r="I980" s="1">
        <v>265</v>
      </c>
      <c r="J980" s="20">
        <v>0</v>
      </c>
      <c r="K980" s="1">
        <v>58.57</v>
      </c>
      <c r="L980" s="1">
        <v>0</v>
      </c>
      <c r="M980" s="43" t="s">
        <v>2843</v>
      </c>
      <c r="P980" t="s">
        <v>23</v>
      </c>
      <c r="Q980" t="s">
        <v>312</v>
      </c>
    </row>
    <row r="981" spans="1:17" ht="15" customHeight="1" x14ac:dyDescent="0.25">
      <c r="A981" s="3" t="s">
        <v>1547</v>
      </c>
      <c r="B981" s="4" t="s">
        <v>313</v>
      </c>
      <c r="C981" t="s">
        <v>1415</v>
      </c>
      <c r="D981">
        <v>1</v>
      </c>
      <c r="E981" t="s">
        <v>974</v>
      </c>
      <c r="F981" t="s">
        <v>975</v>
      </c>
      <c r="G981" t="s">
        <v>180</v>
      </c>
      <c r="H981" s="1" t="s">
        <v>976</v>
      </c>
      <c r="I981" s="1">
        <v>265</v>
      </c>
      <c r="J981" s="20">
        <v>3</v>
      </c>
      <c r="K981" s="1">
        <v>58.57</v>
      </c>
      <c r="L981" s="1">
        <v>175.71</v>
      </c>
      <c r="M981" s="43" t="s">
        <v>2843</v>
      </c>
      <c r="P981" t="s">
        <v>22</v>
      </c>
      <c r="Q981" t="s">
        <v>313</v>
      </c>
    </row>
    <row r="982" spans="1:17" ht="15" customHeight="1" x14ac:dyDescent="0.25">
      <c r="A982" s="3" t="s">
        <v>1548</v>
      </c>
      <c r="B982" s="4" t="s">
        <v>2849</v>
      </c>
      <c r="C982" t="s">
        <v>1415</v>
      </c>
      <c r="D982">
        <v>1</v>
      </c>
      <c r="E982" t="s">
        <v>974</v>
      </c>
      <c r="F982" t="s">
        <v>975</v>
      </c>
      <c r="G982" t="s">
        <v>180</v>
      </c>
      <c r="H982" s="1" t="s">
        <v>976</v>
      </c>
      <c r="I982" s="1">
        <v>335</v>
      </c>
      <c r="J982" s="20">
        <v>0</v>
      </c>
      <c r="K982" s="1">
        <v>58.57</v>
      </c>
      <c r="L982" s="1">
        <v>0</v>
      </c>
      <c r="M982" s="43" t="s">
        <v>2843</v>
      </c>
      <c r="O982" s="2" t="s">
        <v>2472</v>
      </c>
      <c r="P982" t="s">
        <v>24</v>
      </c>
      <c r="Q982" t="s">
        <v>858</v>
      </c>
    </row>
    <row r="983" spans="1:17" ht="15" customHeight="1" x14ac:dyDescent="0.25">
      <c r="A983" s="3" t="s">
        <v>1549</v>
      </c>
      <c r="B983" s="4" t="s">
        <v>2849</v>
      </c>
      <c r="C983" t="s">
        <v>1415</v>
      </c>
      <c r="D983">
        <v>1</v>
      </c>
      <c r="E983" t="s">
        <v>974</v>
      </c>
      <c r="F983" t="s">
        <v>975</v>
      </c>
      <c r="G983" t="s">
        <v>180</v>
      </c>
      <c r="H983" s="1" t="s">
        <v>976</v>
      </c>
      <c r="I983" s="1">
        <v>335</v>
      </c>
      <c r="J983" s="20">
        <v>0</v>
      </c>
      <c r="K983" s="1">
        <v>58.57</v>
      </c>
      <c r="L983" s="1">
        <v>0</v>
      </c>
      <c r="M983" s="43" t="s">
        <v>2843</v>
      </c>
      <c r="O983" s="2" t="s">
        <v>2472</v>
      </c>
      <c r="P983" t="s">
        <v>25</v>
      </c>
      <c r="Q983" t="s">
        <v>858</v>
      </c>
    </row>
    <row r="984" spans="1:17" ht="15" customHeight="1" x14ac:dyDescent="0.25">
      <c r="A984" s="3" t="s">
        <v>1550</v>
      </c>
      <c r="B984" s="4" t="s">
        <v>2849</v>
      </c>
      <c r="C984" t="s">
        <v>1415</v>
      </c>
      <c r="D984">
        <v>1</v>
      </c>
      <c r="E984" t="s">
        <v>974</v>
      </c>
      <c r="F984" t="s">
        <v>975</v>
      </c>
      <c r="G984" t="s">
        <v>180</v>
      </c>
      <c r="H984" s="1" t="s">
        <v>976</v>
      </c>
      <c r="I984" s="1">
        <v>330</v>
      </c>
      <c r="J984" s="20">
        <v>0</v>
      </c>
      <c r="K984" s="1">
        <v>58.57</v>
      </c>
      <c r="L984" s="1">
        <v>0</v>
      </c>
      <c r="M984" s="43" t="s">
        <v>2843</v>
      </c>
      <c r="O984" s="2" t="s">
        <v>2472</v>
      </c>
      <c r="P984" t="s">
        <v>23</v>
      </c>
      <c r="Q984" t="s">
        <v>858</v>
      </c>
    </row>
    <row r="985" spans="1:17" ht="15" customHeight="1" x14ac:dyDescent="0.25">
      <c r="A985" s="3" t="s">
        <v>1551</v>
      </c>
      <c r="B985" s="4" t="s">
        <v>2849</v>
      </c>
      <c r="C985" t="s">
        <v>1415</v>
      </c>
      <c r="D985">
        <v>1</v>
      </c>
      <c r="E985" t="s">
        <v>974</v>
      </c>
      <c r="F985" t="s">
        <v>975</v>
      </c>
      <c r="G985" t="s">
        <v>180</v>
      </c>
      <c r="H985" s="1" t="s">
        <v>976</v>
      </c>
      <c r="I985" s="1">
        <v>335</v>
      </c>
      <c r="J985" s="20">
        <v>0</v>
      </c>
      <c r="K985" s="1">
        <v>58.57</v>
      </c>
      <c r="L985" s="1">
        <v>0</v>
      </c>
      <c r="M985" s="43" t="s">
        <v>2843</v>
      </c>
      <c r="O985" s="2" t="s">
        <v>2472</v>
      </c>
      <c r="P985" t="s">
        <v>22</v>
      </c>
      <c r="Q985" t="s">
        <v>858</v>
      </c>
    </row>
    <row r="986" spans="1:17" ht="15" customHeight="1" x14ac:dyDescent="0.25">
      <c r="A986" s="3" t="s">
        <v>2151</v>
      </c>
      <c r="B986" s="4" t="s">
        <v>2849</v>
      </c>
      <c r="C986" t="s">
        <v>1415</v>
      </c>
      <c r="D986">
        <v>1</v>
      </c>
      <c r="E986" t="s">
        <v>974</v>
      </c>
      <c r="F986" t="s">
        <v>975</v>
      </c>
      <c r="G986" t="s">
        <v>180</v>
      </c>
      <c r="H986" s="1" t="s">
        <v>976</v>
      </c>
      <c r="I986" s="1">
        <v>335</v>
      </c>
      <c r="J986" s="20">
        <v>0</v>
      </c>
      <c r="K986" s="1">
        <v>58.57</v>
      </c>
      <c r="L986" s="1">
        <v>0</v>
      </c>
      <c r="M986" s="43" t="s">
        <v>2843</v>
      </c>
      <c r="O986" s="2" t="s">
        <v>2482</v>
      </c>
      <c r="P986" t="s">
        <v>24</v>
      </c>
      <c r="Q986" t="s">
        <v>859</v>
      </c>
    </row>
    <row r="987" spans="1:17" ht="15" customHeight="1" x14ac:dyDescent="0.25">
      <c r="A987" s="3" t="s">
        <v>2152</v>
      </c>
      <c r="B987" s="4" t="s">
        <v>2849</v>
      </c>
      <c r="C987" t="s">
        <v>1415</v>
      </c>
      <c r="D987">
        <v>1</v>
      </c>
      <c r="E987" t="s">
        <v>974</v>
      </c>
      <c r="F987" t="s">
        <v>975</v>
      </c>
      <c r="G987" t="s">
        <v>180</v>
      </c>
      <c r="H987" s="1" t="s">
        <v>976</v>
      </c>
      <c r="I987" s="1">
        <v>335</v>
      </c>
      <c r="J987" s="20">
        <v>0</v>
      </c>
      <c r="K987" s="1">
        <v>58.57</v>
      </c>
      <c r="L987" s="1">
        <v>0</v>
      </c>
      <c r="M987" s="43" t="s">
        <v>2843</v>
      </c>
      <c r="O987" s="2" t="s">
        <v>2482</v>
      </c>
      <c r="P987" t="s">
        <v>25</v>
      </c>
      <c r="Q987" t="s">
        <v>859</v>
      </c>
    </row>
    <row r="988" spans="1:17" ht="15" customHeight="1" x14ac:dyDescent="0.25">
      <c r="A988" s="3" t="s">
        <v>2153</v>
      </c>
      <c r="B988" s="4" t="s">
        <v>2849</v>
      </c>
      <c r="C988" t="s">
        <v>1415</v>
      </c>
      <c r="D988">
        <v>1</v>
      </c>
      <c r="E988" t="s">
        <v>974</v>
      </c>
      <c r="F988" t="s">
        <v>975</v>
      </c>
      <c r="G988" t="s">
        <v>180</v>
      </c>
      <c r="H988" s="1" t="s">
        <v>976</v>
      </c>
      <c r="I988" s="1">
        <v>335</v>
      </c>
      <c r="J988" s="20">
        <v>0</v>
      </c>
      <c r="K988" s="1">
        <v>58.57</v>
      </c>
      <c r="L988" s="1">
        <v>0</v>
      </c>
      <c r="M988" s="43" t="s">
        <v>2843</v>
      </c>
      <c r="O988" s="2" t="s">
        <v>2482</v>
      </c>
      <c r="P988" t="s">
        <v>23</v>
      </c>
      <c r="Q988" t="s">
        <v>859</v>
      </c>
    </row>
    <row r="989" spans="1:17" ht="15" customHeight="1" x14ac:dyDescent="0.25">
      <c r="A989" s="3" t="s">
        <v>1552</v>
      </c>
      <c r="B989" s="4" t="s">
        <v>2849</v>
      </c>
      <c r="C989" t="s">
        <v>1415</v>
      </c>
      <c r="D989">
        <v>1</v>
      </c>
      <c r="E989" t="s">
        <v>974</v>
      </c>
      <c r="F989" t="s">
        <v>975</v>
      </c>
      <c r="G989" t="s">
        <v>180</v>
      </c>
      <c r="H989" s="1" t="s">
        <v>976</v>
      </c>
      <c r="I989" s="1">
        <v>335</v>
      </c>
      <c r="J989" s="20">
        <v>0</v>
      </c>
      <c r="K989" s="1">
        <v>58.57</v>
      </c>
      <c r="L989" s="1">
        <v>0</v>
      </c>
      <c r="M989" s="43" t="s">
        <v>2843</v>
      </c>
      <c r="O989" s="2" t="s">
        <v>2482</v>
      </c>
      <c r="P989" t="s">
        <v>22</v>
      </c>
      <c r="Q989" t="s">
        <v>859</v>
      </c>
    </row>
    <row r="990" spans="1:17" ht="15" customHeight="1" x14ac:dyDescent="0.25">
      <c r="A990" s="3" t="s">
        <v>2391</v>
      </c>
      <c r="B990" s="4" t="s">
        <v>2861</v>
      </c>
      <c r="C990" t="s">
        <v>1415</v>
      </c>
      <c r="D990">
        <v>1</v>
      </c>
      <c r="E990" t="s">
        <v>974</v>
      </c>
      <c r="F990" t="s">
        <v>975</v>
      </c>
      <c r="G990" t="s">
        <v>976</v>
      </c>
      <c r="H990" s="1" t="s">
        <v>976</v>
      </c>
      <c r="I990" s="1">
        <v>970</v>
      </c>
      <c r="J990" s="20">
        <v>0</v>
      </c>
      <c r="K990" s="1">
        <v>0</v>
      </c>
      <c r="L990" s="1">
        <v>0</v>
      </c>
      <c r="M990" s="43" t="s">
        <v>2843</v>
      </c>
      <c r="O990" s="2" t="s">
        <v>2443</v>
      </c>
      <c r="P990" t="s">
        <v>24</v>
      </c>
      <c r="Q990" t="s">
        <v>860</v>
      </c>
    </row>
    <row r="991" spans="1:17" ht="15" customHeight="1" x14ac:dyDescent="0.25">
      <c r="A991" s="3" t="s">
        <v>2392</v>
      </c>
      <c r="B991" s="4" t="s">
        <v>2861</v>
      </c>
      <c r="C991" t="s">
        <v>1415</v>
      </c>
      <c r="D991">
        <v>1</v>
      </c>
      <c r="E991" t="s">
        <v>974</v>
      </c>
      <c r="F991" t="s">
        <v>975</v>
      </c>
      <c r="G991" t="s">
        <v>976</v>
      </c>
      <c r="H991" s="1" t="s">
        <v>976</v>
      </c>
      <c r="I991" s="1">
        <v>970</v>
      </c>
      <c r="J991" s="20">
        <v>1</v>
      </c>
      <c r="K991" s="1">
        <v>0</v>
      </c>
      <c r="L991" s="1">
        <v>0</v>
      </c>
      <c r="M991" s="43" t="s">
        <v>2843</v>
      </c>
      <c r="O991" s="2" t="s">
        <v>2443</v>
      </c>
      <c r="P991" t="s">
        <v>25</v>
      </c>
      <c r="Q991" t="s">
        <v>860</v>
      </c>
    </row>
    <row r="992" spans="1:17" ht="15" customHeight="1" x14ac:dyDescent="0.25">
      <c r="A992" s="3" t="s">
        <v>2393</v>
      </c>
      <c r="B992" s="4" t="s">
        <v>2861</v>
      </c>
      <c r="C992" t="s">
        <v>1415</v>
      </c>
      <c r="D992">
        <v>1</v>
      </c>
      <c r="E992" t="s">
        <v>974</v>
      </c>
      <c r="F992" t="s">
        <v>975</v>
      </c>
      <c r="G992" t="s">
        <v>976</v>
      </c>
      <c r="H992" s="1" t="s">
        <v>976</v>
      </c>
      <c r="I992" s="1">
        <v>970</v>
      </c>
      <c r="J992" s="20">
        <v>1</v>
      </c>
      <c r="K992" s="1">
        <v>0</v>
      </c>
      <c r="L992" s="1">
        <v>0</v>
      </c>
      <c r="M992" s="43" t="s">
        <v>2843</v>
      </c>
      <c r="O992" s="2" t="s">
        <v>2443</v>
      </c>
      <c r="P992" t="s">
        <v>23</v>
      </c>
      <c r="Q992" t="s">
        <v>860</v>
      </c>
    </row>
    <row r="993" spans="1:17" ht="15" customHeight="1" x14ac:dyDescent="0.25">
      <c r="A993" s="3" t="s">
        <v>2394</v>
      </c>
      <c r="B993" s="4" t="s">
        <v>2861</v>
      </c>
      <c r="C993" t="s">
        <v>1415</v>
      </c>
      <c r="D993">
        <v>1</v>
      </c>
      <c r="E993" t="s">
        <v>974</v>
      </c>
      <c r="F993" t="s">
        <v>975</v>
      </c>
      <c r="G993" t="s">
        <v>976</v>
      </c>
      <c r="H993" s="1" t="s">
        <v>976</v>
      </c>
      <c r="I993" s="1">
        <v>970</v>
      </c>
      <c r="J993" s="20">
        <v>0</v>
      </c>
      <c r="K993" s="1">
        <v>0</v>
      </c>
      <c r="L993" s="1">
        <v>0</v>
      </c>
      <c r="M993" s="43" t="s">
        <v>2843</v>
      </c>
      <c r="O993" s="2" t="s">
        <v>2443</v>
      </c>
      <c r="P993" t="s">
        <v>22</v>
      </c>
      <c r="Q993" t="s">
        <v>860</v>
      </c>
    </row>
    <row r="994" spans="1:17" ht="15" customHeight="1" x14ac:dyDescent="0.25">
      <c r="A994" s="3" t="s">
        <v>2395</v>
      </c>
      <c r="B994" s="4" t="s">
        <v>2862</v>
      </c>
      <c r="C994" t="s">
        <v>1415</v>
      </c>
      <c r="D994">
        <v>1</v>
      </c>
      <c r="E994" t="s">
        <v>974</v>
      </c>
      <c r="F994" t="s">
        <v>975</v>
      </c>
      <c r="G994" t="s">
        <v>976</v>
      </c>
      <c r="H994" s="1" t="s">
        <v>976</v>
      </c>
      <c r="I994" s="1">
        <v>790</v>
      </c>
      <c r="J994" s="20">
        <v>3</v>
      </c>
      <c r="K994" s="1">
        <v>152</v>
      </c>
      <c r="L994" s="1">
        <v>456</v>
      </c>
      <c r="M994" s="43" t="s">
        <v>2843</v>
      </c>
      <c r="O994" s="2" t="s">
        <v>2443</v>
      </c>
      <c r="P994" t="s">
        <v>24</v>
      </c>
      <c r="Q994" t="s">
        <v>861</v>
      </c>
    </row>
    <row r="995" spans="1:17" ht="15" customHeight="1" x14ac:dyDescent="0.25">
      <c r="A995" s="3" t="s">
        <v>2396</v>
      </c>
      <c r="B995" s="4" t="s">
        <v>2862</v>
      </c>
      <c r="C995" t="s">
        <v>1415</v>
      </c>
      <c r="D995">
        <v>1</v>
      </c>
      <c r="E995" t="s">
        <v>974</v>
      </c>
      <c r="F995" t="s">
        <v>975</v>
      </c>
      <c r="G995" t="s">
        <v>976</v>
      </c>
      <c r="H995" s="1" t="s">
        <v>976</v>
      </c>
      <c r="I995" s="1">
        <v>790</v>
      </c>
      <c r="J995" s="20">
        <v>2</v>
      </c>
      <c r="K995" s="1">
        <v>152</v>
      </c>
      <c r="L995" s="1">
        <v>304</v>
      </c>
      <c r="M995" s="43" t="s">
        <v>2843</v>
      </c>
      <c r="O995" s="2" t="s">
        <v>2443</v>
      </c>
      <c r="P995" t="s">
        <v>25</v>
      </c>
      <c r="Q995" t="s">
        <v>861</v>
      </c>
    </row>
    <row r="996" spans="1:17" ht="15" customHeight="1" x14ac:dyDescent="0.25">
      <c r="A996" s="3" t="s">
        <v>2397</v>
      </c>
      <c r="B996" s="4" t="s">
        <v>2862</v>
      </c>
      <c r="C996" t="s">
        <v>1415</v>
      </c>
      <c r="D996">
        <v>1</v>
      </c>
      <c r="E996" t="s">
        <v>974</v>
      </c>
      <c r="F996" t="s">
        <v>975</v>
      </c>
      <c r="G996" t="s">
        <v>976</v>
      </c>
      <c r="H996" s="1" t="s">
        <v>976</v>
      </c>
      <c r="I996" s="1">
        <v>790</v>
      </c>
      <c r="J996" s="20">
        <v>9</v>
      </c>
      <c r="K996" s="1">
        <v>145.09090900000001</v>
      </c>
      <c r="L996" s="1">
        <v>1305.82</v>
      </c>
      <c r="M996" s="43" t="s">
        <v>2843</v>
      </c>
      <c r="O996" s="2" t="s">
        <v>2443</v>
      </c>
      <c r="P996" t="s">
        <v>23</v>
      </c>
      <c r="Q996" t="s">
        <v>861</v>
      </c>
    </row>
    <row r="997" spans="1:17" ht="15" customHeight="1" x14ac:dyDescent="0.25">
      <c r="A997" s="3" t="s">
        <v>2398</v>
      </c>
      <c r="B997" s="4" t="s">
        <v>2862</v>
      </c>
      <c r="C997" t="s">
        <v>1415</v>
      </c>
      <c r="D997">
        <v>1</v>
      </c>
      <c r="E997" t="s">
        <v>974</v>
      </c>
      <c r="F997" t="s">
        <v>975</v>
      </c>
      <c r="G997" t="s">
        <v>976</v>
      </c>
      <c r="H997" s="1" t="s">
        <v>976</v>
      </c>
      <c r="I997" s="1">
        <v>790</v>
      </c>
      <c r="J997" s="20">
        <v>0</v>
      </c>
      <c r="K997" s="1">
        <v>152</v>
      </c>
      <c r="L997" s="1">
        <v>0</v>
      </c>
      <c r="M997" s="43" t="s">
        <v>2843</v>
      </c>
      <c r="O997" s="2" t="s">
        <v>2443</v>
      </c>
      <c r="P997" t="s">
        <v>22</v>
      </c>
      <c r="Q997" t="s">
        <v>861</v>
      </c>
    </row>
    <row r="998" spans="1:17" ht="15" customHeight="1" x14ac:dyDescent="0.25">
      <c r="A998" s="3" t="s">
        <v>2399</v>
      </c>
      <c r="B998" s="4" t="s">
        <v>2862</v>
      </c>
      <c r="C998" t="s">
        <v>1415</v>
      </c>
      <c r="D998">
        <v>1</v>
      </c>
      <c r="E998" t="s">
        <v>974</v>
      </c>
      <c r="F998" t="s">
        <v>975</v>
      </c>
      <c r="G998" t="s">
        <v>976</v>
      </c>
      <c r="H998" s="1" t="s">
        <v>976</v>
      </c>
      <c r="I998" s="1">
        <v>0</v>
      </c>
      <c r="J998" s="20">
        <v>0</v>
      </c>
      <c r="K998" s="1">
        <v>0</v>
      </c>
      <c r="L998" s="1">
        <v>0</v>
      </c>
      <c r="M998" s="43" t="s">
        <v>2843</v>
      </c>
      <c r="N998" s="1" t="s">
        <v>2616</v>
      </c>
      <c r="O998" s="2" t="s">
        <v>2443</v>
      </c>
      <c r="Q998" t="s">
        <v>861</v>
      </c>
    </row>
    <row r="999" spans="1:17" ht="15" customHeight="1" x14ac:dyDescent="0.25">
      <c r="A999" s="3" t="s">
        <v>2400</v>
      </c>
      <c r="B999" s="4" t="s">
        <v>2862</v>
      </c>
      <c r="C999" t="s">
        <v>1415</v>
      </c>
      <c r="D999">
        <v>1</v>
      </c>
      <c r="E999" t="s">
        <v>974</v>
      </c>
      <c r="F999" t="s">
        <v>975</v>
      </c>
      <c r="G999" t="s">
        <v>976</v>
      </c>
      <c r="H999" s="1" t="s">
        <v>976</v>
      </c>
      <c r="I999" s="1">
        <v>790</v>
      </c>
      <c r="J999" s="20">
        <v>0</v>
      </c>
      <c r="K999" s="1">
        <v>152</v>
      </c>
      <c r="L999" s="1">
        <v>0</v>
      </c>
      <c r="M999" s="43" t="s">
        <v>2843</v>
      </c>
      <c r="O999" s="2" t="s">
        <v>2443</v>
      </c>
      <c r="P999" t="s">
        <v>21</v>
      </c>
      <c r="Q999" t="s">
        <v>861</v>
      </c>
    </row>
    <row r="1000" spans="1:17" ht="15" customHeight="1" x14ac:dyDescent="0.25">
      <c r="A1000" s="3" t="s">
        <v>2401</v>
      </c>
      <c r="B1000" s="4" t="s">
        <v>589</v>
      </c>
      <c r="C1000" t="s">
        <v>1415</v>
      </c>
      <c r="D1000">
        <v>1</v>
      </c>
      <c r="E1000" t="s">
        <v>974</v>
      </c>
      <c r="F1000" t="s">
        <v>975</v>
      </c>
      <c r="G1000" t="s">
        <v>976</v>
      </c>
      <c r="H1000" s="1" t="s">
        <v>976</v>
      </c>
      <c r="I1000" s="1">
        <v>790</v>
      </c>
      <c r="J1000" s="20">
        <v>7</v>
      </c>
      <c r="K1000" s="1">
        <v>152</v>
      </c>
      <c r="L1000" s="1">
        <v>1064</v>
      </c>
      <c r="M1000" s="43" t="s">
        <v>2843</v>
      </c>
      <c r="P1000" t="s">
        <v>24</v>
      </c>
      <c r="Q1000" t="s">
        <v>589</v>
      </c>
    </row>
    <row r="1001" spans="1:17" ht="15" customHeight="1" x14ac:dyDescent="0.25">
      <c r="A1001" s="3" t="s">
        <v>2402</v>
      </c>
      <c r="B1001" s="4" t="s">
        <v>590</v>
      </c>
      <c r="C1001" t="s">
        <v>1415</v>
      </c>
      <c r="D1001">
        <v>1</v>
      </c>
      <c r="E1001" t="s">
        <v>974</v>
      </c>
      <c r="F1001" t="s">
        <v>975</v>
      </c>
      <c r="G1001" t="s">
        <v>976</v>
      </c>
      <c r="H1001" s="1" t="s">
        <v>976</v>
      </c>
      <c r="I1001" s="1">
        <v>790</v>
      </c>
      <c r="J1001" s="20">
        <v>2</v>
      </c>
      <c r="K1001" s="1">
        <v>152</v>
      </c>
      <c r="L1001" s="1">
        <v>304</v>
      </c>
      <c r="M1001" s="43" t="s">
        <v>2843</v>
      </c>
      <c r="P1001" t="s">
        <v>25</v>
      </c>
      <c r="Q1001" t="s">
        <v>590</v>
      </c>
    </row>
    <row r="1002" spans="1:17" ht="15" customHeight="1" x14ac:dyDescent="0.25">
      <c r="A1002" s="3" t="s">
        <v>2403</v>
      </c>
      <c r="B1002" s="4" t="s">
        <v>591</v>
      </c>
      <c r="C1002" t="s">
        <v>1415</v>
      </c>
      <c r="D1002">
        <v>1</v>
      </c>
      <c r="E1002" t="s">
        <v>974</v>
      </c>
      <c r="F1002" t="s">
        <v>975</v>
      </c>
      <c r="G1002" t="s">
        <v>976</v>
      </c>
      <c r="H1002" s="1" t="s">
        <v>976</v>
      </c>
      <c r="I1002" s="1">
        <v>790</v>
      </c>
      <c r="J1002" s="20">
        <v>13</v>
      </c>
      <c r="K1002" s="1">
        <v>145.09090900000001</v>
      </c>
      <c r="L1002" s="1">
        <v>1886.18</v>
      </c>
      <c r="M1002" s="43" t="s">
        <v>2843</v>
      </c>
      <c r="P1002" t="s">
        <v>23</v>
      </c>
      <c r="Q1002" t="s">
        <v>591</v>
      </c>
    </row>
    <row r="1003" spans="1:17" ht="15" customHeight="1" x14ac:dyDescent="0.25">
      <c r="A1003" s="42" t="s">
        <v>2403</v>
      </c>
      <c r="B1003" s="3" t="s">
        <v>591</v>
      </c>
      <c r="C1003" s="42" t="s">
        <v>1415</v>
      </c>
      <c r="D1003">
        <v>2</v>
      </c>
      <c r="E1003" t="s">
        <v>1017</v>
      </c>
      <c r="F1003" t="s">
        <v>975</v>
      </c>
      <c r="G1003" t="s">
        <v>976</v>
      </c>
      <c r="H1003" s="1" t="s">
        <v>976</v>
      </c>
      <c r="I1003" s="1">
        <v>790</v>
      </c>
      <c r="J1003" s="20">
        <v>0</v>
      </c>
      <c r="K1003" s="1">
        <v>0</v>
      </c>
      <c r="L1003" s="1">
        <v>0</v>
      </c>
      <c r="M1003" s="43" t="s">
        <v>2843</v>
      </c>
      <c r="P1003" t="s">
        <v>23</v>
      </c>
      <c r="Q1003" t="s">
        <v>591</v>
      </c>
    </row>
    <row r="1004" spans="1:17" ht="15" customHeight="1" x14ac:dyDescent="0.25">
      <c r="A1004" s="3" t="s">
        <v>2404</v>
      </c>
      <c r="B1004" s="4" t="s">
        <v>592</v>
      </c>
      <c r="C1004" t="s">
        <v>1415</v>
      </c>
      <c r="D1004">
        <v>1</v>
      </c>
      <c r="E1004" t="s">
        <v>974</v>
      </c>
      <c r="F1004" t="s">
        <v>975</v>
      </c>
      <c r="G1004" t="s">
        <v>976</v>
      </c>
      <c r="H1004" s="1" t="s">
        <v>976</v>
      </c>
      <c r="I1004" s="1">
        <v>790</v>
      </c>
      <c r="J1004" s="20">
        <v>5</v>
      </c>
      <c r="K1004" s="1">
        <v>152</v>
      </c>
      <c r="L1004" s="1">
        <v>760</v>
      </c>
      <c r="M1004" s="43" t="s">
        <v>2843</v>
      </c>
      <c r="P1004" t="s">
        <v>22</v>
      </c>
      <c r="Q1004" t="s">
        <v>592</v>
      </c>
    </row>
    <row r="1005" spans="1:17" ht="15" customHeight="1" x14ac:dyDescent="0.25">
      <c r="A1005" s="3" t="s">
        <v>2405</v>
      </c>
      <c r="B1005" s="4" t="s">
        <v>593</v>
      </c>
      <c r="C1005" t="s">
        <v>1415</v>
      </c>
      <c r="D1005">
        <v>1</v>
      </c>
      <c r="E1005" t="s">
        <v>974</v>
      </c>
      <c r="F1005" t="s">
        <v>975</v>
      </c>
      <c r="G1005" t="s">
        <v>976</v>
      </c>
      <c r="H1005" s="1" t="s">
        <v>976</v>
      </c>
      <c r="I1005" s="1">
        <v>790</v>
      </c>
      <c r="J1005" s="20">
        <v>1</v>
      </c>
      <c r="K1005" s="1">
        <v>152</v>
      </c>
      <c r="L1005" s="1">
        <v>152</v>
      </c>
      <c r="M1005" s="43" t="s">
        <v>2843</v>
      </c>
      <c r="P1005" t="s">
        <v>21</v>
      </c>
      <c r="Q1005" t="s">
        <v>593</v>
      </c>
    </row>
    <row r="1006" spans="1:17" ht="15" customHeight="1" x14ac:dyDescent="0.25">
      <c r="A1006" s="3" t="s">
        <v>2406</v>
      </c>
      <c r="B1006" s="4" t="s">
        <v>2862</v>
      </c>
      <c r="C1006" t="s">
        <v>1415</v>
      </c>
      <c r="D1006">
        <v>1</v>
      </c>
      <c r="E1006" t="s">
        <v>974</v>
      </c>
      <c r="F1006" t="s">
        <v>975</v>
      </c>
      <c r="G1006" t="s">
        <v>976</v>
      </c>
      <c r="H1006" s="1" t="s">
        <v>976</v>
      </c>
      <c r="I1006" s="1">
        <v>790</v>
      </c>
      <c r="J1006" s="20">
        <v>11</v>
      </c>
      <c r="K1006" s="1">
        <v>152</v>
      </c>
      <c r="L1006" s="1">
        <v>1672</v>
      </c>
      <c r="M1006" s="43" t="s">
        <v>2843</v>
      </c>
      <c r="O1006" s="2" t="s">
        <v>2482</v>
      </c>
      <c r="P1006" t="s">
        <v>24</v>
      </c>
      <c r="Q1006" t="s">
        <v>862</v>
      </c>
    </row>
    <row r="1007" spans="1:17" ht="15" customHeight="1" x14ac:dyDescent="0.25">
      <c r="A1007" s="3" t="s">
        <v>2407</v>
      </c>
      <c r="B1007" s="4" t="s">
        <v>2862</v>
      </c>
      <c r="C1007" t="s">
        <v>1415</v>
      </c>
      <c r="D1007">
        <v>1</v>
      </c>
      <c r="E1007" t="s">
        <v>974</v>
      </c>
      <c r="F1007" t="s">
        <v>975</v>
      </c>
      <c r="G1007" t="s">
        <v>976</v>
      </c>
      <c r="H1007" s="1" t="s">
        <v>976</v>
      </c>
      <c r="I1007" s="1">
        <v>790</v>
      </c>
      <c r="J1007" s="20">
        <v>7</v>
      </c>
      <c r="K1007" s="1">
        <v>152</v>
      </c>
      <c r="L1007" s="1">
        <v>1064</v>
      </c>
      <c r="M1007" s="43" t="s">
        <v>2843</v>
      </c>
      <c r="O1007" s="2" t="s">
        <v>2482</v>
      </c>
      <c r="P1007" t="s">
        <v>25</v>
      </c>
      <c r="Q1007" t="s">
        <v>862</v>
      </c>
    </row>
    <row r="1008" spans="1:17" ht="15" customHeight="1" x14ac:dyDescent="0.25">
      <c r="A1008" s="3" t="s">
        <v>2408</v>
      </c>
      <c r="B1008" s="4" t="s">
        <v>2862</v>
      </c>
      <c r="C1008" t="s">
        <v>1415</v>
      </c>
      <c r="D1008">
        <v>1</v>
      </c>
      <c r="E1008" t="s">
        <v>974</v>
      </c>
      <c r="F1008" t="s">
        <v>975</v>
      </c>
      <c r="G1008" t="s">
        <v>976</v>
      </c>
      <c r="H1008" s="1" t="s">
        <v>976</v>
      </c>
      <c r="I1008" s="1">
        <v>790</v>
      </c>
      <c r="J1008" s="20">
        <v>16</v>
      </c>
      <c r="K1008" s="1">
        <v>152</v>
      </c>
      <c r="L1008" s="1">
        <v>2432</v>
      </c>
      <c r="M1008" s="43" t="s">
        <v>2843</v>
      </c>
      <c r="O1008" s="2" t="s">
        <v>2482</v>
      </c>
      <c r="P1008" t="s">
        <v>23</v>
      </c>
      <c r="Q1008" t="s">
        <v>862</v>
      </c>
    </row>
    <row r="1009" spans="1:17" ht="15" customHeight="1" x14ac:dyDescent="0.25">
      <c r="A1009" s="3" t="s">
        <v>2409</v>
      </c>
      <c r="B1009" s="4" t="s">
        <v>2862</v>
      </c>
      <c r="C1009" t="s">
        <v>1415</v>
      </c>
      <c r="D1009">
        <v>1</v>
      </c>
      <c r="E1009" t="s">
        <v>974</v>
      </c>
      <c r="F1009" t="s">
        <v>975</v>
      </c>
      <c r="G1009" t="s">
        <v>976</v>
      </c>
      <c r="H1009" s="1" t="s">
        <v>976</v>
      </c>
      <c r="I1009" s="1">
        <v>790</v>
      </c>
      <c r="J1009" s="20">
        <v>11</v>
      </c>
      <c r="K1009" s="1">
        <v>210</v>
      </c>
      <c r="L1009" s="1">
        <v>2310</v>
      </c>
      <c r="M1009" s="43" t="s">
        <v>2843</v>
      </c>
      <c r="O1009" s="2" t="s">
        <v>2482</v>
      </c>
      <c r="P1009" t="s">
        <v>22</v>
      </c>
      <c r="Q1009" t="s">
        <v>862</v>
      </c>
    </row>
    <row r="1010" spans="1:17" ht="15" customHeight="1" x14ac:dyDescent="0.25">
      <c r="A1010" s="42" t="s">
        <v>2409</v>
      </c>
      <c r="B1010" s="3" t="s">
        <v>2862</v>
      </c>
      <c r="C1010" s="42" t="s">
        <v>1415</v>
      </c>
      <c r="D1010">
        <v>4</v>
      </c>
      <c r="E1010" t="s">
        <v>1018</v>
      </c>
      <c r="F1010" t="s">
        <v>975</v>
      </c>
      <c r="G1010" t="s">
        <v>976</v>
      </c>
      <c r="H1010" s="1" t="s">
        <v>976</v>
      </c>
      <c r="I1010" s="1">
        <v>790</v>
      </c>
      <c r="J1010" s="20">
        <v>0</v>
      </c>
      <c r="K1010" s="1">
        <v>790</v>
      </c>
      <c r="L1010" s="1">
        <v>0</v>
      </c>
      <c r="M1010" s="43" t="s">
        <v>2843</v>
      </c>
      <c r="O1010" s="2" t="s">
        <v>2482</v>
      </c>
      <c r="P1010" t="s">
        <v>22</v>
      </c>
      <c r="Q1010" t="s">
        <v>862</v>
      </c>
    </row>
    <row r="1011" spans="1:17" ht="15" customHeight="1" x14ac:dyDescent="0.25">
      <c r="A1011" s="3" t="s">
        <v>2410</v>
      </c>
      <c r="B1011" s="4" t="s">
        <v>2862</v>
      </c>
      <c r="C1011" t="s">
        <v>1415</v>
      </c>
      <c r="D1011">
        <v>1</v>
      </c>
      <c r="E1011" t="s">
        <v>974</v>
      </c>
      <c r="F1011" t="s">
        <v>975</v>
      </c>
      <c r="G1011" t="s">
        <v>976</v>
      </c>
      <c r="H1011" s="1" t="s">
        <v>976</v>
      </c>
      <c r="I1011" s="1">
        <v>790</v>
      </c>
      <c r="J1011" s="20">
        <v>7</v>
      </c>
      <c r="K1011" s="1">
        <v>154</v>
      </c>
      <c r="L1011" s="1">
        <v>1078</v>
      </c>
      <c r="M1011" s="43" t="s">
        <v>2843</v>
      </c>
      <c r="O1011" s="2" t="s">
        <v>2482</v>
      </c>
      <c r="P1011" t="s">
        <v>21</v>
      </c>
      <c r="Q1011" t="s">
        <v>862</v>
      </c>
    </row>
    <row r="1012" spans="1:17" ht="15" customHeight="1" x14ac:dyDescent="0.25">
      <c r="A1012" s="3" t="s">
        <v>1553</v>
      </c>
      <c r="B1012" s="4" t="s">
        <v>2863</v>
      </c>
      <c r="C1012" t="s">
        <v>1415</v>
      </c>
      <c r="D1012">
        <v>1</v>
      </c>
      <c r="E1012" t="s">
        <v>974</v>
      </c>
      <c r="F1012" t="s">
        <v>975</v>
      </c>
      <c r="G1012" t="s">
        <v>976</v>
      </c>
      <c r="H1012" s="1" t="s">
        <v>976</v>
      </c>
      <c r="I1012" s="1">
        <v>710</v>
      </c>
      <c r="J1012" s="20">
        <v>-1</v>
      </c>
      <c r="K1012" s="1">
        <v>0</v>
      </c>
      <c r="L1012" s="1">
        <v>0</v>
      </c>
      <c r="M1012" s="43" t="s">
        <v>2843</v>
      </c>
      <c r="N1012" s="1" t="s">
        <v>2616</v>
      </c>
      <c r="O1012" s="2" t="s">
        <v>2482</v>
      </c>
      <c r="Q1012" t="s">
        <v>863</v>
      </c>
    </row>
    <row r="1013" spans="1:17" ht="15" customHeight="1" x14ac:dyDescent="0.25">
      <c r="A1013" s="3" t="s">
        <v>1554</v>
      </c>
      <c r="B1013" s="4" t="s">
        <v>2864</v>
      </c>
      <c r="C1013" t="s">
        <v>1415</v>
      </c>
      <c r="D1013">
        <v>1</v>
      </c>
      <c r="E1013" t="s">
        <v>974</v>
      </c>
      <c r="F1013" t="s">
        <v>975</v>
      </c>
      <c r="G1013" t="s">
        <v>180</v>
      </c>
      <c r="H1013" s="1" t="s">
        <v>976</v>
      </c>
      <c r="I1013" s="1">
        <v>285</v>
      </c>
      <c r="J1013" s="20">
        <v>0</v>
      </c>
      <c r="K1013" s="1">
        <v>50.13</v>
      </c>
      <c r="L1013" s="1">
        <v>0</v>
      </c>
      <c r="M1013" s="43" t="s">
        <v>2843</v>
      </c>
      <c r="O1013" s="2" t="s">
        <v>2579</v>
      </c>
      <c r="P1013" t="s">
        <v>24</v>
      </c>
      <c r="Q1013" t="s">
        <v>864</v>
      </c>
    </row>
    <row r="1014" spans="1:17" ht="15" customHeight="1" x14ac:dyDescent="0.25">
      <c r="A1014" s="3" t="s">
        <v>1555</v>
      </c>
      <c r="B1014" s="4" t="s">
        <v>2864</v>
      </c>
      <c r="C1014" t="s">
        <v>1415</v>
      </c>
      <c r="D1014">
        <v>1</v>
      </c>
      <c r="E1014" t="s">
        <v>974</v>
      </c>
      <c r="F1014" t="s">
        <v>975</v>
      </c>
      <c r="G1014" t="s">
        <v>180</v>
      </c>
      <c r="H1014" s="1" t="s">
        <v>976</v>
      </c>
      <c r="I1014" s="1">
        <v>285</v>
      </c>
      <c r="J1014" s="20">
        <v>1</v>
      </c>
      <c r="K1014" s="1">
        <v>50.13</v>
      </c>
      <c r="L1014" s="1">
        <v>50.13</v>
      </c>
      <c r="M1014" s="43" t="s">
        <v>2843</v>
      </c>
      <c r="O1014" s="2" t="s">
        <v>2579</v>
      </c>
      <c r="P1014" t="s">
        <v>25</v>
      </c>
      <c r="Q1014" t="s">
        <v>864</v>
      </c>
    </row>
    <row r="1015" spans="1:17" ht="15" customHeight="1" x14ac:dyDescent="0.25">
      <c r="A1015" s="3" t="s">
        <v>1556</v>
      </c>
      <c r="B1015" s="4" t="s">
        <v>2864</v>
      </c>
      <c r="C1015" t="s">
        <v>1415</v>
      </c>
      <c r="D1015">
        <v>1</v>
      </c>
      <c r="E1015" t="s">
        <v>974</v>
      </c>
      <c r="F1015" t="s">
        <v>975</v>
      </c>
      <c r="G1015" t="s">
        <v>180</v>
      </c>
      <c r="H1015" s="1" t="s">
        <v>976</v>
      </c>
      <c r="I1015" s="1">
        <v>285</v>
      </c>
      <c r="J1015" s="20">
        <v>0</v>
      </c>
      <c r="K1015" s="1">
        <v>50.13</v>
      </c>
      <c r="L1015" s="1">
        <v>0</v>
      </c>
      <c r="M1015" s="43" t="s">
        <v>2843</v>
      </c>
      <c r="O1015" s="2" t="s">
        <v>2579</v>
      </c>
      <c r="P1015" t="s">
        <v>23</v>
      </c>
      <c r="Q1015" t="s">
        <v>864</v>
      </c>
    </row>
    <row r="1016" spans="1:17" ht="15" customHeight="1" x14ac:dyDescent="0.25">
      <c r="A1016" s="3" t="s">
        <v>1557</v>
      </c>
      <c r="B1016" s="4" t="s">
        <v>2864</v>
      </c>
      <c r="C1016" t="s">
        <v>1415</v>
      </c>
      <c r="D1016">
        <v>1</v>
      </c>
      <c r="E1016" t="s">
        <v>974</v>
      </c>
      <c r="F1016" t="s">
        <v>975</v>
      </c>
      <c r="G1016" t="s">
        <v>180</v>
      </c>
      <c r="H1016" s="1" t="s">
        <v>976</v>
      </c>
      <c r="I1016" s="1">
        <v>285</v>
      </c>
      <c r="J1016" s="20">
        <v>0</v>
      </c>
      <c r="K1016" s="1">
        <v>50.13</v>
      </c>
      <c r="L1016" s="1">
        <v>0</v>
      </c>
      <c r="M1016" s="43" t="s">
        <v>2843</v>
      </c>
      <c r="O1016" s="2" t="s">
        <v>2579</v>
      </c>
      <c r="P1016" t="s">
        <v>22</v>
      </c>
      <c r="Q1016" t="s">
        <v>864</v>
      </c>
    </row>
    <row r="1017" spans="1:17" ht="15" customHeight="1" x14ac:dyDescent="0.25">
      <c r="A1017" s="3" t="s">
        <v>1558</v>
      </c>
      <c r="B1017" s="4" t="s">
        <v>1415</v>
      </c>
      <c r="C1017" t="s">
        <v>1415</v>
      </c>
      <c r="D1017">
        <v>1</v>
      </c>
      <c r="E1017" t="s">
        <v>974</v>
      </c>
      <c r="F1017" t="s">
        <v>975</v>
      </c>
      <c r="G1017" t="s">
        <v>180</v>
      </c>
      <c r="H1017" s="1" t="s">
        <v>976</v>
      </c>
      <c r="I1017" s="1">
        <v>615</v>
      </c>
      <c r="J1017" s="20">
        <v>0</v>
      </c>
      <c r="K1017" s="1">
        <v>135.4</v>
      </c>
      <c r="L1017" s="1">
        <v>0</v>
      </c>
      <c r="M1017" s="43" t="s">
        <v>2843</v>
      </c>
      <c r="O1017" s="2" t="s">
        <v>2447</v>
      </c>
      <c r="P1017" t="s">
        <v>24</v>
      </c>
      <c r="Q1017" t="s">
        <v>865</v>
      </c>
    </row>
    <row r="1018" spans="1:17" ht="15" customHeight="1" x14ac:dyDescent="0.25">
      <c r="A1018" s="3" t="s">
        <v>1559</v>
      </c>
      <c r="B1018" s="4" t="s">
        <v>1415</v>
      </c>
      <c r="C1018" t="s">
        <v>1415</v>
      </c>
      <c r="D1018">
        <v>1</v>
      </c>
      <c r="E1018" t="s">
        <v>974</v>
      </c>
      <c r="F1018" t="s">
        <v>975</v>
      </c>
      <c r="G1018" t="s">
        <v>180</v>
      </c>
      <c r="H1018" s="1" t="s">
        <v>976</v>
      </c>
      <c r="I1018" s="1">
        <v>615</v>
      </c>
      <c r="J1018" s="20">
        <v>0</v>
      </c>
      <c r="K1018" s="1">
        <v>135.4</v>
      </c>
      <c r="L1018" s="1">
        <v>0</v>
      </c>
      <c r="M1018" s="43" t="s">
        <v>2843</v>
      </c>
      <c r="O1018" s="2" t="s">
        <v>2447</v>
      </c>
      <c r="P1018" t="s">
        <v>25</v>
      </c>
      <c r="Q1018" t="s">
        <v>865</v>
      </c>
    </row>
    <row r="1019" spans="1:17" ht="15" customHeight="1" x14ac:dyDescent="0.25">
      <c r="A1019" s="3" t="s">
        <v>1560</v>
      </c>
      <c r="B1019" s="4" t="s">
        <v>1415</v>
      </c>
      <c r="C1019" t="s">
        <v>1415</v>
      </c>
      <c r="D1019">
        <v>1</v>
      </c>
      <c r="E1019" t="s">
        <v>974</v>
      </c>
      <c r="F1019" t="s">
        <v>975</v>
      </c>
      <c r="G1019" t="s">
        <v>180</v>
      </c>
      <c r="H1019" s="1" t="s">
        <v>976</v>
      </c>
      <c r="I1019" s="1">
        <v>615</v>
      </c>
      <c r="J1019" s="20">
        <v>0</v>
      </c>
      <c r="K1019" s="1">
        <v>135.4</v>
      </c>
      <c r="L1019" s="1">
        <v>0</v>
      </c>
      <c r="M1019" s="43" t="s">
        <v>2843</v>
      </c>
      <c r="O1019" s="2" t="s">
        <v>2447</v>
      </c>
      <c r="P1019" t="s">
        <v>23</v>
      </c>
      <c r="Q1019" t="s">
        <v>865</v>
      </c>
    </row>
    <row r="1020" spans="1:17" ht="15" customHeight="1" x14ac:dyDescent="0.25">
      <c r="A1020" s="42" t="s">
        <v>1560</v>
      </c>
      <c r="B1020" s="3" t="s">
        <v>1415</v>
      </c>
      <c r="C1020" s="42" t="s">
        <v>1415</v>
      </c>
      <c r="D1020">
        <v>3</v>
      </c>
      <c r="E1020" t="s">
        <v>1179</v>
      </c>
      <c r="F1020" t="s">
        <v>1180</v>
      </c>
      <c r="G1020" t="s">
        <v>180</v>
      </c>
      <c r="H1020" s="1" t="s">
        <v>976</v>
      </c>
      <c r="I1020" s="1">
        <v>615</v>
      </c>
      <c r="J1020" s="20">
        <v>0</v>
      </c>
      <c r="K1020" s="1">
        <v>120</v>
      </c>
      <c r="L1020" s="1">
        <v>0</v>
      </c>
      <c r="M1020" s="43" t="s">
        <v>2843</v>
      </c>
      <c r="O1020" s="2" t="s">
        <v>2447</v>
      </c>
      <c r="P1020" t="s">
        <v>23</v>
      </c>
      <c r="Q1020" t="s">
        <v>865</v>
      </c>
    </row>
    <row r="1021" spans="1:17" ht="15" customHeight="1" x14ac:dyDescent="0.25">
      <c r="A1021" s="42" t="s">
        <v>1560</v>
      </c>
      <c r="B1021" s="3" t="s">
        <v>1415</v>
      </c>
      <c r="C1021" s="42" t="s">
        <v>1415</v>
      </c>
      <c r="D1021">
        <v>4</v>
      </c>
      <c r="E1021" t="s">
        <v>1018</v>
      </c>
      <c r="F1021" t="s">
        <v>975</v>
      </c>
      <c r="G1021" t="s">
        <v>180</v>
      </c>
      <c r="H1021" s="1" t="s">
        <v>976</v>
      </c>
      <c r="I1021" s="1">
        <v>615</v>
      </c>
      <c r="J1021" s="20">
        <v>1</v>
      </c>
      <c r="K1021" s="1">
        <v>615</v>
      </c>
      <c r="L1021" s="1">
        <v>615</v>
      </c>
      <c r="M1021" s="43" t="s">
        <v>2843</v>
      </c>
      <c r="O1021" s="2" t="s">
        <v>2447</v>
      </c>
      <c r="P1021" t="s">
        <v>23</v>
      </c>
      <c r="Q1021" t="s">
        <v>865</v>
      </c>
    </row>
    <row r="1022" spans="1:17" ht="15" customHeight="1" x14ac:dyDescent="0.25">
      <c r="A1022" s="3" t="s">
        <v>1561</v>
      </c>
      <c r="B1022" s="4" t="s">
        <v>1415</v>
      </c>
      <c r="C1022" t="s">
        <v>1415</v>
      </c>
      <c r="D1022">
        <v>1</v>
      </c>
      <c r="E1022" t="s">
        <v>974</v>
      </c>
      <c r="F1022" t="s">
        <v>975</v>
      </c>
      <c r="G1022" t="s">
        <v>180</v>
      </c>
      <c r="H1022" s="1" t="s">
        <v>976</v>
      </c>
      <c r="I1022" s="1">
        <v>615</v>
      </c>
      <c r="J1022" s="20">
        <v>0</v>
      </c>
      <c r="K1022" s="1">
        <v>135.4</v>
      </c>
      <c r="L1022" s="1">
        <v>0</v>
      </c>
      <c r="M1022" s="43" t="s">
        <v>2843</v>
      </c>
      <c r="O1022" s="2" t="s">
        <v>2447</v>
      </c>
      <c r="P1022" t="s">
        <v>22</v>
      </c>
      <c r="Q1022" t="s">
        <v>865</v>
      </c>
    </row>
    <row r="1023" spans="1:17" ht="15" customHeight="1" x14ac:dyDescent="0.25">
      <c r="A1023" s="3" t="s">
        <v>1562</v>
      </c>
      <c r="B1023" s="4" t="s">
        <v>1415</v>
      </c>
      <c r="C1023" t="s">
        <v>1415</v>
      </c>
      <c r="D1023">
        <v>1</v>
      </c>
      <c r="E1023" t="s">
        <v>974</v>
      </c>
      <c r="F1023" t="s">
        <v>975</v>
      </c>
      <c r="G1023" t="s">
        <v>180</v>
      </c>
      <c r="H1023" s="1" t="s">
        <v>976</v>
      </c>
      <c r="I1023" s="1">
        <v>615</v>
      </c>
      <c r="J1023" s="20">
        <v>0</v>
      </c>
      <c r="K1023" s="1">
        <v>135.4</v>
      </c>
      <c r="L1023" s="1">
        <v>0</v>
      </c>
      <c r="M1023" s="43" t="s">
        <v>2843</v>
      </c>
      <c r="O1023" s="2" t="s">
        <v>2447</v>
      </c>
      <c r="P1023" t="s">
        <v>21</v>
      </c>
      <c r="Q1023" t="s">
        <v>865</v>
      </c>
    </row>
    <row r="1024" spans="1:17" ht="15" customHeight="1" x14ac:dyDescent="0.25">
      <c r="A1024" s="3" t="s">
        <v>1563</v>
      </c>
      <c r="B1024" s="4" t="s">
        <v>1415</v>
      </c>
      <c r="C1024" t="s">
        <v>1415</v>
      </c>
      <c r="D1024">
        <v>1</v>
      </c>
      <c r="E1024" t="s">
        <v>974</v>
      </c>
      <c r="F1024" t="s">
        <v>975</v>
      </c>
      <c r="G1024" t="s">
        <v>180</v>
      </c>
      <c r="H1024" s="1" t="s">
        <v>976</v>
      </c>
      <c r="I1024" s="1">
        <v>615</v>
      </c>
      <c r="J1024" s="20">
        <v>0</v>
      </c>
      <c r="K1024" s="1">
        <v>135.4</v>
      </c>
      <c r="L1024" s="1">
        <v>0</v>
      </c>
      <c r="M1024" s="43" t="s">
        <v>2843</v>
      </c>
      <c r="O1024" s="2" t="s">
        <v>2482</v>
      </c>
      <c r="P1024" t="s">
        <v>24</v>
      </c>
      <c r="Q1024" t="s">
        <v>842</v>
      </c>
    </row>
    <row r="1025" spans="1:17" ht="15" customHeight="1" x14ac:dyDescent="0.25">
      <c r="A1025" s="3" t="s">
        <v>1564</v>
      </c>
      <c r="B1025" s="4" t="s">
        <v>1415</v>
      </c>
      <c r="C1025" t="s">
        <v>1415</v>
      </c>
      <c r="D1025">
        <v>1</v>
      </c>
      <c r="E1025" t="s">
        <v>974</v>
      </c>
      <c r="F1025" t="s">
        <v>975</v>
      </c>
      <c r="G1025" t="s">
        <v>180</v>
      </c>
      <c r="H1025" s="1" t="s">
        <v>976</v>
      </c>
      <c r="I1025" s="1">
        <v>615</v>
      </c>
      <c r="J1025" s="20">
        <v>0</v>
      </c>
      <c r="K1025" s="1">
        <v>135.4</v>
      </c>
      <c r="L1025" s="1">
        <v>0</v>
      </c>
      <c r="M1025" s="43" t="s">
        <v>2843</v>
      </c>
      <c r="O1025" s="2" t="s">
        <v>2482</v>
      </c>
      <c r="P1025" t="s">
        <v>23</v>
      </c>
      <c r="Q1025" t="s">
        <v>842</v>
      </c>
    </row>
    <row r="1026" spans="1:17" ht="15" customHeight="1" x14ac:dyDescent="0.25">
      <c r="A1026" s="3" t="s">
        <v>1565</v>
      </c>
      <c r="B1026" s="4" t="s">
        <v>1415</v>
      </c>
      <c r="C1026" t="s">
        <v>1415</v>
      </c>
      <c r="D1026">
        <v>1</v>
      </c>
      <c r="E1026" t="s">
        <v>974</v>
      </c>
      <c r="F1026" t="s">
        <v>975</v>
      </c>
      <c r="G1026" t="s">
        <v>180</v>
      </c>
      <c r="H1026" s="1" t="s">
        <v>976</v>
      </c>
      <c r="I1026" s="1">
        <v>615</v>
      </c>
      <c r="J1026" s="20">
        <v>0</v>
      </c>
      <c r="K1026" s="1">
        <v>135.4</v>
      </c>
      <c r="L1026" s="1">
        <v>0</v>
      </c>
      <c r="M1026" s="43" t="s">
        <v>2843</v>
      </c>
      <c r="O1026" s="2" t="s">
        <v>2482</v>
      </c>
      <c r="P1026" t="s">
        <v>22</v>
      </c>
      <c r="Q1026" t="s">
        <v>842</v>
      </c>
    </row>
    <row r="1027" spans="1:17" ht="15" customHeight="1" x14ac:dyDescent="0.25">
      <c r="A1027" s="3" t="s">
        <v>1566</v>
      </c>
      <c r="B1027" s="4" t="s">
        <v>2865</v>
      </c>
      <c r="C1027" t="s">
        <v>1415</v>
      </c>
      <c r="D1027">
        <v>1</v>
      </c>
      <c r="E1027" t="s">
        <v>974</v>
      </c>
      <c r="F1027" t="s">
        <v>975</v>
      </c>
      <c r="G1027" t="s">
        <v>976</v>
      </c>
      <c r="H1027" s="1" t="s">
        <v>976</v>
      </c>
      <c r="I1027" s="1">
        <v>670</v>
      </c>
      <c r="J1027" s="20">
        <v>6</v>
      </c>
      <c r="K1027" s="1">
        <v>115</v>
      </c>
      <c r="L1027" s="1">
        <v>690</v>
      </c>
      <c r="M1027" s="43" t="s">
        <v>2843</v>
      </c>
      <c r="O1027" s="2" t="s">
        <v>2482</v>
      </c>
      <c r="P1027" t="s">
        <v>24</v>
      </c>
      <c r="Q1027" t="s">
        <v>866</v>
      </c>
    </row>
    <row r="1028" spans="1:17" ht="15" customHeight="1" x14ac:dyDescent="0.25">
      <c r="A1028" s="3" t="s">
        <v>1567</v>
      </c>
      <c r="B1028" s="4" t="s">
        <v>2865</v>
      </c>
      <c r="C1028" t="s">
        <v>1415</v>
      </c>
      <c r="D1028">
        <v>1</v>
      </c>
      <c r="E1028" t="s">
        <v>974</v>
      </c>
      <c r="F1028" t="s">
        <v>975</v>
      </c>
      <c r="G1028" t="s">
        <v>976</v>
      </c>
      <c r="H1028" s="1" t="s">
        <v>976</v>
      </c>
      <c r="I1028" s="1">
        <v>670</v>
      </c>
      <c r="J1028" s="20">
        <v>2</v>
      </c>
      <c r="K1028" s="1">
        <v>115</v>
      </c>
      <c r="L1028" s="1">
        <v>230</v>
      </c>
      <c r="M1028" s="43" t="s">
        <v>2843</v>
      </c>
      <c r="O1028" s="2" t="s">
        <v>2482</v>
      </c>
      <c r="P1028" t="s">
        <v>25</v>
      </c>
      <c r="Q1028" t="s">
        <v>866</v>
      </c>
    </row>
    <row r="1029" spans="1:17" ht="15" customHeight="1" x14ac:dyDescent="0.25">
      <c r="A1029" s="3" t="s">
        <v>1568</v>
      </c>
      <c r="B1029" s="4" t="s">
        <v>2865</v>
      </c>
      <c r="C1029" t="s">
        <v>1415</v>
      </c>
      <c r="D1029">
        <v>1</v>
      </c>
      <c r="E1029" t="s">
        <v>974</v>
      </c>
      <c r="F1029" t="s">
        <v>975</v>
      </c>
      <c r="G1029" t="s">
        <v>976</v>
      </c>
      <c r="H1029" s="1" t="s">
        <v>976</v>
      </c>
      <c r="I1029" s="1">
        <v>670</v>
      </c>
      <c r="J1029" s="20">
        <v>11</v>
      </c>
      <c r="K1029" s="1">
        <v>115</v>
      </c>
      <c r="L1029" s="1">
        <v>1265</v>
      </c>
      <c r="M1029" s="43" t="s">
        <v>2843</v>
      </c>
      <c r="O1029" s="2" t="s">
        <v>2482</v>
      </c>
      <c r="P1029" t="s">
        <v>23</v>
      </c>
      <c r="Q1029" t="s">
        <v>866</v>
      </c>
    </row>
    <row r="1030" spans="1:17" ht="15" customHeight="1" x14ac:dyDescent="0.25">
      <c r="A1030" s="3" t="s">
        <v>1569</v>
      </c>
      <c r="B1030" s="4" t="s">
        <v>2865</v>
      </c>
      <c r="C1030" t="s">
        <v>1415</v>
      </c>
      <c r="D1030">
        <v>1</v>
      </c>
      <c r="E1030" t="s">
        <v>974</v>
      </c>
      <c r="F1030" t="s">
        <v>975</v>
      </c>
      <c r="G1030" t="s">
        <v>976</v>
      </c>
      <c r="H1030" s="1" t="s">
        <v>976</v>
      </c>
      <c r="I1030" s="1">
        <v>670</v>
      </c>
      <c r="J1030" s="20">
        <v>4</v>
      </c>
      <c r="K1030" s="1">
        <v>115</v>
      </c>
      <c r="L1030" s="1">
        <v>460</v>
      </c>
      <c r="M1030" s="43" t="s">
        <v>2843</v>
      </c>
      <c r="O1030" s="2" t="s">
        <v>2482</v>
      </c>
      <c r="P1030" t="s">
        <v>22</v>
      </c>
      <c r="Q1030" t="s">
        <v>866</v>
      </c>
    </row>
    <row r="1031" spans="1:17" ht="15" customHeight="1" x14ac:dyDescent="0.25">
      <c r="A1031" s="3" t="s">
        <v>1570</v>
      </c>
      <c r="B1031" s="4" t="s">
        <v>2865</v>
      </c>
      <c r="C1031" t="s">
        <v>1415</v>
      </c>
      <c r="D1031">
        <v>1</v>
      </c>
      <c r="E1031" t="s">
        <v>974</v>
      </c>
      <c r="F1031" t="s">
        <v>975</v>
      </c>
      <c r="G1031" t="s">
        <v>976</v>
      </c>
      <c r="H1031" s="1" t="s">
        <v>976</v>
      </c>
      <c r="I1031" s="1">
        <v>670</v>
      </c>
      <c r="J1031" s="20">
        <v>0</v>
      </c>
      <c r="K1031" s="1">
        <v>115</v>
      </c>
      <c r="L1031" s="1">
        <v>0</v>
      </c>
      <c r="M1031" s="43" t="s">
        <v>2843</v>
      </c>
      <c r="O1031" s="2" t="s">
        <v>2482</v>
      </c>
      <c r="P1031" t="s">
        <v>21</v>
      </c>
      <c r="Q1031" t="s">
        <v>866</v>
      </c>
    </row>
    <row r="1032" spans="1:17" ht="15" customHeight="1" x14ac:dyDescent="0.25">
      <c r="A1032" s="3" t="s">
        <v>1571</v>
      </c>
      <c r="B1032" s="4" t="s">
        <v>2866</v>
      </c>
      <c r="C1032" t="s">
        <v>1415</v>
      </c>
      <c r="D1032">
        <v>1</v>
      </c>
      <c r="E1032" t="s">
        <v>974</v>
      </c>
      <c r="F1032" t="s">
        <v>975</v>
      </c>
      <c r="G1032" t="s">
        <v>976</v>
      </c>
      <c r="H1032" s="1" t="s">
        <v>976</v>
      </c>
      <c r="I1032" s="1">
        <v>630</v>
      </c>
      <c r="J1032" s="20">
        <v>4</v>
      </c>
      <c r="K1032" s="1">
        <v>111</v>
      </c>
      <c r="L1032" s="1">
        <v>444</v>
      </c>
      <c r="M1032" s="43" t="s">
        <v>2843</v>
      </c>
      <c r="O1032" s="2" t="s">
        <v>2447</v>
      </c>
      <c r="P1032" t="s">
        <v>24</v>
      </c>
      <c r="Q1032" t="s">
        <v>867</v>
      </c>
    </row>
    <row r="1033" spans="1:17" ht="15" customHeight="1" x14ac:dyDescent="0.25">
      <c r="A1033" s="3" t="s">
        <v>1572</v>
      </c>
      <c r="B1033" s="4" t="s">
        <v>2866</v>
      </c>
      <c r="C1033" t="s">
        <v>1415</v>
      </c>
      <c r="D1033">
        <v>1</v>
      </c>
      <c r="E1033" t="s">
        <v>974</v>
      </c>
      <c r="F1033" t="s">
        <v>975</v>
      </c>
      <c r="G1033" t="s">
        <v>976</v>
      </c>
      <c r="H1033" s="1" t="s">
        <v>976</v>
      </c>
      <c r="I1033" s="1">
        <v>630</v>
      </c>
      <c r="J1033" s="20">
        <v>1</v>
      </c>
      <c r="K1033" s="1">
        <v>111</v>
      </c>
      <c r="L1033" s="1">
        <v>111</v>
      </c>
      <c r="M1033" s="43" t="s">
        <v>2843</v>
      </c>
      <c r="O1033" s="2" t="s">
        <v>2447</v>
      </c>
      <c r="P1033" t="s">
        <v>25</v>
      </c>
      <c r="Q1033" t="s">
        <v>867</v>
      </c>
    </row>
    <row r="1034" spans="1:17" ht="15" customHeight="1" x14ac:dyDescent="0.25">
      <c r="A1034" s="3" t="s">
        <v>1573</v>
      </c>
      <c r="B1034" s="4" t="s">
        <v>2866</v>
      </c>
      <c r="C1034" t="s">
        <v>1415</v>
      </c>
      <c r="D1034">
        <v>1</v>
      </c>
      <c r="E1034" t="s">
        <v>974</v>
      </c>
      <c r="F1034" t="s">
        <v>975</v>
      </c>
      <c r="G1034" t="s">
        <v>976</v>
      </c>
      <c r="H1034" s="1" t="s">
        <v>976</v>
      </c>
      <c r="I1034" s="1">
        <v>630</v>
      </c>
      <c r="J1034" s="20">
        <v>11</v>
      </c>
      <c r="K1034" s="1">
        <v>111</v>
      </c>
      <c r="L1034" s="1">
        <v>1221</v>
      </c>
      <c r="M1034" s="43" t="s">
        <v>2843</v>
      </c>
      <c r="O1034" s="2" t="s">
        <v>2447</v>
      </c>
      <c r="P1034" t="s">
        <v>23</v>
      </c>
      <c r="Q1034" t="s">
        <v>867</v>
      </c>
    </row>
    <row r="1035" spans="1:17" ht="15" customHeight="1" x14ac:dyDescent="0.25">
      <c r="A1035" s="3" t="s">
        <v>1574</v>
      </c>
      <c r="B1035" s="4" t="s">
        <v>2866</v>
      </c>
      <c r="C1035" t="s">
        <v>1415</v>
      </c>
      <c r="D1035">
        <v>1</v>
      </c>
      <c r="E1035" t="s">
        <v>974</v>
      </c>
      <c r="F1035" t="s">
        <v>975</v>
      </c>
      <c r="G1035" t="s">
        <v>976</v>
      </c>
      <c r="H1035" s="1" t="s">
        <v>976</v>
      </c>
      <c r="I1035" s="1">
        <v>630</v>
      </c>
      <c r="J1035" s="20">
        <v>11</v>
      </c>
      <c r="K1035" s="1">
        <v>111</v>
      </c>
      <c r="L1035" s="1">
        <v>1221</v>
      </c>
      <c r="M1035" s="43" t="s">
        <v>2843</v>
      </c>
      <c r="O1035" s="2" t="s">
        <v>2447</v>
      </c>
      <c r="P1035" t="s">
        <v>22</v>
      </c>
      <c r="Q1035" t="s">
        <v>867</v>
      </c>
    </row>
    <row r="1036" spans="1:17" ht="15" customHeight="1" x14ac:dyDescent="0.25">
      <c r="A1036" s="3" t="s">
        <v>1575</v>
      </c>
      <c r="B1036" s="4" t="s">
        <v>2866</v>
      </c>
      <c r="C1036" t="s">
        <v>1415</v>
      </c>
      <c r="D1036">
        <v>1</v>
      </c>
      <c r="E1036" t="s">
        <v>974</v>
      </c>
      <c r="F1036" t="s">
        <v>975</v>
      </c>
      <c r="G1036" t="s">
        <v>976</v>
      </c>
      <c r="H1036" s="1" t="s">
        <v>976</v>
      </c>
      <c r="I1036" s="1">
        <v>630</v>
      </c>
      <c r="J1036" s="20">
        <v>3</v>
      </c>
      <c r="K1036" s="1">
        <v>111</v>
      </c>
      <c r="L1036" s="1">
        <v>333</v>
      </c>
      <c r="M1036" s="43" t="s">
        <v>2843</v>
      </c>
      <c r="O1036" s="2" t="s">
        <v>2447</v>
      </c>
      <c r="P1036" t="s">
        <v>21</v>
      </c>
      <c r="Q1036" t="s">
        <v>867</v>
      </c>
    </row>
    <row r="1037" spans="1:17" ht="15" customHeight="1" x14ac:dyDescent="0.25">
      <c r="A1037" s="3" t="s">
        <v>1576</v>
      </c>
      <c r="B1037" s="4" t="s">
        <v>314</v>
      </c>
      <c r="C1037" t="s">
        <v>1415</v>
      </c>
      <c r="D1037">
        <v>1</v>
      </c>
      <c r="E1037" t="s">
        <v>974</v>
      </c>
      <c r="F1037" t="s">
        <v>975</v>
      </c>
      <c r="G1037" t="s">
        <v>180</v>
      </c>
      <c r="H1037" s="1" t="s">
        <v>976</v>
      </c>
      <c r="I1037" s="1">
        <v>470</v>
      </c>
      <c r="J1037" s="20">
        <v>-1</v>
      </c>
      <c r="K1037" s="1">
        <v>0</v>
      </c>
      <c r="L1037" s="1">
        <v>0</v>
      </c>
      <c r="M1037" s="43" t="s">
        <v>2843</v>
      </c>
      <c r="Q1037" t="s">
        <v>314</v>
      </c>
    </row>
    <row r="1038" spans="1:17" ht="15" customHeight="1" x14ac:dyDescent="0.25">
      <c r="A1038" s="3" t="s">
        <v>1577</v>
      </c>
      <c r="B1038" s="4" t="s">
        <v>2866</v>
      </c>
      <c r="C1038" t="s">
        <v>1415</v>
      </c>
      <c r="D1038">
        <v>1</v>
      </c>
      <c r="E1038" t="s">
        <v>974</v>
      </c>
      <c r="F1038" t="s">
        <v>975</v>
      </c>
      <c r="G1038" t="s">
        <v>976</v>
      </c>
      <c r="H1038" s="1" t="s">
        <v>976</v>
      </c>
      <c r="I1038" s="1">
        <v>630</v>
      </c>
      <c r="J1038" s="20">
        <v>2</v>
      </c>
      <c r="K1038" s="1">
        <v>111</v>
      </c>
      <c r="L1038" s="1">
        <v>222</v>
      </c>
      <c r="M1038" s="43" t="s">
        <v>2843</v>
      </c>
      <c r="O1038" s="2" t="s">
        <v>2535</v>
      </c>
      <c r="P1038" t="s">
        <v>24</v>
      </c>
      <c r="Q1038" t="s">
        <v>868</v>
      </c>
    </row>
    <row r="1039" spans="1:17" ht="15" customHeight="1" x14ac:dyDescent="0.25">
      <c r="A1039" s="3" t="s">
        <v>1578</v>
      </c>
      <c r="B1039" s="4" t="s">
        <v>2866</v>
      </c>
      <c r="C1039" t="s">
        <v>1415</v>
      </c>
      <c r="D1039">
        <v>1</v>
      </c>
      <c r="E1039" t="s">
        <v>974</v>
      </c>
      <c r="F1039" t="s">
        <v>975</v>
      </c>
      <c r="G1039" t="s">
        <v>976</v>
      </c>
      <c r="H1039" s="1" t="s">
        <v>976</v>
      </c>
      <c r="I1039" s="1">
        <v>630</v>
      </c>
      <c r="J1039" s="20">
        <v>2</v>
      </c>
      <c r="K1039" s="1">
        <v>111</v>
      </c>
      <c r="L1039" s="1">
        <v>222</v>
      </c>
      <c r="M1039" s="43" t="s">
        <v>2843</v>
      </c>
      <c r="O1039" s="2" t="s">
        <v>2535</v>
      </c>
      <c r="P1039" t="s">
        <v>25</v>
      </c>
      <c r="Q1039" t="s">
        <v>868</v>
      </c>
    </row>
    <row r="1040" spans="1:17" ht="15" customHeight="1" x14ac:dyDescent="0.25">
      <c r="A1040" s="3" t="s">
        <v>1579</v>
      </c>
      <c r="B1040" s="4" t="s">
        <v>2866</v>
      </c>
      <c r="C1040" t="s">
        <v>1415</v>
      </c>
      <c r="D1040">
        <v>1</v>
      </c>
      <c r="E1040" t="s">
        <v>974</v>
      </c>
      <c r="F1040" t="s">
        <v>975</v>
      </c>
      <c r="G1040" t="s">
        <v>976</v>
      </c>
      <c r="H1040" s="1" t="s">
        <v>976</v>
      </c>
      <c r="I1040" s="1">
        <v>630</v>
      </c>
      <c r="J1040" s="20">
        <v>13</v>
      </c>
      <c r="K1040" s="1">
        <v>103.071428</v>
      </c>
      <c r="L1040" s="1">
        <v>1339.93</v>
      </c>
      <c r="M1040" s="43" t="s">
        <v>2843</v>
      </c>
      <c r="O1040" s="2" t="s">
        <v>2535</v>
      </c>
      <c r="P1040" t="s">
        <v>23</v>
      </c>
      <c r="Q1040" t="s">
        <v>868</v>
      </c>
    </row>
    <row r="1041" spans="1:17" ht="15" customHeight="1" x14ac:dyDescent="0.25">
      <c r="A1041" s="3" t="s">
        <v>1580</v>
      </c>
      <c r="B1041" s="4" t="s">
        <v>2866</v>
      </c>
      <c r="C1041" t="s">
        <v>1415</v>
      </c>
      <c r="D1041">
        <v>1</v>
      </c>
      <c r="E1041" t="s">
        <v>974</v>
      </c>
      <c r="F1041" t="s">
        <v>975</v>
      </c>
      <c r="G1041" t="s">
        <v>976</v>
      </c>
      <c r="H1041" s="1" t="s">
        <v>976</v>
      </c>
      <c r="I1041" s="1">
        <v>630</v>
      </c>
      <c r="J1041" s="20">
        <v>7</v>
      </c>
      <c r="K1041" s="1">
        <v>98.666666000000006</v>
      </c>
      <c r="L1041" s="1">
        <v>690.67</v>
      </c>
      <c r="M1041" s="43" t="s">
        <v>2843</v>
      </c>
      <c r="O1041" s="2" t="s">
        <v>2535</v>
      </c>
      <c r="P1041" t="s">
        <v>22</v>
      </c>
      <c r="Q1041" t="s">
        <v>868</v>
      </c>
    </row>
    <row r="1042" spans="1:17" ht="15" customHeight="1" x14ac:dyDescent="0.25">
      <c r="A1042" s="3" t="s">
        <v>1581</v>
      </c>
      <c r="B1042" s="4" t="s">
        <v>2866</v>
      </c>
      <c r="C1042" t="s">
        <v>1415</v>
      </c>
      <c r="D1042">
        <v>1</v>
      </c>
      <c r="E1042" t="s">
        <v>974</v>
      </c>
      <c r="F1042" t="s">
        <v>975</v>
      </c>
      <c r="G1042" t="s">
        <v>976</v>
      </c>
      <c r="H1042" s="1" t="s">
        <v>976</v>
      </c>
      <c r="I1042" s="1">
        <v>630</v>
      </c>
      <c r="J1042" s="20">
        <v>1</v>
      </c>
      <c r="K1042" s="1">
        <v>111</v>
      </c>
      <c r="L1042" s="1">
        <v>111</v>
      </c>
      <c r="M1042" s="43" t="s">
        <v>2843</v>
      </c>
      <c r="O1042" s="2" t="s">
        <v>2535</v>
      </c>
      <c r="P1042" t="s">
        <v>21</v>
      </c>
      <c r="Q1042" t="s">
        <v>868</v>
      </c>
    </row>
    <row r="1043" spans="1:17" ht="15" customHeight="1" x14ac:dyDescent="0.25">
      <c r="A1043" s="3" t="s">
        <v>1582</v>
      </c>
      <c r="B1043" s="4" t="s">
        <v>2867</v>
      </c>
      <c r="C1043" t="s">
        <v>1415</v>
      </c>
      <c r="D1043">
        <v>1</v>
      </c>
      <c r="E1043" t="s">
        <v>974</v>
      </c>
      <c r="F1043" t="s">
        <v>975</v>
      </c>
      <c r="G1043" t="s">
        <v>180</v>
      </c>
      <c r="H1043" s="1" t="s">
        <v>976</v>
      </c>
      <c r="I1043" s="1">
        <v>485</v>
      </c>
      <c r="J1043" s="20">
        <v>5</v>
      </c>
      <c r="K1043" s="1">
        <v>84.62</v>
      </c>
      <c r="L1043" s="1">
        <v>423.1</v>
      </c>
      <c r="M1043" s="43" t="s">
        <v>2843</v>
      </c>
      <c r="O1043" s="2" t="s">
        <v>2482</v>
      </c>
      <c r="P1043" t="s">
        <v>24</v>
      </c>
      <c r="Q1043" t="s">
        <v>869</v>
      </c>
    </row>
    <row r="1044" spans="1:17" ht="15" customHeight="1" x14ac:dyDescent="0.25">
      <c r="A1044" s="3" t="s">
        <v>1583</v>
      </c>
      <c r="B1044" s="4" t="s">
        <v>2867</v>
      </c>
      <c r="C1044" t="s">
        <v>1415</v>
      </c>
      <c r="D1044">
        <v>1</v>
      </c>
      <c r="E1044" t="s">
        <v>974</v>
      </c>
      <c r="F1044" t="s">
        <v>975</v>
      </c>
      <c r="G1044" t="s">
        <v>180</v>
      </c>
      <c r="H1044" s="1" t="s">
        <v>976</v>
      </c>
      <c r="I1044" s="1">
        <v>485</v>
      </c>
      <c r="J1044" s="20">
        <v>2</v>
      </c>
      <c r="K1044" s="1">
        <v>84.62</v>
      </c>
      <c r="L1044" s="1">
        <v>169.24</v>
      </c>
      <c r="M1044" s="43" t="s">
        <v>2843</v>
      </c>
      <c r="O1044" s="2" t="s">
        <v>2482</v>
      </c>
      <c r="P1044" t="s">
        <v>25</v>
      </c>
      <c r="Q1044" t="s">
        <v>869</v>
      </c>
    </row>
    <row r="1045" spans="1:17" ht="15" customHeight="1" x14ac:dyDescent="0.25">
      <c r="A1045" s="3" t="s">
        <v>1584</v>
      </c>
      <c r="B1045" s="4" t="s">
        <v>2867</v>
      </c>
      <c r="C1045" t="s">
        <v>1415</v>
      </c>
      <c r="D1045">
        <v>1</v>
      </c>
      <c r="E1045" t="s">
        <v>974</v>
      </c>
      <c r="F1045" t="s">
        <v>975</v>
      </c>
      <c r="G1045" t="s">
        <v>180</v>
      </c>
      <c r="H1045" s="1" t="s">
        <v>976</v>
      </c>
      <c r="I1045" s="1">
        <v>485</v>
      </c>
      <c r="J1045" s="20">
        <v>12</v>
      </c>
      <c r="K1045" s="1">
        <v>84.62</v>
      </c>
      <c r="L1045" s="1">
        <v>1015.44</v>
      </c>
      <c r="M1045" s="43" t="s">
        <v>2843</v>
      </c>
      <c r="O1045" s="2" t="s">
        <v>2482</v>
      </c>
      <c r="P1045" t="s">
        <v>23</v>
      </c>
      <c r="Q1045" t="s">
        <v>869</v>
      </c>
    </row>
    <row r="1046" spans="1:17" ht="15" customHeight="1" x14ac:dyDescent="0.25">
      <c r="A1046" s="3" t="s">
        <v>1585</v>
      </c>
      <c r="B1046" s="4" t="s">
        <v>2867</v>
      </c>
      <c r="C1046" t="s">
        <v>1415</v>
      </c>
      <c r="D1046">
        <v>1</v>
      </c>
      <c r="E1046" t="s">
        <v>974</v>
      </c>
      <c r="F1046" t="s">
        <v>975</v>
      </c>
      <c r="G1046" t="s">
        <v>180</v>
      </c>
      <c r="H1046" s="1" t="s">
        <v>976</v>
      </c>
      <c r="I1046" s="1">
        <v>485</v>
      </c>
      <c r="J1046" s="20">
        <v>2</v>
      </c>
      <c r="K1046" s="1">
        <v>84.62</v>
      </c>
      <c r="L1046" s="1">
        <v>169.24</v>
      </c>
      <c r="M1046" s="43" t="s">
        <v>2843</v>
      </c>
      <c r="O1046" s="2" t="s">
        <v>2482</v>
      </c>
      <c r="P1046" t="s">
        <v>22</v>
      </c>
      <c r="Q1046" t="s">
        <v>869</v>
      </c>
    </row>
    <row r="1047" spans="1:17" ht="15" customHeight="1" x14ac:dyDescent="0.25">
      <c r="A1047" s="3" t="s">
        <v>1586</v>
      </c>
      <c r="B1047" s="4" t="s">
        <v>2867</v>
      </c>
      <c r="C1047" t="s">
        <v>1415</v>
      </c>
      <c r="D1047">
        <v>1</v>
      </c>
      <c r="E1047" t="s">
        <v>974</v>
      </c>
      <c r="F1047" t="s">
        <v>975</v>
      </c>
      <c r="G1047" t="s">
        <v>180</v>
      </c>
      <c r="H1047" s="1" t="s">
        <v>976</v>
      </c>
      <c r="I1047" s="1">
        <v>485</v>
      </c>
      <c r="J1047" s="20">
        <v>0</v>
      </c>
      <c r="K1047" s="1">
        <v>84.62</v>
      </c>
      <c r="L1047" s="1">
        <v>0</v>
      </c>
      <c r="M1047" s="43" t="s">
        <v>2843</v>
      </c>
      <c r="O1047" s="2" t="s">
        <v>2482</v>
      </c>
      <c r="P1047" t="s">
        <v>21</v>
      </c>
      <c r="Q1047" t="s">
        <v>869</v>
      </c>
    </row>
    <row r="1048" spans="1:17" ht="15" customHeight="1" x14ac:dyDescent="0.25">
      <c r="A1048" s="3" t="s">
        <v>1587</v>
      </c>
      <c r="B1048" s="4" t="s">
        <v>2868</v>
      </c>
      <c r="C1048" t="s">
        <v>1415</v>
      </c>
      <c r="D1048">
        <v>1</v>
      </c>
      <c r="E1048" t="s">
        <v>974</v>
      </c>
      <c r="F1048" t="s">
        <v>975</v>
      </c>
      <c r="G1048" t="s">
        <v>180</v>
      </c>
      <c r="H1048" s="1" t="s">
        <v>976</v>
      </c>
      <c r="I1048" s="1">
        <v>330</v>
      </c>
      <c r="J1048" s="20">
        <v>2</v>
      </c>
      <c r="K1048" s="1">
        <v>50.13</v>
      </c>
      <c r="L1048" s="1">
        <v>100.26</v>
      </c>
      <c r="M1048" s="43" t="s">
        <v>2843</v>
      </c>
      <c r="O1048" s="2" t="s">
        <v>2443</v>
      </c>
      <c r="P1048" t="s">
        <v>24</v>
      </c>
      <c r="Q1048" t="s">
        <v>870</v>
      </c>
    </row>
    <row r="1049" spans="1:17" ht="15" customHeight="1" x14ac:dyDescent="0.25">
      <c r="A1049" s="3" t="s">
        <v>1588</v>
      </c>
      <c r="B1049" s="4" t="s">
        <v>2868</v>
      </c>
      <c r="C1049" t="s">
        <v>1415</v>
      </c>
      <c r="D1049">
        <v>1</v>
      </c>
      <c r="E1049" t="s">
        <v>974</v>
      </c>
      <c r="F1049" t="s">
        <v>975</v>
      </c>
      <c r="G1049" t="s">
        <v>180</v>
      </c>
      <c r="H1049" s="1" t="s">
        <v>976</v>
      </c>
      <c r="I1049" s="1">
        <v>330</v>
      </c>
      <c r="J1049" s="20">
        <v>2</v>
      </c>
      <c r="K1049" s="1">
        <v>50.13</v>
      </c>
      <c r="L1049" s="1">
        <v>100.26</v>
      </c>
      <c r="M1049" s="43" t="s">
        <v>2843</v>
      </c>
      <c r="O1049" s="2" t="s">
        <v>2443</v>
      </c>
      <c r="P1049" t="s">
        <v>25</v>
      </c>
      <c r="Q1049" t="s">
        <v>870</v>
      </c>
    </row>
    <row r="1050" spans="1:17" ht="15" customHeight="1" x14ac:dyDescent="0.25">
      <c r="A1050" s="3" t="s">
        <v>1589</v>
      </c>
      <c r="B1050" s="4" t="s">
        <v>2868</v>
      </c>
      <c r="C1050" t="s">
        <v>1415</v>
      </c>
      <c r="D1050">
        <v>1</v>
      </c>
      <c r="E1050" t="s">
        <v>974</v>
      </c>
      <c r="F1050" t="s">
        <v>975</v>
      </c>
      <c r="G1050" t="s">
        <v>180</v>
      </c>
      <c r="H1050" s="1" t="s">
        <v>976</v>
      </c>
      <c r="I1050" s="1">
        <v>330</v>
      </c>
      <c r="J1050" s="20">
        <v>-1</v>
      </c>
      <c r="K1050" s="1">
        <v>50.13</v>
      </c>
      <c r="L1050" s="1">
        <v>-50.13</v>
      </c>
      <c r="M1050" s="43" t="s">
        <v>2843</v>
      </c>
      <c r="O1050" s="2" t="s">
        <v>2443</v>
      </c>
      <c r="P1050" t="s">
        <v>23</v>
      </c>
      <c r="Q1050" t="s">
        <v>870</v>
      </c>
    </row>
    <row r="1051" spans="1:17" ht="15" customHeight="1" x14ac:dyDescent="0.25">
      <c r="A1051" s="3" t="s">
        <v>1590</v>
      </c>
      <c r="B1051" s="4" t="s">
        <v>2868</v>
      </c>
      <c r="C1051" t="s">
        <v>1415</v>
      </c>
      <c r="D1051">
        <v>1</v>
      </c>
      <c r="E1051" t="s">
        <v>974</v>
      </c>
      <c r="F1051" t="s">
        <v>975</v>
      </c>
      <c r="G1051" t="s">
        <v>180</v>
      </c>
      <c r="H1051" s="1" t="s">
        <v>976</v>
      </c>
      <c r="I1051" s="1">
        <v>330</v>
      </c>
      <c r="J1051" s="20">
        <v>0</v>
      </c>
      <c r="K1051" s="1">
        <v>50.13</v>
      </c>
      <c r="L1051" s="1">
        <v>0</v>
      </c>
      <c r="M1051" s="43" t="s">
        <v>2843</v>
      </c>
      <c r="O1051" s="2" t="s">
        <v>2443</v>
      </c>
      <c r="P1051" t="s">
        <v>22</v>
      </c>
      <c r="Q1051" t="s">
        <v>870</v>
      </c>
    </row>
    <row r="1052" spans="1:17" ht="15" customHeight="1" x14ac:dyDescent="0.25">
      <c r="A1052" s="42" t="s">
        <v>1590</v>
      </c>
      <c r="B1052" s="3" t="s">
        <v>2868</v>
      </c>
      <c r="C1052" s="42" t="s">
        <v>1415</v>
      </c>
      <c r="D1052">
        <v>3</v>
      </c>
      <c r="E1052" t="s">
        <v>1179</v>
      </c>
      <c r="F1052" t="s">
        <v>1180</v>
      </c>
      <c r="G1052" t="s">
        <v>180</v>
      </c>
      <c r="H1052" s="1" t="s">
        <v>976</v>
      </c>
      <c r="I1052" s="1">
        <v>330</v>
      </c>
      <c r="J1052" s="20">
        <v>0</v>
      </c>
      <c r="K1052" s="1">
        <v>50.13</v>
      </c>
      <c r="L1052" s="1">
        <v>0</v>
      </c>
      <c r="M1052" s="43" t="s">
        <v>2843</v>
      </c>
      <c r="O1052" s="2" t="s">
        <v>2443</v>
      </c>
      <c r="P1052" t="s">
        <v>22</v>
      </c>
      <c r="Q1052" t="s">
        <v>870</v>
      </c>
    </row>
    <row r="1053" spans="1:17" ht="15" customHeight="1" x14ac:dyDescent="0.25">
      <c r="A1053" s="3" t="s">
        <v>2154</v>
      </c>
      <c r="B1053" s="4" t="s">
        <v>2869</v>
      </c>
      <c r="C1053" t="s">
        <v>1415</v>
      </c>
      <c r="D1053">
        <v>1</v>
      </c>
      <c r="E1053" t="s">
        <v>974</v>
      </c>
      <c r="F1053" t="s">
        <v>975</v>
      </c>
      <c r="G1053" t="s">
        <v>180</v>
      </c>
      <c r="H1053" s="1" t="s">
        <v>976</v>
      </c>
      <c r="I1053" s="1">
        <v>455</v>
      </c>
      <c r="J1053" s="20">
        <v>0</v>
      </c>
      <c r="K1053" s="1">
        <v>91</v>
      </c>
      <c r="L1053" s="1">
        <v>0</v>
      </c>
      <c r="M1053" s="43" t="s">
        <v>2843</v>
      </c>
      <c r="O1053" s="2" t="s">
        <v>2443</v>
      </c>
      <c r="P1053" t="s">
        <v>23</v>
      </c>
      <c r="Q1053" t="s">
        <v>871</v>
      </c>
    </row>
    <row r="1054" spans="1:17" ht="15" customHeight="1" x14ac:dyDescent="0.25">
      <c r="A1054" s="3" t="s">
        <v>2155</v>
      </c>
      <c r="B1054" s="4" t="s">
        <v>2869</v>
      </c>
      <c r="C1054" t="s">
        <v>1415</v>
      </c>
      <c r="D1054">
        <v>1</v>
      </c>
      <c r="E1054" t="s">
        <v>974</v>
      </c>
      <c r="F1054" t="s">
        <v>975</v>
      </c>
      <c r="G1054" t="s">
        <v>180</v>
      </c>
      <c r="H1054" s="1" t="s">
        <v>976</v>
      </c>
      <c r="I1054" s="1">
        <v>455</v>
      </c>
      <c r="J1054" s="20">
        <v>0</v>
      </c>
      <c r="K1054" s="1">
        <v>0</v>
      </c>
      <c r="L1054" s="1">
        <v>0</v>
      </c>
      <c r="M1054" s="43" t="s">
        <v>2843</v>
      </c>
      <c r="O1054" s="2" t="s">
        <v>2443</v>
      </c>
      <c r="P1054" t="s">
        <v>22</v>
      </c>
      <c r="Q1054" t="s">
        <v>871</v>
      </c>
    </row>
    <row r="1055" spans="1:17" ht="15" customHeight="1" x14ac:dyDescent="0.25">
      <c r="A1055" s="3" t="s">
        <v>2156</v>
      </c>
      <c r="B1055" s="4" t="s">
        <v>2869</v>
      </c>
      <c r="C1055" t="s">
        <v>1415</v>
      </c>
      <c r="D1055">
        <v>1</v>
      </c>
      <c r="E1055" t="s">
        <v>974</v>
      </c>
      <c r="F1055" t="s">
        <v>975</v>
      </c>
      <c r="G1055" t="s">
        <v>180</v>
      </c>
      <c r="H1055" s="1" t="s">
        <v>976</v>
      </c>
      <c r="I1055" s="1">
        <v>455</v>
      </c>
      <c r="J1055" s="20">
        <v>0</v>
      </c>
      <c r="K1055" s="1">
        <v>91</v>
      </c>
      <c r="L1055" s="1">
        <v>0</v>
      </c>
      <c r="M1055" s="43" t="s">
        <v>2843</v>
      </c>
      <c r="O1055" s="2" t="s">
        <v>2443</v>
      </c>
      <c r="P1055" t="s">
        <v>24</v>
      </c>
      <c r="Q1055" t="s">
        <v>871</v>
      </c>
    </row>
    <row r="1056" spans="1:17" ht="15" customHeight="1" x14ac:dyDescent="0.25">
      <c r="A1056" s="3" t="s">
        <v>1591</v>
      </c>
      <c r="B1056" s="4" t="s">
        <v>2867</v>
      </c>
      <c r="C1056" t="s">
        <v>1415</v>
      </c>
      <c r="D1056">
        <v>1</v>
      </c>
      <c r="E1056" t="s">
        <v>974</v>
      </c>
      <c r="F1056" t="s">
        <v>975</v>
      </c>
      <c r="G1056" t="s">
        <v>180</v>
      </c>
      <c r="H1056" s="1" t="s">
        <v>976</v>
      </c>
      <c r="I1056" s="1">
        <v>470</v>
      </c>
      <c r="J1056" s="20">
        <v>2</v>
      </c>
      <c r="K1056" s="1">
        <v>61.41</v>
      </c>
      <c r="L1056" s="1">
        <v>122.82</v>
      </c>
      <c r="M1056" s="43" t="s">
        <v>2843</v>
      </c>
      <c r="O1056" s="2" t="s">
        <v>2482</v>
      </c>
      <c r="P1056" t="s">
        <v>24</v>
      </c>
      <c r="Q1056" t="s">
        <v>869</v>
      </c>
    </row>
    <row r="1057" spans="1:17" ht="15" customHeight="1" x14ac:dyDescent="0.25">
      <c r="A1057" s="3" t="s">
        <v>1592</v>
      </c>
      <c r="B1057" s="4" t="s">
        <v>2867</v>
      </c>
      <c r="C1057" t="s">
        <v>1415</v>
      </c>
      <c r="D1057">
        <v>1</v>
      </c>
      <c r="E1057" t="s">
        <v>974</v>
      </c>
      <c r="F1057" t="s">
        <v>975</v>
      </c>
      <c r="G1057" t="s">
        <v>180</v>
      </c>
      <c r="H1057" s="1" t="s">
        <v>976</v>
      </c>
      <c r="I1057" s="1">
        <v>470</v>
      </c>
      <c r="J1057" s="20">
        <v>0</v>
      </c>
      <c r="K1057" s="1">
        <v>61.41</v>
      </c>
      <c r="L1057" s="1">
        <v>0</v>
      </c>
      <c r="M1057" s="43" t="s">
        <v>2843</v>
      </c>
      <c r="O1057" s="2" t="s">
        <v>2482</v>
      </c>
      <c r="P1057" t="s">
        <v>23</v>
      </c>
      <c r="Q1057" t="s">
        <v>869</v>
      </c>
    </row>
    <row r="1058" spans="1:17" ht="15" customHeight="1" x14ac:dyDescent="0.25">
      <c r="A1058" s="3" t="s">
        <v>1593</v>
      </c>
      <c r="B1058" s="4" t="s">
        <v>2867</v>
      </c>
      <c r="C1058" t="s">
        <v>1415</v>
      </c>
      <c r="D1058">
        <v>1</v>
      </c>
      <c r="E1058" t="s">
        <v>974</v>
      </c>
      <c r="F1058" t="s">
        <v>975</v>
      </c>
      <c r="G1058" t="s">
        <v>180</v>
      </c>
      <c r="H1058" s="1" t="s">
        <v>976</v>
      </c>
      <c r="I1058" s="1">
        <v>470</v>
      </c>
      <c r="J1058" s="20">
        <v>0</v>
      </c>
      <c r="K1058" s="1">
        <v>61.41</v>
      </c>
      <c r="L1058" s="1">
        <v>0</v>
      </c>
      <c r="M1058" s="43" t="s">
        <v>2843</v>
      </c>
      <c r="O1058" s="2" t="s">
        <v>2482</v>
      </c>
      <c r="P1058" t="s">
        <v>22</v>
      </c>
      <c r="Q1058" t="s">
        <v>869</v>
      </c>
    </row>
    <row r="1059" spans="1:17" ht="15" customHeight="1" x14ac:dyDescent="0.25">
      <c r="A1059" s="3" t="s">
        <v>1594</v>
      </c>
      <c r="B1059" s="4" t="s">
        <v>315</v>
      </c>
      <c r="C1059" t="s">
        <v>1595</v>
      </c>
      <c r="D1059">
        <v>1</v>
      </c>
      <c r="E1059" t="s">
        <v>974</v>
      </c>
      <c r="F1059" t="s">
        <v>975</v>
      </c>
      <c r="G1059" t="s">
        <v>180</v>
      </c>
      <c r="H1059" s="1" t="s">
        <v>976</v>
      </c>
      <c r="I1059" s="1">
        <v>1480</v>
      </c>
      <c r="J1059" s="20">
        <v>1</v>
      </c>
      <c r="K1059" s="1">
        <v>0</v>
      </c>
      <c r="L1059" s="1">
        <v>0</v>
      </c>
      <c r="M1059" s="43" t="s">
        <v>2843</v>
      </c>
      <c r="P1059" t="s">
        <v>23</v>
      </c>
      <c r="Q1059" t="s">
        <v>315</v>
      </c>
    </row>
    <row r="1060" spans="1:17" ht="15" customHeight="1" x14ac:dyDescent="0.25">
      <c r="A1060" s="3" t="s">
        <v>1596</v>
      </c>
      <c r="B1060" s="4" t="s">
        <v>2851</v>
      </c>
      <c r="C1060" t="s">
        <v>1415</v>
      </c>
      <c r="D1060">
        <v>1</v>
      </c>
      <c r="E1060" t="s">
        <v>974</v>
      </c>
      <c r="F1060" t="s">
        <v>975</v>
      </c>
      <c r="G1060" t="s">
        <v>180</v>
      </c>
      <c r="H1060" s="1" t="s">
        <v>976</v>
      </c>
      <c r="I1060" s="1">
        <v>595</v>
      </c>
      <c r="J1060" s="20">
        <v>7</v>
      </c>
      <c r="K1060" s="1">
        <v>42</v>
      </c>
      <c r="L1060" s="1">
        <v>294</v>
      </c>
      <c r="M1060" s="43" t="s">
        <v>2843</v>
      </c>
      <c r="O1060" s="2" t="s">
        <v>2443</v>
      </c>
      <c r="P1060" t="s">
        <v>24</v>
      </c>
      <c r="Q1060" t="s">
        <v>872</v>
      </c>
    </row>
    <row r="1061" spans="1:17" ht="15" customHeight="1" x14ac:dyDescent="0.25">
      <c r="A1061" s="42" t="s">
        <v>1596</v>
      </c>
      <c r="B1061" s="3" t="s">
        <v>2851</v>
      </c>
      <c r="C1061" s="42" t="s">
        <v>1415</v>
      </c>
      <c r="D1061">
        <v>4</v>
      </c>
      <c r="E1061" t="s">
        <v>1018</v>
      </c>
      <c r="F1061" t="s">
        <v>975</v>
      </c>
      <c r="G1061" t="s">
        <v>180</v>
      </c>
      <c r="H1061" s="1" t="s">
        <v>976</v>
      </c>
      <c r="I1061" s="1">
        <v>595</v>
      </c>
      <c r="J1061" s="20">
        <v>1</v>
      </c>
      <c r="K1061" s="1">
        <v>595</v>
      </c>
      <c r="L1061" s="1">
        <v>595</v>
      </c>
      <c r="M1061" s="43" t="s">
        <v>2843</v>
      </c>
      <c r="O1061" s="2" t="s">
        <v>2443</v>
      </c>
      <c r="P1061" t="s">
        <v>24</v>
      </c>
      <c r="Q1061" t="s">
        <v>872</v>
      </c>
    </row>
    <row r="1062" spans="1:17" ht="15" customHeight="1" x14ac:dyDescent="0.25">
      <c r="A1062" s="3" t="s">
        <v>1597</v>
      </c>
      <c r="B1062" s="4" t="s">
        <v>2851</v>
      </c>
      <c r="C1062" t="s">
        <v>1415</v>
      </c>
      <c r="D1062">
        <v>1</v>
      </c>
      <c r="E1062" t="s">
        <v>974</v>
      </c>
      <c r="F1062" t="s">
        <v>975</v>
      </c>
      <c r="G1062" t="s">
        <v>180</v>
      </c>
      <c r="H1062" s="1" t="s">
        <v>976</v>
      </c>
      <c r="I1062" s="1">
        <v>595</v>
      </c>
      <c r="J1062" s="20">
        <v>3</v>
      </c>
      <c r="K1062" s="1">
        <v>42</v>
      </c>
      <c r="L1062" s="1">
        <v>126</v>
      </c>
      <c r="M1062" s="43" t="s">
        <v>2843</v>
      </c>
      <c r="O1062" s="2" t="s">
        <v>2443</v>
      </c>
      <c r="P1062" t="s">
        <v>25</v>
      </c>
      <c r="Q1062" t="s">
        <v>872</v>
      </c>
    </row>
    <row r="1063" spans="1:17" ht="15" customHeight="1" x14ac:dyDescent="0.25">
      <c r="A1063" s="3" t="s">
        <v>1598</v>
      </c>
      <c r="B1063" s="4" t="s">
        <v>2851</v>
      </c>
      <c r="C1063" t="s">
        <v>1415</v>
      </c>
      <c r="D1063">
        <v>1</v>
      </c>
      <c r="E1063" t="s">
        <v>974</v>
      </c>
      <c r="F1063" t="s">
        <v>975</v>
      </c>
      <c r="G1063" t="s">
        <v>180</v>
      </c>
      <c r="H1063" s="1" t="s">
        <v>976</v>
      </c>
      <c r="I1063" s="1">
        <v>595</v>
      </c>
      <c r="J1063" s="20">
        <v>8</v>
      </c>
      <c r="K1063" s="1">
        <v>42</v>
      </c>
      <c r="L1063" s="1">
        <v>336</v>
      </c>
      <c r="M1063" s="43" t="s">
        <v>2843</v>
      </c>
      <c r="O1063" s="2" t="s">
        <v>2443</v>
      </c>
      <c r="P1063" t="s">
        <v>23</v>
      </c>
      <c r="Q1063" t="s">
        <v>872</v>
      </c>
    </row>
    <row r="1064" spans="1:17" ht="15" customHeight="1" x14ac:dyDescent="0.25">
      <c r="A1064" s="3" t="s">
        <v>1599</v>
      </c>
      <c r="B1064" s="4" t="s">
        <v>2851</v>
      </c>
      <c r="C1064" t="s">
        <v>1415</v>
      </c>
      <c r="D1064">
        <v>1</v>
      </c>
      <c r="E1064" t="s">
        <v>974</v>
      </c>
      <c r="F1064" t="s">
        <v>975</v>
      </c>
      <c r="G1064" t="s">
        <v>180</v>
      </c>
      <c r="H1064" s="1" t="s">
        <v>976</v>
      </c>
      <c r="I1064" s="1">
        <v>595</v>
      </c>
      <c r="J1064" s="20">
        <v>3</v>
      </c>
      <c r="K1064" s="1">
        <v>42</v>
      </c>
      <c r="L1064" s="1">
        <v>126</v>
      </c>
      <c r="M1064" s="43" t="s">
        <v>2843</v>
      </c>
      <c r="O1064" s="2" t="s">
        <v>2443</v>
      </c>
      <c r="P1064" t="s">
        <v>22</v>
      </c>
      <c r="Q1064" t="s">
        <v>872</v>
      </c>
    </row>
    <row r="1065" spans="1:17" ht="15" customHeight="1" x14ac:dyDescent="0.25">
      <c r="A1065" s="3" t="s">
        <v>1600</v>
      </c>
      <c r="B1065" s="4" t="s">
        <v>316</v>
      </c>
      <c r="C1065" t="s">
        <v>1415</v>
      </c>
      <c r="D1065">
        <v>1</v>
      </c>
      <c r="E1065" t="s">
        <v>974</v>
      </c>
      <c r="F1065" t="s">
        <v>975</v>
      </c>
      <c r="G1065" t="s">
        <v>180</v>
      </c>
      <c r="H1065" s="1" t="s">
        <v>976</v>
      </c>
      <c r="I1065" s="1">
        <v>595</v>
      </c>
      <c r="J1065" s="20">
        <v>8</v>
      </c>
      <c r="K1065" s="1">
        <v>42</v>
      </c>
      <c r="L1065" s="1">
        <v>336</v>
      </c>
      <c r="M1065" s="43" t="s">
        <v>2843</v>
      </c>
      <c r="P1065" t="s">
        <v>24</v>
      </c>
      <c r="Q1065" t="s">
        <v>316</v>
      </c>
    </row>
    <row r="1066" spans="1:17" ht="15" customHeight="1" x14ac:dyDescent="0.25">
      <c r="A1066" s="3" t="s">
        <v>1601</v>
      </c>
      <c r="B1066" s="4" t="s">
        <v>317</v>
      </c>
      <c r="C1066" t="s">
        <v>1415</v>
      </c>
      <c r="D1066">
        <v>1</v>
      </c>
      <c r="E1066" t="s">
        <v>974</v>
      </c>
      <c r="F1066" t="s">
        <v>975</v>
      </c>
      <c r="G1066" t="s">
        <v>180</v>
      </c>
      <c r="H1066" s="1" t="s">
        <v>976</v>
      </c>
      <c r="I1066" s="1">
        <v>595</v>
      </c>
      <c r="J1066" s="20">
        <v>2</v>
      </c>
      <c r="K1066" s="1">
        <v>42</v>
      </c>
      <c r="L1066" s="1">
        <v>84</v>
      </c>
      <c r="M1066" s="43" t="s">
        <v>2843</v>
      </c>
      <c r="P1066" t="s">
        <v>25</v>
      </c>
      <c r="Q1066" t="s">
        <v>317</v>
      </c>
    </row>
    <row r="1067" spans="1:17" ht="15" customHeight="1" x14ac:dyDescent="0.25">
      <c r="A1067" s="3" t="s">
        <v>1602</v>
      </c>
      <c r="B1067" s="4" t="s">
        <v>318</v>
      </c>
      <c r="C1067" t="s">
        <v>1415</v>
      </c>
      <c r="D1067">
        <v>1</v>
      </c>
      <c r="E1067" t="s">
        <v>974</v>
      </c>
      <c r="F1067" t="s">
        <v>975</v>
      </c>
      <c r="G1067" t="s">
        <v>180</v>
      </c>
      <c r="H1067" s="1" t="s">
        <v>976</v>
      </c>
      <c r="I1067" s="1">
        <v>595</v>
      </c>
      <c r="J1067" s="20">
        <v>5</v>
      </c>
      <c r="K1067" s="1">
        <v>42</v>
      </c>
      <c r="L1067" s="1">
        <v>210</v>
      </c>
      <c r="M1067" s="43" t="s">
        <v>2843</v>
      </c>
      <c r="P1067" t="s">
        <v>23</v>
      </c>
      <c r="Q1067" t="s">
        <v>318</v>
      </c>
    </row>
    <row r="1068" spans="1:17" ht="15" customHeight="1" x14ac:dyDescent="0.25">
      <c r="A1068" s="3" t="s">
        <v>1603</v>
      </c>
      <c r="B1068" s="4" t="s">
        <v>319</v>
      </c>
      <c r="C1068" t="s">
        <v>1415</v>
      </c>
      <c r="D1068">
        <v>1</v>
      </c>
      <c r="E1068" t="s">
        <v>974</v>
      </c>
      <c r="F1068" t="s">
        <v>975</v>
      </c>
      <c r="G1068" t="s">
        <v>180</v>
      </c>
      <c r="H1068" s="1" t="s">
        <v>976</v>
      </c>
      <c r="I1068" s="1">
        <v>595</v>
      </c>
      <c r="J1068" s="20">
        <v>4</v>
      </c>
      <c r="K1068" s="1">
        <v>42</v>
      </c>
      <c r="L1068" s="1">
        <v>168</v>
      </c>
      <c r="M1068" s="43" t="s">
        <v>2843</v>
      </c>
      <c r="P1068" t="s">
        <v>22</v>
      </c>
      <c r="Q1068" t="s">
        <v>319</v>
      </c>
    </row>
    <row r="1069" spans="1:17" ht="15" customHeight="1" x14ac:dyDescent="0.25">
      <c r="A1069" s="3" t="s">
        <v>1604</v>
      </c>
      <c r="B1069" s="4" t="s">
        <v>320</v>
      </c>
      <c r="C1069" t="s">
        <v>1415</v>
      </c>
      <c r="D1069">
        <v>1</v>
      </c>
      <c r="E1069" t="s">
        <v>974</v>
      </c>
      <c r="F1069" t="s">
        <v>975</v>
      </c>
      <c r="G1069" t="s">
        <v>180</v>
      </c>
      <c r="H1069" s="1" t="s">
        <v>976</v>
      </c>
      <c r="I1069" s="1">
        <v>790</v>
      </c>
      <c r="J1069" s="20">
        <v>0</v>
      </c>
      <c r="K1069" s="1">
        <v>120</v>
      </c>
      <c r="L1069" s="1">
        <v>0</v>
      </c>
      <c r="M1069" s="43" t="s">
        <v>2843</v>
      </c>
      <c r="P1069" t="s">
        <v>23</v>
      </c>
      <c r="Q1069" t="s">
        <v>320</v>
      </c>
    </row>
    <row r="1070" spans="1:17" ht="15" customHeight="1" x14ac:dyDescent="0.25">
      <c r="A1070" s="3" t="s">
        <v>1605</v>
      </c>
      <c r="B1070" s="4" t="s">
        <v>2867</v>
      </c>
      <c r="C1070" t="s">
        <v>1415</v>
      </c>
      <c r="D1070">
        <v>1</v>
      </c>
      <c r="E1070" t="s">
        <v>974</v>
      </c>
      <c r="F1070" t="s">
        <v>975</v>
      </c>
      <c r="G1070" t="s">
        <v>180</v>
      </c>
      <c r="H1070" s="1" t="s">
        <v>976</v>
      </c>
      <c r="I1070" s="1">
        <v>530</v>
      </c>
      <c r="J1070" s="20">
        <v>4</v>
      </c>
      <c r="K1070" s="1">
        <v>81.349999999999994</v>
      </c>
      <c r="L1070" s="1">
        <v>325.39999999999998</v>
      </c>
      <c r="M1070" s="43" t="s">
        <v>2843</v>
      </c>
      <c r="O1070" s="2" t="s">
        <v>2447</v>
      </c>
      <c r="P1070" t="s">
        <v>24</v>
      </c>
      <c r="Q1070" t="s">
        <v>873</v>
      </c>
    </row>
    <row r="1071" spans="1:17" ht="15" customHeight="1" x14ac:dyDescent="0.25">
      <c r="A1071" s="3" t="s">
        <v>1606</v>
      </c>
      <c r="B1071" s="4" t="s">
        <v>2867</v>
      </c>
      <c r="C1071" t="s">
        <v>1415</v>
      </c>
      <c r="D1071">
        <v>1</v>
      </c>
      <c r="E1071" t="s">
        <v>974</v>
      </c>
      <c r="F1071" t="s">
        <v>975</v>
      </c>
      <c r="G1071" t="s">
        <v>180</v>
      </c>
      <c r="H1071" s="1" t="s">
        <v>976</v>
      </c>
      <c r="I1071" s="1">
        <v>530</v>
      </c>
      <c r="J1071" s="20">
        <v>2</v>
      </c>
      <c r="K1071" s="1">
        <v>81.349999999999994</v>
      </c>
      <c r="L1071" s="1">
        <v>162.69999999999999</v>
      </c>
      <c r="M1071" s="43" t="s">
        <v>2843</v>
      </c>
      <c r="O1071" s="2" t="s">
        <v>2447</v>
      </c>
      <c r="P1071" t="s">
        <v>25</v>
      </c>
      <c r="Q1071" t="s">
        <v>873</v>
      </c>
    </row>
    <row r="1072" spans="1:17" ht="15" customHeight="1" x14ac:dyDescent="0.25">
      <c r="A1072" s="3" t="s">
        <v>1607</v>
      </c>
      <c r="B1072" s="4" t="s">
        <v>2867</v>
      </c>
      <c r="C1072" t="s">
        <v>1415</v>
      </c>
      <c r="D1072">
        <v>1</v>
      </c>
      <c r="E1072" t="s">
        <v>974</v>
      </c>
      <c r="F1072" t="s">
        <v>975</v>
      </c>
      <c r="G1072" t="s">
        <v>180</v>
      </c>
      <c r="H1072" s="1" t="s">
        <v>976</v>
      </c>
      <c r="I1072" s="1">
        <v>530</v>
      </c>
      <c r="J1072" s="20">
        <v>4</v>
      </c>
      <c r="K1072" s="1">
        <v>81.349999999999994</v>
      </c>
      <c r="L1072" s="1">
        <v>325.39999999999998</v>
      </c>
      <c r="M1072" s="43" t="s">
        <v>2843</v>
      </c>
      <c r="O1072" s="2" t="s">
        <v>2447</v>
      </c>
      <c r="P1072" t="s">
        <v>23</v>
      </c>
      <c r="Q1072" t="s">
        <v>873</v>
      </c>
    </row>
    <row r="1073" spans="1:17" ht="15" customHeight="1" x14ac:dyDescent="0.25">
      <c r="A1073" s="3" t="s">
        <v>1608</v>
      </c>
      <c r="B1073" s="4" t="s">
        <v>2867</v>
      </c>
      <c r="C1073" t="s">
        <v>1415</v>
      </c>
      <c r="D1073">
        <v>1</v>
      </c>
      <c r="E1073" t="s">
        <v>974</v>
      </c>
      <c r="F1073" t="s">
        <v>975</v>
      </c>
      <c r="G1073" t="s">
        <v>180</v>
      </c>
      <c r="H1073" s="1" t="s">
        <v>976</v>
      </c>
      <c r="I1073" s="1">
        <v>530</v>
      </c>
      <c r="J1073" s="20">
        <v>3</v>
      </c>
      <c r="K1073" s="1">
        <v>81.349999999999994</v>
      </c>
      <c r="L1073" s="1">
        <v>244.05</v>
      </c>
      <c r="M1073" s="43" t="s">
        <v>2843</v>
      </c>
      <c r="O1073" s="2" t="s">
        <v>2447</v>
      </c>
      <c r="P1073" t="s">
        <v>22</v>
      </c>
      <c r="Q1073" t="s">
        <v>873</v>
      </c>
    </row>
    <row r="1074" spans="1:17" ht="15" customHeight="1" x14ac:dyDescent="0.25">
      <c r="A1074" s="3" t="s">
        <v>1609</v>
      </c>
      <c r="B1074" s="4" t="s">
        <v>321</v>
      </c>
      <c r="C1074" t="s">
        <v>1415</v>
      </c>
      <c r="D1074">
        <v>1</v>
      </c>
      <c r="E1074" t="s">
        <v>974</v>
      </c>
      <c r="F1074" t="s">
        <v>975</v>
      </c>
      <c r="G1074" t="s">
        <v>180</v>
      </c>
      <c r="H1074" s="1" t="s">
        <v>976</v>
      </c>
      <c r="I1074" s="1">
        <v>980</v>
      </c>
      <c r="J1074" s="20">
        <v>0</v>
      </c>
      <c r="K1074" s="1">
        <v>0</v>
      </c>
      <c r="L1074" s="1">
        <v>0</v>
      </c>
      <c r="M1074" s="43" t="s">
        <v>2843</v>
      </c>
      <c r="P1074" t="s">
        <v>24</v>
      </c>
      <c r="Q1074" t="s">
        <v>321</v>
      </c>
    </row>
    <row r="1075" spans="1:17" ht="15" customHeight="1" x14ac:dyDescent="0.25">
      <c r="A1075" s="3" t="s">
        <v>1610</v>
      </c>
      <c r="B1075" s="4" t="s">
        <v>322</v>
      </c>
      <c r="C1075" t="s">
        <v>1415</v>
      </c>
      <c r="D1075">
        <v>1</v>
      </c>
      <c r="E1075" t="s">
        <v>974</v>
      </c>
      <c r="F1075" t="s">
        <v>975</v>
      </c>
      <c r="G1075" t="s">
        <v>180</v>
      </c>
      <c r="H1075" s="1" t="s">
        <v>976</v>
      </c>
      <c r="I1075" s="1">
        <v>980</v>
      </c>
      <c r="J1075" s="20">
        <v>0</v>
      </c>
      <c r="K1075" s="1">
        <v>0</v>
      </c>
      <c r="L1075" s="1">
        <v>0</v>
      </c>
      <c r="M1075" s="43" t="s">
        <v>2843</v>
      </c>
      <c r="P1075" t="s">
        <v>25</v>
      </c>
      <c r="Q1075" t="s">
        <v>322</v>
      </c>
    </row>
    <row r="1076" spans="1:17" ht="15" customHeight="1" x14ac:dyDescent="0.25">
      <c r="A1076" s="3" t="s">
        <v>1611</v>
      </c>
      <c r="B1076" s="4" t="s">
        <v>323</v>
      </c>
      <c r="C1076" t="s">
        <v>1415</v>
      </c>
      <c r="D1076">
        <v>1</v>
      </c>
      <c r="E1076" t="s">
        <v>974</v>
      </c>
      <c r="F1076" t="s">
        <v>975</v>
      </c>
      <c r="G1076" t="s">
        <v>180</v>
      </c>
      <c r="H1076" s="1" t="s">
        <v>976</v>
      </c>
      <c r="I1076" s="1">
        <v>980</v>
      </c>
      <c r="J1076" s="20">
        <v>1</v>
      </c>
      <c r="K1076" s="1">
        <v>100</v>
      </c>
      <c r="L1076" s="1">
        <v>100</v>
      </c>
      <c r="M1076" s="43" t="s">
        <v>2843</v>
      </c>
      <c r="P1076" t="s">
        <v>23</v>
      </c>
      <c r="Q1076" t="s">
        <v>323</v>
      </c>
    </row>
    <row r="1077" spans="1:17" ht="15" customHeight="1" x14ac:dyDescent="0.25">
      <c r="A1077" s="42" t="s">
        <v>1611</v>
      </c>
      <c r="B1077" s="3" t="s">
        <v>323</v>
      </c>
      <c r="C1077" s="42" t="s">
        <v>1415</v>
      </c>
      <c r="D1077">
        <v>3</v>
      </c>
      <c r="E1077" t="s">
        <v>1179</v>
      </c>
      <c r="F1077" t="s">
        <v>1180</v>
      </c>
      <c r="G1077" t="s">
        <v>180</v>
      </c>
      <c r="H1077" s="1" t="s">
        <v>976</v>
      </c>
      <c r="I1077" s="1">
        <v>980</v>
      </c>
      <c r="J1077" s="20">
        <v>0</v>
      </c>
      <c r="K1077" s="1">
        <v>100</v>
      </c>
      <c r="L1077" s="1">
        <v>0</v>
      </c>
      <c r="M1077" s="43" t="s">
        <v>2843</v>
      </c>
      <c r="P1077" t="s">
        <v>23</v>
      </c>
      <c r="Q1077" t="s">
        <v>323</v>
      </c>
    </row>
    <row r="1078" spans="1:17" ht="15" customHeight="1" x14ac:dyDescent="0.25">
      <c r="A1078" s="3" t="s">
        <v>1612</v>
      </c>
      <c r="B1078" s="4" t="s">
        <v>324</v>
      </c>
      <c r="C1078" t="s">
        <v>1415</v>
      </c>
      <c r="D1078">
        <v>1</v>
      </c>
      <c r="E1078" t="s">
        <v>974</v>
      </c>
      <c r="F1078" t="s">
        <v>975</v>
      </c>
      <c r="G1078" t="s">
        <v>180</v>
      </c>
      <c r="H1078" s="1" t="s">
        <v>976</v>
      </c>
      <c r="I1078" s="1">
        <v>980</v>
      </c>
      <c r="J1078" s="20">
        <v>0</v>
      </c>
      <c r="K1078" s="1">
        <v>0</v>
      </c>
      <c r="L1078" s="1">
        <v>0</v>
      </c>
      <c r="M1078" s="43" t="s">
        <v>2843</v>
      </c>
      <c r="P1078" t="s">
        <v>22</v>
      </c>
      <c r="Q1078" t="s">
        <v>324</v>
      </c>
    </row>
    <row r="1079" spans="1:17" ht="15" customHeight="1" x14ac:dyDescent="0.25">
      <c r="A1079" s="3" t="s">
        <v>1613</v>
      </c>
      <c r="B1079" s="4" t="s">
        <v>2870</v>
      </c>
      <c r="C1079" t="s">
        <v>1415</v>
      </c>
      <c r="D1079">
        <v>1</v>
      </c>
      <c r="E1079" t="s">
        <v>974</v>
      </c>
      <c r="F1079" t="s">
        <v>975</v>
      </c>
      <c r="G1079" t="s">
        <v>180</v>
      </c>
      <c r="H1079" s="1" t="s">
        <v>976</v>
      </c>
      <c r="I1079" s="1">
        <v>390</v>
      </c>
      <c r="J1079" s="20">
        <v>3</v>
      </c>
      <c r="K1079" s="1">
        <v>32</v>
      </c>
      <c r="L1079" s="1">
        <v>96</v>
      </c>
      <c r="M1079" s="43" t="s">
        <v>2843</v>
      </c>
      <c r="O1079" s="2" t="s">
        <v>2528</v>
      </c>
      <c r="P1079" t="s">
        <v>24</v>
      </c>
      <c r="Q1079" t="s">
        <v>874</v>
      </c>
    </row>
    <row r="1080" spans="1:17" ht="15" customHeight="1" x14ac:dyDescent="0.25">
      <c r="A1080" s="3" t="s">
        <v>1614</v>
      </c>
      <c r="B1080" s="4" t="s">
        <v>2870</v>
      </c>
      <c r="C1080" t="s">
        <v>1415</v>
      </c>
      <c r="D1080">
        <v>1</v>
      </c>
      <c r="E1080" t="s">
        <v>974</v>
      </c>
      <c r="F1080" t="s">
        <v>975</v>
      </c>
      <c r="G1080" t="s">
        <v>180</v>
      </c>
      <c r="H1080" s="1" t="s">
        <v>976</v>
      </c>
      <c r="I1080" s="1">
        <v>390</v>
      </c>
      <c r="J1080" s="20">
        <v>2</v>
      </c>
      <c r="K1080" s="1">
        <v>32</v>
      </c>
      <c r="L1080" s="1">
        <v>64</v>
      </c>
      <c r="M1080" s="43" t="s">
        <v>2843</v>
      </c>
      <c r="O1080" s="2" t="s">
        <v>2528</v>
      </c>
      <c r="P1080" t="s">
        <v>25</v>
      </c>
      <c r="Q1080" t="s">
        <v>874</v>
      </c>
    </row>
    <row r="1081" spans="1:17" ht="15" customHeight="1" x14ac:dyDescent="0.25">
      <c r="A1081" s="3" t="s">
        <v>1615</v>
      </c>
      <c r="B1081" s="4" t="s">
        <v>2870</v>
      </c>
      <c r="C1081" t="s">
        <v>1415</v>
      </c>
      <c r="D1081">
        <v>1</v>
      </c>
      <c r="E1081" t="s">
        <v>974</v>
      </c>
      <c r="F1081" t="s">
        <v>975</v>
      </c>
      <c r="G1081" t="s">
        <v>180</v>
      </c>
      <c r="H1081" s="1" t="s">
        <v>976</v>
      </c>
      <c r="I1081" s="1">
        <v>390</v>
      </c>
      <c r="J1081" s="20">
        <v>0</v>
      </c>
      <c r="K1081" s="1">
        <v>32</v>
      </c>
      <c r="L1081" s="1">
        <v>0</v>
      </c>
      <c r="M1081" s="43" t="s">
        <v>2843</v>
      </c>
      <c r="O1081" s="2" t="s">
        <v>2528</v>
      </c>
      <c r="P1081" t="s">
        <v>23</v>
      </c>
      <c r="Q1081" t="s">
        <v>874</v>
      </c>
    </row>
    <row r="1082" spans="1:17" ht="15" customHeight="1" x14ac:dyDescent="0.25">
      <c r="A1082" s="3" t="s">
        <v>1616</v>
      </c>
      <c r="B1082" s="4" t="s">
        <v>2870</v>
      </c>
      <c r="C1082" t="s">
        <v>1415</v>
      </c>
      <c r="D1082">
        <v>1</v>
      </c>
      <c r="E1082" t="s">
        <v>974</v>
      </c>
      <c r="F1082" t="s">
        <v>975</v>
      </c>
      <c r="G1082" t="s">
        <v>180</v>
      </c>
      <c r="H1082" s="1" t="s">
        <v>976</v>
      </c>
      <c r="I1082" s="1">
        <v>390</v>
      </c>
      <c r="J1082" s="20">
        <v>0</v>
      </c>
      <c r="K1082" s="1">
        <v>32</v>
      </c>
      <c r="L1082" s="1">
        <v>0</v>
      </c>
      <c r="M1082" s="43" t="s">
        <v>2843</v>
      </c>
      <c r="O1082" s="2" t="s">
        <v>2528</v>
      </c>
      <c r="P1082" t="s">
        <v>22</v>
      </c>
      <c r="Q1082" t="s">
        <v>874</v>
      </c>
    </row>
    <row r="1083" spans="1:17" ht="15" customHeight="1" x14ac:dyDescent="0.25">
      <c r="A1083" s="3" t="s">
        <v>2157</v>
      </c>
      <c r="B1083" s="4" t="s">
        <v>2871</v>
      </c>
      <c r="C1083" t="s">
        <v>1595</v>
      </c>
      <c r="D1083">
        <v>1</v>
      </c>
      <c r="E1083" t="s">
        <v>974</v>
      </c>
      <c r="F1083" t="s">
        <v>975</v>
      </c>
      <c r="G1083" t="s">
        <v>180</v>
      </c>
      <c r="H1083" s="1" t="s">
        <v>976</v>
      </c>
      <c r="I1083" s="1">
        <v>590</v>
      </c>
      <c r="J1083" s="20">
        <v>4</v>
      </c>
      <c r="K1083" s="1">
        <v>117.87</v>
      </c>
      <c r="L1083" s="1">
        <v>471.48</v>
      </c>
      <c r="M1083" s="43" t="s">
        <v>2843</v>
      </c>
      <c r="O1083" s="2" t="s">
        <v>2447</v>
      </c>
      <c r="P1083" t="s">
        <v>23</v>
      </c>
      <c r="Q1083" t="s">
        <v>875</v>
      </c>
    </row>
    <row r="1084" spans="1:17" ht="15" customHeight="1" x14ac:dyDescent="0.25">
      <c r="A1084" s="42" t="s">
        <v>2157</v>
      </c>
      <c r="B1084" s="3" t="s">
        <v>2871</v>
      </c>
      <c r="C1084" s="42" t="s">
        <v>1595</v>
      </c>
      <c r="D1084">
        <v>2</v>
      </c>
      <c r="E1084" t="s">
        <v>1017</v>
      </c>
      <c r="F1084" t="s">
        <v>975</v>
      </c>
      <c r="G1084" t="s">
        <v>180</v>
      </c>
      <c r="H1084" s="1" t="s">
        <v>976</v>
      </c>
      <c r="I1084" s="1">
        <v>590</v>
      </c>
      <c r="J1084" s="20">
        <v>0</v>
      </c>
      <c r="K1084" s="1">
        <v>117.87</v>
      </c>
      <c r="L1084" s="1">
        <v>0</v>
      </c>
      <c r="M1084" s="43" t="s">
        <v>2843</v>
      </c>
      <c r="O1084" s="2" t="s">
        <v>2447</v>
      </c>
      <c r="P1084" t="s">
        <v>23</v>
      </c>
      <c r="Q1084" t="s">
        <v>875</v>
      </c>
    </row>
    <row r="1085" spans="1:17" ht="15" customHeight="1" x14ac:dyDescent="0.25">
      <c r="A1085" s="3" t="s">
        <v>1617</v>
      </c>
      <c r="B1085" s="4" t="s">
        <v>1415</v>
      </c>
      <c r="C1085" t="s">
        <v>1415</v>
      </c>
      <c r="D1085">
        <v>1</v>
      </c>
      <c r="E1085" t="s">
        <v>974</v>
      </c>
      <c r="F1085" t="s">
        <v>975</v>
      </c>
      <c r="G1085" t="s">
        <v>180</v>
      </c>
      <c r="H1085" s="1" t="s">
        <v>976</v>
      </c>
      <c r="I1085" s="1">
        <v>615</v>
      </c>
      <c r="J1085" s="20">
        <v>0</v>
      </c>
      <c r="K1085" s="1">
        <v>135.4</v>
      </c>
      <c r="L1085" s="1">
        <v>0</v>
      </c>
      <c r="M1085" s="43" t="s">
        <v>2843</v>
      </c>
      <c r="O1085" s="2" t="s">
        <v>2443</v>
      </c>
      <c r="P1085" t="s">
        <v>24</v>
      </c>
      <c r="Q1085" t="s">
        <v>876</v>
      </c>
    </row>
    <row r="1086" spans="1:17" ht="15" customHeight="1" x14ac:dyDescent="0.25">
      <c r="A1086" s="3" t="s">
        <v>1618</v>
      </c>
      <c r="B1086" s="4" t="s">
        <v>1415</v>
      </c>
      <c r="C1086" t="s">
        <v>1415</v>
      </c>
      <c r="D1086">
        <v>1</v>
      </c>
      <c r="E1086" t="s">
        <v>974</v>
      </c>
      <c r="F1086" t="s">
        <v>975</v>
      </c>
      <c r="G1086" t="s">
        <v>180</v>
      </c>
      <c r="H1086" s="1" t="s">
        <v>976</v>
      </c>
      <c r="I1086" s="1">
        <v>615</v>
      </c>
      <c r="J1086" s="20">
        <v>0</v>
      </c>
      <c r="K1086" s="1">
        <v>135.4</v>
      </c>
      <c r="L1086" s="1">
        <v>0</v>
      </c>
      <c r="M1086" s="43" t="s">
        <v>2843</v>
      </c>
      <c r="O1086" s="2" t="s">
        <v>2443</v>
      </c>
      <c r="P1086" t="s">
        <v>23</v>
      </c>
      <c r="Q1086" t="s">
        <v>876</v>
      </c>
    </row>
    <row r="1087" spans="1:17" ht="15" customHeight="1" x14ac:dyDescent="0.25">
      <c r="A1087" s="3" t="s">
        <v>1619</v>
      </c>
      <c r="B1087" s="4" t="s">
        <v>1415</v>
      </c>
      <c r="C1087" t="s">
        <v>1415</v>
      </c>
      <c r="D1087">
        <v>1</v>
      </c>
      <c r="E1087" t="s">
        <v>974</v>
      </c>
      <c r="F1087" t="s">
        <v>975</v>
      </c>
      <c r="G1087" t="s">
        <v>180</v>
      </c>
      <c r="H1087" s="1" t="s">
        <v>976</v>
      </c>
      <c r="I1087" s="1">
        <v>615</v>
      </c>
      <c r="J1087" s="20">
        <v>0</v>
      </c>
      <c r="K1087" s="1">
        <v>135.4</v>
      </c>
      <c r="L1087" s="1">
        <v>0</v>
      </c>
      <c r="M1087" s="43" t="s">
        <v>2843</v>
      </c>
      <c r="O1087" s="2" t="s">
        <v>2443</v>
      </c>
      <c r="P1087" t="s">
        <v>22</v>
      </c>
      <c r="Q1087" t="s">
        <v>876</v>
      </c>
    </row>
    <row r="1088" spans="1:17" ht="15" customHeight="1" x14ac:dyDescent="0.25">
      <c r="A1088" s="3" t="s">
        <v>1620</v>
      </c>
      <c r="B1088" s="4" t="s">
        <v>1595</v>
      </c>
      <c r="C1088" t="s">
        <v>1595</v>
      </c>
      <c r="D1088">
        <v>1</v>
      </c>
      <c r="E1088" t="s">
        <v>974</v>
      </c>
      <c r="F1088" t="s">
        <v>975</v>
      </c>
      <c r="G1088" t="s">
        <v>180</v>
      </c>
      <c r="H1088" s="1" t="s">
        <v>976</v>
      </c>
      <c r="I1088" s="1">
        <v>560</v>
      </c>
      <c r="J1088" s="20">
        <v>3</v>
      </c>
      <c r="K1088" s="1">
        <v>94.25</v>
      </c>
      <c r="L1088" s="1">
        <v>282.75</v>
      </c>
      <c r="M1088" s="43" t="s">
        <v>2872</v>
      </c>
      <c r="O1088" s="2" t="s">
        <v>2463</v>
      </c>
      <c r="P1088" t="s">
        <v>24</v>
      </c>
      <c r="Q1088" t="s">
        <v>877</v>
      </c>
    </row>
    <row r="1089" spans="1:17" ht="15" customHeight="1" x14ac:dyDescent="0.25">
      <c r="A1089" s="42" t="s">
        <v>1620</v>
      </c>
      <c r="B1089" s="3" t="s">
        <v>1595</v>
      </c>
      <c r="C1089" s="42" t="s">
        <v>1595</v>
      </c>
      <c r="D1089">
        <v>4</v>
      </c>
      <c r="E1089" t="s">
        <v>1018</v>
      </c>
      <c r="F1089" t="s">
        <v>975</v>
      </c>
      <c r="G1089" t="s">
        <v>180</v>
      </c>
      <c r="H1089" s="1" t="s">
        <v>976</v>
      </c>
      <c r="I1089" s="1">
        <v>560</v>
      </c>
      <c r="J1089" s="20">
        <v>1</v>
      </c>
      <c r="K1089" s="1">
        <v>560</v>
      </c>
      <c r="L1089" s="1">
        <v>560</v>
      </c>
      <c r="M1089" s="43" t="s">
        <v>2872</v>
      </c>
      <c r="O1089" s="2" t="s">
        <v>2463</v>
      </c>
      <c r="P1089" t="s">
        <v>24</v>
      </c>
      <c r="Q1089" t="s">
        <v>877</v>
      </c>
    </row>
    <row r="1090" spans="1:17" ht="15" customHeight="1" x14ac:dyDescent="0.25">
      <c r="A1090" s="3" t="s">
        <v>1621</v>
      </c>
      <c r="B1090" s="4" t="s">
        <v>1595</v>
      </c>
      <c r="C1090" t="s">
        <v>1595</v>
      </c>
      <c r="D1090">
        <v>1</v>
      </c>
      <c r="E1090" t="s">
        <v>974</v>
      </c>
      <c r="F1090" t="s">
        <v>975</v>
      </c>
      <c r="G1090" t="s">
        <v>180</v>
      </c>
      <c r="H1090" s="1" t="s">
        <v>976</v>
      </c>
      <c r="I1090" s="1">
        <v>560</v>
      </c>
      <c r="J1090" s="20">
        <v>2</v>
      </c>
      <c r="K1090" s="1">
        <v>94.25</v>
      </c>
      <c r="L1090" s="1">
        <v>188.5</v>
      </c>
      <c r="M1090" s="43" t="s">
        <v>2872</v>
      </c>
      <c r="O1090" s="2" t="s">
        <v>2463</v>
      </c>
      <c r="P1090" t="s">
        <v>25</v>
      </c>
      <c r="Q1090" t="s">
        <v>877</v>
      </c>
    </row>
    <row r="1091" spans="1:17" ht="15" customHeight="1" x14ac:dyDescent="0.25">
      <c r="A1091" s="3" t="s">
        <v>1622</v>
      </c>
      <c r="B1091" s="4" t="s">
        <v>1595</v>
      </c>
      <c r="C1091" t="s">
        <v>1595</v>
      </c>
      <c r="D1091">
        <v>1</v>
      </c>
      <c r="E1091" t="s">
        <v>974</v>
      </c>
      <c r="F1091" t="s">
        <v>975</v>
      </c>
      <c r="G1091" t="s">
        <v>180</v>
      </c>
      <c r="H1091" s="1" t="s">
        <v>976</v>
      </c>
      <c r="I1091" s="1">
        <v>560</v>
      </c>
      <c r="J1091" s="20">
        <v>0</v>
      </c>
      <c r="K1091" s="1">
        <v>94.25</v>
      </c>
      <c r="L1091" s="1">
        <v>0</v>
      </c>
      <c r="M1091" s="43" t="s">
        <v>2872</v>
      </c>
      <c r="O1091" s="2" t="s">
        <v>2463</v>
      </c>
      <c r="P1091" t="s">
        <v>23</v>
      </c>
      <c r="Q1091" t="s">
        <v>877</v>
      </c>
    </row>
    <row r="1092" spans="1:17" ht="15" customHeight="1" x14ac:dyDescent="0.25">
      <c r="A1092" s="42" t="s">
        <v>1622</v>
      </c>
      <c r="B1092" s="3" t="s">
        <v>1595</v>
      </c>
      <c r="C1092" s="42" t="s">
        <v>1595</v>
      </c>
      <c r="D1092">
        <v>2</v>
      </c>
      <c r="E1092" t="s">
        <v>1017</v>
      </c>
      <c r="F1092" t="s">
        <v>975</v>
      </c>
      <c r="G1092" t="s">
        <v>180</v>
      </c>
      <c r="H1092" s="1" t="s">
        <v>976</v>
      </c>
      <c r="I1092" s="1">
        <v>560</v>
      </c>
      <c r="J1092" s="20">
        <v>0</v>
      </c>
      <c r="K1092" s="1">
        <v>94.25</v>
      </c>
      <c r="L1092" s="1">
        <v>0</v>
      </c>
      <c r="M1092" s="43" t="s">
        <v>2872</v>
      </c>
      <c r="O1092" s="2" t="s">
        <v>2463</v>
      </c>
      <c r="P1092" t="s">
        <v>23</v>
      </c>
      <c r="Q1092" t="s">
        <v>877</v>
      </c>
    </row>
    <row r="1093" spans="1:17" ht="15" customHeight="1" x14ac:dyDescent="0.25">
      <c r="A1093" s="3" t="s">
        <v>1623</v>
      </c>
      <c r="B1093" s="4" t="s">
        <v>1595</v>
      </c>
      <c r="C1093" t="s">
        <v>1595</v>
      </c>
      <c r="D1093">
        <v>1</v>
      </c>
      <c r="E1093" t="s">
        <v>974</v>
      </c>
      <c r="F1093" t="s">
        <v>975</v>
      </c>
      <c r="G1093" t="s">
        <v>180</v>
      </c>
      <c r="H1093" s="1" t="s">
        <v>976</v>
      </c>
      <c r="I1093" s="1">
        <v>560</v>
      </c>
      <c r="J1093" s="20">
        <v>0</v>
      </c>
      <c r="K1093" s="1">
        <v>94.25</v>
      </c>
      <c r="L1093" s="1">
        <v>0</v>
      </c>
      <c r="M1093" s="43" t="s">
        <v>2872</v>
      </c>
      <c r="O1093" s="2" t="s">
        <v>2463</v>
      </c>
      <c r="P1093" t="s">
        <v>22</v>
      </c>
      <c r="Q1093" t="s">
        <v>877</v>
      </c>
    </row>
    <row r="1094" spans="1:17" ht="15" customHeight="1" x14ac:dyDescent="0.25">
      <c r="A1094" s="42" t="s">
        <v>1623</v>
      </c>
      <c r="B1094" s="3" t="s">
        <v>1595</v>
      </c>
      <c r="C1094" s="42" t="s">
        <v>1595</v>
      </c>
      <c r="D1094">
        <v>2</v>
      </c>
      <c r="E1094" t="s">
        <v>1017</v>
      </c>
      <c r="F1094" t="s">
        <v>975</v>
      </c>
      <c r="G1094" t="s">
        <v>180</v>
      </c>
      <c r="H1094" s="1" t="s">
        <v>976</v>
      </c>
      <c r="I1094" s="1">
        <v>560</v>
      </c>
      <c r="J1094" s="20">
        <v>0</v>
      </c>
      <c r="K1094" s="1">
        <v>94.25</v>
      </c>
      <c r="L1094" s="1">
        <v>0</v>
      </c>
      <c r="M1094" s="43" t="s">
        <v>2872</v>
      </c>
      <c r="O1094" s="2" t="s">
        <v>2463</v>
      </c>
      <c r="P1094" t="s">
        <v>22</v>
      </c>
      <c r="Q1094" t="s">
        <v>877</v>
      </c>
    </row>
    <row r="1095" spans="1:17" ht="15" customHeight="1" x14ac:dyDescent="0.25">
      <c r="A1095" s="3" t="s">
        <v>1624</v>
      </c>
      <c r="B1095" s="4" t="s">
        <v>2874</v>
      </c>
      <c r="C1095" t="s">
        <v>1595</v>
      </c>
      <c r="D1095">
        <v>1</v>
      </c>
      <c r="E1095" t="s">
        <v>974</v>
      </c>
      <c r="F1095" t="s">
        <v>975</v>
      </c>
      <c r="G1095" t="s">
        <v>180</v>
      </c>
      <c r="H1095" s="1" t="s">
        <v>976</v>
      </c>
      <c r="I1095" s="1">
        <v>1330</v>
      </c>
      <c r="J1095" s="20">
        <v>0</v>
      </c>
      <c r="K1095" s="1">
        <v>205.68</v>
      </c>
      <c r="L1095" s="1">
        <v>0</v>
      </c>
      <c r="M1095" s="43" t="s">
        <v>2873</v>
      </c>
      <c r="O1095" s="2" t="s">
        <v>2508</v>
      </c>
      <c r="P1095" t="s">
        <v>24</v>
      </c>
      <c r="Q1095" t="s">
        <v>878</v>
      </c>
    </row>
    <row r="1096" spans="1:17" ht="15" customHeight="1" x14ac:dyDescent="0.25">
      <c r="A1096" s="3" t="s">
        <v>1625</v>
      </c>
      <c r="B1096" s="4" t="s">
        <v>2874</v>
      </c>
      <c r="C1096" t="s">
        <v>1595</v>
      </c>
      <c r="D1096">
        <v>1</v>
      </c>
      <c r="E1096" t="s">
        <v>974</v>
      </c>
      <c r="F1096" t="s">
        <v>975</v>
      </c>
      <c r="G1096" t="s">
        <v>180</v>
      </c>
      <c r="H1096" s="1" t="s">
        <v>976</v>
      </c>
      <c r="I1096" s="1">
        <v>1330</v>
      </c>
      <c r="J1096" s="20">
        <v>0</v>
      </c>
      <c r="K1096" s="1">
        <v>205.68</v>
      </c>
      <c r="L1096" s="1">
        <v>0</v>
      </c>
      <c r="M1096" s="43" t="s">
        <v>2873</v>
      </c>
      <c r="O1096" s="2" t="s">
        <v>2508</v>
      </c>
      <c r="P1096" t="s">
        <v>25</v>
      </c>
      <c r="Q1096" t="s">
        <v>878</v>
      </c>
    </row>
    <row r="1097" spans="1:17" ht="15" customHeight="1" x14ac:dyDescent="0.25">
      <c r="A1097" s="3" t="s">
        <v>1626</v>
      </c>
      <c r="B1097" s="4" t="s">
        <v>2874</v>
      </c>
      <c r="C1097" t="s">
        <v>1595</v>
      </c>
      <c r="D1097">
        <v>1</v>
      </c>
      <c r="E1097" t="s">
        <v>974</v>
      </c>
      <c r="F1097" t="s">
        <v>975</v>
      </c>
      <c r="G1097" t="s">
        <v>180</v>
      </c>
      <c r="H1097" s="1" t="s">
        <v>976</v>
      </c>
      <c r="I1097" s="1">
        <v>1330</v>
      </c>
      <c r="J1097" s="20">
        <v>-1</v>
      </c>
      <c r="K1097" s="1">
        <v>205.68</v>
      </c>
      <c r="L1097" s="1">
        <v>-205.68</v>
      </c>
      <c r="M1097" s="43" t="s">
        <v>2873</v>
      </c>
      <c r="O1097" s="2" t="s">
        <v>2508</v>
      </c>
      <c r="P1097" t="s">
        <v>23</v>
      </c>
      <c r="Q1097" t="s">
        <v>878</v>
      </c>
    </row>
    <row r="1098" spans="1:17" ht="15" customHeight="1" x14ac:dyDescent="0.25">
      <c r="A1098" s="42" t="s">
        <v>1626</v>
      </c>
      <c r="B1098" s="3" t="s">
        <v>2874</v>
      </c>
      <c r="C1098" s="42" t="s">
        <v>1595</v>
      </c>
      <c r="D1098">
        <v>2</v>
      </c>
      <c r="E1098" t="s">
        <v>1017</v>
      </c>
      <c r="F1098" t="s">
        <v>975</v>
      </c>
      <c r="G1098" t="s">
        <v>180</v>
      </c>
      <c r="H1098" s="1" t="s">
        <v>976</v>
      </c>
      <c r="I1098" s="1">
        <v>1330</v>
      </c>
      <c r="J1098" s="20">
        <v>1</v>
      </c>
      <c r="K1098" s="1">
        <v>205.68</v>
      </c>
      <c r="L1098" s="1">
        <v>205.68</v>
      </c>
      <c r="M1098" s="43" t="s">
        <v>2873</v>
      </c>
      <c r="O1098" s="2" t="s">
        <v>2508</v>
      </c>
      <c r="P1098" t="s">
        <v>23</v>
      </c>
      <c r="Q1098" t="s">
        <v>878</v>
      </c>
    </row>
    <row r="1099" spans="1:17" ht="15" customHeight="1" x14ac:dyDescent="0.25">
      <c r="A1099" s="3" t="s">
        <v>1627</v>
      </c>
      <c r="B1099" s="4" t="s">
        <v>2874</v>
      </c>
      <c r="C1099" t="s">
        <v>1595</v>
      </c>
      <c r="D1099">
        <v>1</v>
      </c>
      <c r="E1099" t="s">
        <v>974</v>
      </c>
      <c r="F1099" t="s">
        <v>975</v>
      </c>
      <c r="G1099" t="s">
        <v>180</v>
      </c>
      <c r="H1099" s="1" t="s">
        <v>976</v>
      </c>
      <c r="I1099" s="1">
        <v>1330</v>
      </c>
      <c r="J1099" s="20">
        <v>0</v>
      </c>
      <c r="K1099" s="1">
        <v>205.68</v>
      </c>
      <c r="L1099" s="1">
        <v>0</v>
      </c>
      <c r="M1099" s="43" t="s">
        <v>2873</v>
      </c>
      <c r="O1099" s="2" t="s">
        <v>2508</v>
      </c>
      <c r="P1099" t="s">
        <v>22</v>
      </c>
      <c r="Q1099" t="s">
        <v>878</v>
      </c>
    </row>
    <row r="1100" spans="1:17" ht="15" customHeight="1" x14ac:dyDescent="0.25">
      <c r="A1100" s="42" t="s">
        <v>1627</v>
      </c>
      <c r="B1100" s="3" t="s">
        <v>2874</v>
      </c>
      <c r="C1100" s="42" t="s">
        <v>1595</v>
      </c>
      <c r="D1100">
        <v>2</v>
      </c>
      <c r="E1100" t="s">
        <v>1017</v>
      </c>
      <c r="F1100" t="s">
        <v>975</v>
      </c>
      <c r="G1100" t="s">
        <v>180</v>
      </c>
      <c r="H1100" s="1" t="s">
        <v>976</v>
      </c>
      <c r="I1100" s="1">
        <v>1330</v>
      </c>
      <c r="J1100" s="20">
        <v>1</v>
      </c>
      <c r="K1100" s="1">
        <v>205.68</v>
      </c>
      <c r="L1100" s="1">
        <v>205.68</v>
      </c>
      <c r="M1100" s="43" t="s">
        <v>2873</v>
      </c>
      <c r="O1100" s="2" t="s">
        <v>2508</v>
      </c>
      <c r="P1100" t="s">
        <v>22</v>
      </c>
      <c r="Q1100" t="s">
        <v>878</v>
      </c>
    </row>
    <row r="1101" spans="1:17" ht="15" customHeight="1" x14ac:dyDescent="0.25">
      <c r="A1101" s="3" t="s">
        <v>1628</v>
      </c>
      <c r="B1101" s="4" t="s">
        <v>2874</v>
      </c>
      <c r="C1101" t="s">
        <v>1415</v>
      </c>
      <c r="D1101">
        <v>1</v>
      </c>
      <c r="E1101" t="s">
        <v>974</v>
      </c>
      <c r="F1101" t="s">
        <v>975</v>
      </c>
      <c r="G1101" t="s">
        <v>180</v>
      </c>
      <c r="H1101" s="1" t="s">
        <v>976</v>
      </c>
      <c r="I1101" s="1">
        <v>1330</v>
      </c>
      <c r="J1101" s="20">
        <v>0</v>
      </c>
      <c r="K1101" s="1">
        <v>205.68</v>
      </c>
      <c r="L1101" s="1">
        <v>0</v>
      </c>
      <c r="M1101" s="43" t="s">
        <v>2873</v>
      </c>
      <c r="O1101" s="2" t="s">
        <v>2508</v>
      </c>
      <c r="P1101" t="s">
        <v>21</v>
      </c>
      <c r="Q1101" t="s">
        <v>878</v>
      </c>
    </row>
    <row r="1102" spans="1:17" ht="15" customHeight="1" x14ac:dyDescent="0.25">
      <c r="A1102" s="42" t="s">
        <v>1628</v>
      </c>
      <c r="B1102" s="3" t="s">
        <v>2874</v>
      </c>
      <c r="C1102" s="42" t="s">
        <v>1415</v>
      </c>
      <c r="D1102">
        <v>2</v>
      </c>
      <c r="E1102" t="s">
        <v>1017</v>
      </c>
      <c r="F1102" t="s">
        <v>975</v>
      </c>
      <c r="G1102" t="s">
        <v>180</v>
      </c>
      <c r="H1102" s="1" t="s">
        <v>976</v>
      </c>
      <c r="I1102" s="1">
        <v>1330</v>
      </c>
      <c r="J1102" s="20">
        <v>1</v>
      </c>
      <c r="K1102" s="1">
        <v>205.68</v>
      </c>
      <c r="L1102" s="1">
        <v>205.68</v>
      </c>
      <c r="M1102" s="43" t="s">
        <v>2873</v>
      </c>
      <c r="O1102" s="2" t="s">
        <v>2508</v>
      </c>
      <c r="P1102" t="s">
        <v>21</v>
      </c>
      <c r="Q1102" t="s">
        <v>878</v>
      </c>
    </row>
    <row r="1103" spans="1:17" ht="15" customHeight="1" x14ac:dyDescent="0.25">
      <c r="A1103" s="3" t="s">
        <v>1629</v>
      </c>
      <c r="B1103" s="4" t="s">
        <v>2874</v>
      </c>
      <c r="C1103" t="s">
        <v>1415</v>
      </c>
      <c r="D1103">
        <v>1</v>
      </c>
      <c r="E1103" t="s">
        <v>974</v>
      </c>
      <c r="F1103" t="s">
        <v>975</v>
      </c>
      <c r="G1103" t="s">
        <v>180</v>
      </c>
      <c r="H1103" s="1" t="s">
        <v>976</v>
      </c>
      <c r="I1103" s="1">
        <v>0</v>
      </c>
      <c r="J1103" s="20">
        <v>1</v>
      </c>
      <c r="K1103" s="1">
        <v>100</v>
      </c>
      <c r="L1103" s="1">
        <v>100</v>
      </c>
      <c r="M1103" s="43" t="s">
        <v>2873</v>
      </c>
      <c r="N1103" s="1" t="s">
        <v>2616</v>
      </c>
      <c r="O1103" s="2" t="s">
        <v>2508</v>
      </c>
      <c r="Q1103" t="s">
        <v>878</v>
      </c>
    </row>
    <row r="1104" spans="1:17" ht="15" customHeight="1" x14ac:dyDescent="0.25">
      <c r="A1104" s="3" t="s">
        <v>1630</v>
      </c>
      <c r="B1104" s="4" t="s">
        <v>2874</v>
      </c>
      <c r="C1104" t="s">
        <v>1595</v>
      </c>
      <c r="D1104">
        <v>1</v>
      </c>
      <c r="E1104" t="s">
        <v>974</v>
      </c>
      <c r="F1104" t="s">
        <v>975</v>
      </c>
      <c r="G1104" t="s">
        <v>180</v>
      </c>
      <c r="H1104" s="1" t="s">
        <v>976</v>
      </c>
      <c r="I1104" s="1">
        <v>1330</v>
      </c>
      <c r="J1104" s="20">
        <v>0</v>
      </c>
      <c r="K1104" s="1">
        <v>230</v>
      </c>
      <c r="L1104" s="1">
        <v>0</v>
      </c>
      <c r="M1104" s="43" t="s">
        <v>2873</v>
      </c>
      <c r="O1104" s="2" t="s">
        <v>2482</v>
      </c>
      <c r="P1104" t="s">
        <v>24</v>
      </c>
      <c r="Q1104" t="s">
        <v>879</v>
      </c>
    </row>
    <row r="1105" spans="1:17" ht="15" customHeight="1" x14ac:dyDescent="0.25">
      <c r="A1105" s="3" t="s">
        <v>1631</v>
      </c>
      <c r="B1105" s="4" t="s">
        <v>2874</v>
      </c>
      <c r="C1105" t="s">
        <v>1595</v>
      </c>
      <c r="D1105">
        <v>1</v>
      </c>
      <c r="E1105" t="s">
        <v>974</v>
      </c>
      <c r="F1105" t="s">
        <v>975</v>
      </c>
      <c r="G1105" t="s">
        <v>180</v>
      </c>
      <c r="H1105" s="1" t="s">
        <v>976</v>
      </c>
      <c r="I1105" s="1">
        <v>1330</v>
      </c>
      <c r="J1105" s="20">
        <v>0</v>
      </c>
      <c r="K1105" s="1">
        <v>230</v>
      </c>
      <c r="L1105" s="1">
        <v>0</v>
      </c>
      <c r="M1105" s="43" t="s">
        <v>2873</v>
      </c>
      <c r="O1105" s="2" t="s">
        <v>2482</v>
      </c>
      <c r="P1105" t="s">
        <v>25</v>
      </c>
      <c r="Q1105" t="s">
        <v>879</v>
      </c>
    </row>
    <row r="1106" spans="1:17" ht="15" customHeight="1" x14ac:dyDescent="0.25">
      <c r="A1106" s="3" t="s">
        <v>1632</v>
      </c>
      <c r="B1106" s="4" t="s">
        <v>2874</v>
      </c>
      <c r="C1106" t="s">
        <v>1595</v>
      </c>
      <c r="D1106">
        <v>1</v>
      </c>
      <c r="E1106" t="s">
        <v>974</v>
      </c>
      <c r="F1106" t="s">
        <v>975</v>
      </c>
      <c r="G1106" t="s">
        <v>180</v>
      </c>
      <c r="H1106" s="1" t="s">
        <v>976</v>
      </c>
      <c r="I1106" s="1">
        <v>1330</v>
      </c>
      <c r="J1106" s="20">
        <v>0</v>
      </c>
      <c r="K1106" s="1">
        <v>230</v>
      </c>
      <c r="L1106" s="1">
        <v>0</v>
      </c>
      <c r="M1106" s="43" t="s">
        <v>2873</v>
      </c>
      <c r="O1106" s="2" t="s">
        <v>2482</v>
      </c>
      <c r="P1106" t="s">
        <v>23</v>
      </c>
      <c r="Q1106" t="s">
        <v>879</v>
      </c>
    </row>
    <row r="1107" spans="1:17" ht="15" customHeight="1" x14ac:dyDescent="0.25">
      <c r="A1107" s="42" t="s">
        <v>1632</v>
      </c>
      <c r="B1107" s="3" t="s">
        <v>2874</v>
      </c>
      <c r="C1107" s="42" t="s">
        <v>1595</v>
      </c>
      <c r="D1107">
        <v>4</v>
      </c>
      <c r="E1107" t="s">
        <v>1018</v>
      </c>
      <c r="F1107" t="s">
        <v>975</v>
      </c>
      <c r="G1107" t="s">
        <v>180</v>
      </c>
      <c r="H1107" s="1" t="s">
        <v>976</v>
      </c>
      <c r="I1107" s="1">
        <v>1330</v>
      </c>
      <c r="J1107" s="20">
        <v>1</v>
      </c>
      <c r="K1107" s="1">
        <v>0</v>
      </c>
      <c r="L1107" s="1">
        <v>0</v>
      </c>
      <c r="M1107" s="43" t="s">
        <v>2873</v>
      </c>
      <c r="O1107" s="2" t="s">
        <v>2482</v>
      </c>
      <c r="P1107" t="s">
        <v>23</v>
      </c>
      <c r="Q1107" t="s">
        <v>879</v>
      </c>
    </row>
    <row r="1108" spans="1:17" ht="15" customHeight="1" x14ac:dyDescent="0.25">
      <c r="A1108" s="3" t="s">
        <v>1633</v>
      </c>
      <c r="B1108" s="4" t="s">
        <v>2874</v>
      </c>
      <c r="C1108" t="s">
        <v>1595</v>
      </c>
      <c r="D1108">
        <v>1</v>
      </c>
      <c r="E1108" t="s">
        <v>974</v>
      </c>
      <c r="F1108" t="s">
        <v>975</v>
      </c>
      <c r="G1108" t="s">
        <v>180</v>
      </c>
      <c r="H1108" s="1" t="s">
        <v>976</v>
      </c>
      <c r="I1108" s="1">
        <v>1330</v>
      </c>
      <c r="J1108" s="20">
        <v>0</v>
      </c>
      <c r="K1108" s="1">
        <v>230</v>
      </c>
      <c r="L1108" s="1">
        <v>0</v>
      </c>
      <c r="M1108" s="43" t="s">
        <v>2873</v>
      </c>
      <c r="O1108" s="2" t="s">
        <v>2482</v>
      </c>
      <c r="P1108" t="s">
        <v>22</v>
      </c>
      <c r="Q1108" t="s">
        <v>879</v>
      </c>
    </row>
    <row r="1109" spans="1:17" ht="15" customHeight="1" x14ac:dyDescent="0.25">
      <c r="A1109" s="3" t="s">
        <v>1634</v>
      </c>
      <c r="B1109" s="4" t="s">
        <v>2874</v>
      </c>
      <c r="C1109" t="s">
        <v>1595</v>
      </c>
      <c r="D1109">
        <v>4</v>
      </c>
      <c r="E1109" t="s">
        <v>1018</v>
      </c>
      <c r="F1109" t="s">
        <v>975</v>
      </c>
      <c r="G1109" t="s">
        <v>180</v>
      </c>
      <c r="H1109" s="1" t="s">
        <v>976</v>
      </c>
      <c r="I1109" s="1">
        <v>1330</v>
      </c>
      <c r="J1109" s="20">
        <v>0</v>
      </c>
      <c r="K1109" s="1">
        <v>0</v>
      </c>
      <c r="L1109" s="1">
        <v>0</v>
      </c>
      <c r="M1109" s="43" t="s">
        <v>2873</v>
      </c>
      <c r="N1109" s="1" t="s">
        <v>2616</v>
      </c>
      <c r="O1109" s="2" t="s">
        <v>2482</v>
      </c>
      <c r="Q1109" t="s">
        <v>879</v>
      </c>
    </row>
    <row r="1110" spans="1:17" ht="15" customHeight="1" x14ac:dyDescent="0.25">
      <c r="A1110" s="3" t="s">
        <v>1635</v>
      </c>
      <c r="B1110" s="4" t="s">
        <v>2874</v>
      </c>
      <c r="C1110" t="s">
        <v>1595</v>
      </c>
      <c r="D1110">
        <v>1</v>
      </c>
      <c r="E1110" t="s">
        <v>974</v>
      </c>
      <c r="F1110" t="s">
        <v>975</v>
      </c>
      <c r="G1110" t="s">
        <v>180</v>
      </c>
      <c r="H1110" s="1" t="s">
        <v>976</v>
      </c>
      <c r="I1110" s="1">
        <v>1330</v>
      </c>
      <c r="J1110" s="20">
        <v>0</v>
      </c>
      <c r="K1110" s="1">
        <v>230</v>
      </c>
      <c r="L1110" s="1">
        <v>0</v>
      </c>
      <c r="M1110" s="43" t="s">
        <v>2873</v>
      </c>
      <c r="O1110" s="2" t="s">
        <v>2482</v>
      </c>
      <c r="P1110" t="s">
        <v>21</v>
      </c>
      <c r="Q1110" t="s">
        <v>879</v>
      </c>
    </row>
    <row r="1111" spans="1:17" ht="15" customHeight="1" x14ac:dyDescent="0.25">
      <c r="A1111" s="3" t="s">
        <v>1636</v>
      </c>
      <c r="B1111" s="4" t="s">
        <v>325</v>
      </c>
      <c r="C1111" t="s">
        <v>1595</v>
      </c>
      <c r="D1111">
        <v>1</v>
      </c>
      <c r="E1111" t="s">
        <v>974</v>
      </c>
      <c r="F1111" t="s">
        <v>975</v>
      </c>
      <c r="G1111" t="s">
        <v>976</v>
      </c>
      <c r="H1111" s="1" t="s">
        <v>976</v>
      </c>
      <c r="I1111" s="1">
        <v>880</v>
      </c>
      <c r="J1111" s="20">
        <v>14</v>
      </c>
      <c r="K1111" s="1">
        <v>160</v>
      </c>
      <c r="L1111" s="1">
        <v>2240</v>
      </c>
      <c r="M1111" s="43" t="s">
        <v>2873</v>
      </c>
      <c r="P1111" t="s">
        <v>24</v>
      </c>
      <c r="Q1111" t="s">
        <v>325</v>
      </c>
    </row>
    <row r="1112" spans="1:17" ht="15" customHeight="1" x14ac:dyDescent="0.25">
      <c r="A1112" s="3" t="s">
        <v>1637</v>
      </c>
      <c r="B1112" s="4" t="s">
        <v>326</v>
      </c>
      <c r="C1112" t="s">
        <v>1595</v>
      </c>
      <c r="D1112">
        <v>1</v>
      </c>
      <c r="E1112" t="s">
        <v>974</v>
      </c>
      <c r="F1112" t="s">
        <v>975</v>
      </c>
      <c r="G1112" t="s">
        <v>976</v>
      </c>
      <c r="H1112" s="1" t="s">
        <v>976</v>
      </c>
      <c r="I1112" s="1">
        <v>880</v>
      </c>
      <c r="J1112" s="20">
        <v>1</v>
      </c>
      <c r="K1112" s="1">
        <v>160</v>
      </c>
      <c r="L1112" s="1">
        <v>160</v>
      </c>
      <c r="M1112" s="43" t="s">
        <v>2873</v>
      </c>
      <c r="P1112" t="s">
        <v>25</v>
      </c>
      <c r="Q1112" t="s">
        <v>326</v>
      </c>
    </row>
    <row r="1113" spans="1:17" ht="15" customHeight="1" x14ac:dyDescent="0.25">
      <c r="A1113" s="3" t="s">
        <v>1638</v>
      </c>
      <c r="B1113" s="4" t="s">
        <v>327</v>
      </c>
      <c r="C1113" t="s">
        <v>1595</v>
      </c>
      <c r="D1113">
        <v>1</v>
      </c>
      <c r="E1113" t="s">
        <v>974</v>
      </c>
      <c r="F1113" t="s">
        <v>975</v>
      </c>
      <c r="G1113" t="s">
        <v>976</v>
      </c>
      <c r="H1113" s="1" t="s">
        <v>976</v>
      </c>
      <c r="I1113" s="1">
        <v>880</v>
      </c>
      <c r="J1113" s="20">
        <v>14</v>
      </c>
      <c r="K1113" s="1">
        <v>160</v>
      </c>
      <c r="L1113" s="1">
        <v>2240</v>
      </c>
      <c r="M1113" s="43" t="s">
        <v>2873</v>
      </c>
      <c r="P1113" t="s">
        <v>23</v>
      </c>
      <c r="Q1113" t="s">
        <v>327</v>
      </c>
    </row>
    <row r="1114" spans="1:17" ht="15" customHeight="1" x14ac:dyDescent="0.25">
      <c r="A1114" s="3" t="s">
        <v>1639</v>
      </c>
      <c r="B1114" s="4" t="s">
        <v>328</v>
      </c>
      <c r="C1114" t="s">
        <v>1595</v>
      </c>
      <c r="D1114">
        <v>1</v>
      </c>
      <c r="E1114" t="s">
        <v>974</v>
      </c>
      <c r="F1114" t="s">
        <v>975</v>
      </c>
      <c r="G1114" t="s">
        <v>976</v>
      </c>
      <c r="H1114" s="1" t="s">
        <v>976</v>
      </c>
      <c r="I1114" s="1">
        <v>880</v>
      </c>
      <c r="J1114" s="20">
        <v>4</v>
      </c>
      <c r="K1114" s="1">
        <v>160</v>
      </c>
      <c r="L1114" s="1">
        <v>640</v>
      </c>
      <c r="M1114" s="43" t="s">
        <v>2873</v>
      </c>
      <c r="P1114" t="s">
        <v>22</v>
      </c>
      <c r="Q1114" t="s">
        <v>328</v>
      </c>
    </row>
    <row r="1115" spans="1:17" ht="15" customHeight="1" x14ac:dyDescent="0.25">
      <c r="A1115" s="3" t="s">
        <v>2158</v>
      </c>
      <c r="B1115" s="4" t="s">
        <v>2871</v>
      </c>
      <c r="C1115" t="s">
        <v>1595</v>
      </c>
      <c r="D1115">
        <v>1</v>
      </c>
      <c r="E1115" t="s">
        <v>974</v>
      </c>
      <c r="F1115" t="s">
        <v>975</v>
      </c>
      <c r="G1115" t="s">
        <v>180</v>
      </c>
      <c r="H1115" s="1" t="s">
        <v>976</v>
      </c>
      <c r="I1115" s="1">
        <v>590</v>
      </c>
      <c r="J1115" s="20">
        <v>0</v>
      </c>
      <c r="K1115" s="1">
        <v>117.87</v>
      </c>
      <c r="L1115" s="1">
        <v>0</v>
      </c>
      <c r="M1115" s="43" t="s">
        <v>2873</v>
      </c>
      <c r="O1115" s="2" t="s">
        <v>2437</v>
      </c>
      <c r="P1115" t="s">
        <v>24</v>
      </c>
      <c r="Q1115" t="s">
        <v>880</v>
      </c>
    </row>
    <row r="1116" spans="1:17" ht="15" customHeight="1" x14ac:dyDescent="0.25">
      <c r="A1116" s="42" t="s">
        <v>2158</v>
      </c>
      <c r="B1116" s="3" t="s">
        <v>2871</v>
      </c>
      <c r="C1116" s="42" t="s">
        <v>1595</v>
      </c>
      <c r="D1116">
        <v>3</v>
      </c>
      <c r="E1116" t="s">
        <v>1179</v>
      </c>
      <c r="F1116" t="s">
        <v>1180</v>
      </c>
      <c r="G1116" t="s">
        <v>180</v>
      </c>
      <c r="H1116" s="1" t="s">
        <v>976</v>
      </c>
      <c r="I1116" s="1">
        <v>590</v>
      </c>
      <c r="J1116" s="20">
        <v>0</v>
      </c>
      <c r="K1116" s="1">
        <v>0</v>
      </c>
      <c r="L1116" s="1">
        <v>0</v>
      </c>
      <c r="M1116" s="43" t="s">
        <v>2873</v>
      </c>
      <c r="O1116" s="2" t="s">
        <v>2437</v>
      </c>
      <c r="P1116" t="s">
        <v>24</v>
      </c>
      <c r="Q1116" t="s">
        <v>880</v>
      </c>
    </row>
    <row r="1117" spans="1:17" ht="15" customHeight="1" x14ac:dyDescent="0.25">
      <c r="A1117" s="3" t="s">
        <v>2159</v>
      </c>
      <c r="B1117" s="4" t="s">
        <v>2871</v>
      </c>
      <c r="C1117" t="s">
        <v>1595</v>
      </c>
      <c r="D1117">
        <v>1</v>
      </c>
      <c r="E1117" t="s">
        <v>974</v>
      </c>
      <c r="F1117" t="s">
        <v>975</v>
      </c>
      <c r="G1117" t="s">
        <v>180</v>
      </c>
      <c r="H1117" s="1" t="s">
        <v>976</v>
      </c>
      <c r="I1117" s="1">
        <v>590</v>
      </c>
      <c r="J1117" s="20">
        <v>0</v>
      </c>
      <c r="K1117" s="1">
        <v>117.87</v>
      </c>
      <c r="L1117" s="1">
        <v>0</v>
      </c>
      <c r="M1117" s="43" t="s">
        <v>2873</v>
      </c>
      <c r="O1117" s="2" t="s">
        <v>2437</v>
      </c>
      <c r="P1117" t="s">
        <v>23</v>
      </c>
      <c r="Q1117" t="s">
        <v>880</v>
      </c>
    </row>
    <row r="1118" spans="1:17" ht="15" customHeight="1" x14ac:dyDescent="0.25">
      <c r="A1118" s="42" t="s">
        <v>2159</v>
      </c>
      <c r="B1118" s="3" t="s">
        <v>2871</v>
      </c>
      <c r="C1118" s="42" t="s">
        <v>1595</v>
      </c>
      <c r="D1118">
        <v>3</v>
      </c>
      <c r="E1118" t="s">
        <v>1179</v>
      </c>
      <c r="F1118" t="s">
        <v>1180</v>
      </c>
      <c r="G1118" t="s">
        <v>180</v>
      </c>
      <c r="H1118" s="1" t="s">
        <v>976</v>
      </c>
      <c r="I1118" s="1">
        <v>590</v>
      </c>
      <c r="J1118" s="20">
        <v>0</v>
      </c>
      <c r="K1118" s="1">
        <v>0</v>
      </c>
      <c r="L1118" s="1">
        <v>0</v>
      </c>
      <c r="M1118" s="43" t="s">
        <v>2873</v>
      </c>
      <c r="O1118" s="2" t="s">
        <v>2437</v>
      </c>
      <c r="P1118" t="s">
        <v>23</v>
      </c>
      <c r="Q1118" t="s">
        <v>880</v>
      </c>
    </row>
    <row r="1119" spans="1:17" ht="15" customHeight="1" x14ac:dyDescent="0.25">
      <c r="A1119" s="3" t="s">
        <v>1640</v>
      </c>
      <c r="B1119" s="4" t="s">
        <v>2875</v>
      </c>
      <c r="C1119" t="s">
        <v>1595</v>
      </c>
      <c r="D1119">
        <v>1</v>
      </c>
      <c r="E1119" t="s">
        <v>974</v>
      </c>
      <c r="F1119" t="s">
        <v>975</v>
      </c>
      <c r="G1119" t="s">
        <v>180</v>
      </c>
      <c r="H1119" s="1" t="s">
        <v>976</v>
      </c>
      <c r="I1119" s="1">
        <v>640</v>
      </c>
      <c r="J1119" s="20">
        <v>0</v>
      </c>
      <c r="K1119" s="1">
        <v>0</v>
      </c>
      <c r="L1119" s="1">
        <v>0</v>
      </c>
      <c r="M1119" s="43" t="s">
        <v>2873</v>
      </c>
      <c r="O1119" s="2" t="s">
        <v>2482</v>
      </c>
      <c r="P1119" t="s">
        <v>23</v>
      </c>
      <c r="Q1119" t="s">
        <v>881</v>
      </c>
    </row>
    <row r="1120" spans="1:17" ht="15" customHeight="1" x14ac:dyDescent="0.25">
      <c r="A1120" s="42" t="s">
        <v>1640</v>
      </c>
      <c r="B1120" s="3" t="s">
        <v>2875</v>
      </c>
      <c r="C1120" s="42" t="s">
        <v>1595</v>
      </c>
      <c r="D1120">
        <v>3</v>
      </c>
      <c r="E1120" t="s">
        <v>1179</v>
      </c>
      <c r="F1120" t="s">
        <v>1180</v>
      </c>
      <c r="G1120" t="s">
        <v>180</v>
      </c>
      <c r="H1120" s="1" t="s">
        <v>976</v>
      </c>
      <c r="I1120" s="1">
        <v>640</v>
      </c>
      <c r="J1120" s="20">
        <v>0</v>
      </c>
      <c r="K1120" s="1">
        <v>0</v>
      </c>
      <c r="L1120" s="1">
        <v>0</v>
      </c>
      <c r="M1120" s="43" t="s">
        <v>2873</v>
      </c>
      <c r="O1120" s="2" t="s">
        <v>2482</v>
      </c>
      <c r="P1120" t="s">
        <v>23</v>
      </c>
      <c r="Q1120" t="s">
        <v>881</v>
      </c>
    </row>
    <row r="1121" spans="1:17" ht="15" customHeight="1" x14ac:dyDescent="0.25">
      <c r="A1121" s="3" t="s">
        <v>1641</v>
      </c>
      <c r="B1121" s="4" t="s">
        <v>2876</v>
      </c>
      <c r="C1121" t="s">
        <v>1595</v>
      </c>
      <c r="D1121">
        <v>1</v>
      </c>
      <c r="E1121" t="s">
        <v>974</v>
      </c>
      <c r="F1121" t="s">
        <v>975</v>
      </c>
      <c r="G1121" t="s">
        <v>180</v>
      </c>
      <c r="H1121" s="1" t="s">
        <v>976</v>
      </c>
      <c r="I1121" s="1">
        <v>810</v>
      </c>
      <c r="J1121" s="20">
        <v>3</v>
      </c>
      <c r="K1121" s="1">
        <v>116.66666600000001</v>
      </c>
      <c r="L1121" s="1">
        <v>350</v>
      </c>
      <c r="M1121" s="43" t="s">
        <v>2873</v>
      </c>
      <c r="O1121" s="2" t="s">
        <v>2447</v>
      </c>
      <c r="P1121" t="s">
        <v>24</v>
      </c>
      <c r="Q1121" t="s">
        <v>882</v>
      </c>
    </row>
    <row r="1122" spans="1:17" ht="15" customHeight="1" x14ac:dyDescent="0.25">
      <c r="A1122" s="42" t="s">
        <v>1641</v>
      </c>
      <c r="B1122" s="3" t="s">
        <v>2876</v>
      </c>
      <c r="C1122" s="42" t="s">
        <v>1595</v>
      </c>
      <c r="D1122">
        <v>3</v>
      </c>
      <c r="E1122" t="s">
        <v>1179</v>
      </c>
      <c r="F1122" t="s">
        <v>1180</v>
      </c>
      <c r="G1122" t="s">
        <v>180</v>
      </c>
      <c r="H1122" s="1" t="s">
        <v>976</v>
      </c>
      <c r="I1122" s="1">
        <v>810</v>
      </c>
      <c r="J1122" s="20">
        <v>0</v>
      </c>
      <c r="K1122" s="1">
        <v>90</v>
      </c>
      <c r="L1122" s="1">
        <v>0</v>
      </c>
      <c r="M1122" s="43" t="s">
        <v>2873</v>
      </c>
      <c r="O1122" s="2" t="s">
        <v>2447</v>
      </c>
      <c r="P1122" t="s">
        <v>24</v>
      </c>
      <c r="Q1122" t="s">
        <v>882</v>
      </c>
    </row>
    <row r="1123" spans="1:17" ht="15" customHeight="1" x14ac:dyDescent="0.25">
      <c r="A1123" s="3" t="s">
        <v>1642</v>
      </c>
      <c r="B1123" s="4" t="s">
        <v>2876</v>
      </c>
      <c r="C1123" t="s">
        <v>1595</v>
      </c>
      <c r="D1123">
        <v>1</v>
      </c>
      <c r="E1123" t="s">
        <v>974</v>
      </c>
      <c r="F1123" t="s">
        <v>975</v>
      </c>
      <c r="G1123" t="s">
        <v>180</v>
      </c>
      <c r="H1123" s="1" t="s">
        <v>976</v>
      </c>
      <c r="I1123" s="1">
        <v>810</v>
      </c>
      <c r="J1123" s="20">
        <v>2</v>
      </c>
      <c r="K1123" s="1">
        <v>170</v>
      </c>
      <c r="L1123" s="1">
        <v>340</v>
      </c>
      <c r="M1123" s="43" t="s">
        <v>2873</v>
      </c>
      <c r="O1123" s="2" t="s">
        <v>2447</v>
      </c>
      <c r="P1123" t="s">
        <v>23</v>
      </c>
      <c r="Q1123" t="s">
        <v>882</v>
      </c>
    </row>
    <row r="1124" spans="1:17" ht="15" customHeight="1" x14ac:dyDescent="0.25">
      <c r="A1124" s="42" t="s">
        <v>1642</v>
      </c>
      <c r="B1124" s="3" t="s">
        <v>2876</v>
      </c>
      <c r="C1124" s="42" t="s">
        <v>1595</v>
      </c>
      <c r="D1124">
        <v>3</v>
      </c>
      <c r="E1124" t="s">
        <v>1179</v>
      </c>
      <c r="F1124" t="s">
        <v>1180</v>
      </c>
      <c r="G1124" t="s">
        <v>180</v>
      </c>
      <c r="H1124" s="1" t="s">
        <v>976</v>
      </c>
      <c r="I1124" s="1">
        <v>810</v>
      </c>
      <c r="J1124" s="20">
        <v>0</v>
      </c>
      <c r="K1124" s="1">
        <v>0</v>
      </c>
      <c r="L1124" s="1">
        <v>0</v>
      </c>
      <c r="M1124" s="43" t="s">
        <v>2873</v>
      </c>
      <c r="O1124" s="2" t="s">
        <v>2447</v>
      </c>
      <c r="P1124" t="s">
        <v>23</v>
      </c>
      <c r="Q1124" t="s">
        <v>882</v>
      </c>
    </row>
    <row r="1125" spans="1:17" ht="15" customHeight="1" x14ac:dyDescent="0.25">
      <c r="A1125" s="3" t="s">
        <v>1643</v>
      </c>
      <c r="B1125" s="4" t="s">
        <v>2876</v>
      </c>
      <c r="C1125" t="s">
        <v>1595</v>
      </c>
      <c r="D1125">
        <v>1</v>
      </c>
      <c r="E1125" t="s">
        <v>974</v>
      </c>
      <c r="F1125" t="s">
        <v>975</v>
      </c>
      <c r="G1125" t="s">
        <v>180</v>
      </c>
      <c r="H1125" s="1" t="s">
        <v>976</v>
      </c>
      <c r="I1125" s="1">
        <v>810</v>
      </c>
      <c r="J1125" s="20">
        <v>0</v>
      </c>
      <c r="K1125" s="1">
        <v>0</v>
      </c>
      <c r="L1125" s="1">
        <v>0</v>
      </c>
      <c r="M1125" s="43" t="s">
        <v>2873</v>
      </c>
      <c r="O1125" s="2" t="s">
        <v>2447</v>
      </c>
      <c r="P1125" t="s">
        <v>22</v>
      </c>
      <c r="Q1125" t="s">
        <v>882</v>
      </c>
    </row>
    <row r="1126" spans="1:17" ht="15" customHeight="1" x14ac:dyDescent="0.25">
      <c r="A1126" s="3" t="s">
        <v>2411</v>
      </c>
      <c r="B1126" s="4" t="s">
        <v>2877</v>
      </c>
      <c r="C1126" t="s">
        <v>1595</v>
      </c>
      <c r="D1126">
        <v>1</v>
      </c>
      <c r="E1126" t="s">
        <v>974</v>
      </c>
      <c r="F1126" t="s">
        <v>975</v>
      </c>
      <c r="G1126" t="s">
        <v>976</v>
      </c>
      <c r="H1126" s="1" t="s">
        <v>976</v>
      </c>
      <c r="I1126" s="1">
        <v>870</v>
      </c>
      <c r="J1126" s="20">
        <v>7</v>
      </c>
      <c r="K1126" s="1">
        <v>172</v>
      </c>
      <c r="L1126" s="1">
        <v>1204</v>
      </c>
      <c r="M1126" s="43" t="s">
        <v>2873</v>
      </c>
      <c r="O1126" s="2" t="s">
        <v>2447</v>
      </c>
      <c r="P1126" t="s">
        <v>24</v>
      </c>
      <c r="Q1126" t="s">
        <v>883</v>
      </c>
    </row>
    <row r="1127" spans="1:17" ht="15" customHeight="1" x14ac:dyDescent="0.25">
      <c r="A1127" s="3" t="s">
        <v>2412</v>
      </c>
      <c r="B1127" s="4" t="s">
        <v>2877</v>
      </c>
      <c r="C1127" t="s">
        <v>1595</v>
      </c>
      <c r="D1127">
        <v>1</v>
      </c>
      <c r="E1127" t="s">
        <v>974</v>
      </c>
      <c r="F1127" t="s">
        <v>975</v>
      </c>
      <c r="G1127" t="s">
        <v>976</v>
      </c>
      <c r="H1127" s="1" t="s">
        <v>976</v>
      </c>
      <c r="I1127" s="1">
        <v>870</v>
      </c>
      <c r="J1127" s="20">
        <v>2</v>
      </c>
      <c r="K1127" s="1">
        <v>172</v>
      </c>
      <c r="L1127" s="1">
        <v>344</v>
      </c>
      <c r="M1127" s="43" t="s">
        <v>2873</v>
      </c>
      <c r="O1127" s="2" t="s">
        <v>2447</v>
      </c>
      <c r="P1127" t="s">
        <v>25</v>
      </c>
      <c r="Q1127" t="s">
        <v>883</v>
      </c>
    </row>
    <row r="1128" spans="1:17" ht="15" customHeight="1" x14ac:dyDescent="0.25">
      <c r="A1128" s="3" t="s">
        <v>2413</v>
      </c>
      <c r="B1128" s="4" t="s">
        <v>2877</v>
      </c>
      <c r="C1128" t="s">
        <v>1595</v>
      </c>
      <c r="D1128">
        <v>1</v>
      </c>
      <c r="E1128" t="s">
        <v>974</v>
      </c>
      <c r="F1128" t="s">
        <v>975</v>
      </c>
      <c r="G1128" t="s">
        <v>976</v>
      </c>
      <c r="H1128" s="1" t="s">
        <v>976</v>
      </c>
      <c r="I1128" s="1">
        <v>870</v>
      </c>
      <c r="J1128" s="20">
        <v>14</v>
      </c>
      <c r="K1128" s="1">
        <v>162.94736800000001</v>
      </c>
      <c r="L1128" s="1">
        <v>2281.2600000000002</v>
      </c>
      <c r="M1128" s="43" t="s">
        <v>2873</v>
      </c>
      <c r="O1128" s="2" t="s">
        <v>2447</v>
      </c>
      <c r="P1128" t="s">
        <v>23</v>
      </c>
      <c r="Q1128" t="s">
        <v>883</v>
      </c>
    </row>
    <row r="1129" spans="1:17" ht="15" customHeight="1" x14ac:dyDescent="0.25">
      <c r="A1129" s="3" t="s">
        <v>2414</v>
      </c>
      <c r="B1129" s="4" t="s">
        <v>2877</v>
      </c>
      <c r="C1129" t="s">
        <v>1595</v>
      </c>
      <c r="D1129">
        <v>1</v>
      </c>
      <c r="E1129" t="s">
        <v>974</v>
      </c>
      <c r="F1129" t="s">
        <v>975</v>
      </c>
      <c r="G1129" t="s">
        <v>976</v>
      </c>
      <c r="H1129" s="1" t="s">
        <v>976</v>
      </c>
      <c r="I1129" s="1">
        <v>870</v>
      </c>
      <c r="J1129" s="20">
        <v>9</v>
      </c>
      <c r="K1129" s="1">
        <v>172</v>
      </c>
      <c r="L1129" s="1">
        <v>1548</v>
      </c>
      <c r="M1129" s="43" t="s">
        <v>2873</v>
      </c>
      <c r="O1129" s="2" t="s">
        <v>2447</v>
      </c>
      <c r="P1129" t="s">
        <v>22</v>
      </c>
      <c r="Q1129" t="s">
        <v>883</v>
      </c>
    </row>
    <row r="1130" spans="1:17" ht="15" customHeight="1" x14ac:dyDescent="0.25">
      <c r="A1130" s="3" t="s">
        <v>2415</v>
      </c>
      <c r="B1130" s="4" t="s">
        <v>2877</v>
      </c>
      <c r="C1130" t="s">
        <v>1595</v>
      </c>
      <c r="D1130">
        <v>1</v>
      </c>
      <c r="E1130" t="s">
        <v>974</v>
      </c>
      <c r="F1130" t="s">
        <v>975</v>
      </c>
      <c r="G1130" t="s">
        <v>976</v>
      </c>
      <c r="H1130" s="1" t="s">
        <v>976</v>
      </c>
      <c r="I1130" s="1">
        <v>870</v>
      </c>
      <c r="J1130" s="20">
        <v>2</v>
      </c>
      <c r="K1130" s="1">
        <v>172</v>
      </c>
      <c r="L1130" s="1">
        <v>344</v>
      </c>
      <c r="M1130" s="43" t="s">
        <v>2873</v>
      </c>
      <c r="O1130" s="2" t="s">
        <v>2447</v>
      </c>
      <c r="P1130" t="s">
        <v>21</v>
      </c>
      <c r="Q1130" t="s">
        <v>883</v>
      </c>
    </row>
    <row r="1131" spans="1:17" ht="15" customHeight="1" x14ac:dyDescent="0.25">
      <c r="A1131" s="3" t="s">
        <v>2416</v>
      </c>
      <c r="B1131" s="4" t="s">
        <v>2877</v>
      </c>
      <c r="C1131" t="s">
        <v>1595</v>
      </c>
      <c r="D1131">
        <v>1</v>
      </c>
      <c r="E1131" t="s">
        <v>974</v>
      </c>
      <c r="F1131" t="s">
        <v>975</v>
      </c>
      <c r="G1131" t="s">
        <v>976</v>
      </c>
      <c r="H1131" s="1" t="s">
        <v>976</v>
      </c>
      <c r="I1131" s="1">
        <v>870</v>
      </c>
      <c r="J1131" s="20">
        <v>4</v>
      </c>
      <c r="K1131" s="1">
        <v>172</v>
      </c>
      <c r="L1131" s="1">
        <v>688</v>
      </c>
      <c r="M1131" s="43" t="s">
        <v>2873</v>
      </c>
      <c r="O1131" s="2" t="s">
        <v>2443</v>
      </c>
      <c r="P1131" t="s">
        <v>24</v>
      </c>
      <c r="Q1131" t="s">
        <v>884</v>
      </c>
    </row>
    <row r="1132" spans="1:17" ht="15" customHeight="1" x14ac:dyDescent="0.25">
      <c r="A1132" s="3" t="s">
        <v>2417</v>
      </c>
      <c r="B1132" s="4" t="s">
        <v>2877</v>
      </c>
      <c r="C1132" t="s">
        <v>1595</v>
      </c>
      <c r="D1132">
        <v>1</v>
      </c>
      <c r="E1132" t="s">
        <v>974</v>
      </c>
      <c r="F1132" t="s">
        <v>975</v>
      </c>
      <c r="G1132" t="s">
        <v>976</v>
      </c>
      <c r="H1132" s="1" t="s">
        <v>976</v>
      </c>
      <c r="I1132" s="1">
        <v>870</v>
      </c>
      <c r="J1132" s="20">
        <v>0</v>
      </c>
      <c r="K1132" s="1">
        <v>172</v>
      </c>
      <c r="L1132" s="1">
        <v>0</v>
      </c>
      <c r="M1132" s="43" t="s">
        <v>2873</v>
      </c>
      <c r="O1132" s="2" t="s">
        <v>2443</v>
      </c>
      <c r="P1132" t="s">
        <v>25</v>
      </c>
      <c r="Q1132" t="s">
        <v>884</v>
      </c>
    </row>
    <row r="1133" spans="1:17" ht="15" customHeight="1" x14ac:dyDescent="0.25">
      <c r="A1133" s="3" t="s">
        <v>2418</v>
      </c>
      <c r="B1133" s="4" t="s">
        <v>2877</v>
      </c>
      <c r="C1133" t="s">
        <v>1595</v>
      </c>
      <c r="D1133">
        <v>1</v>
      </c>
      <c r="E1133" t="s">
        <v>974</v>
      </c>
      <c r="F1133" t="s">
        <v>975</v>
      </c>
      <c r="G1133" t="s">
        <v>976</v>
      </c>
      <c r="H1133" s="1" t="s">
        <v>976</v>
      </c>
      <c r="I1133" s="1">
        <v>870</v>
      </c>
      <c r="J1133" s="20">
        <v>14</v>
      </c>
      <c r="K1133" s="1">
        <v>172</v>
      </c>
      <c r="L1133" s="1">
        <v>2408</v>
      </c>
      <c r="M1133" s="43" t="s">
        <v>2873</v>
      </c>
      <c r="O1133" s="2" t="s">
        <v>2443</v>
      </c>
      <c r="P1133" t="s">
        <v>23</v>
      </c>
      <c r="Q1133" t="s">
        <v>884</v>
      </c>
    </row>
    <row r="1134" spans="1:17" ht="15" customHeight="1" x14ac:dyDescent="0.25">
      <c r="A1134" s="3" t="s">
        <v>2419</v>
      </c>
      <c r="B1134" s="4" t="s">
        <v>2877</v>
      </c>
      <c r="C1134" t="s">
        <v>1595</v>
      </c>
      <c r="D1134">
        <v>1</v>
      </c>
      <c r="E1134" t="s">
        <v>974</v>
      </c>
      <c r="F1134" t="s">
        <v>975</v>
      </c>
      <c r="G1134" t="s">
        <v>976</v>
      </c>
      <c r="H1134" s="1" t="s">
        <v>976</v>
      </c>
      <c r="I1134" s="1">
        <v>870</v>
      </c>
      <c r="J1134" s="20">
        <v>3</v>
      </c>
      <c r="K1134" s="1">
        <v>172</v>
      </c>
      <c r="L1134" s="1">
        <v>516</v>
      </c>
      <c r="M1134" s="43" t="s">
        <v>2873</v>
      </c>
      <c r="O1134" s="2" t="s">
        <v>2443</v>
      </c>
      <c r="P1134" t="s">
        <v>22</v>
      </c>
      <c r="Q1134" t="s">
        <v>884</v>
      </c>
    </row>
    <row r="1135" spans="1:17" ht="15" customHeight="1" x14ac:dyDescent="0.25">
      <c r="A1135" s="3" t="s">
        <v>2420</v>
      </c>
      <c r="B1135" s="4" t="s">
        <v>2877</v>
      </c>
      <c r="C1135" t="s">
        <v>1595</v>
      </c>
      <c r="D1135">
        <v>1</v>
      </c>
      <c r="E1135" t="s">
        <v>974</v>
      </c>
      <c r="F1135" t="s">
        <v>975</v>
      </c>
      <c r="G1135" t="s">
        <v>976</v>
      </c>
      <c r="H1135" s="1" t="s">
        <v>976</v>
      </c>
      <c r="I1135" s="1">
        <v>870</v>
      </c>
      <c r="J1135" s="20">
        <v>2</v>
      </c>
      <c r="K1135" s="1">
        <v>172</v>
      </c>
      <c r="L1135" s="1">
        <v>344</v>
      </c>
      <c r="M1135" s="43" t="s">
        <v>2873</v>
      </c>
      <c r="O1135" s="2" t="s">
        <v>2443</v>
      </c>
      <c r="P1135" t="s">
        <v>21</v>
      </c>
      <c r="Q1135" t="s">
        <v>884</v>
      </c>
    </row>
    <row r="1136" spans="1:17" ht="15" customHeight="1" x14ac:dyDescent="0.25">
      <c r="A1136" s="3" t="s">
        <v>1644</v>
      </c>
      <c r="B1136" s="4" t="s">
        <v>2878</v>
      </c>
      <c r="C1136" t="s">
        <v>1595</v>
      </c>
      <c r="D1136">
        <v>1</v>
      </c>
      <c r="E1136" t="s">
        <v>974</v>
      </c>
      <c r="F1136" t="s">
        <v>975</v>
      </c>
      <c r="G1136" t="s">
        <v>180</v>
      </c>
      <c r="H1136" s="1" t="s">
        <v>976</v>
      </c>
      <c r="I1136" s="1">
        <v>615</v>
      </c>
      <c r="J1136" s="20">
        <v>0</v>
      </c>
      <c r="K1136" s="1">
        <v>0</v>
      </c>
      <c r="L1136" s="1">
        <v>0</v>
      </c>
      <c r="M1136" s="43" t="s">
        <v>2873</v>
      </c>
      <c r="O1136" s="2" t="s">
        <v>2443</v>
      </c>
      <c r="Q1136" t="s">
        <v>885</v>
      </c>
    </row>
    <row r="1137" spans="1:17" ht="15" customHeight="1" x14ac:dyDescent="0.25">
      <c r="A1137" s="3" t="s">
        <v>1645</v>
      </c>
      <c r="B1137" s="4" t="s">
        <v>2879</v>
      </c>
      <c r="C1137" t="s">
        <v>1595</v>
      </c>
      <c r="D1137">
        <v>1</v>
      </c>
      <c r="E1137" t="s">
        <v>974</v>
      </c>
      <c r="F1137" t="s">
        <v>975</v>
      </c>
      <c r="G1137" t="s">
        <v>180</v>
      </c>
      <c r="H1137" s="1" t="s">
        <v>976</v>
      </c>
      <c r="I1137" s="1">
        <v>915</v>
      </c>
      <c r="J1137" s="20">
        <v>0</v>
      </c>
      <c r="K1137" s="1">
        <v>176.5</v>
      </c>
      <c r="L1137" s="1">
        <v>0</v>
      </c>
      <c r="M1137" s="43" t="s">
        <v>2873</v>
      </c>
      <c r="O1137" s="2" t="s">
        <v>2443</v>
      </c>
      <c r="Q1137" t="s">
        <v>886</v>
      </c>
    </row>
    <row r="1138" spans="1:17" ht="15" customHeight="1" x14ac:dyDescent="0.25">
      <c r="A1138" s="3" t="s">
        <v>1646</v>
      </c>
      <c r="B1138" s="4" t="s">
        <v>2879</v>
      </c>
      <c r="C1138" t="s">
        <v>1595</v>
      </c>
      <c r="D1138">
        <v>1</v>
      </c>
      <c r="E1138" t="s">
        <v>974</v>
      </c>
      <c r="F1138" t="s">
        <v>975</v>
      </c>
      <c r="G1138" t="s">
        <v>180</v>
      </c>
      <c r="H1138" s="1" t="s">
        <v>976</v>
      </c>
      <c r="I1138" s="1">
        <v>915</v>
      </c>
      <c r="J1138" s="20">
        <v>0</v>
      </c>
      <c r="K1138" s="1">
        <v>178.66666599999999</v>
      </c>
      <c r="L1138" s="1">
        <v>0</v>
      </c>
      <c r="M1138" s="43" t="s">
        <v>2873</v>
      </c>
      <c r="O1138" s="2" t="s">
        <v>2443</v>
      </c>
      <c r="Q1138" t="s">
        <v>886</v>
      </c>
    </row>
    <row r="1139" spans="1:17" ht="15" customHeight="1" x14ac:dyDescent="0.25">
      <c r="A1139" s="3" t="s">
        <v>1647</v>
      </c>
      <c r="B1139" s="4" t="s">
        <v>2879</v>
      </c>
      <c r="C1139" t="s">
        <v>1595</v>
      </c>
      <c r="D1139">
        <v>1</v>
      </c>
      <c r="E1139" t="s">
        <v>974</v>
      </c>
      <c r="F1139" t="s">
        <v>975</v>
      </c>
      <c r="G1139" t="s">
        <v>180</v>
      </c>
      <c r="H1139" s="1" t="s">
        <v>976</v>
      </c>
      <c r="I1139" s="1">
        <v>915</v>
      </c>
      <c r="J1139" s="20">
        <v>0</v>
      </c>
      <c r="K1139" s="1">
        <v>0</v>
      </c>
      <c r="L1139" s="1">
        <v>0</v>
      </c>
      <c r="M1139" s="43" t="s">
        <v>2873</v>
      </c>
      <c r="O1139" s="2" t="s">
        <v>2443</v>
      </c>
      <c r="P1139" t="s">
        <v>22</v>
      </c>
      <c r="Q1139" t="s">
        <v>886</v>
      </c>
    </row>
    <row r="1140" spans="1:17" ht="15" customHeight="1" x14ac:dyDescent="0.25">
      <c r="A1140" s="3" t="s">
        <v>1648</v>
      </c>
      <c r="B1140" s="4" t="s">
        <v>2880</v>
      </c>
      <c r="C1140" t="s">
        <v>1595</v>
      </c>
      <c r="D1140">
        <v>1</v>
      </c>
      <c r="E1140" t="s">
        <v>974</v>
      </c>
      <c r="F1140" t="s">
        <v>975</v>
      </c>
      <c r="G1140" t="s">
        <v>180</v>
      </c>
      <c r="H1140" s="1" t="s">
        <v>976</v>
      </c>
      <c r="I1140" s="1">
        <v>740</v>
      </c>
      <c r="J1140" s="20">
        <v>2</v>
      </c>
      <c r="K1140" s="1">
        <v>132.19999999999999</v>
      </c>
      <c r="L1140" s="1">
        <v>264.39999999999998</v>
      </c>
      <c r="M1140" s="43" t="s">
        <v>2873</v>
      </c>
      <c r="O1140" s="2" t="s">
        <v>2447</v>
      </c>
      <c r="P1140" t="s">
        <v>24</v>
      </c>
      <c r="Q1140" t="s">
        <v>887</v>
      </c>
    </row>
    <row r="1141" spans="1:17" ht="15" customHeight="1" x14ac:dyDescent="0.25">
      <c r="A1141" s="3" t="s">
        <v>1649</v>
      </c>
      <c r="B1141" s="4" t="s">
        <v>2880</v>
      </c>
      <c r="C1141" t="s">
        <v>1595</v>
      </c>
      <c r="D1141">
        <v>1</v>
      </c>
      <c r="E1141" t="s">
        <v>974</v>
      </c>
      <c r="F1141" t="s">
        <v>975</v>
      </c>
      <c r="G1141" t="s">
        <v>180</v>
      </c>
      <c r="H1141" s="1" t="s">
        <v>976</v>
      </c>
      <c r="I1141" s="1">
        <v>740</v>
      </c>
      <c r="J1141" s="20">
        <v>5</v>
      </c>
      <c r="K1141" s="1">
        <v>132.19999999999999</v>
      </c>
      <c r="L1141" s="1">
        <v>661</v>
      </c>
      <c r="M1141" s="43" t="s">
        <v>2873</v>
      </c>
      <c r="O1141" s="2" t="s">
        <v>2447</v>
      </c>
      <c r="P1141" t="s">
        <v>23</v>
      </c>
      <c r="Q1141" t="s">
        <v>887</v>
      </c>
    </row>
    <row r="1142" spans="1:17" ht="15" customHeight="1" x14ac:dyDescent="0.25">
      <c r="A1142" s="3" t="s">
        <v>1650</v>
      </c>
      <c r="B1142" s="4" t="s">
        <v>2880</v>
      </c>
      <c r="C1142" t="s">
        <v>1595</v>
      </c>
      <c r="D1142">
        <v>1</v>
      </c>
      <c r="E1142" t="s">
        <v>974</v>
      </c>
      <c r="F1142" t="s">
        <v>975</v>
      </c>
      <c r="G1142" t="s">
        <v>180</v>
      </c>
      <c r="H1142" s="1" t="s">
        <v>976</v>
      </c>
      <c r="I1142" s="1">
        <v>740</v>
      </c>
      <c r="J1142" s="20">
        <v>2</v>
      </c>
      <c r="K1142" s="1">
        <v>132.19999999999999</v>
      </c>
      <c r="L1142" s="1">
        <v>264.39999999999998</v>
      </c>
      <c r="M1142" s="43" t="s">
        <v>2873</v>
      </c>
      <c r="O1142" s="2" t="s">
        <v>2447</v>
      </c>
      <c r="P1142" t="s">
        <v>22</v>
      </c>
      <c r="Q1142" t="s">
        <v>887</v>
      </c>
    </row>
    <row r="1143" spans="1:17" ht="15" customHeight="1" x14ac:dyDescent="0.25">
      <c r="A1143" s="3" t="s">
        <v>1651</v>
      </c>
      <c r="B1143" s="4" t="s">
        <v>329</v>
      </c>
      <c r="C1143" t="s">
        <v>1595</v>
      </c>
      <c r="D1143">
        <v>1</v>
      </c>
      <c r="E1143" t="s">
        <v>974</v>
      </c>
      <c r="F1143" t="s">
        <v>975</v>
      </c>
      <c r="G1143" t="s">
        <v>180</v>
      </c>
      <c r="H1143" s="1" t="s">
        <v>976</v>
      </c>
      <c r="I1143" s="1">
        <v>740</v>
      </c>
      <c r="J1143" s="20">
        <v>4</v>
      </c>
      <c r="K1143" s="1">
        <v>104.59</v>
      </c>
      <c r="L1143" s="1">
        <v>418.36</v>
      </c>
      <c r="M1143" s="43" t="s">
        <v>2873</v>
      </c>
      <c r="P1143" t="s">
        <v>24</v>
      </c>
      <c r="Q1143" t="s">
        <v>329</v>
      </c>
    </row>
    <row r="1144" spans="1:17" ht="15" customHeight="1" x14ac:dyDescent="0.25">
      <c r="A1144" s="3" t="s">
        <v>1652</v>
      </c>
      <c r="B1144" s="4" t="s">
        <v>330</v>
      </c>
      <c r="C1144" t="s">
        <v>1595</v>
      </c>
      <c r="D1144">
        <v>1</v>
      </c>
      <c r="E1144" t="s">
        <v>974</v>
      </c>
      <c r="F1144" t="s">
        <v>975</v>
      </c>
      <c r="G1144" t="s">
        <v>180</v>
      </c>
      <c r="H1144" s="1" t="s">
        <v>976</v>
      </c>
      <c r="I1144" s="1">
        <v>740</v>
      </c>
      <c r="J1144" s="20">
        <v>1</v>
      </c>
      <c r="K1144" s="1">
        <v>104.59</v>
      </c>
      <c r="L1144" s="1">
        <v>104.59</v>
      </c>
      <c r="M1144" s="43" t="s">
        <v>2873</v>
      </c>
      <c r="P1144" t="s">
        <v>25</v>
      </c>
      <c r="Q1144" t="s">
        <v>330</v>
      </c>
    </row>
    <row r="1145" spans="1:17" ht="15" customHeight="1" x14ac:dyDescent="0.25">
      <c r="A1145" s="3" t="s">
        <v>1653</v>
      </c>
      <c r="B1145" s="4" t="s">
        <v>331</v>
      </c>
      <c r="C1145" t="s">
        <v>1595</v>
      </c>
      <c r="D1145">
        <v>1</v>
      </c>
      <c r="E1145" t="s">
        <v>974</v>
      </c>
      <c r="F1145" t="s">
        <v>975</v>
      </c>
      <c r="G1145" t="s">
        <v>180</v>
      </c>
      <c r="H1145" s="1" t="s">
        <v>976</v>
      </c>
      <c r="I1145" s="1">
        <v>740</v>
      </c>
      <c r="J1145" s="20">
        <v>0</v>
      </c>
      <c r="K1145" s="1">
        <v>104.59</v>
      </c>
      <c r="L1145" s="1">
        <v>0</v>
      </c>
      <c r="M1145" s="43" t="s">
        <v>2873</v>
      </c>
      <c r="P1145" t="s">
        <v>23</v>
      </c>
      <c r="Q1145" t="s">
        <v>331</v>
      </c>
    </row>
    <row r="1146" spans="1:17" ht="15" customHeight="1" x14ac:dyDescent="0.25">
      <c r="A1146" s="3" t="s">
        <v>1654</v>
      </c>
      <c r="B1146" s="4" t="s">
        <v>332</v>
      </c>
      <c r="C1146" t="s">
        <v>1595</v>
      </c>
      <c r="D1146">
        <v>1</v>
      </c>
      <c r="E1146" t="s">
        <v>974</v>
      </c>
      <c r="F1146" t="s">
        <v>975</v>
      </c>
      <c r="G1146" t="s">
        <v>180</v>
      </c>
      <c r="H1146" s="1" t="s">
        <v>976</v>
      </c>
      <c r="I1146" s="1">
        <v>740</v>
      </c>
      <c r="J1146" s="20">
        <v>0</v>
      </c>
      <c r="K1146" s="1">
        <v>104.59</v>
      </c>
      <c r="L1146" s="1">
        <v>0</v>
      </c>
      <c r="M1146" s="43" t="s">
        <v>2873</v>
      </c>
      <c r="P1146" t="s">
        <v>22</v>
      </c>
      <c r="Q1146" t="s">
        <v>332</v>
      </c>
    </row>
    <row r="1147" spans="1:17" ht="15" customHeight="1" x14ac:dyDescent="0.25">
      <c r="A1147" s="3" t="s">
        <v>1655</v>
      </c>
      <c r="B1147" s="4" t="s">
        <v>2880</v>
      </c>
      <c r="C1147" t="s">
        <v>1595</v>
      </c>
      <c r="D1147">
        <v>1</v>
      </c>
      <c r="E1147" t="s">
        <v>974</v>
      </c>
      <c r="F1147" t="s">
        <v>975</v>
      </c>
      <c r="G1147" t="s">
        <v>180</v>
      </c>
      <c r="H1147" s="1" t="s">
        <v>976</v>
      </c>
      <c r="I1147" s="1">
        <v>740</v>
      </c>
      <c r="J1147" s="20">
        <v>3</v>
      </c>
      <c r="K1147" s="1">
        <v>132.19999999999999</v>
      </c>
      <c r="L1147" s="1">
        <v>396.6</v>
      </c>
      <c r="M1147" s="43" t="s">
        <v>2873</v>
      </c>
      <c r="O1147" s="2" t="s">
        <v>2482</v>
      </c>
      <c r="P1147" t="s">
        <v>24</v>
      </c>
      <c r="Q1147" t="s">
        <v>888</v>
      </c>
    </row>
    <row r="1148" spans="1:17" ht="15" customHeight="1" x14ac:dyDescent="0.25">
      <c r="A1148" s="3" t="s">
        <v>1656</v>
      </c>
      <c r="B1148" s="4" t="s">
        <v>2880</v>
      </c>
      <c r="C1148" t="s">
        <v>1595</v>
      </c>
      <c r="D1148">
        <v>1</v>
      </c>
      <c r="E1148" t="s">
        <v>974</v>
      </c>
      <c r="F1148" t="s">
        <v>975</v>
      </c>
      <c r="G1148" t="s">
        <v>180</v>
      </c>
      <c r="H1148" s="1" t="s">
        <v>976</v>
      </c>
      <c r="I1148" s="1">
        <v>585</v>
      </c>
      <c r="J1148" s="20">
        <v>0</v>
      </c>
      <c r="K1148" s="1">
        <v>104.59</v>
      </c>
      <c r="L1148" s="1">
        <v>0</v>
      </c>
      <c r="M1148" s="43" t="s">
        <v>2873</v>
      </c>
      <c r="O1148" s="2" t="s">
        <v>2482</v>
      </c>
      <c r="P1148" t="s">
        <v>25</v>
      </c>
      <c r="Q1148" t="s">
        <v>888</v>
      </c>
    </row>
    <row r="1149" spans="1:17" ht="15" customHeight="1" x14ac:dyDescent="0.25">
      <c r="A1149" s="3" t="s">
        <v>1657</v>
      </c>
      <c r="B1149" s="4" t="s">
        <v>2880</v>
      </c>
      <c r="C1149" t="s">
        <v>1595</v>
      </c>
      <c r="D1149">
        <v>1</v>
      </c>
      <c r="E1149" t="s">
        <v>974</v>
      </c>
      <c r="F1149" t="s">
        <v>975</v>
      </c>
      <c r="G1149" t="s">
        <v>180</v>
      </c>
      <c r="H1149" s="1" t="s">
        <v>976</v>
      </c>
      <c r="I1149" s="1">
        <v>740</v>
      </c>
      <c r="J1149" s="20">
        <v>0</v>
      </c>
      <c r="K1149" s="1">
        <v>132.19999999999999</v>
      </c>
      <c r="L1149" s="1">
        <v>0</v>
      </c>
      <c r="M1149" s="43" t="s">
        <v>2873</v>
      </c>
      <c r="O1149" s="2" t="s">
        <v>2482</v>
      </c>
      <c r="P1149" t="s">
        <v>23</v>
      </c>
      <c r="Q1149" t="s">
        <v>888</v>
      </c>
    </row>
    <row r="1150" spans="1:17" ht="15" customHeight="1" x14ac:dyDescent="0.25">
      <c r="A1150" s="3" t="s">
        <v>1658</v>
      </c>
      <c r="B1150" s="4" t="s">
        <v>2880</v>
      </c>
      <c r="C1150" t="s">
        <v>1595</v>
      </c>
      <c r="D1150">
        <v>1</v>
      </c>
      <c r="E1150" t="s">
        <v>974</v>
      </c>
      <c r="F1150" t="s">
        <v>975</v>
      </c>
      <c r="G1150" t="s">
        <v>180</v>
      </c>
      <c r="H1150" s="1" t="s">
        <v>976</v>
      </c>
      <c r="I1150" s="1">
        <v>740</v>
      </c>
      <c r="J1150" s="20">
        <v>6</v>
      </c>
      <c r="K1150" s="1">
        <v>130.22999999999999</v>
      </c>
      <c r="L1150" s="1">
        <v>781.38</v>
      </c>
      <c r="M1150" s="43" t="s">
        <v>2873</v>
      </c>
      <c r="O1150" s="2" t="s">
        <v>2482</v>
      </c>
      <c r="P1150" t="s">
        <v>22</v>
      </c>
      <c r="Q1150" t="s">
        <v>888</v>
      </c>
    </row>
    <row r="1151" spans="1:17" ht="15" customHeight="1" x14ac:dyDescent="0.25">
      <c r="A1151" s="3" t="s">
        <v>1659</v>
      </c>
      <c r="B1151" s="4" t="s">
        <v>333</v>
      </c>
      <c r="C1151" t="s">
        <v>1595</v>
      </c>
      <c r="D1151">
        <v>1</v>
      </c>
      <c r="E1151" t="s">
        <v>974</v>
      </c>
      <c r="F1151" t="s">
        <v>975</v>
      </c>
      <c r="G1151" t="s">
        <v>180</v>
      </c>
      <c r="H1151" s="1" t="s">
        <v>976</v>
      </c>
      <c r="I1151" s="1">
        <v>1480</v>
      </c>
      <c r="J1151" s="20">
        <v>0</v>
      </c>
      <c r="K1151" s="1">
        <v>200</v>
      </c>
      <c r="L1151" s="1">
        <v>0</v>
      </c>
      <c r="M1151" s="43" t="s">
        <v>2873</v>
      </c>
      <c r="P1151" t="s">
        <v>23</v>
      </c>
      <c r="Q1151" t="s">
        <v>333</v>
      </c>
    </row>
    <row r="1152" spans="1:17" ht="15" customHeight="1" x14ac:dyDescent="0.25">
      <c r="A1152" s="3" t="s">
        <v>1660</v>
      </c>
      <c r="B1152" s="4" t="s">
        <v>2881</v>
      </c>
      <c r="C1152" t="s">
        <v>1595</v>
      </c>
      <c r="D1152">
        <v>1</v>
      </c>
      <c r="E1152" t="s">
        <v>974</v>
      </c>
      <c r="F1152" t="s">
        <v>975</v>
      </c>
      <c r="G1152" t="s">
        <v>180</v>
      </c>
      <c r="H1152" s="1" t="s">
        <v>976</v>
      </c>
      <c r="I1152" s="1">
        <v>630</v>
      </c>
      <c r="J1152" s="20">
        <v>1</v>
      </c>
      <c r="K1152" s="1">
        <v>112.68</v>
      </c>
      <c r="L1152" s="1">
        <v>112.68</v>
      </c>
      <c r="M1152" s="43" t="s">
        <v>2873</v>
      </c>
      <c r="O1152" s="2" t="s">
        <v>2447</v>
      </c>
      <c r="P1152" t="s">
        <v>24</v>
      </c>
      <c r="Q1152" t="s">
        <v>889</v>
      </c>
    </row>
    <row r="1153" spans="1:17" ht="15" customHeight="1" x14ac:dyDescent="0.25">
      <c r="A1153" s="42" t="s">
        <v>1660</v>
      </c>
      <c r="B1153" s="3" t="s">
        <v>2881</v>
      </c>
      <c r="C1153" s="42" t="s">
        <v>1595</v>
      </c>
      <c r="D1153">
        <v>3</v>
      </c>
      <c r="E1153" t="s">
        <v>1179</v>
      </c>
      <c r="F1153" t="s">
        <v>1180</v>
      </c>
      <c r="G1153" t="s">
        <v>180</v>
      </c>
      <c r="H1153" s="1" t="s">
        <v>976</v>
      </c>
      <c r="I1153" s="1">
        <v>630</v>
      </c>
      <c r="J1153" s="20">
        <v>0</v>
      </c>
      <c r="K1153" s="1">
        <v>112.68</v>
      </c>
      <c r="L1153" s="1">
        <v>0</v>
      </c>
      <c r="M1153" s="43" t="s">
        <v>2873</v>
      </c>
      <c r="O1153" s="2" t="s">
        <v>2447</v>
      </c>
      <c r="P1153" t="s">
        <v>24</v>
      </c>
      <c r="Q1153" t="s">
        <v>889</v>
      </c>
    </row>
    <row r="1154" spans="1:17" ht="15" customHeight="1" x14ac:dyDescent="0.25">
      <c r="A1154" s="3" t="s">
        <v>1661</v>
      </c>
      <c r="B1154" s="4" t="s">
        <v>2881</v>
      </c>
      <c r="C1154" t="s">
        <v>1595</v>
      </c>
      <c r="D1154">
        <v>1</v>
      </c>
      <c r="E1154" t="s">
        <v>974</v>
      </c>
      <c r="F1154" t="s">
        <v>975</v>
      </c>
      <c r="G1154" t="s">
        <v>976</v>
      </c>
      <c r="H1154" s="1" t="s">
        <v>976</v>
      </c>
      <c r="I1154" s="1">
        <v>630</v>
      </c>
      <c r="J1154" s="20">
        <v>1</v>
      </c>
      <c r="K1154" s="1">
        <v>112.68</v>
      </c>
      <c r="L1154" s="1">
        <v>112.68</v>
      </c>
      <c r="M1154" s="43" t="s">
        <v>2873</v>
      </c>
      <c r="O1154" s="2" t="s">
        <v>2447</v>
      </c>
      <c r="P1154" t="s">
        <v>25</v>
      </c>
      <c r="Q1154" t="s">
        <v>889</v>
      </c>
    </row>
    <row r="1155" spans="1:17" ht="15" customHeight="1" x14ac:dyDescent="0.25">
      <c r="A1155" s="3" t="s">
        <v>1662</v>
      </c>
      <c r="B1155" s="4" t="s">
        <v>2881</v>
      </c>
      <c r="C1155" t="s">
        <v>1595</v>
      </c>
      <c r="D1155">
        <v>1</v>
      </c>
      <c r="E1155" t="s">
        <v>974</v>
      </c>
      <c r="F1155" t="s">
        <v>975</v>
      </c>
      <c r="G1155" t="s">
        <v>976</v>
      </c>
      <c r="H1155" s="1" t="s">
        <v>976</v>
      </c>
      <c r="I1155" s="1">
        <v>630</v>
      </c>
      <c r="J1155" s="20">
        <v>0</v>
      </c>
      <c r="K1155" s="1">
        <v>112.68</v>
      </c>
      <c r="L1155" s="1">
        <v>0</v>
      </c>
      <c r="M1155" s="43" t="s">
        <v>2873</v>
      </c>
      <c r="O1155" s="2" t="s">
        <v>2447</v>
      </c>
      <c r="P1155" t="s">
        <v>23</v>
      </c>
      <c r="Q1155" t="s">
        <v>889</v>
      </c>
    </row>
    <row r="1156" spans="1:17" ht="15" customHeight="1" x14ac:dyDescent="0.25">
      <c r="A1156" s="42" t="s">
        <v>1662</v>
      </c>
      <c r="B1156" s="3" t="s">
        <v>2881</v>
      </c>
      <c r="C1156" s="42" t="s">
        <v>1595</v>
      </c>
      <c r="D1156">
        <v>3</v>
      </c>
      <c r="E1156" t="s">
        <v>1179</v>
      </c>
      <c r="F1156" t="s">
        <v>1180</v>
      </c>
      <c r="G1156" t="s">
        <v>976</v>
      </c>
      <c r="H1156" s="1" t="s">
        <v>976</v>
      </c>
      <c r="I1156" s="1">
        <v>630</v>
      </c>
      <c r="J1156" s="20">
        <v>0</v>
      </c>
      <c r="K1156" s="1">
        <v>112.68</v>
      </c>
      <c r="L1156" s="1">
        <v>0</v>
      </c>
      <c r="M1156" s="43" t="s">
        <v>2873</v>
      </c>
      <c r="O1156" s="2" t="s">
        <v>2447</v>
      </c>
      <c r="P1156" t="s">
        <v>23</v>
      </c>
      <c r="Q1156" t="s">
        <v>889</v>
      </c>
    </row>
    <row r="1157" spans="1:17" ht="15" customHeight="1" x14ac:dyDescent="0.25">
      <c r="A1157" s="3" t="s">
        <v>1663</v>
      </c>
      <c r="B1157" s="4" t="s">
        <v>2881</v>
      </c>
      <c r="C1157" t="s">
        <v>1595</v>
      </c>
      <c r="D1157">
        <v>1</v>
      </c>
      <c r="E1157" t="s">
        <v>974</v>
      </c>
      <c r="F1157" t="s">
        <v>975</v>
      </c>
      <c r="G1157" t="s">
        <v>180</v>
      </c>
      <c r="H1157" s="1" t="s">
        <v>976</v>
      </c>
      <c r="I1157" s="1">
        <v>630</v>
      </c>
      <c r="J1157" s="20">
        <v>0</v>
      </c>
      <c r="K1157" s="1">
        <v>112.68</v>
      </c>
      <c r="L1157" s="1">
        <v>0</v>
      </c>
      <c r="M1157" s="43" t="s">
        <v>2873</v>
      </c>
      <c r="O1157" s="2" t="s">
        <v>2447</v>
      </c>
      <c r="P1157" t="s">
        <v>22</v>
      </c>
      <c r="Q1157" t="s">
        <v>889</v>
      </c>
    </row>
    <row r="1158" spans="1:17" ht="15" customHeight="1" x14ac:dyDescent="0.25">
      <c r="A1158" s="42" t="s">
        <v>1663</v>
      </c>
      <c r="B1158" s="3" t="s">
        <v>2881</v>
      </c>
      <c r="C1158" s="42" t="s">
        <v>1595</v>
      </c>
      <c r="D1158">
        <v>3</v>
      </c>
      <c r="E1158" t="s">
        <v>1179</v>
      </c>
      <c r="F1158" t="s">
        <v>1180</v>
      </c>
      <c r="G1158" t="s">
        <v>180</v>
      </c>
      <c r="H1158" s="1" t="s">
        <v>976</v>
      </c>
      <c r="I1158" s="1">
        <v>630</v>
      </c>
      <c r="J1158" s="20">
        <v>0</v>
      </c>
      <c r="K1158" s="1">
        <v>112.68</v>
      </c>
      <c r="L1158" s="1">
        <v>0</v>
      </c>
      <c r="M1158" s="43" t="s">
        <v>2873</v>
      </c>
      <c r="O1158" s="2" t="s">
        <v>2447</v>
      </c>
      <c r="P1158" t="s">
        <v>22</v>
      </c>
      <c r="Q1158" t="s">
        <v>889</v>
      </c>
    </row>
    <row r="1159" spans="1:17" ht="15" customHeight="1" x14ac:dyDescent="0.25">
      <c r="A1159" s="3" t="s">
        <v>1664</v>
      </c>
      <c r="B1159" s="4" t="s">
        <v>2882</v>
      </c>
      <c r="C1159" t="s">
        <v>1595</v>
      </c>
      <c r="D1159">
        <v>1</v>
      </c>
      <c r="E1159" t="s">
        <v>974</v>
      </c>
      <c r="F1159" t="s">
        <v>975</v>
      </c>
      <c r="G1159" t="s">
        <v>180</v>
      </c>
      <c r="H1159" s="1" t="s">
        <v>976</v>
      </c>
      <c r="I1159" s="1">
        <v>630</v>
      </c>
      <c r="J1159" s="20">
        <v>2</v>
      </c>
      <c r="K1159" s="1">
        <v>99.22</v>
      </c>
      <c r="L1159" s="1">
        <v>198.44</v>
      </c>
      <c r="M1159" s="43" t="s">
        <v>2873</v>
      </c>
      <c r="O1159" s="2" t="s">
        <v>2447</v>
      </c>
      <c r="P1159" t="s">
        <v>24</v>
      </c>
      <c r="Q1159" t="s">
        <v>890</v>
      </c>
    </row>
    <row r="1160" spans="1:17" ht="15" customHeight="1" x14ac:dyDescent="0.25">
      <c r="A1160" s="3" t="s">
        <v>1665</v>
      </c>
      <c r="B1160" s="4" t="s">
        <v>2882</v>
      </c>
      <c r="C1160" t="s">
        <v>1595</v>
      </c>
      <c r="D1160">
        <v>1</v>
      </c>
      <c r="E1160" t="s">
        <v>974</v>
      </c>
      <c r="F1160" t="s">
        <v>975</v>
      </c>
      <c r="G1160" t="s">
        <v>180</v>
      </c>
      <c r="H1160" s="1" t="s">
        <v>976</v>
      </c>
      <c r="I1160" s="1">
        <v>630</v>
      </c>
      <c r="J1160" s="20">
        <v>0</v>
      </c>
      <c r="K1160" s="1">
        <v>99.22</v>
      </c>
      <c r="L1160" s="1">
        <v>0</v>
      </c>
      <c r="M1160" s="43" t="s">
        <v>2873</v>
      </c>
      <c r="O1160" s="2" t="s">
        <v>2447</v>
      </c>
      <c r="P1160" t="s">
        <v>25</v>
      </c>
      <c r="Q1160" t="s">
        <v>890</v>
      </c>
    </row>
    <row r="1161" spans="1:17" ht="15" customHeight="1" x14ac:dyDescent="0.25">
      <c r="A1161" s="3" t="s">
        <v>1666</v>
      </c>
      <c r="B1161" s="4" t="s">
        <v>2882</v>
      </c>
      <c r="C1161" t="s">
        <v>1595</v>
      </c>
      <c r="D1161">
        <v>1</v>
      </c>
      <c r="E1161" t="s">
        <v>974</v>
      </c>
      <c r="F1161" t="s">
        <v>975</v>
      </c>
      <c r="G1161" t="s">
        <v>180</v>
      </c>
      <c r="H1161" s="1" t="s">
        <v>976</v>
      </c>
      <c r="I1161" s="1">
        <v>630</v>
      </c>
      <c r="J1161" s="20">
        <v>2</v>
      </c>
      <c r="K1161" s="1">
        <v>99.22</v>
      </c>
      <c r="L1161" s="1">
        <v>198.44</v>
      </c>
      <c r="M1161" s="43" t="s">
        <v>2873</v>
      </c>
      <c r="O1161" s="2" t="s">
        <v>2447</v>
      </c>
      <c r="P1161" t="s">
        <v>23</v>
      </c>
      <c r="Q1161" t="s">
        <v>890</v>
      </c>
    </row>
    <row r="1162" spans="1:17" ht="15" customHeight="1" x14ac:dyDescent="0.25">
      <c r="A1162" s="3" t="s">
        <v>1667</v>
      </c>
      <c r="B1162" s="4" t="s">
        <v>2882</v>
      </c>
      <c r="C1162" t="s">
        <v>1595</v>
      </c>
      <c r="D1162">
        <v>1</v>
      </c>
      <c r="E1162" t="s">
        <v>974</v>
      </c>
      <c r="F1162" t="s">
        <v>975</v>
      </c>
      <c r="G1162" t="s">
        <v>180</v>
      </c>
      <c r="H1162" s="1" t="s">
        <v>976</v>
      </c>
      <c r="I1162" s="1">
        <v>630</v>
      </c>
      <c r="J1162" s="20">
        <v>0</v>
      </c>
      <c r="K1162" s="1">
        <v>99.22</v>
      </c>
      <c r="L1162" s="1">
        <v>0</v>
      </c>
      <c r="M1162" s="43" t="s">
        <v>2873</v>
      </c>
      <c r="O1162" s="2" t="s">
        <v>2447</v>
      </c>
      <c r="P1162" t="s">
        <v>22</v>
      </c>
      <c r="Q1162" t="s">
        <v>890</v>
      </c>
    </row>
    <row r="1163" spans="1:17" ht="15" customHeight="1" x14ac:dyDescent="0.25">
      <c r="A1163" s="3" t="s">
        <v>1668</v>
      </c>
      <c r="B1163" s="4" t="s">
        <v>2883</v>
      </c>
      <c r="C1163" t="s">
        <v>1595</v>
      </c>
      <c r="D1163">
        <v>1</v>
      </c>
      <c r="E1163" t="s">
        <v>974</v>
      </c>
      <c r="F1163" t="s">
        <v>975</v>
      </c>
      <c r="G1163" t="s">
        <v>180</v>
      </c>
      <c r="H1163" s="1" t="s">
        <v>976</v>
      </c>
      <c r="I1163" s="1">
        <v>630</v>
      </c>
      <c r="J1163" s="20">
        <v>2</v>
      </c>
      <c r="K1163" s="1">
        <v>109.53</v>
      </c>
      <c r="L1163" s="1">
        <v>219.06</v>
      </c>
      <c r="M1163" s="43" t="s">
        <v>2873</v>
      </c>
      <c r="O1163" s="2" t="s">
        <v>2528</v>
      </c>
      <c r="P1163" t="s">
        <v>24</v>
      </c>
      <c r="Q1163" t="s">
        <v>891</v>
      </c>
    </row>
    <row r="1164" spans="1:17" ht="15" customHeight="1" x14ac:dyDescent="0.25">
      <c r="A1164" s="3" t="s">
        <v>1669</v>
      </c>
      <c r="B1164" s="4" t="s">
        <v>2883</v>
      </c>
      <c r="C1164" t="s">
        <v>1595</v>
      </c>
      <c r="D1164">
        <v>1</v>
      </c>
      <c r="E1164" t="s">
        <v>974</v>
      </c>
      <c r="F1164" t="s">
        <v>975</v>
      </c>
      <c r="G1164" t="s">
        <v>180</v>
      </c>
      <c r="H1164" s="1" t="s">
        <v>976</v>
      </c>
      <c r="I1164" s="1">
        <v>630</v>
      </c>
      <c r="J1164" s="20">
        <v>1</v>
      </c>
      <c r="K1164" s="1">
        <v>109.53</v>
      </c>
      <c r="L1164" s="1">
        <v>109.53</v>
      </c>
      <c r="M1164" s="43" t="s">
        <v>2873</v>
      </c>
      <c r="O1164" s="2" t="s">
        <v>2528</v>
      </c>
      <c r="P1164" t="s">
        <v>25</v>
      </c>
      <c r="Q1164" t="s">
        <v>891</v>
      </c>
    </row>
    <row r="1165" spans="1:17" ht="15" customHeight="1" x14ac:dyDescent="0.25">
      <c r="A1165" s="3" t="s">
        <v>1670</v>
      </c>
      <c r="B1165" s="4" t="s">
        <v>2883</v>
      </c>
      <c r="C1165" t="s">
        <v>1595</v>
      </c>
      <c r="D1165">
        <v>1</v>
      </c>
      <c r="E1165" t="s">
        <v>974</v>
      </c>
      <c r="F1165" t="s">
        <v>975</v>
      </c>
      <c r="G1165" t="s">
        <v>180</v>
      </c>
      <c r="H1165" s="1" t="s">
        <v>976</v>
      </c>
      <c r="I1165" s="1">
        <v>630</v>
      </c>
      <c r="J1165" s="20">
        <v>3</v>
      </c>
      <c r="K1165" s="1">
        <v>109.53</v>
      </c>
      <c r="L1165" s="1">
        <v>328.59</v>
      </c>
      <c r="M1165" s="43" t="s">
        <v>2873</v>
      </c>
      <c r="O1165" s="2" t="s">
        <v>2528</v>
      </c>
      <c r="P1165" t="s">
        <v>23</v>
      </c>
      <c r="Q1165" t="s">
        <v>891</v>
      </c>
    </row>
    <row r="1166" spans="1:17" ht="15" customHeight="1" x14ac:dyDescent="0.25">
      <c r="A1166" s="3" t="s">
        <v>1671</v>
      </c>
      <c r="B1166" s="4" t="s">
        <v>2883</v>
      </c>
      <c r="C1166" t="s">
        <v>1595</v>
      </c>
      <c r="D1166">
        <v>1</v>
      </c>
      <c r="E1166" t="s">
        <v>974</v>
      </c>
      <c r="F1166" t="s">
        <v>975</v>
      </c>
      <c r="G1166" t="s">
        <v>180</v>
      </c>
      <c r="H1166" s="1" t="s">
        <v>976</v>
      </c>
      <c r="I1166" s="1">
        <v>630</v>
      </c>
      <c r="J1166" s="20">
        <v>2</v>
      </c>
      <c r="K1166" s="1">
        <v>109.53</v>
      </c>
      <c r="L1166" s="1">
        <v>219.06</v>
      </c>
      <c r="M1166" s="43" t="s">
        <v>2873</v>
      </c>
      <c r="O1166" s="2" t="s">
        <v>2528</v>
      </c>
      <c r="P1166" t="s">
        <v>22</v>
      </c>
      <c r="Q1166" t="s">
        <v>891</v>
      </c>
    </row>
    <row r="1167" spans="1:17" ht="15" customHeight="1" x14ac:dyDescent="0.25">
      <c r="A1167" s="3" t="s">
        <v>1672</v>
      </c>
      <c r="B1167" s="4" t="s">
        <v>334</v>
      </c>
      <c r="C1167" t="s">
        <v>1595</v>
      </c>
      <c r="D1167">
        <v>1</v>
      </c>
      <c r="E1167" t="s">
        <v>974</v>
      </c>
      <c r="F1167" t="s">
        <v>975</v>
      </c>
      <c r="G1167" t="s">
        <v>180</v>
      </c>
      <c r="H1167" s="1" t="s">
        <v>976</v>
      </c>
      <c r="I1167" s="1">
        <v>630</v>
      </c>
      <c r="J1167" s="20">
        <v>2</v>
      </c>
      <c r="K1167" s="1">
        <v>113.15</v>
      </c>
      <c r="L1167" s="1">
        <v>226.3</v>
      </c>
      <c r="M1167" s="43" t="s">
        <v>2873</v>
      </c>
      <c r="P1167" t="s">
        <v>24</v>
      </c>
      <c r="Q1167" t="s">
        <v>334</v>
      </c>
    </row>
    <row r="1168" spans="1:17" ht="15" customHeight="1" x14ac:dyDescent="0.25">
      <c r="A1168" s="42" t="s">
        <v>1672</v>
      </c>
      <c r="B1168" s="3" t="s">
        <v>334</v>
      </c>
      <c r="C1168" s="42" t="s">
        <v>1595</v>
      </c>
      <c r="D1168">
        <v>3</v>
      </c>
      <c r="E1168" t="s">
        <v>1179</v>
      </c>
      <c r="F1168" t="s">
        <v>1180</v>
      </c>
      <c r="G1168" t="s">
        <v>180</v>
      </c>
      <c r="H1168" s="1" t="s">
        <v>976</v>
      </c>
      <c r="I1168" s="1">
        <v>630</v>
      </c>
      <c r="J1168" s="20">
        <v>0</v>
      </c>
      <c r="K1168" s="1">
        <v>113.15</v>
      </c>
      <c r="L1168" s="1">
        <v>0</v>
      </c>
      <c r="M1168" s="43" t="s">
        <v>2873</v>
      </c>
      <c r="P1168" t="s">
        <v>24</v>
      </c>
      <c r="Q1168" t="s">
        <v>334</v>
      </c>
    </row>
    <row r="1169" spans="1:17" ht="15" customHeight="1" x14ac:dyDescent="0.25">
      <c r="A1169" s="3" t="s">
        <v>1673</v>
      </c>
      <c r="B1169" s="4" t="s">
        <v>335</v>
      </c>
      <c r="C1169" t="s">
        <v>1595</v>
      </c>
      <c r="D1169">
        <v>1</v>
      </c>
      <c r="E1169" t="s">
        <v>974</v>
      </c>
      <c r="F1169" t="s">
        <v>975</v>
      </c>
      <c r="G1169" t="s">
        <v>180</v>
      </c>
      <c r="H1169" s="1" t="s">
        <v>976</v>
      </c>
      <c r="I1169" s="1">
        <v>630</v>
      </c>
      <c r="J1169" s="20">
        <v>1</v>
      </c>
      <c r="K1169" s="1">
        <v>113.15</v>
      </c>
      <c r="L1169" s="1">
        <v>113.15</v>
      </c>
      <c r="M1169" s="43" t="s">
        <v>2873</v>
      </c>
      <c r="P1169" t="s">
        <v>25</v>
      </c>
      <c r="Q1169" t="s">
        <v>335</v>
      </c>
    </row>
    <row r="1170" spans="1:17" ht="15" customHeight="1" x14ac:dyDescent="0.25">
      <c r="A1170" s="3" t="s">
        <v>1674</v>
      </c>
      <c r="B1170" s="4" t="s">
        <v>336</v>
      </c>
      <c r="C1170" t="s">
        <v>1595</v>
      </c>
      <c r="D1170">
        <v>1</v>
      </c>
      <c r="E1170" t="s">
        <v>974</v>
      </c>
      <c r="F1170" t="s">
        <v>975</v>
      </c>
      <c r="G1170" t="s">
        <v>180</v>
      </c>
      <c r="H1170" s="1" t="s">
        <v>976</v>
      </c>
      <c r="I1170" s="1">
        <v>630</v>
      </c>
      <c r="J1170" s="20">
        <v>3</v>
      </c>
      <c r="K1170" s="1">
        <v>113.15</v>
      </c>
      <c r="L1170" s="1">
        <v>339.45</v>
      </c>
      <c r="M1170" s="43" t="s">
        <v>2873</v>
      </c>
      <c r="P1170" t="s">
        <v>23</v>
      </c>
      <c r="Q1170" t="s">
        <v>336</v>
      </c>
    </row>
    <row r="1171" spans="1:17" ht="15" customHeight="1" x14ac:dyDescent="0.25">
      <c r="A1171" s="42" t="s">
        <v>1674</v>
      </c>
      <c r="B1171" s="3" t="s">
        <v>336</v>
      </c>
      <c r="C1171" s="42" t="s">
        <v>1595</v>
      </c>
      <c r="D1171">
        <v>3</v>
      </c>
      <c r="E1171" t="s">
        <v>1179</v>
      </c>
      <c r="F1171" t="s">
        <v>1180</v>
      </c>
      <c r="G1171" t="s">
        <v>180</v>
      </c>
      <c r="H1171" s="1" t="s">
        <v>976</v>
      </c>
      <c r="I1171" s="1">
        <v>630</v>
      </c>
      <c r="J1171" s="20">
        <v>0</v>
      </c>
      <c r="K1171" s="1">
        <v>113.15</v>
      </c>
      <c r="L1171" s="1">
        <v>0</v>
      </c>
      <c r="M1171" s="43" t="s">
        <v>2873</v>
      </c>
      <c r="P1171" t="s">
        <v>23</v>
      </c>
      <c r="Q1171" t="s">
        <v>336</v>
      </c>
    </row>
    <row r="1172" spans="1:17" ht="15" customHeight="1" x14ac:dyDescent="0.25">
      <c r="A1172" s="3" t="s">
        <v>1675</v>
      </c>
      <c r="B1172" s="4" t="s">
        <v>337</v>
      </c>
      <c r="C1172" t="s">
        <v>1595</v>
      </c>
      <c r="D1172">
        <v>1</v>
      </c>
      <c r="E1172" t="s">
        <v>974</v>
      </c>
      <c r="F1172" t="s">
        <v>975</v>
      </c>
      <c r="G1172" t="s">
        <v>180</v>
      </c>
      <c r="H1172" s="1" t="s">
        <v>976</v>
      </c>
      <c r="I1172" s="1">
        <v>630</v>
      </c>
      <c r="J1172" s="20">
        <v>1</v>
      </c>
      <c r="K1172" s="1">
        <v>113.15</v>
      </c>
      <c r="L1172" s="1">
        <v>113.15</v>
      </c>
      <c r="M1172" s="43" t="s">
        <v>2873</v>
      </c>
      <c r="P1172" t="s">
        <v>22</v>
      </c>
      <c r="Q1172" t="s">
        <v>337</v>
      </c>
    </row>
    <row r="1173" spans="1:17" ht="15" customHeight="1" x14ac:dyDescent="0.25">
      <c r="A1173" s="3" t="s">
        <v>1676</v>
      </c>
      <c r="B1173" s="4" t="s">
        <v>338</v>
      </c>
      <c r="C1173" t="s">
        <v>1595</v>
      </c>
      <c r="D1173">
        <v>1</v>
      </c>
      <c r="E1173" t="s">
        <v>974</v>
      </c>
      <c r="F1173" t="s">
        <v>975</v>
      </c>
      <c r="G1173" t="s">
        <v>180</v>
      </c>
      <c r="H1173" s="1" t="s">
        <v>976</v>
      </c>
      <c r="I1173" s="1">
        <v>630</v>
      </c>
      <c r="J1173" s="20">
        <v>2</v>
      </c>
      <c r="K1173" s="1">
        <v>113.15</v>
      </c>
      <c r="L1173" s="1">
        <v>226.3</v>
      </c>
      <c r="M1173" s="43" t="s">
        <v>2873</v>
      </c>
      <c r="P1173" t="s">
        <v>24</v>
      </c>
      <c r="Q1173" t="s">
        <v>338</v>
      </c>
    </row>
    <row r="1174" spans="1:17" ht="15" customHeight="1" x14ac:dyDescent="0.25">
      <c r="A1174" s="3" t="s">
        <v>1677</v>
      </c>
      <c r="B1174" s="4" t="s">
        <v>339</v>
      </c>
      <c r="C1174" t="s">
        <v>1595</v>
      </c>
      <c r="D1174">
        <v>1</v>
      </c>
      <c r="E1174" t="s">
        <v>974</v>
      </c>
      <c r="F1174" t="s">
        <v>975</v>
      </c>
      <c r="G1174" t="s">
        <v>180</v>
      </c>
      <c r="H1174" s="1" t="s">
        <v>976</v>
      </c>
      <c r="I1174" s="1">
        <v>630</v>
      </c>
      <c r="J1174" s="20">
        <v>1</v>
      </c>
      <c r="K1174" s="1">
        <v>113.15</v>
      </c>
      <c r="L1174" s="1">
        <v>113.15</v>
      </c>
      <c r="M1174" s="43" t="s">
        <v>2873</v>
      </c>
      <c r="P1174" t="s">
        <v>25</v>
      </c>
      <c r="Q1174" t="s">
        <v>339</v>
      </c>
    </row>
    <row r="1175" spans="1:17" ht="15" customHeight="1" x14ac:dyDescent="0.25">
      <c r="A1175" s="3" t="s">
        <v>1678</v>
      </c>
      <c r="B1175" s="4" t="s">
        <v>340</v>
      </c>
      <c r="C1175" t="s">
        <v>1595</v>
      </c>
      <c r="D1175">
        <v>1</v>
      </c>
      <c r="E1175" t="s">
        <v>974</v>
      </c>
      <c r="F1175" t="s">
        <v>975</v>
      </c>
      <c r="G1175" t="s">
        <v>180</v>
      </c>
      <c r="H1175" s="1" t="s">
        <v>976</v>
      </c>
      <c r="I1175" s="1">
        <v>630</v>
      </c>
      <c r="J1175" s="20">
        <v>2</v>
      </c>
      <c r="K1175" s="1">
        <v>113.15</v>
      </c>
      <c r="L1175" s="1">
        <v>226.3</v>
      </c>
      <c r="M1175" s="43" t="s">
        <v>2873</v>
      </c>
      <c r="P1175" t="s">
        <v>23</v>
      </c>
      <c r="Q1175" t="s">
        <v>340</v>
      </c>
    </row>
    <row r="1176" spans="1:17" ht="15" customHeight="1" x14ac:dyDescent="0.25">
      <c r="A1176" s="3" t="s">
        <v>1679</v>
      </c>
      <c r="B1176" s="4" t="s">
        <v>341</v>
      </c>
      <c r="C1176" t="s">
        <v>1595</v>
      </c>
      <c r="D1176">
        <v>1</v>
      </c>
      <c r="E1176" t="s">
        <v>974</v>
      </c>
      <c r="F1176" t="s">
        <v>975</v>
      </c>
      <c r="G1176" t="s">
        <v>180</v>
      </c>
      <c r="H1176" s="1" t="s">
        <v>976</v>
      </c>
      <c r="I1176" s="1">
        <v>630</v>
      </c>
      <c r="J1176" s="20">
        <v>2</v>
      </c>
      <c r="K1176" s="1">
        <v>113.15</v>
      </c>
      <c r="L1176" s="1">
        <v>226.3</v>
      </c>
      <c r="M1176" s="43" t="s">
        <v>2873</v>
      </c>
      <c r="P1176" t="s">
        <v>22</v>
      </c>
      <c r="Q1176" t="s">
        <v>341</v>
      </c>
    </row>
    <row r="1177" spans="1:17" ht="15" customHeight="1" x14ac:dyDescent="0.25">
      <c r="A1177" s="3" t="s">
        <v>2160</v>
      </c>
      <c r="B1177" s="4" t="s">
        <v>526</v>
      </c>
      <c r="C1177" t="s">
        <v>1415</v>
      </c>
      <c r="D1177">
        <v>1</v>
      </c>
      <c r="E1177" t="s">
        <v>974</v>
      </c>
      <c r="F1177" t="s">
        <v>975</v>
      </c>
      <c r="G1177" t="s">
        <v>180</v>
      </c>
      <c r="H1177" s="1" t="s">
        <v>976</v>
      </c>
      <c r="I1177" s="1">
        <v>760</v>
      </c>
      <c r="J1177" s="20">
        <v>2</v>
      </c>
      <c r="K1177" s="1">
        <v>117.66</v>
      </c>
      <c r="L1177" s="1">
        <v>235.32</v>
      </c>
      <c r="M1177" s="43" t="s">
        <v>2873</v>
      </c>
      <c r="P1177" t="s">
        <v>24</v>
      </c>
      <c r="Q1177" t="s">
        <v>526</v>
      </c>
    </row>
    <row r="1178" spans="1:17" ht="15" customHeight="1" x14ac:dyDescent="0.25">
      <c r="A1178" s="3" t="s">
        <v>2161</v>
      </c>
      <c r="B1178" s="4" t="s">
        <v>527</v>
      </c>
      <c r="C1178" t="s">
        <v>1415</v>
      </c>
      <c r="D1178">
        <v>1</v>
      </c>
      <c r="E1178" t="s">
        <v>974</v>
      </c>
      <c r="F1178" t="s">
        <v>975</v>
      </c>
      <c r="G1178" t="s">
        <v>180</v>
      </c>
      <c r="H1178" s="1" t="s">
        <v>976</v>
      </c>
      <c r="I1178" s="1">
        <v>760</v>
      </c>
      <c r="J1178" s="20">
        <v>2</v>
      </c>
      <c r="K1178" s="1">
        <v>117.66</v>
      </c>
      <c r="L1178" s="1">
        <v>235.32</v>
      </c>
      <c r="M1178" s="43" t="s">
        <v>2873</v>
      </c>
      <c r="P1178" t="s">
        <v>25</v>
      </c>
      <c r="Q1178" t="s">
        <v>527</v>
      </c>
    </row>
    <row r="1179" spans="1:17" ht="15" customHeight="1" x14ac:dyDescent="0.25">
      <c r="A1179" s="3" t="s">
        <v>2162</v>
      </c>
      <c r="B1179" s="4" t="s">
        <v>528</v>
      </c>
      <c r="C1179" t="s">
        <v>1415</v>
      </c>
      <c r="D1179">
        <v>1</v>
      </c>
      <c r="E1179" t="s">
        <v>974</v>
      </c>
      <c r="F1179" t="s">
        <v>975</v>
      </c>
      <c r="G1179" t="s">
        <v>180</v>
      </c>
      <c r="H1179" s="1" t="s">
        <v>976</v>
      </c>
      <c r="I1179" s="1">
        <v>760</v>
      </c>
      <c r="J1179" s="20">
        <v>3</v>
      </c>
      <c r="K1179" s="1">
        <v>117.66</v>
      </c>
      <c r="L1179" s="1">
        <v>352.98</v>
      </c>
      <c r="M1179" s="43" t="s">
        <v>2873</v>
      </c>
      <c r="P1179" t="s">
        <v>23</v>
      </c>
      <c r="Q1179" t="s">
        <v>528</v>
      </c>
    </row>
    <row r="1180" spans="1:17" ht="15" customHeight="1" x14ac:dyDescent="0.25">
      <c r="A1180" s="3" t="s">
        <v>2163</v>
      </c>
      <c r="B1180" s="4" t="s">
        <v>529</v>
      </c>
      <c r="C1180" t="s">
        <v>1415</v>
      </c>
      <c r="D1180">
        <v>1</v>
      </c>
      <c r="E1180" t="s">
        <v>974</v>
      </c>
      <c r="F1180" t="s">
        <v>975</v>
      </c>
      <c r="G1180" t="s">
        <v>180</v>
      </c>
      <c r="H1180" s="1" t="s">
        <v>976</v>
      </c>
      <c r="I1180" s="1">
        <v>760</v>
      </c>
      <c r="J1180" s="20">
        <v>1</v>
      </c>
      <c r="K1180" s="1">
        <v>0</v>
      </c>
      <c r="L1180" s="1">
        <v>0</v>
      </c>
      <c r="M1180" s="43" t="s">
        <v>2873</v>
      </c>
      <c r="P1180" t="s">
        <v>22</v>
      </c>
      <c r="Q1180" t="s">
        <v>529</v>
      </c>
    </row>
    <row r="1181" spans="1:17" ht="15" customHeight="1" x14ac:dyDescent="0.25">
      <c r="A1181" s="3" t="s">
        <v>2164</v>
      </c>
      <c r="B1181" s="4" t="s">
        <v>2884</v>
      </c>
      <c r="C1181" t="s">
        <v>1415</v>
      </c>
      <c r="D1181">
        <v>1</v>
      </c>
      <c r="E1181" t="s">
        <v>974</v>
      </c>
      <c r="F1181" t="s">
        <v>975</v>
      </c>
      <c r="G1181" t="s">
        <v>180</v>
      </c>
      <c r="H1181" s="1" t="s">
        <v>976</v>
      </c>
      <c r="I1181" s="1">
        <v>640</v>
      </c>
      <c r="J1181" s="20">
        <v>0</v>
      </c>
      <c r="K1181" s="1">
        <v>98.1</v>
      </c>
      <c r="L1181" s="1">
        <v>0</v>
      </c>
      <c r="M1181" s="43" t="s">
        <v>2873</v>
      </c>
      <c r="O1181" s="2" t="s">
        <v>2508</v>
      </c>
      <c r="P1181" t="s">
        <v>24</v>
      </c>
      <c r="Q1181" t="s">
        <v>892</v>
      </c>
    </row>
    <row r="1182" spans="1:17" ht="15" customHeight="1" x14ac:dyDescent="0.25">
      <c r="A1182" s="3" t="s">
        <v>2165</v>
      </c>
      <c r="B1182" s="4" t="s">
        <v>2884</v>
      </c>
      <c r="C1182" t="s">
        <v>1415</v>
      </c>
      <c r="D1182">
        <v>1</v>
      </c>
      <c r="E1182" t="s">
        <v>974</v>
      </c>
      <c r="F1182" t="s">
        <v>975</v>
      </c>
      <c r="G1182" t="s">
        <v>180</v>
      </c>
      <c r="H1182" s="1" t="s">
        <v>976</v>
      </c>
      <c r="I1182" s="1">
        <v>640</v>
      </c>
      <c r="J1182" s="20">
        <v>2</v>
      </c>
      <c r="K1182" s="1">
        <v>98.1</v>
      </c>
      <c r="L1182" s="1">
        <v>196.2</v>
      </c>
      <c r="M1182" s="43" t="s">
        <v>2873</v>
      </c>
      <c r="O1182" s="2" t="s">
        <v>2508</v>
      </c>
      <c r="P1182" t="s">
        <v>25</v>
      </c>
      <c r="Q1182" t="s">
        <v>892</v>
      </c>
    </row>
    <row r="1183" spans="1:17" ht="15" customHeight="1" x14ac:dyDescent="0.25">
      <c r="A1183" s="3" t="s">
        <v>2166</v>
      </c>
      <c r="B1183" s="4" t="s">
        <v>2884</v>
      </c>
      <c r="C1183" t="s">
        <v>1415</v>
      </c>
      <c r="D1183">
        <v>1</v>
      </c>
      <c r="E1183" t="s">
        <v>974</v>
      </c>
      <c r="F1183" t="s">
        <v>975</v>
      </c>
      <c r="G1183" t="s">
        <v>180</v>
      </c>
      <c r="H1183" s="1" t="s">
        <v>976</v>
      </c>
      <c r="I1183" s="1">
        <v>640</v>
      </c>
      <c r="J1183" s="20">
        <v>6</v>
      </c>
      <c r="K1183" s="1">
        <v>98.1</v>
      </c>
      <c r="L1183" s="1">
        <v>588.6</v>
      </c>
      <c r="M1183" s="43" t="s">
        <v>2873</v>
      </c>
      <c r="O1183" s="2" t="s">
        <v>2508</v>
      </c>
      <c r="P1183" t="s">
        <v>23</v>
      </c>
      <c r="Q1183" t="s">
        <v>892</v>
      </c>
    </row>
    <row r="1184" spans="1:17" ht="15" customHeight="1" x14ac:dyDescent="0.25">
      <c r="A1184" s="3" t="s">
        <v>2167</v>
      </c>
      <c r="B1184" s="4" t="s">
        <v>2884</v>
      </c>
      <c r="C1184" t="s">
        <v>1415</v>
      </c>
      <c r="D1184">
        <v>1</v>
      </c>
      <c r="E1184" t="s">
        <v>974</v>
      </c>
      <c r="F1184" t="s">
        <v>975</v>
      </c>
      <c r="G1184" t="s">
        <v>180</v>
      </c>
      <c r="H1184" s="1" t="s">
        <v>976</v>
      </c>
      <c r="I1184" s="1">
        <v>640</v>
      </c>
      <c r="J1184" s="20">
        <v>2</v>
      </c>
      <c r="K1184" s="1">
        <v>98.1</v>
      </c>
      <c r="L1184" s="1">
        <v>196.2</v>
      </c>
      <c r="M1184" s="43" t="s">
        <v>2873</v>
      </c>
      <c r="O1184" s="2" t="s">
        <v>2508</v>
      </c>
      <c r="P1184" t="s">
        <v>22</v>
      </c>
      <c r="Q1184" t="s">
        <v>892</v>
      </c>
    </row>
    <row r="1185" spans="1:17" ht="15" customHeight="1" x14ac:dyDescent="0.25">
      <c r="A1185" s="3" t="s">
        <v>1680</v>
      </c>
      <c r="B1185" s="4" t="s">
        <v>2885</v>
      </c>
      <c r="C1185" t="s">
        <v>1595</v>
      </c>
      <c r="D1185">
        <v>1</v>
      </c>
      <c r="E1185" t="s">
        <v>974</v>
      </c>
      <c r="F1185" t="s">
        <v>975</v>
      </c>
      <c r="G1185" t="s">
        <v>180</v>
      </c>
      <c r="H1185" s="1" t="s">
        <v>976</v>
      </c>
      <c r="I1185" s="1">
        <v>690</v>
      </c>
      <c r="J1185" s="20">
        <v>0</v>
      </c>
      <c r="K1185" s="1">
        <v>0</v>
      </c>
      <c r="L1185" s="1">
        <v>0</v>
      </c>
      <c r="M1185" s="43" t="s">
        <v>2873</v>
      </c>
      <c r="O1185" s="2" t="s">
        <v>2482</v>
      </c>
      <c r="P1185" t="s">
        <v>23</v>
      </c>
      <c r="Q1185" t="s">
        <v>893</v>
      </c>
    </row>
    <row r="1186" spans="1:17" ht="15" customHeight="1" x14ac:dyDescent="0.25">
      <c r="A1186" s="42" t="s">
        <v>1680</v>
      </c>
      <c r="B1186" s="3" t="s">
        <v>2885</v>
      </c>
      <c r="C1186" s="42" t="s">
        <v>1595</v>
      </c>
      <c r="D1186">
        <v>4</v>
      </c>
      <c r="E1186" t="s">
        <v>1018</v>
      </c>
      <c r="F1186" t="s">
        <v>975</v>
      </c>
      <c r="G1186" t="s">
        <v>180</v>
      </c>
      <c r="H1186" s="1" t="s">
        <v>976</v>
      </c>
      <c r="I1186" s="1">
        <v>690</v>
      </c>
      <c r="J1186" s="20">
        <v>0</v>
      </c>
      <c r="K1186" s="1">
        <v>0</v>
      </c>
      <c r="L1186" s="1">
        <v>0</v>
      </c>
      <c r="M1186" s="43" t="s">
        <v>2873</v>
      </c>
      <c r="O1186" s="2" t="s">
        <v>2482</v>
      </c>
      <c r="P1186" t="s">
        <v>23</v>
      </c>
      <c r="Q1186" t="s">
        <v>893</v>
      </c>
    </row>
    <row r="1187" spans="1:17" ht="15" customHeight="1" x14ac:dyDescent="0.25">
      <c r="A1187" s="3" t="s">
        <v>2168</v>
      </c>
      <c r="B1187" s="4" t="s">
        <v>2871</v>
      </c>
      <c r="C1187" t="s">
        <v>1595</v>
      </c>
      <c r="D1187">
        <v>1</v>
      </c>
      <c r="E1187" t="s">
        <v>974</v>
      </c>
      <c r="F1187" t="s">
        <v>975</v>
      </c>
      <c r="G1187" t="s">
        <v>180</v>
      </c>
      <c r="H1187" s="1" t="s">
        <v>976</v>
      </c>
      <c r="I1187" s="1">
        <v>590</v>
      </c>
      <c r="J1187" s="20">
        <v>2</v>
      </c>
      <c r="K1187" s="1">
        <v>117.87</v>
      </c>
      <c r="L1187" s="1">
        <v>235.74</v>
      </c>
      <c r="M1187" s="43" t="s">
        <v>2873</v>
      </c>
      <c r="O1187" s="2" t="s">
        <v>2447</v>
      </c>
      <c r="P1187" t="s">
        <v>24</v>
      </c>
      <c r="Q1187" t="s">
        <v>875</v>
      </c>
    </row>
    <row r="1188" spans="1:17" ht="15" customHeight="1" x14ac:dyDescent="0.25">
      <c r="A1188" s="3" t="s">
        <v>2169</v>
      </c>
      <c r="B1188" s="4" t="s">
        <v>2871</v>
      </c>
      <c r="C1188" t="s">
        <v>1595</v>
      </c>
      <c r="D1188">
        <v>1</v>
      </c>
      <c r="E1188" t="s">
        <v>974</v>
      </c>
      <c r="F1188" t="s">
        <v>975</v>
      </c>
      <c r="G1188" t="s">
        <v>180</v>
      </c>
      <c r="H1188" s="1" t="s">
        <v>976</v>
      </c>
      <c r="I1188" s="1">
        <v>590</v>
      </c>
      <c r="J1188" s="20">
        <v>3</v>
      </c>
      <c r="K1188" s="1">
        <v>117.87</v>
      </c>
      <c r="L1188" s="1">
        <v>353.61</v>
      </c>
      <c r="M1188" s="43" t="s">
        <v>2873</v>
      </c>
      <c r="O1188" s="2" t="s">
        <v>2447</v>
      </c>
      <c r="P1188" t="s">
        <v>23</v>
      </c>
      <c r="Q1188" t="s">
        <v>875</v>
      </c>
    </row>
    <row r="1189" spans="1:17" ht="15" customHeight="1" x14ac:dyDescent="0.25">
      <c r="A1189" s="3" t="s">
        <v>2170</v>
      </c>
      <c r="B1189" s="4" t="s">
        <v>2871</v>
      </c>
      <c r="C1189" t="s">
        <v>1595</v>
      </c>
      <c r="D1189">
        <v>1</v>
      </c>
      <c r="E1189" t="s">
        <v>974</v>
      </c>
      <c r="F1189" t="s">
        <v>975</v>
      </c>
      <c r="G1189" t="s">
        <v>180</v>
      </c>
      <c r="H1189" s="1" t="s">
        <v>976</v>
      </c>
      <c r="I1189" s="1">
        <v>590</v>
      </c>
      <c r="J1189" s="20">
        <v>0</v>
      </c>
      <c r="K1189" s="1">
        <v>0</v>
      </c>
      <c r="L1189" s="1">
        <v>0</v>
      </c>
      <c r="M1189" s="43" t="s">
        <v>2873</v>
      </c>
      <c r="O1189" s="2" t="s">
        <v>2447</v>
      </c>
      <c r="P1189" t="s">
        <v>22</v>
      </c>
      <c r="Q1189" t="s">
        <v>875</v>
      </c>
    </row>
    <row r="1190" spans="1:17" ht="15" customHeight="1" x14ac:dyDescent="0.25">
      <c r="A1190" s="3" t="s">
        <v>2171</v>
      </c>
      <c r="B1190" s="4" t="s">
        <v>2871</v>
      </c>
      <c r="C1190" t="s">
        <v>1595</v>
      </c>
      <c r="D1190">
        <v>1</v>
      </c>
      <c r="E1190" t="s">
        <v>974</v>
      </c>
      <c r="F1190" t="s">
        <v>975</v>
      </c>
      <c r="G1190" t="s">
        <v>180</v>
      </c>
      <c r="H1190" s="1" t="s">
        <v>976</v>
      </c>
      <c r="I1190" s="1">
        <v>590</v>
      </c>
      <c r="J1190" s="20">
        <v>3</v>
      </c>
      <c r="K1190" s="1">
        <v>100</v>
      </c>
      <c r="L1190" s="1">
        <v>300</v>
      </c>
      <c r="M1190" s="43" t="s">
        <v>2873</v>
      </c>
      <c r="O1190" s="2" t="s">
        <v>2447</v>
      </c>
      <c r="P1190" t="s">
        <v>24</v>
      </c>
      <c r="Q1190" t="s">
        <v>875</v>
      </c>
    </row>
    <row r="1191" spans="1:17" ht="15" customHeight="1" x14ac:dyDescent="0.25">
      <c r="A1191" s="42" t="s">
        <v>2171</v>
      </c>
      <c r="B1191" s="3" t="s">
        <v>2871</v>
      </c>
      <c r="C1191" s="42" t="s">
        <v>1595</v>
      </c>
      <c r="D1191">
        <v>2</v>
      </c>
      <c r="E1191" t="s">
        <v>1017</v>
      </c>
      <c r="F1191" t="s">
        <v>975</v>
      </c>
      <c r="G1191" t="s">
        <v>180</v>
      </c>
      <c r="H1191" s="1" t="s">
        <v>976</v>
      </c>
      <c r="I1191" s="1">
        <v>590</v>
      </c>
      <c r="J1191" s="20">
        <v>0</v>
      </c>
      <c r="K1191" s="1">
        <v>117.87</v>
      </c>
      <c r="L1191" s="1">
        <v>0</v>
      </c>
      <c r="M1191" s="43" t="s">
        <v>2873</v>
      </c>
      <c r="O1191" s="2" t="s">
        <v>2447</v>
      </c>
      <c r="P1191" t="s">
        <v>24</v>
      </c>
      <c r="Q1191" t="s">
        <v>875</v>
      </c>
    </row>
    <row r="1192" spans="1:17" ht="15" customHeight="1" x14ac:dyDescent="0.25">
      <c r="A1192" s="42" t="s">
        <v>2171</v>
      </c>
      <c r="B1192" s="3" t="s">
        <v>2871</v>
      </c>
      <c r="C1192" s="42" t="s">
        <v>1595</v>
      </c>
      <c r="D1192">
        <v>3</v>
      </c>
      <c r="E1192" t="s">
        <v>1179</v>
      </c>
      <c r="F1192" t="s">
        <v>1180</v>
      </c>
      <c r="G1192" t="s">
        <v>180</v>
      </c>
      <c r="H1192" s="1" t="s">
        <v>976</v>
      </c>
      <c r="I1192" s="1">
        <v>590</v>
      </c>
      <c r="J1192" s="20">
        <v>0</v>
      </c>
      <c r="K1192" s="1">
        <v>100</v>
      </c>
      <c r="L1192" s="1">
        <v>0</v>
      </c>
      <c r="M1192" s="43" t="s">
        <v>2873</v>
      </c>
      <c r="O1192" s="2" t="s">
        <v>2447</v>
      </c>
      <c r="P1192" t="s">
        <v>24</v>
      </c>
      <c r="Q1192" t="s">
        <v>875</v>
      </c>
    </row>
    <row r="1193" spans="1:17" ht="15" customHeight="1" x14ac:dyDescent="0.25">
      <c r="A1193" s="3" t="s">
        <v>2172</v>
      </c>
      <c r="B1193" s="4" t="s">
        <v>2871</v>
      </c>
      <c r="C1193" t="s">
        <v>1595</v>
      </c>
      <c r="D1193">
        <v>1</v>
      </c>
      <c r="E1193" t="s">
        <v>974</v>
      </c>
      <c r="F1193" t="s">
        <v>975</v>
      </c>
      <c r="G1193" t="s">
        <v>180</v>
      </c>
      <c r="H1193" s="1" t="s">
        <v>976</v>
      </c>
      <c r="I1193" s="1">
        <v>590</v>
      </c>
      <c r="J1193" s="20">
        <v>0</v>
      </c>
      <c r="K1193" s="1">
        <v>0</v>
      </c>
      <c r="L1193" s="1">
        <v>0</v>
      </c>
      <c r="M1193" s="43" t="s">
        <v>2873</v>
      </c>
      <c r="O1193" s="2" t="s">
        <v>2447</v>
      </c>
      <c r="P1193" t="s">
        <v>22</v>
      </c>
      <c r="Q1193" t="s">
        <v>875</v>
      </c>
    </row>
    <row r="1194" spans="1:17" ht="15" customHeight="1" x14ac:dyDescent="0.25">
      <c r="A1194" s="3" t="s">
        <v>2173</v>
      </c>
      <c r="B1194" s="4" t="s">
        <v>2886</v>
      </c>
      <c r="C1194" t="s">
        <v>1595</v>
      </c>
      <c r="D1194">
        <v>1</v>
      </c>
      <c r="E1194" t="s">
        <v>974</v>
      </c>
      <c r="F1194" t="s">
        <v>975</v>
      </c>
      <c r="G1194" t="s">
        <v>976</v>
      </c>
      <c r="H1194" s="1" t="s">
        <v>976</v>
      </c>
      <c r="I1194" s="1">
        <v>390</v>
      </c>
      <c r="J1194" s="20">
        <v>6</v>
      </c>
      <c r="K1194" s="1">
        <v>69.22</v>
      </c>
      <c r="L1194" s="1">
        <v>415.32</v>
      </c>
      <c r="M1194" s="43" t="s">
        <v>2873</v>
      </c>
      <c r="O1194" s="2" t="s">
        <v>2579</v>
      </c>
      <c r="P1194" t="s">
        <v>24</v>
      </c>
      <c r="Q1194" t="s">
        <v>894</v>
      </c>
    </row>
    <row r="1195" spans="1:17" ht="15" customHeight="1" x14ac:dyDescent="0.25">
      <c r="A1195" s="42" t="s">
        <v>2173</v>
      </c>
      <c r="B1195" s="3" t="s">
        <v>2886</v>
      </c>
      <c r="C1195" s="42" t="s">
        <v>1595</v>
      </c>
      <c r="D1195">
        <v>3</v>
      </c>
      <c r="E1195" t="s">
        <v>1179</v>
      </c>
      <c r="F1195" t="s">
        <v>1180</v>
      </c>
      <c r="G1195" t="s">
        <v>976</v>
      </c>
      <c r="H1195" s="1" t="s">
        <v>976</v>
      </c>
      <c r="I1195" s="1">
        <v>390</v>
      </c>
      <c r="J1195" s="20">
        <v>0</v>
      </c>
      <c r="K1195" s="1">
        <v>69.22</v>
      </c>
      <c r="L1195" s="1">
        <v>0</v>
      </c>
      <c r="M1195" s="43" t="s">
        <v>2873</v>
      </c>
      <c r="O1195" s="2" t="s">
        <v>2579</v>
      </c>
      <c r="P1195" t="s">
        <v>24</v>
      </c>
      <c r="Q1195" t="s">
        <v>894</v>
      </c>
    </row>
    <row r="1196" spans="1:17" ht="15" customHeight="1" x14ac:dyDescent="0.25">
      <c r="A1196" s="3" t="s">
        <v>2174</v>
      </c>
      <c r="B1196" s="4" t="s">
        <v>2886</v>
      </c>
      <c r="C1196" t="s">
        <v>1595</v>
      </c>
      <c r="D1196">
        <v>1</v>
      </c>
      <c r="E1196" t="s">
        <v>974</v>
      </c>
      <c r="F1196" t="s">
        <v>975</v>
      </c>
      <c r="G1196" t="s">
        <v>976</v>
      </c>
      <c r="H1196" s="1" t="s">
        <v>976</v>
      </c>
      <c r="I1196" s="1">
        <v>390</v>
      </c>
      <c r="J1196" s="20">
        <v>2</v>
      </c>
      <c r="K1196" s="1">
        <v>69.22</v>
      </c>
      <c r="L1196" s="1">
        <v>138.44</v>
      </c>
      <c r="M1196" s="43" t="s">
        <v>2873</v>
      </c>
      <c r="O1196" s="2" t="s">
        <v>2579</v>
      </c>
      <c r="P1196" t="s">
        <v>25</v>
      </c>
      <c r="Q1196" t="s">
        <v>894</v>
      </c>
    </row>
    <row r="1197" spans="1:17" ht="15" customHeight="1" x14ac:dyDescent="0.25">
      <c r="A1197" s="42" t="s">
        <v>2174</v>
      </c>
      <c r="B1197" s="3" t="s">
        <v>2886</v>
      </c>
      <c r="C1197" s="42" t="s">
        <v>1595</v>
      </c>
      <c r="D1197">
        <v>3</v>
      </c>
      <c r="E1197" t="s">
        <v>1179</v>
      </c>
      <c r="F1197" t="s">
        <v>1180</v>
      </c>
      <c r="G1197" t="s">
        <v>976</v>
      </c>
      <c r="H1197" s="1" t="s">
        <v>976</v>
      </c>
      <c r="I1197" s="1">
        <v>390</v>
      </c>
      <c r="J1197" s="20">
        <v>0</v>
      </c>
      <c r="K1197" s="1">
        <v>69.22</v>
      </c>
      <c r="L1197" s="1">
        <v>0</v>
      </c>
      <c r="M1197" s="43" t="s">
        <v>2873</v>
      </c>
      <c r="O1197" s="2" t="s">
        <v>2579</v>
      </c>
      <c r="P1197" t="s">
        <v>25</v>
      </c>
      <c r="Q1197" t="s">
        <v>894</v>
      </c>
    </row>
    <row r="1198" spans="1:17" ht="15" customHeight="1" x14ac:dyDescent="0.25">
      <c r="A1198" s="3" t="s">
        <v>2175</v>
      </c>
      <c r="B1198" s="4" t="s">
        <v>2886</v>
      </c>
      <c r="C1198" t="s">
        <v>1595</v>
      </c>
      <c r="D1198">
        <v>1</v>
      </c>
      <c r="E1198" t="s">
        <v>974</v>
      </c>
      <c r="F1198" t="s">
        <v>975</v>
      </c>
      <c r="G1198" t="s">
        <v>976</v>
      </c>
      <c r="H1198" s="1" t="s">
        <v>976</v>
      </c>
      <c r="I1198" s="1">
        <v>390</v>
      </c>
      <c r="J1198" s="20">
        <v>2</v>
      </c>
      <c r="K1198" s="1">
        <v>69.22</v>
      </c>
      <c r="L1198" s="1">
        <v>138.44</v>
      </c>
      <c r="M1198" s="43" t="s">
        <v>2873</v>
      </c>
      <c r="O1198" s="2" t="s">
        <v>2579</v>
      </c>
      <c r="P1198" t="s">
        <v>23</v>
      </c>
      <c r="Q1198" t="s">
        <v>894</v>
      </c>
    </row>
    <row r="1199" spans="1:17" ht="15" customHeight="1" x14ac:dyDescent="0.25">
      <c r="A1199" s="3" t="s">
        <v>2176</v>
      </c>
      <c r="B1199" s="4" t="s">
        <v>2886</v>
      </c>
      <c r="C1199" t="s">
        <v>1595</v>
      </c>
      <c r="D1199">
        <v>1</v>
      </c>
      <c r="E1199" t="s">
        <v>974</v>
      </c>
      <c r="F1199" t="s">
        <v>975</v>
      </c>
      <c r="G1199" t="s">
        <v>976</v>
      </c>
      <c r="H1199" s="1" t="s">
        <v>976</v>
      </c>
      <c r="I1199" s="1">
        <v>390</v>
      </c>
      <c r="J1199" s="20">
        <v>0</v>
      </c>
      <c r="K1199" s="1">
        <v>69.22</v>
      </c>
      <c r="L1199" s="1">
        <v>0</v>
      </c>
      <c r="M1199" s="43" t="s">
        <v>2873</v>
      </c>
      <c r="O1199" s="2" t="s">
        <v>2579</v>
      </c>
      <c r="P1199" t="s">
        <v>22</v>
      </c>
      <c r="Q1199" t="s">
        <v>894</v>
      </c>
    </row>
    <row r="1200" spans="1:17" ht="15" customHeight="1" x14ac:dyDescent="0.25">
      <c r="A1200" s="42" t="s">
        <v>2176</v>
      </c>
      <c r="B1200" s="3" t="s">
        <v>2886</v>
      </c>
      <c r="C1200" s="42" t="s">
        <v>1595</v>
      </c>
      <c r="D1200">
        <v>3</v>
      </c>
      <c r="E1200" t="s">
        <v>1179</v>
      </c>
      <c r="F1200" t="s">
        <v>1180</v>
      </c>
      <c r="G1200" t="s">
        <v>976</v>
      </c>
      <c r="H1200" s="1" t="s">
        <v>976</v>
      </c>
      <c r="I1200" s="1">
        <v>390</v>
      </c>
      <c r="J1200" s="20">
        <v>0</v>
      </c>
      <c r="K1200" s="1">
        <v>69.22</v>
      </c>
      <c r="L1200" s="1">
        <v>0</v>
      </c>
      <c r="M1200" s="43" t="s">
        <v>2873</v>
      </c>
      <c r="O1200" s="2" t="s">
        <v>2579</v>
      </c>
      <c r="P1200" t="s">
        <v>22</v>
      </c>
      <c r="Q1200" t="s">
        <v>894</v>
      </c>
    </row>
    <row r="1201" spans="1:17" ht="15" customHeight="1" x14ac:dyDescent="0.25">
      <c r="A1201" s="3" t="s">
        <v>2177</v>
      </c>
      <c r="B1201" s="4" t="s">
        <v>2886</v>
      </c>
      <c r="C1201" t="s">
        <v>1595</v>
      </c>
      <c r="D1201">
        <v>1</v>
      </c>
      <c r="E1201" t="s">
        <v>974</v>
      </c>
      <c r="F1201" t="s">
        <v>975</v>
      </c>
      <c r="G1201" t="s">
        <v>976</v>
      </c>
      <c r="H1201" s="1" t="s">
        <v>976</v>
      </c>
      <c r="I1201" s="1">
        <v>390</v>
      </c>
      <c r="J1201" s="20">
        <v>4</v>
      </c>
      <c r="K1201" s="1">
        <v>69.22</v>
      </c>
      <c r="L1201" s="1">
        <v>276.88</v>
      </c>
      <c r="M1201" s="43" t="s">
        <v>2873</v>
      </c>
      <c r="O1201" s="2" t="s">
        <v>2482</v>
      </c>
      <c r="P1201" t="s">
        <v>24</v>
      </c>
      <c r="Q1201" t="s">
        <v>895</v>
      </c>
    </row>
    <row r="1202" spans="1:17" ht="15" customHeight="1" x14ac:dyDescent="0.25">
      <c r="A1202" s="3" t="s">
        <v>2178</v>
      </c>
      <c r="B1202" s="4" t="s">
        <v>2886</v>
      </c>
      <c r="C1202" t="s">
        <v>1595</v>
      </c>
      <c r="D1202">
        <v>1</v>
      </c>
      <c r="E1202" t="s">
        <v>974</v>
      </c>
      <c r="F1202" t="s">
        <v>975</v>
      </c>
      <c r="G1202" t="s">
        <v>976</v>
      </c>
      <c r="H1202" s="1" t="s">
        <v>976</v>
      </c>
      <c r="I1202" s="1">
        <v>390</v>
      </c>
      <c r="J1202" s="20">
        <v>1</v>
      </c>
      <c r="K1202" s="1">
        <v>69.22</v>
      </c>
      <c r="L1202" s="1">
        <v>69.22</v>
      </c>
      <c r="M1202" s="43" t="s">
        <v>2873</v>
      </c>
      <c r="O1202" s="2" t="s">
        <v>2482</v>
      </c>
      <c r="P1202" t="s">
        <v>25</v>
      </c>
      <c r="Q1202" t="s">
        <v>895</v>
      </c>
    </row>
    <row r="1203" spans="1:17" ht="15" customHeight="1" x14ac:dyDescent="0.25">
      <c r="A1203" s="3" t="s">
        <v>2179</v>
      </c>
      <c r="B1203" s="4" t="s">
        <v>2886</v>
      </c>
      <c r="C1203" t="s">
        <v>1595</v>
      </c>
      <c r="D1203">
        <v>1</v>
      </c>
      <c r="E1203" t="s">
        <v>974</v>
      </c>
      <c r="F1203" t="s">
        <v>975</v>
      </c>
      <c r="G1203" t="s">
        <v>976</v>
      </c>
      <c r="H1203" s="1" t="s">
        <v>976</v>
      </c>
      <c r="I1203" s="1">
        <v>390</v>
      </c>
      <c r="J1203" s="20">
        <v>1</v>
      </c>
      <c r="K1203" s="1">
        <v>69.22</v>
      </c>
      <c r="L1203" s="1">
        <v>69.22</v>
      </c>
      <c r="M1203" s="43" t="s">
        <v>2873</v>
      </c>
      <c r="O1203" s="2" t="s">
        <v>2482</v>
      </c>
      <c r="P1203" t="s">
        <v>23</v>
      </c>
      <c r="Q1203" t="s">
        <v>895</v>
      </c>
    </row>
    <row r="1204" spans="1:17" ht="15" customHeight="1" x14ac:dyDescent="0.25">
      <c r="A1204" s="3" t="s">
        <v>2180</v>
      </c>
      <c r="B1204" s="4" t="s">
        <v>2886</v>
      </c>
      <c r="C1204" t="s">
        <v>1595</v>
      </c>
      <c r="D1204">
        <v>1</v>
      </c>
      <c r="E1204" t="s">
        <v>974</v>
      </c>
      <c r="F1204" t="s">
        <v>975</v>
      </c>
      <c r="G1204" t="s">
        <v>976</v>
      </c>
      <c r="H1204" s="1" t="s">
        <v>976</v>
      </c>
      <c r="I1204" s="1">
        <v>390</v>
      </c>
      <c r="J1204" s="20">
        <v>0</v>
      </c>
      <c r="K1204" s="1">
        <v>69.22</v>
      </c>
      <c r="L1204" s="1">
        <v>0</v>
      </c>
      <c r="M1204" s="43" t="s">
        <v>2873</v>
      </c>
      <c r="O1204" s="2" t="s">
        <v>2482</v>
      </c>
      <c r="P1204" t="s">
        <v>22</v>
      </c>
      <c r="Q1204" t="s">
        <v>895</v>
      </c>
    </row>
    <row r="1205" spans="1:17" ht="15" customHeight="1" x14ac:dyDescent="0.25">
      <c r="A1205" s="3" t="s">
        <v>1681</v>
      </c>
      <c r="B1205" s="4" t="s">
        <v>2888</v>
      </c>
      <c r="C1205" t="s">
        <v>1315</v>
      </c>
      <c r="D1205">
        <v>1</v>
      </c>
      <c r="E1205" t="s">
        <v>974</v>
      </c>
      <c r="F1205" t="s">
        <v>975</v>
      </c>
      <c r="G1205" t="s">
        <v>976</v>
      </c>
      <c r="H1205" s="1" t="s">
        <v>976</v>
      </c>
      <c r="I1205" s="1">
        <v>230</v>
      </c>
      <c r="J1205" s="20">
        <v>7</v>
      </c>
      <c r="K1205" s="1">
        <v>32</v>
      </c>
      <c r="L1205" s="1">
        <v>224</v>
      </c>
      <c r="M1205" s="43" t="s">
        <v>2887</v>
      </c>
      <c r="O1205" s="2" t="s">
        <v>2579</v>
      </c>
      <c r="P1205" t="s">
        <v>24</v>
      </c>
      <c r="Q1205" t="s">
        <v>896</v>
      </c>
    </row>
    <row r="1206" spans="1:17" ht="15" customHeight="1" x14ac:dyDescent="0.25">
      <c r="A1206" s="42" t="s">
        <v>1681</v>
      </c>
      <c r="B1206" s="3" t="s">
        <v>2888</v>
      </c>
      <c r="C1206" s="42" t="s">
        <v>1315</v>
      </c>
      <c r="D1206">
        <v>3</v>
      </c>
      <c r="E1206" t="s">
        <v>1179</v>
      </c>
      <c r="F1206" t="s">
        <v>1180</v>
      </c>
      <c r="G1206" t="s">
        <v>976</v>
      </c>
      <c r="H1206" s="1" t="s">
        <v>976</v>
      </c>
      <c r="I1206" s="1">
        <v>230</v>
      </c>
      <c r="J1206" s="20">
        <v>2</v>
      </c>
      <c r="K1206" s="1">
        <v>230</v>
      </c>
      <c r="L1206" s="1">
        <v>460</v>
      </c>
      <c r="M1206" s="43" t="s">
        <v>2887</v>
      </c>
      <c r="O1206" s="2" t="s">
        <v>2579</v>
      </c>
      <c r="P1206" t="s">
        <v>24</v>
      </c>
      <c r="Q1206" t="s">
        <v>896</v>
      </c>
    </row>
    <row r="1207" spans="1:17" ht="15" customHeight="1" x14ac:dyDescent="0.25">
      <c r="A1207" s="3" t="s">
        <v>1682</v>
      </c>
      <c r="B1207" s="4" t="s">
        <v>2888</v>
      </c>
      <c r="C1207" t="s">
        <v>1315</v>
      </c>
      <c r="D1207">
        <v>1</v>
      </c>
      <c r="E1207" t="s">
        <v>974</v>
      </c>
      <c r="F1207" t="s">
        <v>975</v>
      </c>
      <c r="G1207" t="s">
        <v>976</v>
      </c>
      <c r="H1207" s="1" t="s">
        <v>976</v>
      </c>
      <c r="I1207" s="1">
        <v>230</v>
      </c>
      <c r="J1207" s="20">
        <v>0</v>
      </c>
      <c r="K1207" s="1">
        <v>0</v>
      </c>
      <c r="L1207" s="1">
        <v>0</v>
      </c>
      <c r="M1207" s="43" t="s">
        <v>2887</v>
      </c>
      <c r="O1207" s="2" t="s">
        <v>2579</v>
      </c>
      <c r="P1207" t="s">
        <v>25</v>
      </c>
      <c r="Q1207" t="s">
        <v>896</v>
      </c>
    </row>
    <row r="1208" spans="1:17" ht="15" customHeight="1" x14ac:dyDescent="0.25">
      <c r="A1208" s="3" t="s">
        <v>1683</v>
      </c>
      <c r="B1208" s="4" t="s">
        <v>2888</v>
      </c>
      <c r="C1208" t="s">
        <v>1315</v>
      </c>
      <c r="D1208">
        <v>1</v>
      </c>
      <c r="E1208" t="s">
        <v>974</v>
      </c>
      <c r="F1208" t="s">
        <v>975</v>
      </c>
      <c r="G1208" t="s">
        <v>976</v>
      </c>
      <c r="H1208" s="1" t="s">
        <v>976</v>
      </c>
      <c r="I1208" s="1">
        <v>230</v>
      </c>
      <c r="J1208" s="20">
        <v>20</v>
      </c>
      <c r="K1208" s="1">
        <v>32.192591</v>
      </c>
      <c r="L1208" s="1">
        <v>643.85</v>
      </c>
      <c r="M1208" s="43" t="s">
        <v>2887</v>
      </c>
      <c r="O1208" s="2" t="s">
        <v>2579</v>
      </c>
      <c r="Q1208" t="s">
        <v>896</v>
      </c>
    </row>
    <row r="1209" spans="1:17" ht="15" customHeight="1" x14ac:dyDescent="0.25">
      <c r="A1209" s="42" t="s">
        <v>1683</v>
      </c>
      <c r="B1209" s="3" t="s">
        <v>2888</v>
      </c>
      <c r="C1209" s="42" t="s">
        <v>1315</v>
      </c>
      <c r="D1209">
        <v>3</v>
      </c>
      <c r="E1209" t="s">
        <v>1179</v>
      </c>
      <c r="F1209" t="s">
        <v>1180</v>
      </c>
      <c r="G1209" t="s">
        <v>976</v>
      </c>
      <c r="H1209" s="1" t="s">
        <v>976</v>
      </c>
      <c r="I1209" s="1">
        <v>230</v>
      </c>
      <c r="J1209" s="20">
        <v>2</v>
      </c>
      <c r="K1209" s="1">
        <v>230</v>
      </c>
      <c r="L1209" s="1">
        <v>460</v>
      </c>
      <c r="M1209" s="43" t="s">
        <v>2887</v>
      </c>
      <c r="O1209" s="2" t="s">
        <v>2579</v>
      </c>
      <c r="Q1209" t="s">
        <v>896</v>
      </c>
    </row>
    <row r="1210" spans="1:17" ht="15" customHeight="1" x14ac:dyDescent="0.25">
      <c r="A1210" s="3" t="s">
        <v>1684</v>
      </c>
      <c r="B1210" s="4" t="s">
        <v>2888</v>
      </c>
      <c r="C1210" t="s">
        <v>1315</v>
      </c>
      <c r="D1210">
        <v>1</v>
      </c>
      <c r="E1210" t="s">
        <v>974</v>
      </c>
      <c r="F1210" t="s">
        <v>975</v>
      </c>
      <c r="G1210" t="s">
        <v>976</v>
      </c>
      <c r="H1210" s="1" t="s">
        <v>976</v>
      </c>
      <c r="I1210" s="1">
        <v>230</v>
      </c>
      <c r="J1210" s="20">
        <v>1</v>
      </c>
      <c r="K1210" s="1">
        <v>31.955555</v>
      </c>
      <c r="L1210" s="1">
        <v>31.96</v>
      </c>
      <c r="M1210" s="43" t="s">
        <v>2887</v>
      </c>
      <c r="O1210" s="2" t="s">
        <v>2579</v>
      </c>
      <c r="P1210" t="s">
        <v>22</v>
      </c>
      <c r="Q1210" t="s">
        <v>896</v>
      </c>
    </row>
    <row r="1211" spans="1:17" ht="15" customHeight="1" x14ac:dyDescent="0.25">
      <c r="A1211" s="42" t="s">
        <v>1684</v>
      </c>
      <c r="B1211" s="3" t="s">
        <v>2888</v>
      </c>
      <c r="C1211" s="42" t="s">
        <v>1315</v>
      </c>
      <c r="D1211">
        <v>3</v>
      </c>
      <c r="E1211" t="s">
        <v>1179</v>
      </c>
      <c r="F1211" t="s">
        <v>1180</v>
      </c>
      <c r="G1211" t="s">
        <v>976</v>
      </c>
      <c r="H1211" s="1" t="s">
        <v>976</v>
      </c>
      <c r="I1211" s="1">
        <v>230</v>
      </c>
      <c r="J1211" s="20">
        <v>2</v>
      </c>
      <c r="K1211" s="1">
        <v>230</v>
      </c>
      <c r="L1211" s="1">
        <v>460</v>
      </c>
      <c r="M1211" s="43" t="s">
        <v>2887</v>
      </c>
      <c r="O1211" s="2" t="s">
        <v>2579</v>
      </c>
      <c r="P1211" t="s">
        <v>22</v>
      </c>
      <c r="Q1211" t="s">
        <v>896</v>
      </c>
    </row>
    <row r="1212" spans="1:17" ht="15" customHeight="1" x14ac:dyDescent="0.25">
      <c r="A1212" s="3" t="s">
        <v>1685</v>
      </c>
      <c r="B1212" s="4" t="s">
        <v>2888</v>
      </c>
      <c r="C1212" t="s">
        <v>1315</v>
      </c>
      <c r="D1212">
        <v>1</v>
      </c>
      <c r="E1212" t="s">
        <v>974</v>
      </c>
      <c r="F1212" t="s">
        <v>975</v>
      </c>
      <c r="G1212" t="s">
        <v>976</v>
      </c>
      <c r="H1212" s="1" t="s">
        <v>976</v>
      </c>
      <c r="I1212" s="1">
        <v>230</v>
      </c>
      <c r="J1212" s="20">
        <v>1</v>
      </c>
      <c r="K1212" s="1">
        <v>84.666666000000006</v>
      </c>
      <c r="L1212" s="1">
        <v>84.67</v>
      </c>
      <c r="M1212" s="43" t="s">
        <v>2887</v>
      </c>
      <c r="O1212" s="2" t="s">
        <v>2482</v>
      </c>
      <c r="P1212" t="s">
        <v>24</v>
      </c>
      <c r="Q1212" t="s">
        <v>897</v>
      </c>
    </row>
    <row r="1213" spans="1:17" ht="15" customHeight="1" x14ac:dyDescent="0.25">
      <c r="A1213" s="42" t="s">
        <v>1685</v>
      </c>
      <c r="B1213" s="3" t="s">
        <v>2888</v>
      </c>
      <c r="C1213" s="42" t="s">
        <v>1315</v>
      </c>
      <c r="D1213">
        <v>3</v>
      </c>
      <c r="E1213" t="s">
        <v>1179</v>
      </c>
      <c r="F1213" t="s">
        <v>1180</v>
      </c>
      <c r="G1213" t="s">
        <v>976</v>
      </c>
      <c r="H1213" s="1" t="s">
        <v>976</v>
      </c>
      <c r="I1213" s="1">
        <v>230</v>
      </c>
      <c r="J1213" s="20">
        <v>0</v>
      </c>
      <c r="K1213" s="1">
        <v>32</v>
      </c>
      <c r="L1213" s="1">
        <v>0</v>
      </c>
      <c r="M1213" s="43" t="s">
        <v>2887</v>
      </c>
      <c r="O1213" s="2" t="s">
        <v>2482</v>
      </c>
      <c r="P1213" t="s">
        <v>24</v>
      </c>
      <c r="Q1213" t="s">
        <v>897</v>
      </c>
    </row>
    <row r="1214" spans="1:17" ht="15" customHeight="1" x14ac:dyDescent="0.25">
      <c r="A1214" s="3" t="s">
        <v>1686</v>
      </c>
      <c r="B1214" s="4" t="s">
        <v>2888</v>
      </c>
      <c r="C1214" t="s">
        <v>1315</v>
      </c>
      <c r="D1214">
        <v>1</v>
      </c>
      <c r="E1214" t="s">
        <v>974</v>
      </c>
      <c r="F1214" t="s">
        <v>975</v>
      </c>
      <c r="G1214" t="s">
        <v>976</v>
      </c>
      <c r="H1214" s="1" t="s">
        <v>976</v>
      </c>
      <c r="I1214" s="1">
        <v>230</v>
      </c>
      <c r="J1214" s="20">
        <v>0</v>
      </c>
      <c r="K1214" s="1">
        <v>0</v>
      </c>
      <c r="L1214" s="1">
        <v>0</v>
      </c>
      <c r="M1214" s="43" t="s">
        <v>2887</v>
      </c>
      <c r="O1214" s="2" t="s">
        <v>2482</v>
      </c>
      <c r="P1214" t="s">
        <v>25</v>
      </c>
      <c r="Q1214" t="s">
        <v>897</v>
      </c>
    </row>
    <row r="1215" spans="1:17" ht="15" customHeight="1" x14ac:dyDescent="0.25">
      <c r="A1215" s="3" t="s">
        <v>1687</v>
      </c>
      <c r="B1215" s="4" t="s">
        <v>2888</v>
      </c>
      <c r="C1215" t="s">
        <v>1315</v>
      </c>
      <c r="D1215">
        <v>1</v>
      </c>
      <c r="E1215" t="s">
        <v>974</v>
      </c>
      <c r="F1215" t="s">
        <v>975</v>
      </c>
      <c r="G1215" t="s">
        <v>976</v>
      </c>
      <c r="H1215" s="1" t="s">
        <v>976</v>
      </c>
      <c r="I1215" s="1">
        <v>230</v>
      </c>
      <c r="J1215" s="20">
        <v>13</v>
      </c>
      <c r="K1215" s="1">
        <v>43.142856999999999</v>
      </c>
      <c r="L1215" s="1">
        <v>560.86</v>
      </c>
      <c r="M1215" s="43" t="s">
        <v>2887</v>
      </c>
      <c r="O1215" s="2" t="s">
        <v>2482</v>
      </c>
      <c r="P1215" t="s">
        <v>23</v>
      </c>
      <c r="Q1215" t="s">
        <v>897</v>
      </c>
    </row>
    <row r="1216" spans="1:17" ht="15" customHeight="1" x14ac:dyDescent="0.25">
      <c r="A1216" s="42" t="s">
        <v>1687</v>
      </c>
      <c r="B1216" s="3" t="s">
        <v>2888</v>
      </c>
      <c r="C1216" s="42" t="s">
        <v>1315</v>
      </c>
      <c r="D1216">
        <v>3</v>
      </c>
      <c r="E1216" t="s">
        <v>1179</v>
      </c>
      <c r="F1216" t="s">
        <v>1180</v>
      </c>
      <c r="G1216" t="s">
        <v>976</v>
      </c>
      <c r="H1216" s="1" t="s">
        <v>976</v>
      </c>
      <c r="I1216" s="1">
        <v>230</v>
      </c>
      <c r="J1216" s="20">
        <v>2</v>
      </c>
      <c r="K1216" s="1">
        <v>230</v>
      </c>
      <c r="L1216" s="1">
        <v>460</v>
      </c>
      <c r="M1216" s="43" t="s">
        <v>2887</v>
      </c>
      <c r="O1216" s="2" t="s">
        <v>2482</v>
      </c>
      <c r="P1216" t="s">
        <v>23</v>
      </c>
      <c r="Q1216" t="s">
        <v>897</v>
      </c>
    </row>
    <row r="1217" spans="1:17" ht="15" customHeight="1" x14ac:dyDescent="0.25">
      <c r="A1217" s="3" t="s">
        <v>1688</v>
      </c>
      <c r="B1217" s="4" t="s">
        <v>2888</v>
      </c>
      <c r="C1217" t="s">
        <v>1315</v>
      </c>
      <c r="D1217">
        <v>1</v>
      </c>
      <c r="E1217" t="s">
        <v>974</v>
      </c>
      <c r="F1217" t="s">
        <v>975</v>
      </c>
      <c r="G1217" t="s">
        <v>976</v>
      </c>
      <c r="H1217" s="1" t="s">
        <v>976</v>
      </c>
      <c r="I1217" s="1">
        <v>230</v>
      </c>
      <c r="J1217" s="20">
        <v>0</v>
      </c>
      <c r="K1217" s="1">
        <v>32</v>
      </c>
      <c r="L1217" s="1">
        <v>0</v>
      </c>
      <c r="M1217" s="43" t="s">
        <v>2887</v>
      </c>
      <c r="O1217" s="2" t="s">
        <v>2482</v>
      </c>
      <c r="P1217" t="s">
        <v>22</v>
      </c>
      <c r="Q1217" t="s">
        <v>897</v>
      </c>
    </row>
    <row r="1218" spans="1:17" ht="15" customHeight="1" x14ac:dyDescent="0.25">
      <c r="A1218" s="42" t="s">
        <v>1688</v>
      </c>
      <c r="B1218" s="3" t="s">
        <v>2888</v>
      </c>
      <c r="C1218" s="42" t="s">
        <v>1315</v>
      </c>
      <c r="D1218">
        <v>3</v>
      </c>
      <c r="E1218" t="s">
        <v>1179</v>
      </c>
      <c r="F1218" t="s">
        <v>1180</v>
      </c>
      <c r="G1218" t="s">
        <v>976</v>
      </c>
      <c r="H1218" s="1" t="s">
        <v>976</v>
      </c>
      <c r="I1218" s="1">
        <v>230</v>
      </c>
      <c r="J1218" s="20">
        <v>0</v>
      </c>
      <c r="K1218" s="1">
        <v>32</v>
      </c>
      <c r="L1218" s="1">
        <v>0</v>
      </c>
      <c r="M1218" s="43" t="s">
        <v>2887</v>
      </c>
      <c r="O1218" s="2" t="s">
        <v>2482</v>
      </c>
      <c r="P1218" t="s">
        <v>22</v>
      </c>
      <c r="Q1218" t="s">
        <v>897</v>
      </c>
    </row>
    <row r="1219" spans="1:17" ht="15" customHeight="1" x14ac:dyDescent="0.25">
      <c r="A1219" s="3" t="s">
        <v>1689</v>
      </c>
      <c r="B1219" s="4" t="s">
        <v>2889</v>
      </c>
      <c r="C1219" t="s">
        <v>1315</v>
      </c>
      <c r="D1219">
        <v>1</v>
      </c>
      <c r="E1219" t="s">
        <v>974</v>
      </c>
      <c r="F1219" t="s">
        <v>975</v>
      </c>
      <c r="G1219" t="s">
        <v>976</v>
      </c>
      <c r="H1219" s="1" t="s">
        <v>976</v>
      </c>
      <c r="I1219" s="1">
        <v>630</v>
      </c>
      <c r="J1219" s="20">
        <v>3</v>
      </c>
      <c r="K1219" s="1">
        <v>111</v>
      </c>
      <c r="L1219" s="1">
        <v>333</v>
      </c>
      <c r="M1219" s="43" t="s">
        <v>2887</v>
      </c>
      <c r="O1219" s="2" t="s">
        <v>2443</v>
      </c>
      <c r="P1219" t="s">
        <v>24</v>
      </c>
      <c r="Q1219" t="s">
        <v>898</v>
      </c>
    </row>
    <row r="1220" spans="1:17" ht="15" customHeight="1" x14ac:dyDescent="0.25">
      <c r="A1220" s="3" t="s">
        <v>1690</v>
      </c>
      <c r="B1220" s="4" t="s">
        <v>2889</v>
      </c>
      <c r="C1220" t="s">
        <v>1315</v>
      </c>
      <c r="D1220">
        <v>1</v>
      </c>
      <c r="E1220" t="s">
        <v>974</v>
      </c>
      <c r="F1220" t="s">
        <v>975</v>
      </c>
      <c r="G1220" t="s">
        <v>976</v>
      </c>
      <c r="H1220" s="1" t="s">
        <v>976</v>
      </c>
      <c r="I1220" s="1">
        <v>630</v>
      </c>
      <c r="J1220" s="20">
        <v>0</v>
      </c>
      <c r="K1220" s="1">
        <v>0</v>
      </c>
      <c r="L1220" s="1">
        <v>0</v>
      </c>
      <c r="M1220" s="43" t="s">
        <v>2887</v>
      </c>
      <c r="O1220" s="2" t="s">
        <v>2443</v>
      </c>
      <c r="P1220" t="s">
        <v>25</v>
      </c>
      <c r="Q1220" t="s">
        <v>898</v>
      </c>
    </row>
    <row r="1221" spans="1:17" ht="15" customHeight="1" x14ac:dyDescent="0.25">
      <c r="A1221" s="3" t="s">
        <v>1691</v>
      </c>
      <c r="B1221" s="4" t="s">
        <v>2889</v>
      </c>
      <c r="C1221" t="s">
        <v>1315</v>
      </c>
      <c r="D1221">
        <v>1</v>
      </c>
      <c r="E1221" t="s">
        <v>974</v>
      </c>
      <c r="F1221" t="s">
        <v>975</v>
      </c>
      <c r="G1221" t="s">
        <v>976</v>
      </c>
      <c r="H1221" s="1" t="s">
        <v>976</v>
      </c>
      <c r="I1221" s="1">
        <v>630</v>
      </c>
      <c r="J1221" s="20">
        <v>1</v>
      </c>
      <c r="K1221" s="1">
        <v>111</v>
      </c>
      <c r="L1221" s="1">
        <v>111</v>
      </c>
      <c r="M1221" s="43" t="s">
        <v>2887</v>
      </c>
      <c r="O1221" s="2" t="s">
        <v>2443</v>
      </c>
      <c r="P1221" t="s">
        <v>23</v>
      </c>
      <c r="Q1221" t="s">
        <v>898</v>
      </c>
    </row>
    <row r="1222" spans="1:17" ht="15" customHeight="1" x14ac:dyDescent="0.25">
      <c r="A1222" s="42" t="s">
        <v>1691</v>
      </c>
      <c r="B1222" s="3" t="s">
        <v>2889</v>
      </c>
      <c r="C1222" s="42" t="s">
        <v>1315</v>
      </c>
      <c r="D1222">
        <v>3</v>
      </c>
      <c r="E1222" t="s">
        <v>1179</v>
      </c>
      <c r="F1222" t="s">
        <v>1180</v>
      </c>
      <c r="G1222" t="s">
        <v>976</v>
      </c>
      <c r="H1222" s="1" t="s">
        <v>976</v>
      </c>
      <c r="I1222" s="1">
        <v>630</v>
      </c>
      <c r="J1222" s="20">
        <v>0</v>
      </c>
      <c r="K1222" s="1">
        <v>111</v>
      </c>
      <c r="L1222" s="1">
        <v>0</v>
      </c>
      <c r="M1222" s="43" t="s">
        <v>2887</v>
      </c>
      <c r="O1222" s="2" t="s">
        <v>2443</v>
      </c>
      <c r="P1222" t="s">
        <v>23</v>
      </c>
      <c r="Q1222" t="s">
        <v>898</v>
      </c>
    </row>
    <row r="1223" spans="1:17" ht="15" customHeight="1" x14ac:dyDescent="0.25">
      <c r="A1223" s="3" t="s">
        <v>1692</v>
      </c>
      <c r="B1223" s="4" t="s">
        <v>2889</v>
      </c>
      <c r="C1223" t="s">
        <v>1315</v>
      </c>
      <c r="D1223">
        <v>1</v>
      </c>
      <c r="E1223" t="s">
        <v>974</v>
      </c>
      <c r="F1223" t="s">
        <v>975</v>
      </c>
      <c r="G1223" t="s">
        <v>976</v>
      </c>
      <c r="H1223" s="1" t="s">
        <v>976</v>
      </c>
      <c r="I1223" s="1">
        <v>630</v>
      </c>
      <c r="J1223" s="20">
        <v>1</v>
      </c>
      <c r="K1223" s="1">
        <v>111</v>
      </c>
      <c r="L1223" s="1">
        <v>111</v>
      </c>
      <c r="M1223" s="43" t="s">
        <v>2887</v>
      </c>
      <c r="O1223" s="2" t="s">
        <v>2443</v>
      </c>
      <c r="P1223" t="s">
        <v>22</v>
      </c>
      <c r="Q1223" t="s">
        <v>898</v>
      </c>
    </row>
    <row r="1224" spans="1:17" ht="15" customHeight="1" x14ac:dyDescent="0.25">
      <c r="A1224" s="42" t="s">
        <v>1692</v>
      </c>
      <c r="B1224" s="3" t="s">
        <v>2889</v>
      </c>
      <c r="C1224" s="42" t="s">
        <v>1315</v>
      </c>
      <c r="D1224">
        <v>3</v>
      </c>
      <c r="E1224" t="s">
        <v>1179</v>
      </c>
      <c r="F1224" t="s">
        <v>1180</v>
      </c>
      <c r="G1224" t="s">
        <v>976</v>
      </c>
      <c r="H1224" s="1" t="s">
        <v>976</v>
      </c>
      <c r="I1224" s="1">
        <v>630</v>
      </c>
      <c r="J1224" s="20">
        <v>0</v>
      </c>
      <c r="K1224" s="1">
        <v>111</v>
      </c>
      <c r="L1224" s="1">
        <v>0</v>
      </c>
      <c r="M1224" s="43" t="s">
        <v>2887</v>
      </c>
      <c r="O1224" s="2" t="s">
        <v>2443</v>
      </c>
      <c r="P1224" t="s">
        <v>22</v>
      </c>
      <c r="Q1224" t="s">
        <v>898</v>
      </c>
    </row>
    <row r="1225" spans="1:17" ht="15" customHeight="1" x14ac:dyDescent="0.25">
      <c r="A1225" s="3" t="s">
        <v>1693</v>
      </c>
      <c r="B1225" s="4" t="s">
        <v>342</v>
      </c>
      <c r="C1225" t="s">
        <v>1241</v>
      </c>
      <c r="D1225">
        <v>1</v>
      </c>
      <c r="E1225" t="s">
        <v>974</v>
      </c>
      <c r="F1225" t="s">
        <v>975</v>
      </c>
      <c r="G1225" t="s">
        <v>976</v>
      </c>
      <c r="H1225" s="1" t="s">
        <v>976</v>
      </c>
      <c r="I1225" s="1">
        <v>11000</v>
      </c>
      <c r="J1225" s="20">
        <v>0</v>
      </c>
      <c r="K1225" s="1">
        <v>0</v>
      </c>
      <c r="L1225" s="1">
        <v>0</v>
      </c>
      <c r="M1225" s="43" t="s">
        <v>2890</v>
      </c>
      <c r="P1225" t="s">
        <v>23</v>
      </c>
      <c r="Q1225" t="s">
        <v>342</v>
      </c>
    </row>
    <row r="1226" spans="1:17" ht="15" customHeight="1" x14ac:dyDescent="0.25">
      <c r="A1226" s="3" t="s">
        <v>1694</v>
      </c>
      <c r="B1226" s="4" t="s">
        <v>2891</v>
      </c>
      <c r="C1226" t="s">
        <v>1355</v>
      </c>
      <c r="D1226">
        <v>1</v>
      </c>
      <c r="E1226" t="s">
        <v>974</v>
      </c>
      <c r="F1226" t="s">
        <v>975</v>
      </c>
      <c r="G1226" t="s">
        <v>976</v>
      </c>
      <c r="H1226" s="1" t="s">
        <v>976</v>
      </c>
      <c r="I1226" s="1">
        <v>1240</v>
      </c>
      <c r="J1226" s="20">
        <v>0</v>
      </c>
      <c r="K1226" s="1">
        <v>214</v>
      </c>
      <c r="L1226" s="1">
        <v>0</v>
      </c>
      <c r="M1226" s="43" t="s">
        <v>2890</v>
      </c>
      <c r="O1226" s="2" t="s">
        <v>2447</v>
      </c>
      <c r="P1226" t="s">
        <v>24</v>
      </c>
      <c r="Q1226" t="s">
        <v>899</v>
      </c>
    </row>
    <row r="1227" spans="1:17" ht="15" customHeight="1" x14ac:dyDescent="0.25">
      <c r="A1227" s="3" t="s">
        <v>1695</v>
      </c>
      <c r="B1227" s="4" t="s">
        <v>2891</v>
      </c>
      <c r="C1227" t="s">
        <v>1355</v>
      </c>
      <c r="D1227">
        <v>1</v>
      </c>
      <c r="E1227" t="s">
        <v>974</v>
      </c>
      <c r="F1227" t="s">
        <v>975</v>
      </c>
      <c r="G1227" t="s">
        <v>976</v>
      </c>
      <c r="H1227" s="1" t="s">
        <v>976</v>
      </c>
      <c r="I1227" s="1">
        <v>1240</v>
      </c>
      <c r="J1227" s="20">
        <v>1</v>
      </c>
      <c r="K1227" s="1">
        <v>214</v>
      </c>
      <c r="L1227" s="1">
        <v>214</v>
      </c>
      <c r="M1227" s="43" t="s">
        <v>2890</v>
      </c>
      <c r="O1227" s="2" t="s">
        <v>2447</v>
      </c>
      <c r="P1227" t="s">
        <v>25</v>
      </c>
      <c r="Q1227" t="s">
        <v>899</v>
      </c>
    </row>
    <row r="1228" spans="1:17" ht="15" customHeight="1" x14ac:dyDescent="0.25">
      <c r="A1228" s="3" t="s">
        <v>1696</v>
      </c>
      <c r="B1228" s="4" t="s">
        <v>2891</v>
      </c>
      <c r="C1228" t="s">
        <v>1355</v>
      </c>
      <c r="D1228">
        <v>1</v>
      </c>
      <c r="E1228" t="s">
        <v>974</v>
      </c>
      <c r="F1228" t="s">
        <v>975</v>
      </c>
      <c r="G1228" t="s">
        <v>976</v>
      </c>
      <c r="H1228" s="1" t="s">
        <v>976</v>
      </c>
      <c r="I1228" s="1">
        <v>1240</v>
      </c>
      <c r="J1228" s="20">
        <v>0</v>
      </c>
      <c r="K1228" s="1">
        <v>214.05</v>
      </c>
      <c r="L1228" s="1">
        <v>0</v>
      </c>
      <c r="M1228" s="43" t="s">
        <v>2890</v>
      </c>
      <c r="O1228" s="2" t="s">
        <v>2447</v>
      </c>
      <c r="P1228" t="s">
        <v>23</v>
      </c>
      <c r="Q1228" t="s">
        <v>899</v>
      </c>
    </row>
    <row r="1229" spans="1:17" ht="15" customHeight="1" x14ac:dyDescent="0.25">
      <c r="A1229" s="3" t="s">
        <v>1697</v>
      </c>
      <c r="B1229" s="4" t="s">
        <v>2891</v>
      </c>
      <c r="C1229" t="s">
        <v>1355</v>
      </c>
      <c r="D1229">
        <v>1</v>
      </c>
      <c r="E1229" t="s">
        <v>974</v>
      </c>
      <c r="F1229" t="s">
        <v>975</v>
      </c>
      <c r="G1229" t="s">
        <v>976</v>
      </c>
      <c r="H1229" s="1" t="s">
        <v>976</v>
      </c>
      <c r="I1229" s="1">
        <v>1240</v>
      </c>
      <c r="J1229" s="20">
        <v>0</v>
      </c>
      <c r="K1229" s="1">
        <v>214.31</v>
      </c>
      <c r="L1229" s="1">
        <v>0</v>
      </c>
      <c r="M1229" s="43" t="s">
        <v>2890</v>
      </c>
      <c r="O1229" s="2" t="s">
        <v>2447</v>
      </c>
      <c r="P1229" t="s">
        <v>22</v>
      </c>
      <c r="Q1229" t="s">
        <v>899</v>
      </c>
    </row>
    <row r="1230" spans="1:17" ht="15" customHeight="1" x14ac:dyDescent="0.25">
      <c r="A1230" s="3" t="s">
        <v>1698</v>
      </c>
      <c r="B1230" s="4" t="s">
        <v>2891</v>
      </c>
      <c r="C1230" t="s">
        <v>1355</v>
      </c>
      <c r="D1230">
        <v>1</v>
      </c>
      <c r="E1230" t="s">
        <v>974</v>
      </c>
      <c r="F1230" t="s">
        <v>975</v>
      </c>
      <c r="G1230" t="s">
        <v>976</v>
      </c>
      <c r="H1230" s="1" t="s">
        <v>976</v>
      </c>
      <c r="I1230" s="1">
        <v>1240</v>
      </c>
      <c r="J1230" s="20">
        <v>-1</v>
      </c>
      <c r="K1230" s="1">
        <v>0</v>
      </c>
      <c r="L1230" s="1">
        <v>0</v>
      </c>
      <c r="M1230" s="43" t="s">
        <v>2890</v>
      </c>
      <c r="N1230" s="1" t="s">
        <v>2616</v>
      </c>
      <c r="O1230" s="2" t="s">
        <v>2447</v>
      </c>
      <c r="Q1230" t="s">
        <v>899</v>
      </c>
    </row>
    <row r="1231" spans="1:17" ht="15" customHeight="1" x14ac:dyDescent="0.25">
      <c r="A1231" s="42" t="s">
        <v>1698</v>
      </c>
      <c r="B1231" s="3" t="s">
        <v>2891</v>
      </c>
      <c r="C1231" s="42" t="s">
        <v>1355</v>
      </c>
      <c r="D1231">
        <v>4</v>
      </c>
      <c r="E1231" t="s">
        <v>1018</v>
      </c>
      <c r="F1231" t="s">
        <v>975</v>
      </c>
      <c r="G1231" t="s">
        <v>976</v>
      </c>
      <c r="H1231" s="1" t="s">
        <v>976</v>
      </c>
      <c r="I1231" s="1">
        <v>1240</v>
      </c>
      <c r="J1231" s="20">
        <v>1</v>
      </c>
      <c r="K1231" s="1">
        <v>1240</v>
      </c>
      <c r="L1231" s="1">
        <v>1240</v>
      </c>
      <c r="M1231" s="43" t="s">
        <v>2890</v>
      </c>
      <c r="N1231" s="1" t="s">
        <v>2616</v>
      </c>
      <c r="O1231" s="2" t="s">
        <v>2447</v>
      </c>
      <c r="Q1231" t="s">
        <v>899</v>
      </c>
    </row>
    <row r="1232" spans="1:17" ht="15" customHeight="1" x14ac:dyDescent="0.25">
      <c r="A1232" s="3" t="s">
        <v>1699</v>
      </c>
      <c r="B1232" s="4" t="s">
        <v>2891</v>
      </c>
      <c r="C1232" t="s">
        <v>1355</v>
      </c>
      <c r="D1232">
        <v>1</v>
      </c>
      <c r="E1232" t="s">
        <v>974</v>
      </c>
      <c r="F1232" t="s">
        <v>975</v>
      </c>
      <c r="G1232" t="s">
        <v>976</v>
      </c>
      <c r="H1232" s="1" t="s">
        <v>976</v>
      </c>
      <c r="I1232" s="1">
        <v>1240</v>
      </c>
      <c r="J1232" s="20">
        <v>0</v>
      </c>
      <c r="K1232" s="1">
        <v>0</v>
      </c>
      <c r="L1232" s="1">
        <v>0</v>
      </c>
      <c r="M1232" s="43" t="s">
        <v>2890</v>
      </c>
      <c r="O1232" s="2" t="s">
        <v>2447</v>
      </c>
      <c r="P1232" t="s">
        <v>21</v>
      </c>
      <c r="Q1232" t="s">
        <v>899</v>
      </c>
    </row>
    <row r="1233" spans="1:17" ht="15" customHeight="1" x14ac:dyDescent="0.25">
      <c r="A1233" s="3" t="s">
        <v>1700</v>
      </c>
      <c r="B1233" s="4" t="s">
        <v>2891</v>
      </c>
      <c r="C1233" t="s">
        <v>1355</v>
      </c>
      <c r="D1233">
        <v>1</v>
      </c>
      <c r="E1233" t="s">
        <v>974</v>
      </c>
      <c r="F1233" t="s">
        <v>975</v>
      </c>
      <c r="G1233" t="s">
        <v>976</v>
      </c>
      <c r="H1233" s="1" t="s">
        <v>976</v>
      </c>
      <c r="I1233" s="1">
        <v>1240</v>
      </c>
      <c r="J1233" s="20">
        <v>0</v>
      </c>
      <c r="K1233" s="1">
        <v>0</v>
      </c>
      <c r="L1233" s="1">
        <v>0</v>
      </c>
      <c r="M1233" s="43" t="s">
        <v>2890</v>
      </c>
      <c r="O1233" s="2" t="s">
        <v>2447</v>
      </c>
      <c r="Q1233" t="s">
        <v>899</v>
      </c>
    </row>
    <row r="1234" spans="1:17" ht="15" customHeight="1" x14ac:dyDescent="0.25">
      <c r="A1234" s="3" t="s">
        <v>1701</v>
      </c>
      <c r="B1234" s="4" t="s">
        <v>2891</v>
      </c>
      <c r="C1234" t="s">
        <v>1355</v>
      </c>
      <c r="D1234">
        <v>1</v>
      </c>
      <c r="E1234" t="s">
        <v>974</v>
      </c>
      <c r="F1234" t="s">
        <v>975</v>
      </c>
      <c r="G1234" t="s">
        <v>976</v>
      </c>
      <c r="H1234" s="1" t="s">
        <v>976</v>
      </c>
      <c r="I1234" s="1">
        <v>1240</v>
      </c>
      <c r="J1234" s="20">
        <v>0</v>
      </c>
      <c r="K1234" s="1">
        <v>222</v>
      </c>
      <c r="L1234" s="1">
        <v>0</v>
      </c>
      <c r="M1234" s="43" t="s">
        <v>2890</v>
      </c>
      <c r="O1234" s="2" t="s">
        <v>2463</v>
      </c>
      <c r="P1234" t="s">
        <v>24</v>
      </c>
      <c r="Q1234" t="s">
        <v>900</v>
      </c>
    </row>
    <row r="1235" spans="1:17" ht="15" customHeight="1" x14ac:dyDescent="0.25">
      <c r="A1235" s="3" t="s">
        <v>1702</v>
      </c>
      <c r="B1235" s="4" t="s">
        <v>2891</v>
      </c>
      <c r="C1235" t="s">
        <v>1355</v>
      </c>
      <c r="D1235">
        <v>1</v>
      </c>
      <c r="E1235" t="s">
        <v>974</v>
      </c>
      <c r="F1235" t="s">
        <v>975</v>
      </c>
      <c r="G1235" t="s">
        <v>976</v>
      </c>
      <c r="H1235" s="1" t="s">
        <v>976</v>
      </c>
      <c r="I1235" s="1">
        <v>1240</v>
      </c>
      <c r="J1235" s="20">
        <v>0</v>
      </c>
      <c r="K1235" s="1">
        <v>222</v>
      </c>
      <c r="L1235" s="1">
        <v>0</v>
      </c>
      <c r="M1235" s="43" t="s">
        <v>2890</v>
      </c>
      <c r="O1235" s="2" t="s">
        <v>2463</v>
      </c>
      <c r="P1235" t="s">
        <v>25</v>
      </c>
      <c r="Q1235" t="s">
        <v>900</v>
      </c>
    </row>
    <row r="1236" spans="1:17" ht="15" customHeight="1" x14ac:dyDescent="0.25">
      <c r="A1236" s="3" t="s">
        <v>1703</v>
      </c>
      <c r="B1236" s="4" t="s">
        <v>2891</v>
      </c>
      <c r="C1236" t="s">
        <v>1355</v>
      </c>
      <c r="D1236">
        <v>1</v>
      </c>
      <c r="E1236" t="s">
        <v>974</v>
      </c>
      <c r="F1236" t="s">
        <v>975</v>
      </c>
      <c r="G1236" t="s">
        <v>976</v>
      </c>
      <c r="H1236" s="1" t="s">
        <v>976</v>
      </c>
      <c r="I1236" s="1">
        <v>1240</v>
      </c>
      <c r="J1236" s="20">
        <v>0</v>
      </c>
      <c r="K1236" s="1">
        <v>222</v>
      </c>
      <c r="L1236" s="1">
        <v>0</v>
      </c>
      <c r="M1236" s="43" t="s">
        <v>2890</v>
      </c>
      <c r="O1236" s="2" t="s">
        <v>2463</v>
      </c>
      <c r="P1236" t="s">
        <v>23</v>
      </c>
      <c r="Q1236" t="s">
        <v>900</v>
      </c>
    </row>
    <row r="1237" spans="1:17" ht="15" customHeight="1" x14ac:dyDescent="0.25">
      <c r="A1237" s="3" t="s">
        <v>1704</v>
      </c>
      <c r="B1237" s="4" t="s">
        <v>2891</v>
      </c>
      <c r="C1237" t="s">
        <v>1355</v>
      </c>
      <c r="D1237">
        <v>1</v>
      </c>
      <c r="E1237" t="s">
        <v>974</v>
      </c>
      <c r="F1237" t="s">
        <v>975</v>
      </c>
      <c r="G1237" t="s">
        <v>976</v>
      </c>
      <c r="H1237" s="1" t="s">
        <v>976</v>
      </c>
      <c r="I1237" s="1">
        <v>1240</v>
      </c>
      <c r="J1237" s="20">
        <v>1</v>
      </c>
      <c r="K1237" s="1">
        <v>222</v>
      </c>
      <c r="L1237" s="1">
        <v>222</v>
      </c>
      <c r="M1237" s="43" t="s">
        <v>2890</v>
      </c>
      <c r="O1237" s="2" t="s">
        <v>2463</v>
      </c>
      <c r="P1237" t="s">
        <v>22</v>
      </c>
      <c r="Q1237" t="s">
        <v>900</v>
      </c>
    </row>
    <row r="1238" spans="1:17" ht="15" customHeight="1" x14ac:dyDescent="0.25">
      <c r="A1238" s="3" t="s">
        <v>1705</v>
      </c>
      <c r="B1238" s="4" t="s">
        <v>2891</v>
      </c>
      <c r="C1238" t="s">
        <v>1355</v>
      </c>
      <c r="D1238">
        <v>1</v>
      </c>
      <c r="E1238" t="s">
        <v>974</v>
      </c>
      <c r="F1238" t="s">
        <v>975</v>
      </c>
      <c r="G1238" t="s">
        <v>976</v>
      </c>
      <c r="H1238" s="1" t="s">
        <v>976</v>
      </c>
      <c r="I1238" s="1">
        <v>1240</v>
      </c>
      <c r="J1238" s="20">
        <v>-1</v>
      </c>
      <c r="K1238" s="1">
        <v>0</v>
      </c>
      <c r="L1238" s="1">
        <v>0</v>
      </c>
      <c r="M1238" s="43" t="s">
        <v>2890</v>
      </c>
      <c r="N1238" s="1" t="s">
        <v>2616</v>
      </c>
      <c r="O1238" s="2" t="s">
        <v>2463</v>
      </c>
      <c r="Q1238" t="s">
        <v>900</v>
      </c>
    </row>
    <row r="1239" spans="1:17" ht="15" customHeight="1" x14ac:dyDescent="0.25">
      <c r="A1239" s="3" t="s">
        <v>1706</v>
      </c>
      <c r="B1239" s="4" t="s">
        <v>2891</v>
      </c>
      <c r="C1239" t="s">
        <v>1355</v>
      </c>
      <c r="D1239">
        <v>1</v>
      </c>
      <c r="E1239" t="s">
        <v>974</v>
      </c>
      <c r="F1239" t="s">
        <v>975</v>
      </c>
      <c r="G1239" t="s">
        <v>976</v>
      </c>
      <c r="H1239" s="1" t="s">
        <v>976</v>
      </c>
      <c r="I1239" s="1">
        <v>1240</v>
      </c>
      <c r="J1239" s="20">
        <v>0</v>
      </c>
      <c r="K1239" s="1">
        <v>0</v>
      </c>
      <c r="L1239" s="1">
        <v>0</v>
      </c>
      <c r="M1239" s="43" t="s">
        <v>2890</v>
      </c>
      <c r="O1239" s="2" t="s">
        <v>2463</v>
      </c>
      <c r="P1239" t="s">
        <v>21</v>
      </c>
      <c r="Q1239" t="s">
        <v>900</v>
      </c>
    </row>
    <row r="1240" spans="1:17" ht="15" customHeight="1" x14ac:dyDescent="0.25">
      <c r="A1240" s="3" t="s">
        <v>1707</v>
      </c>
      <c r="B1240" s="4" t="s">
        <v>2891</v>
      </c>
      <c r="C1240" t="s">
        <v>1355</v>
      </c>
      <c r="D1240">
        <v>1</v>
      </c>
      <c r="E1240" t="s">
        <v>974</v>
      </c>
      <c r="F1240" t="s">
        <v>975</v>
      </c>
      <c r="G1240" t="s">
        <v>976</v>
      </c>
      <c r="H1240" s="1" t="s">
        <v>976</v>
      </c>
      <c r="I1240" s="1">
        <v>1240</v>
      </c>
      <c r="J1240" s="20">
        <v>0</v>
      </c>
      <c r="K1240" s="1">
        <v>0</v>
      </c>
      <c r="L1240" s="1">
        <v>0</v>
      </c>
      <c r="M1240" s="43" t="s">
        <v>2890</v>
      </c>
      <c r="O1240" s="2" t="s">
        <v>2463</v>
      </c>
      <c r="Q1240" t="s">
        <v>900</v>
      </c>
    </row>
    <row r="1241" spans="1:17" ht="15" customHeight="1" x14ac:dyDescent="0.25">
      <c r="A1241" s="3" t="s">
        <v>1708</v>
      </c>
      <c r="B1241" s="4" t="s">
        <v>343</v>
      </c>
      <c r="C1241" t="s">
        <v>1355</v>
      </c>
      <c r="D1241">
        <v>1</v>
      </c>
      <c r="E1241" t="s">
        <v>974</v>
      </c>
      <c r="F1241" t="s">
        <v>975</v>
      </c>
      <c r="G1241" t="s">
        <v>976</v>
      </c>
      <c r="H1241" s="1" t="s">
        <v>976</v>
      </c>
      <c r="I1241" s="1">
        <v>0</v>
      </c>
      <c r="J1241" s="20">
        <v>0</v>
      </c>
      <c r="K1241" s="1">
        <v>0</v>
      </c>
      <c r="L1241" s="1">
        <v>0</v>
      </c>
      <c r="M1241" s="43" t="s">
        <v>2890</v>
      </c>
      <c r="P1241" t="s">
        <v>24</v>
      </c>
      <c r="Q1241" t="s">
        <v>343</v>
      </c>
    </row>
    <row r="1242" spans="1:17" ht="15" customHeight="1" x14ac:dyDescent="0.25">
      <c r="A1242" s="3" t="s">
        <v>1709</v>
      </c>
      <c r="B1242" s="4" t="s">
        <v>344</v>
      </c>
      <c r="C1242" t="s">
        <v>1355</v>
      </c>
      <c r="D1242">
        <v>1</v>
      </c>
      <c r="E1242" t="s">
        <v>974</v>
      </c>
      <c r="F1242" t="s">
        <v>975</v>
      </c>
      <c r="G1242" t="s">
        <v>976</v>
      </c>
      <c r="H1242" s="1" t="s">
        <v>976</v>
      </c>
      <c r="I1242" s="1">
        <v>0</v>
      </c>
      <c r="J1242" s="20">
        <v>0</v>
      </c>
      <c r="K1242" s="1">
        <v>0</v>
      </c>
      <c r="L1242" s="1">
        <v>0</v>
      </c>
      <c r="M1242" s="43" t="s">
        <v>2890</v>
      </c>
      <c r="P1242" t="s">
        <v>25</v>
      </c>
      <c r="Q1242" t="s">
        <v>344</v>
      </c>
    </row>
    <row r="1243" spans="1:17" ht="15" customHeight="1" x14ac:dyDescent="0.25">
      <c r="A1243" s="3" t="s">
        <v>1710</v>
      </c>
      <c r="B1243" s="4" t="s">
        <v>345</v>
      </c>
      <c r="C1243" t="s">
        <v>1355</v>
      </c>
      <c r="D1243">
        <v>1</v>
      </c>
      <c r="E1243" t="s">
        <v>974</v>
      </c>
      <c r="F1243" t="s">
        <v>975</v>
      </c>
      <c r="G1243" t="s">
        <v>976</v>
      </c>
      <c r="H1243" s="1" t="s">
        <v>976</v>
      </c>
      <c r="I1243" s="1">
        <v>0</v>
      </c>
      <c r="J1243" s="20">
        <v>0</v>
      </c>
      <c r="K1243" s="1">
        <v>0</v>
      </c>
      <c r="L1243" s="1">
        <v>0</v>
      </c>
      <c r="M1243" s="43" t="s">
        <v>2890</v>
      </c>
      <c r="P1243" t="s">
        <v>23</v>
      </c>
      <c r="Q1243" t="s">
        <v>345</v>
      </c>
    </row>
    <row r="1244" spans="1:17" ht="15" customHeight="1" x14ac:dyDescent="0.25">
      <c r="A1244" s="3" t="s">
        <v>1711</v>
      </c>
      <c r="B1244" s="4" t="s">
        <v>346</v>
      </c>
      <c r="C1244" t="s">
        <v>1355</v>
      </c>
      <c r="D1244">
        <v>1</v>
      </c>
      <c r="E1244" t="s">
        <v>974</v>
      </c>
      <c r="F1244" t="s">
        <v>975</v>
      </c>
      <c r="G1244" t="s">
        <v>976</v>
      </c>
      <c r="H1244" s="1" t="s">
        <v>976</v>
      </c>
      <c r="I1244" s="1">
        <v>0</v>
      </c>
      <c r="J1244" s="20">
        <v>0</v>
      </c>
      <c r="K1244" s="1">
        <v>0</v>
      </c>
      <c r="L1244" s="1">
        <v>0</v>
      </c>
      <c r="M1244" s="43" t="s">
        <v>2890</v>
      </c>
      <c r="P1244" t="s">
        <v>22</v>
      </c>
      <c r="Q1244" t="s">
        <v>346</v>
      </c>
    </row>
    <row r="1245" spans="1:17" ht="15" customHeight="1" x14ac:dyDescent="0.25">
      <c r="A1245" s="3" t="s">
        <v>1712</v>
      </c>
      <c r="B1245" s="4" t="s">
        <v>347</v>
      </c>
      <c r="C1245" t="s">
        <v>1355</v>
      </c>
      <c r="D1245">
        <v>1</v>
      </c>
      <c r="E1245" t="s">
        <v>974</v>
      </c>
      <c r="F1245" t="s">
        <v>975</v>
      </c>
      <c r="G1245" t="s">
        <v>976</v>
      </c>
      <c r="H1245" s="1" t="s">
        <v>976</v>
      </c>
      <c r="I1245" s="1">
        <v>0</v>
      </c>
      <c r="J1245" s="20">
        <v>0</v>
      </c>
      <c r="K1245" s="1">
        <v>0</v>
      </c>
      <c r="L1245" s="1">
        <v>0</v>
      </c>
      <c r="M1245" s="43" t="s">
        <v>2890</v>
      </c>
      <c r="P1245" t="s">
        <v>21</v>
      </c>
      <c r="Q1245" t="s">
        <v>347</v>
      </c>
    </row>
    <row r="1246" spans="1:17" ht="15" customHeight="1" x14ac:dyDescent="0.25">
      <c r="A1246" s="3" t="s">
        <v>1713</v>
      </c>
      <c r="B1246" s="4" t="s">
        <v>348</v>
      </c>
      <c r="C1246" t="s">
        <v>1355</v>
      </c>
      <c r="D1246">
        <v>1</v>
      </c>
      <c r="E1246" t="s">
        <v>974</v>
      </c>
      <c r="F1246" t="s">
        <v>975</v>
      </c>
      <c r="G1246" t="s">
        <v>976</v>
      </c>
      <c r="H1246" s="1" t="s">
        <v>976</v>
      </c>
      <c r="I1246" s="1">
        <v>0</v>
      </c>
      <c r="J1246" s="20">
        <v>0</v>
      </c>
      <c r="K1246" s="1">
        <v>0</v>
      </c>
      <c r="L1246" s="1">
        <v>0</v>
      </c>
      <c r="M1246" s="43" t="s">
        <v>2890</v>
      </c>
      <c r="Q1246" t="s">
        <v>348</v>
      </c>
    </row>
    <row r="1247" spans="1:17" ht="15" customHeight="1" x14ac:dyDescent="0.25">
      <c r="A1247" s="3" t="s">
        <v>2421</v>
      </c>
      <c r="B1247" s="4" t="s">
        <v>594</v>
      </c>
      <c r="C1247" t="s">
        <v>1309</v>
      </c>
      <c r="D1247">
        <v>1</v>
      </c>
      <c r="E1247" t="s">
        <v>974</v>
      </c>
      <c r="F1247" t="s">
        <v>975</v>
      </c>
      <c r="G1247" t="s">
        <v>976</v>
      </c>
      <c r="H1247" s="1" t="s">
        <v>976</v>
      </c>
      <c r="I1247" s="1">
        <v>25</v>
      </c>
      <c r="J1247" s="20">
        <v>160</v>
      </c>
      <c r="K1247" s="1">
        <v>0</v>
      </c>
      <c r="L1247" s="1">
        <v>0</v>
      </c>
      <c r="M1247" s="43" t="s">
        <v>2890</v>
      </c>
      <c r="Q1247" t="s">
        <v>594</v>
      </c>
    </row>
    <row r="1248" spans="1:17" ht="15" customHeight="1" x14ac:dyDescent="0.25">
      <c r="A1248" s="3" t="s">
        <v>2422</v>
      </c>
      <c r="B1248" s="4" t="s">
        <v>595</v>
      </c>
      <c r="C1248" t="s">
        <v>1219</v>
      </c>
      <c r="D1248">
        <v>1</v>
      </c>
      <c r="E1248" t="s">
        <v>974</v>
      </c>
      <c r="F1248" t="s">
        <v>975</v>
      </c>
      <c r="G1248" t="s">
        <v>1714</v>
      </c>
      <c r="H1248" s="1" t="s">
        <v>976</v>
      </c>
      <c r="I1248" s="1">
        <v>3100</v>
      </c>
      <c r="J1248" s="20">
        <v>0</v>
      </c>
      <c r="K1248" s="1">
        <v>350</v>
      </c>
      <c r="L1248" s="1">
        <v>0</v>
      </c>
      <c r="M1248" s="43" t="s">
        <v>2890</v>
      </c>
      <c r="Q1248" t="s">
        <v>595</v>
      </c>
    </row>
    <row r="1249" spans="1:17" ht="15" customHeight="1" x14ac:dyDescent="0.25">
      <c r="A1249" s="3" t="s">
        <v>1715</v>
      </c>
      <c r="B1249" s="4" t="s">
        <v>2893</v>
      </c>
      <c r="C1249" t="s">
        <v>1148</v>
      </c>
      <c r="D1249">
        <v>1</v>
      </c>
      <c r="E1249" t="s">
        <v>974</v>
      </c>
      <c r="F1249" t="s">
        <v>975</v>
      </c>
      <c r="G1249" t="s">
        <v>976</v>
      </c>
      <c r="H1249" s="1" t="s">
        <v>976</v>
      </c>
      <c r="I1249" s="1">
        <v>0</v>
      </c>
      <c r="J1249" s="20">
        <v>7</v>
      </c>
      <c r="K1249" s="1">
        <v>10</v>
      </c>
      <c r="L1249" s="1">
        <v>70</v>
      </c>
      <c r="M1249" s="43" t="s">
        <v>2892</v>
      </c>
      <c r="O1249" s="2" t="s">
        <v>2443</v>
      </c>
      <c r="P1249" t="s">
        <v>24</v>
      </c>
      <c r="Q1249" t="s">
        <v>901</v>
      </c>
    </row>
    <row r="1250" spans="1:17" ht="15" customHeight="1" x14ac:dyDescent="0.25">
      <c r="A1250" s="3" t="s">
        <v>1716</v>
      </c>
      <c r="B1250" s="4" t="s">
        <v>2893</v>
      </c>
      <c r="C1250" t="s">
        <v>1148</v>
      </c>
      <c r="D1250">
        <v>1</v>
      </c>
      <c r="E1250" t="s">
        <v>974</v>
      </c>
      <c r="F1250" t="s">
        <v>975</v>
      </c>
      <c r="G1250" t="s">
        <v>976</v>
      </c>
      <c r="H1250" s="1" t="s">
        <v>976</v>
      </c>
      <c r="I1250" s="1">
        <v>0</v>
      </c>
      <c r="J1250" s="20">
        <v>14</v>
      </c>
      <c r="K1250" s="1">
        <v>10</v>
      </c>
      <c r="L1250" s="1">
        <v>140</v>
      </c>
      <c r="M1250" s="43" t="s">
        <v>2892</v>
      </c>
      <c r="O1250" s="2" t="s">
        <v>2443</v>
      </c>
      <c r="Q1250" t="s">
        <v>901</v>
      </c>
    </row>
    <row r="1251" spans="1:17" ht="15" customHeight="1" x14ac:dyDescent="0.25">
      <c r="A1251" s="3" t="s">
        <v>1717</v>
      </c>
      <c r="B1251" s="4" t="s">
        <v>2893</v>
      </c>
      <c r="C1251" t="s">
        <v>1148</v>
      </c>
      <c r="D1251">
        <v>1</v>
      </c>
      <c r="E1251" t="s">
        <v>974</v>
      </c>
      <c r="F1251" t="s">
        <v>975</v>
      </c>
      <c r="G1251" t="s">
        <v>976</v>
      </c>
      <c r="H1251" s="1" t="s">
        <v>976</v>
      </c>
      <c r="I1251" s="1">
        <v>0</v>
      </c>
      <c r="J1251" s="20">
        <v>80</v>
      </c>
      <c r="K1251" s="1">
        <v>10</v>
      </c>
      <c r="L1251" s="1">
        <v>800</v>
      </c>
      <c r="M1251" s="43" t="s">
        <v>2892</v>
      </c>
      <c r="O1251" s="2" t="s">
        <v>2443</v>
      </c>
      <c r="P1251" t="s">
        <v>22</v>
      </c>
      <c r="Q1251" t="s">
        <v>901</v>
      </c>
    </row>
    <row r="1252" spans="1:17" ht="15" customHeight="1" x14ac:dyDescent="0.25">
      <c r="A1252" s="3" t="s">
        <v>1718</v>
      </c>
      <c r="B1252" s="4" t="s">
        <v>2893</v>
      </c>
      <c r="C1252" t="s">
        <v>1148</v>
      </c>
      <c r="D1252">
        <v>1</v>
      </c>
      <c r="E1252" t="s">
        <v>974</v>
      </c>
      <c r="F1252" t="s">
        <v>975</v>
      </c>
      <c r="G1252" t="s">
        <v>976</v>
      </c>
      <c r="H1252" s="1" t="s">
        <v>976</v>
      </c>
      <c r="I1252" s="1">
        <v>0</v>
      </c>
      <c r="J1252" s="20">
        <v>17</v>
      </c>
      <c r="K1252" s="1">
        <v>10</v>
      </c>
      <c r="L1252" s="1">
        <v>170</v>
      </c>
      <c r="M1252" s="43" t="s">
        <v>2892</v>
      </c>
      <c r="O1252" s="2" t="s">
        <v>2727</v>
      </c>
      <c r="P1252" t="s">
        <v>24</v>
      </c>
      <c r="Q1252" t="s">
        <v>902</v>
      </c>
    </row>
    <row r="1253" spans="1:17" ht="15" customHeight="1" x14ac:dyDescent="0.25">
      <c r="A1253" s="3" t="s">
        <v>1719</v>
      </c>
      <c r="B1253" s="4" t="s">
        <v>2893</v>
      </c>
      <c r="C1253" t="s">
        <v>1148</v>
      </c>
      <c r="D1253">
        <v>1</v>
      </c>
      <c r="E1253" t="s">
        <v>974</v>
      </c>
      <c r="F1253" t="s">
        <v>975</v>
      </c>
      <c r="G1253" t="s">
        <v>976</v>
      </c>
      <c r="H1253" s="1" t="s">
        <v>976</v>
      </c>
      <c r="I1253" s="1">
        <v>0</v>
      </c>
      <c r="J1253" s="20">
        <v>69</v>
      </c>
      <c r="K1253" s="1">
        <v>10</v>
      </c>
      <c r="L1253" s="1">
        <v>690</v>
      </c>
      <c r="M1253" s="43" t="s">
        <v>2892</v>
      </c>
      <c r="O1253" s="2" t="s">
        <v>2727</v>
      </c>
      <c r="P1253" t="s">
        <v>22</v>
      </c>
      <c r="Q1253" t="s">
        <v>902</v>
      </c>
    </row>
    <row r="1254" spans="1:17" ht="15" customHeight="1" x14ac:dyDescent="0.25">
      <c r="A1254" s="3" t="s">
        <v>1720</v>
      </c>
      <c r="B1254" s="4" t="s">
        <v>349</v>
      </c>
      <c r="C1254" t="s">
        <v>1066</v>
      </c>
      <c r="D1254">
        <v>1</v>
      </c>
      <c r="E1254" t="s">
        <v>974</v>
      </c>
      <c r="F1254" t="s">
        <v>975</v>
      </c>
      <c r="G1254" t="s">
        <v>976</v>
      </c>
      <c r="H1254" s="1" t="s">
        <v>976</v>
      </c>
      <c r="I1254" s="1">
        <v>2.1</v>
      </c>
      <c r="J1254" s="20">
        <v>3478</v>
      </c>
      <c r="K1254" s="1">
        <v>2.31</v>
      </c>
      <c r="L1254" s="1">
        <v>8034.18</v>
      </c>
      <c r="M1254" s="43" t="s">
        <v>2894</v>
      </c>
      <c r="Q1254" t="s">
        <v>349</v>
      </c>
    </row>
    <row r="1255" spans="1:17" ht="15" customHeight="1" x14ac:dyDescent="0.25">
      <c r="A1255" s="3" t="s">
        <v>1721</v>
      </c>
      <c r="B1255" s="4" t="s">
        <v>350</v>
      </c>
      <c r="C1255" t="s">
        <v>1066</v>
      </c>
      <c r="D1255">
        <v>1</v>
      </c>
      <c r="E1255" t="s">
        <v>974</v>
      </c>
      <c r="F1255" t="s">
        <v>975</v>
      </c>
      <c r="G1255" t="s">
        <v>976</v>
      </c>
      <c r="H1255" s="1" t="s">
        <v>976</v>
      </c>
      <c r="I1255" s="1">
        <v>2.35</v>
      </c>
      <c r="J1255" s="20">
        <v>480</v>
      </c>
      <c r="K1255" s="1">
        <v>2.59</v>
      </c>
      <c r="L1255" s="1">
        <v>1243.2</v>
      </c>
      <c r="M1255" s="43" t="s">
        <v>2894</v>
      </c>
      <c r="Q1255" t="s">
        <v>350</v>
      </c>
    </row>
    <row r="1256" spans="1:17" ht="15" customHeight="1" x14ac:dyDescent="0.25">
      <c r="A1256" s="3" t="s">
        <v>1722</v>
      </c>
      <c r="B1256" s="4" t="s">
        <v>351</v>
      </c>
      <c r="C1256" t="s">
        <v>1016</v>
      </c>
      <c r="D1256">
        <v>1</v>
      </c>
      <c r="E1256" t="s">
        <v>974</v>
      </c>
      <c r="F1256" t="s">
        <v>975</v>
      </c>
      <c r="G1256" t="s">
        <v>1723</v>
      </c>
      <c r="H1256" s="1" t="s">
        <v>976</v>
      </c>
      <c r="I1256" s="1">
        <v>1.38</v>
      </c>
      <c r="J1256" s="20">
        <v>1708</v>
      </c>
      <c r="K1256" s="1">
        <v>1.31</v>
      </c>
      <c r="L1256" s="1">
        <v>2237.48</v>
      </c>
      <c r="M1256" s="43" t="s">
        <v>2895</v>
      </c>
      <c r="Q1256" t="s">
        <v>351</v>
      </c>
    </row>
    <row r="1257" spans="1:17" ht="15" customHeight="1" x14ac:dyDescent="0.25">
      <c r="A1257" s="42" t="s">
        <v>1722</v>
      </c>
      <c r="B1257" s="3" t="s">
        <v>351</v>
      </c>
      <c r="C1257" s="42" t="s">
        <v>1016</v>
      </c>
      <c r="D1257">
        <v>4</v>
      </c>
      <c r="E1257" t="s">
        <v>1018</v>
      </c>
      <c r="F1257" t="s">
        <v>975</v>
      </c>
      <c r="G1257" t="s">
        <v>1723</v>
      </c>
      <c r="H1257" s="1" t="s">
        <v>976</v>
      </c>
      <c r="I1257" s="1">
        <v>1.38</v>
      </c>
      <c r="J1257" s="20">
        <v>872</v>
      </c>
      <c r="K1257" s="1">
        <v>1.38</v>
      </c>
      <c r="L1257" s="1">
        <v>1203.3599999999999</v>
      </c>
      <c r="M1257" s="43" t="s">
        <v>2895</v>
      </c>
      <c r="Q1257" t="s">
        <v>351</v>
      </c>
    </row>
    <row r="1258" spans="1:17" ht="15" customHeight="1" x14ac:dyDescent="0.25">
      <c r="A1258" s="3" t="s">
        <v>1724</v>
      </c>
      <c r="B1258" s="4" t="s">
        <v>352</v>
      </c>
      <c r="C1258" t="s">
        <v>1016</v>
      </c>
      <c r="D1258">
        <v>1</v>
      </c>
      <c r="E1258" t="s">
        <v>974</v>
      </c>
      <c r="F1258" t="s">
        <v>975</v>
      </c>
      <c r="G1258" t="s">
        <v>180</v>
      </c>
      <c r="H1258" s="1" t="s">
        <v>976</v>
      </c>
      <c r="I1258" s="1">
        <v>0.17699999999999999</v>
      </c>
      <c r="J1258" s="20">
        <v>868</v>
      </c>
      <c r="K1258" s="1">
        <v>0</v>
      </c>
      <c r="L1258" s="1">
        <v>0</v>
      </c>
      <c r="M1258" s="43" t="s">
        <v>2896</v>
      </c>
      <c r="Q1258" t="s">
        <v>352</v>
      </c>
    </row>
    <row r="1259" spans="1:17" ht="15" customHeight="1" x14ac:dyDescent="0.25">
      <c r="A1259" s="42" t="s">
        <v>1724</v>
      </c>
      <c r="B1259" s="3" t="s">
        <v>352</v>
      </c>
      <c r="C1259" s="42" t="s">
        <v>1016</v>
      </c>
      <c r="D1259">
        <v>4</v>
      </c>
      <c r="E1259" t="s">
        <v>1018</v>
      </c>
      <c r="F1259" t="s">
        <v>975</v>
      </c>
      <c r="G1259" t="s">
        <v>180</v>
      </c>
      <c r="H1259" s="1" t="s">
        <v>976</v>
      </c>
      <c r="I1259" s="1">
        <v>0.17699999999999999</v>
      </c>
      <c r="J1259" s="20">
        <v>62</v>
      </c>
      <c r="K1259" s="1">
        <v>0.17757999999999999</v>
      </c>
      <c r="L1259" s="1">
        <v>11.01</v>
      </c>
      <c r="M1259" s="43" t="s">
        <v>2896</v>
      </c>
      <c r="Q1259" t="s">
        <v>352</v>
      </c>
    </row>
    <row r="1260" spans="1:17" ht="15" customHeight="1" x14ac:dyDescent="0.25">
      <c r="A1260" s="3" t="s">
        <v>1725</v>
      </c>
      <c r="B1260" s="4" t="s">
        <v>353</v>
      </c>
      <c r="C1260" t="s">
        <v>1016</v>
      </c>
      <c r="D1260">
        <v>1</v>
      </c>
      <c r="E1260" t="s">
        <v>974</v>
      </c>
      <c r="F1260" t="s">
        <v>975</v>
      </c>
      <c r="G1260" t="s">
        <v>180</v>
      </c>
      <c r="H1260" s="1" t="s">
        <v>976</v>
      </c>
      <c r="I1260" s="1">
        <v>0.17699999999999999</v>
      </c>
      <c r="J1260" s="20">
        <v>-351</v>
      </c>
      <c r="K1260" s="1">
        <v>0.17699999999999999</v>
      </c>
      <c r="L1260" s="1">
        <v>-62.13</v>
      </c>
      <c r="M1260" s="43" t="s">
        <v>2897</v>
      </c>
      <c r="Q1260" t="s">
        <v>353</v>
      </c>
    </row>
    <row r="1261" spans="1:17" ht="15" customHeight="1" x14ac:dyDescent="0.25">
      <c r="A1261" s="42" t="s">
        <v>1725</v>
      </c>
      <c r="B1261" s="3" t="s">
        <v>353</v>
      </c>
      <c r="C1261" s="42" t="s">
        <v>1016</v>
      </c>
      <c r="D1261">
        <v>4</v>
      </c>
      <c r="E1261" t="s">
        <v>1018</v>
      </c>
      <c r="F1261" t="s">
        <v>975</v>
      </c>
      <c r="G1261" t="s">
        <v>180</v>
      </c>
      <c r="H1261" s="1" t="s">
        <v>976</v>
      </c>
      <c r="I1261" s="1">
        <v>0.17699999999999999</v>
      </c>
      <c r="J1261" s="20">
        <v>178</v>
      </c>
      <c r="K1261" s="1">
        <v>0.17752699999999999</v>
      </c>
      <c r="L1261" s="1">
        <v>31.6</v>
      </c>
      <c r="M1261" s="43" t="s">
        <v>2897</v>
      </c>
      <c r="Q1261" t="s">
        <v>353</v>
      </c>
    </row>
    <row r="1262" spans="1:17" ht="15" customHeight="1" x14ac:dyDescent="0.25">
      <c r="A1262" s="3" t="s">
        <v>1726</v>
      </c>
      <c r="B1262" s="4" t="s">
        <v>354</v>
      </c>
      <c r="C1262" t="s">
        <v>1016</v>
      </c>
      <c r="D1262">
        <v>1</v>
      </c>
      <c r="E1262" t="s">
        <v>974</v>
      </c>
      <c r="F1262" t="s">
        <v>975</v>
      </c>
      <c r="G1262" t="s">
        <v>180</v>
      </c>
      <c r="H1262" s="1" t="s">
        <v>976</v>
      </c>
      <c r="I1262" s="1">
        <v>0.17699999999999999</v>
      </c>
      <c r="J1262" s="20">
        <v>-719</v>
      </c>
      <c r="K1262" s="1">
        <v>0</v>
      </c>
      <c r="L1262" s="1">
        <v>0</v>
      </c>
      <c r="M1262" s="43" t="s">
        <v>2898</v>
      </c>
      <c r="Q1262" t="s">
        <v>354</v>
      </c>
    </row>
    <row r="1263" spans="1:17" ht="15" customHeight="1" x14ac:dyDescent="0.25">
      <c r="A1263" s="42" t="s">
        <v>1726</v>
      </c>
      <c r="B1263" s="3" t="s">
        <v>354</v>
      </c>
      <c r="C1263" s="42" t="s">
        <v>1016</v>
      </c>
      <c r="D1263">
        <v>4</v>
      </c>
      <c r="E1263" t="s">
        <v>1018</v>
      </c>
      <c r="F1263" t="s">
        <v>975</v>
      </c>
      <c r="G1263" t="s">
        <v>180</v>
      </c>
      <c r="H1263" s="1" t="s">
        <v>976</v>
      </c>
      <c r="I1263" s="1">
        <v>0.17699999999999999</v>
      </c>
      <c r="J1263" s="20">
        <v>334</v>
      </c>
      <c r="K1263" s="1">
        <v>0.17721300000000001</v>
      </c>
      <c r="L1263" s="1">
        <v>59.19</v>
      </c>
      <c r="M1263" s="43" t="s">
        <v>2898</v>
      </c>
      <c r="Q1263" t="s">
        <v>354</v>
      </c>
    </row>
    <row r="1264" spans="1:17" ht="15" customHeight="1" x14ac:dyDescent="0.25">
      <c r="A1264" s="3" t="s">
        <v>1727</v>
      </c>
      <c r="B1264" s="4" t="s">
        <v>355</v>
      </c>
      <c r="C1264" t="s">
        <v>1016</v>
      </c>
      <c r="D1264">
        <v>1</v>
      </c>
      <c r="E1264" t="s">
        <v>974</v>
      </c>
      <c r="F1264" t="s">
        <v>975</v>
      </c>
      <c r="G1264" t="s">
        <v>180</v>
      </c>
      <c r="H1264" s="1" t="s">
        <v>976</v>
      </c>
      <c r="I1264" s="1">
        <v>0.17699999999999999</v>
      </c>
      <c r="J1264" s="20">
        <v>-411</v>
      </c>
      <c r="K1264" s="1">
        <v>0</v>
      </c>
      <c r="L1264" s="1">
        <v>0</v>
      </c>
      <c r="M1264" s="43" t="s">
        <v>2899</v>
      </c>
      <c r="Q1264" t="s">
        <v>355</v>
      </c>
    </row>
    <row r="1265" spans="1:17" ht="15" customHeight="1" x14ac:dyDescent="0.25">
      <c r="A1265" s="42" t="s">
        <v>1727</v>
      </c>
      <c r="B1265" s="3" t="s">
        <v>355</v>
      </c>
      <c r="C1265" s="42" t="s">
        <v>1016</v>
      </c>
      <c r="D1265">
        <v>4</v>
      </c>
      <c r="E1265" t="s">
        <v>1018</v>
      </c>
      <c r="F1265" t="s">
        <v>975</v>
      </c>
      <c r="G1265" t="s">
        <v>180</v>
      </c>
      <c r="H1265" s="1" t="s">
        <v>976</v>
      </c>
      <c r="I1265" s="1">
        <v>0.17699999999999999</v>
      </c>
      <c r="J1265" s="20">
        <v>153</v>
      </c>
      <c r="K1265" s="1">
        <v>0.17738300000000001</v>
      </c>
      <c r="L1265" s="1">
        <v>27.14</v>
      </c>
      <c r="M1265" s="43" t="s">
        <v>2899</v>
      </c>
      <c r="Q1265" t="s">
        <v>355</v>
      </c>
    </row>
    <row r="1266" spans="1:17" ht="15" customHeight="1" x14ac:dyDescent="0.25">
      <c r="A1266" s="3" t="s">
        <v>1728</v>
      </c>
      <c r="B1266" s="4" t="s">
        <v>356</v>
      </c>
      <c r="C1266" t="s">
        <v>1016</v>
      </c>
      <c r="D1266">
        <v>1</v>
      </c>
      <c r="E1266" t="s">
        <v>974</v>
      </c>
      <c r="F1266" t="s">
        <v>975</v>
      </c>
      <c r="G1266" t="s">
        <v>180</v>
      </c>
      <c r="H1266" s="1" t="s">
        <v>976</v>
      </c>
      <c r="I1266" s="1">
        <v>0.17699999999999999</v>
      </c>
      <c r="J1266" s="20">
        <v>-252</v>
      </c>
      <c r="K1266" s="1">
        <v>0</v>
      </c>
      <c r="L1266" s="1">
        <v>0</v>
      </c>
      <c r="M1266" s="43" t="s">
        <v>2900</v>
      </c>
      <c r="Q1266" t="s">
        <v>356</v>
      </c>
    </row>
    <row r="1267" spans="1:17" ht="15" customHeight="1" x14ac:dyDescent="0.25">
      <c r="A1267" s="42" t="s">
        <v>1728</v>
      </c>
      <c r="B1267" s="3" t="s">
        <v>356</v>
      </c>
      <c r="C1267" s="42" t="s">
        <v>1016</v>
      </c>
      <c r="D1267">
        <v>4</v>
      </c>
      <c r="E1267" t="s">
        <v>1018</v>
      </c>
      <c r="F1267" t="s">
        <v>975</v>
      </c>
      <c r="G1267" t="s">
        <v>180</v>
      </c>
      <c r="H1267" s="1" t="s">
        <v>976</v>
      </c>
      <c r="I1267" s="1">
        <v>0.17699999999999999</v>
      </c>
      <c r="J1267" s="20">
        <v>78</v>
      </c>
      <c r="K1267" s="1">
        <v>0.177562</v>
      </c>
      <c r="L1267" s="1">
        <v>13.85</v>
      </c>
      <c r="M1267" s="43" t="s">
        <v>2900</v>
      </c>
      <c r="Q1267" t="s">
        <v>356</v>
      </c>
    </row>
    <row r="1268" spans="1:17" ht="15" customHeight="1" x14ac:dyDescent="0.25">
      <c r="A1268" s="3" t="s">
        <v>1729</v>
      </c>
      <c r="B1268" s="4" t="s">
        <v>357</v>
      </c>
      <c r="C1268" t="s">
        <v>1016</v>
      </c>
      <c r="D1268">
        <v>1</v>
      </c>
      <c r="E1268" t="s">
        <v>974</v>
      </c>
      <c r="F1268" t="s">
        <v>975</v>
      </c>
      <c r="G1268" t="s">
        <v>180</v>
      </c>
      <c r="H1268" s="1" t="s">
        <v>976</v>
      </c>
      <c r="I1268" s="1">
        <v>0.17699999999999999</v>
      </c>
      <c r="J1268" s="20">
        <v>-153</v>
      </c>
      <c r="K1268" s="1">
        <v>0</v>
      </c>
      <c r="L1268" s="1">
        <v>0</v>
      </c>
      <c r="M1268" s="43" t="s">
        <v>2901</v>
      </c>
      <c r="Q1268" t="s">
        <v>357</v>
      </c>
    </row>
    <row r="1269" spans="1:17" ht="15" customHeight="1" x14ac:dyDescent="0.25">
      <c r="A1269" s="42" t="s">
        <v>1729</v>
      </c>
      <c r="B1269" s="3" t="s">
        <v>357</v>
      </c>
      <c r="C1269" s="42" t="s">
        <v>1016</v>
      </c>
      <c r="D1269">
        <v>4</v>
      </c>
      <c r="E1269" t="s">
        <v>1018</v>
      </c>
      <c r="F1269" t="s">
        <v>975</v>
      </c>
      <c r="G1269" t="s">
        <v>180</v>
      </c>
      <c r="H1269" s="1" t="s">
        <v>976</v>
      </c>
      <c r="I1269" s="1">
        <v>0.17699999999999999</v>
      </c>
      <c r="J1269" s="20">
        <v>37</v>
      </c>
      <c r="K1269" s="1">
        <v>0.17729700000000001</v>
      </c>
      <c r="L1269" s="1">
        <v>6.56</v>
      </c>
      <c r="M1269" s="43" t="s">
        <v>2901</v>
      </c>
      <c r="Q1269" t="s">
        <v>357</v>
      </c>
    </row>
    <row r="1270" spans="1:17" ht="15" customHeight="1" x14ac:dyDescent="0.25">
      <c r="A1270" s="3" t="s">
        <v>1730</v>
      </c>
      <c r="B1270" s="4" t="s">
        <v>358</v>
      </c>
      <c r="C1270" t="s">
        <v>1016</v>
      </c>
      <c r="D1270">
        <v>1</v>
      </c>
      <c r="E1270" t="s">
        <v>974</v>
      </c>
      <c r="F1270" t="s">
        <v>975</v>
      </c>
      <c r="G1270" t="s">
        <v>180</v>
      </c>
      <c r="H1270" s="1" t="s">
        <v>976</v>
      </c>
      <c r="I1270" s="1">
        <v>0.13800000000000001</v>
      </c>
      <c r="J1270" s="20">
        <v>-195</v>
      </c>
      <c r="K1270" s="1">
        <v>0</v>
      </c>
      <c r="L1270" s="1">
        <v>0</v>
      </c>
      <c r="M1270" s="43" t="s">
        <v>2902</v>
      </c>
      <c r="Q1270" t="s">
        <v>358</v>
      </c>
    </row>
    <row r="1271" spans="1:17" ht="15" customHeight="1" x14ac:dyDescent="0.25">
      <c r="A1271" s="42" t="s">
        <v>1730</v>
      </c>
      <c r="B1271" s="3" t="s">
        <v>358</v>
      </c>
      <c r="C1271" s="42" t="s">
        <v>1016</v>
      </c>
      <c r="D1271">
        <v>4</v>
      </c>
      <c r="E1271" t="s">
        <v>1018</v>
      </c>
      <c r="F1271" t="s">
        <v>975</v>
      </c>
      <c r="G1271" t="s">
        <v>180</v>
      </c>
      <c r="H1271" s="1" t="s">
        <v>976</v>
      </c>
      <c r="I1271" s="1">
        <v>0.13800000000000001</v>
      </c>
      <c r="J1271" s="20">
        <v>95</v>
      </c>
      <c r="K1271" s="1">
        <v>0.13800000000000001</v>
      </c>
      <c r="L1271" s="1">
        <v>13.11</v>
      </c>
      <c r="M1271" s="43" t="s">
        <v>2902</v>
      </c>
      <c r="Q1271" t="s">
        <v>358</v>
      </c>
    </row>
    <row r="1272" spans="1:17" ht="15" customHeight="1" x14ac:dyDescent="0.25">
      <c r="A1272" s="3" t="s">
        <v>1731</v>
      </c>
      <c r="B1272" s="4" t="s">
        <v>359</v>
      </c>
      <c r="C1272" t="s">
        <v>1016</v>
      </c>
      <c r="D1272">
        <v>1</v>
      </c>
      <c r="E1272" t="s">
        <v>974</v>
      </c>
      <c r="F1272" t="s">
        <v>975</v>
      </c>
      <c r="G1272" t="s">
        <v>180</v>
      </c>
      <c r="H1272" s="1" t="s">
        <v>976</v>
      </c>
      <c r="I1272" s="1">
        <v>0.13800000000000001</v>
      </c>
      <c r="J1272" s="20">
        <v>-230</v>
      </c>
      <c r="K1272" s="1">
        <v>0</v>
      </c>
      <c r="L1272" s="1">
        <v>0</v>
      </c>
      <c r="M1272" s="43" t="s">
        <v>2903</v>
      </c>
      <c r="Q1272" t="s">
        <v>359</v>
      </c>
    </row>
    <row r="1273" spans="1:17" ht="15" customHeight="1" x14ac:dyDescent="0.25">
      <c r="A1273" s="42" t="s">
        <v>1731</v>
      </c>
      <c r="B1273" s="3" t="s">
        <v>359</v>
      </c>
      <c r="C1273" s="42" t="s">
        <v>1016</v>
      </c>
      <c r="D1273">
        <v>4</v>
      </c>
      <c r="E1273" t="s">
        <v>1018</v>
      </c>
      <c r="F1273" t="s">
        <v>975</v>
      </c>
      <c r="G1273" t="s">
        <v>180</v>
      </c>
      <c r="H1273" s="1" t="s">
        <v>976</v>
      </c>
      <c r="I1273" s="1">
        <v>0.13800000000000001</v>
      </c>
      <c r="J1273" s="20">
        <v>130</v>
      </c>
      <c r="K1273" s="1">
        <v>0.13800000000000001</v>
      </c>
      <c r="L1273" s="1">
        <v>17.940000000000001</v>
      </c>
      <c r="M1273" s="43" t="s">
        <v>2903</v>
      </c>
      <c r="Q1273" t="s">
        <v>359</v>
      </c>
    </row>
    <row r="1274" spans="1:17" ht="15" customHeight="1" x14ac:dyDescent="0.25">
      <c r="A1274" s="3" t="s">
        <v>1732</v>
      </c>
      <c r="B1274" s="4" t="s">
        <v>360</v>
      </c>
      <c r="C1274" t="s">
        <v>1016</v>
      </c>
      <c r="D1274">
        <v>1</v>
      </c>
      <c r="E1274" t="s">
        <v>974</v>
      </c>
      <c r="F1274" t="s">
        <v>975</v>
      </c>
      <c r="G1274" t="s">
        <v>180</v>
      </c>
      <c r="H1274" s="1" t="s">
        <v>976</v>
      </c>
      <c r="I1274" s="1">
        <v>0.13800000000000001</v>
      </c>
      <c r="J1274" s="20">
        <v>-185</v>
      </c>
      <c r="K1274" s="1">
        <v>0</v>
      </c>
      <c r="L1274" s="1">
        <v>0</v>
      </c>
      <c r="M1274" s="43" t="s">
        <v>2904</v>
      </c>
      <c r="Q1274" t="s">
        <v>360</v>
      </c>
    </row>
    <row r="1275" spans="1:17" ht="15" customHeight="1" x14ac:dyDescent="0.25">
      <c r="A1275" s="42" t="s">
        <v>1732</v>
      </c>
      <c r="B1275" s="3" t="s">
        <v>360</v>
      </c>
      <c r="C1275" s="42" t="s">
        <v>1016</v>
      </c>
      <c r="D1275">
        <v>4</v>
      </c>
      <c r="E1275" t="s">
        <v>1018</v>
      </c>
      <c r="F1275" t="s">
        <v>975</v>
      </c>
      <c r="G1275" t="s">
        <v>180</v>
      </c>
      <c r="H1275" s="1" t="s">
        <v>976</v>
      </c>
      <c r="I1275" s="1">
        <v>0.13800000000000001</v>
      </c>
      <c r="J1275" s="20">
        <v>85</v>
      </c>
      <c r="K1275" s="1">
        <v>0.13800000000000001</v>
      </c>
      <c r="L1275" s="1">
        <v>11.73</v>
      </c>
      <c r="M1275" s="43" t="s">
        <v>2904</v>
      </c>
      <c r="Q1275" t="s">
        <v>360</v>
      </c>
    </row>
    <row r="1276" spans="1:17" ht="15" customHeight="1" x14ac:dyDescent="0.25">
      <c r="A1276" s="3" t="s">
        <v>1733</v>
      </c>
      <c r="B1276" s="4" t="s">
        <v>361</v>
      </c>
      <c r="C1276" t="s">
        <v>1016</v>
      </c>
      <c r="D1276">
        <v>1</v>
      </c>
      <c r="E1276" t="s">
        <v>974</v>
      </c>
      <c r="F1276" t="s">
        <v>975</v>
      </c>
      <c r="G1276" t="s">
        <v>180</v>
      </c>
      <c r="H1276" s="1" t="s">
        <v>976</v>
      </c>
      <c r="I1276" s="1">
        <v>0.13800000000000001</v>
      </c>
      <c r="J1276" s="20">
        <v>-102</v>
      </c>
      <c r="K1276" s="1">
        <v>0</v>
      </c>
      <c r="L1276" s="1">
        <v>0</v>
      </c>
      <c r="M1276" s="43" t="s">
        <v>2905</v>
      </c>
      <c r="Q1276" t="s">
        <v>361</v>
      </c>
    </row>
    <row r="1277" spans="1:17" ht="15" customHeight="1" x14ac:dyDescent="0.25">
      <c r="A1277" s="42" t="s">
        <v>1733</v>
      </c>
      <c r="B1277" s="3" t="s">
        <v>361</v>
      </c>
      <c r="C1277" s="42" t="s">
        <v>1016</v>
      </c>
      <c r="D1277">
        <v>4</v>
      </c>
      <c r="E1277" t="s">
        <v>1018</v>
      </c>
      <c r="F1277" t="s">
        <v>975</v>
      </c>
      <c r="G1277" t="s">
        <v>180</v>
      </c>
      <c r="H1277" s="1" t="s">
        <v>976</v>
      </c>
      <c r="I1277" s="1">
        <v>0.13800000000000001</v>
      </c>
      <c r="J1277" s="20">
        <v>42</v>
      </c>
      <c r="K1277" s="1">
        <v>0.138095</v>
      </c>
      <c r="L1277" s="1">
        <v>5.8</v>
      </c>
      <c r="M1277" s="43" t="s">
        <v>2905</v>
      </c>
      <c r="Q1277" t="s">
        <v>361</v>
      </c>
    </row>
    <row r="1278" spans="1:17" ht="15" customHeight="1" x14ac:dyDescent="0.25">
      <c r="A1278" s="3" t="s">
        <v>1734</v>
      </c>
      <c r="B1278" s="4" t="s">
        <v>362</v>
      </c>
      <c r="C1278" t="s">
        <v>1016</v>
      </c>
      <c r="D1278">
        <v>1</v>
      </c>
      <c r="E1278" t="s">
        <v>974</v>
      </c>
      <c r="F1278" t="s">
        <v>975</v>
      </c>
      <c r="G1278" t="s">
        <v>180</v>
      </c>
      <c r="H1278" s="1" t="s">
        <v>976</v>
      </c>
      <c r="I1278" s="1">
        <v>0.13800000000000001</v>
      </c>
      <c r="J1278" s="20">
        <v>-90</v>
      </c>
      <c r="K1278" s="1">
        <v>0</v>
      </c>
      <c r="L1278" s="1">
        <v>0</v>
      </c>
      <c r="M1278" s="43" t="s">
        <v>2906</v>
      </c>
      <c r="Q1278" t="s">
        <v>362</v>
      </c>
    </row>
    <row r="1279" spans="1:17" ht="15" customHeight="1" x14ac:dyDescent="0.25">
      <c r="A1279" s="3" t="s">
        <v>1735</v>
      </c>
      <c r="B1279" s="4" t="s">
        <v>2908</v>
      </c>
      <c r="C1279" t="s">
        <v>1016</v>
      </c>
      <c r="D1279">
        <v>1</v>
      </c>
      <c r="E1279" t="s">
        <v>974</v>
      </c>
      <c r="F1279" t="s">
        <v>975</v>
      </c>
      <c r="G1279" t="s">
        <v>976</v>
      </c>
      <c r="H1279" s="1" t="s">
        <v>976</v>
      </c>
      <c r="I1279" s="1">
        <v>3</v>
      </c>
      <c r="J1279" s="20">
        <v>-854</v>
      </c>
      <c r="K1279" s="1">
        <v>3</v>
      </c>
      <c r="L1279" s="1">
        <v>-2562</v>
      </c>
      <c r="M1279" s="43" t="s">
        <v>2907</v>
      </c>
      <c r="O1279" s="2" t="s">
        <v>2463</v>
      </c>
      <c r="Q1279" t="s">
        <v>903</v>
      </c>
    </row>
    <row r="1280" spans="1:17" ht="15" customHeight="1" x14ac:dyDescent="0.25">
      <c r="A1280" s="42" t="s">
        <v>1735</v>
      </c>
      <c r="B1280" s="3" t="s">
        <v>2908</v>
      </c>
      <c r="C1280" s="42" t="s">
        <v>1016</v>
      </c>
      <c r="D1280">
        <v>4</v>
      </c>
      <c r="E1280" t="s">
        <v>1018</v>
      </c>
      <c r="F1280" t="s">
        <v>975</v>
      </c>
      <c r="G1280" t="s">
        <v>976</v>
      </c>
      <c r="H1280" s="1" t="s">
        <v>976</v>
      </c>
      <c r="I1280" s="1">
        <v>3</v>
      </c>
      <c r="J1280" s="20">
        <v>664</v>
      </c>
      <c r="K1280" s="1">
        <v>3.0017770000000001</v>
      </c>
      <c r="L1280" s="1">
        <v>1993.18</v>
      </c>
      <c r="M1280" s="43" t="s">
        <v>2907</v>
      </c>
      <c r="O1280" s="2" t="s">
        <v>2463</v>
      </c>
      <c r="Q1280" t="s">
        <v>903</v>
      </c>
    </row>
    <row r="1281" spans="1:17" ht="15" customHeight="1" x14ac:dyDescent="0.25">
      <c r="A1281" s="3" t="s">
        <v>1736</v>
      </c>
      <c r="B1281" s="4" t="s">
        <v>2908</v>
      </c>
      <c r="C1281" t="s">
        <v>1016</v>
      </c>
      <c r="D1281">
        <v>1</v>
      </c>
      <c r="E1281" t="s">
        <v>974</v>
      </c>
      <c r="F1281" t="s">
        <v>975</v>
      </c>
      <c r="G1281" t="s">
        <v>976</v>
      </c>
      <c r="H1281" s="1" t="s">
        <v>976</v>
      </c>
      <c r="I1281" s="1">
        <v>3</v>
      </c>
      <c r="J1281" s="20">
        <v>100</v>
      </c>
      <c r="K1281" s="1">
        <v>3</v>
      </c>
      <c r="L1281" s="1">
        <v>300</v>
      </c>
      <c r="M1281" s="43" t="s">
        <v>2907</v>
      </c>
      <c r="O1281" s="2" t="s">
        <v>2433</v>
      </c>
      <c r="Q1281" t="s">
        <v>904</v>
      </c>
    </row>
    <row r="1282" spans="1:17" ht="15" customHeight="1" x14ac:dyDescent="0.25">
      <c r="A1282" s="3" t="s">
        <v>1737</v>
      </c>
      <c r="B1282" s="4" t="s">
        <v>2910</v>
      </c>
      <c r="C1282" t="s">
        <v>1016</v>
      </c>
      <c r="D1282">
        <v>1</v>
      </c>
      <c r="E1282" t="s">
        <v>974</v>
      </c>
      <c r="F1282" t="s">
        <v>975</v>
      </c>
      <c r="G1282" t="s">
        <v>976</v>
      </c>
      <c r="H1282" s="1" t="s">
        <v>976</v>
      </c>
      <c r="I1282" s="1">
        <v>2.77</v>
      </c>
      <c r="J1282" s="20">
        <v>-60</v>
      </c>
      <c r="K1282" s="1">
        <v>0</v>
      </c>
      <c r="L1282" s="1">
        <v>0</v>
      </c>
      <c r="M1282" s="43" t="s">
        <v>2909</v>
      </c>
      <c r="O1282" s="2" t="s">
        <v>2811</v>
      </c>
      <c r="Q1282" t="s">
        <v>363</v>
      </c>
    </row>
    <row r="1283" spans="1:17" ht="15" customHeight="1" x14ac:dyDescent="0.25">
      <c r="A1283" s="3" t="s">
        <v>1738</v>
      </c>
      <c r="B1283" s="4" t="s">
        <v>364</v>
      </c>
      <c r="C1283" t="s">
        <v>976</v>
      </c>
      <c r="D1283">
        <v>1</v>
      </c>
      <c r="E1283" t="s">
        <v>974</v>
      </c>
      <c r="F1283" t="s">
        <v>975</v>
      </c>
      <c r="G1283" t="s">
        <v>976</v>
      </c>
      <c r="H1283" s="1" t="s">
        <v>976</v>
      </c>
      <c r="I1283" s="1">
        <v>6.8</v>
      </c>
      <c r="J1283" s="20">
        <v>1318</v>
      </c>
      <c r="K1283" s="1">
        <v>7.82</v>
      </c>
      <c r="L1283" s="1">
        <v>10306.76</v>
      </c>
      <c r="M1283" s="43" t="s">
        <v>2911</v>
      </c>
      <c r="Q1283" t="s">
        <v>364</v>
      </c>
    </row>
    <row r="1284" spans="1:17" ht="15" customHeight="1" x14ac:dyDescent="0.25">
      <c r="A1284" s="3" t="s">
        <v>1739</v>
      </c>
      <c r="B1284" s="4" t="s">
        <v>365</v>
      </c>
      <c r="C1284" t="s">
        <v>1355</v>
      </c>
      <c r="D1284">
        <v>1</v>
      </c>
      <c r="E1284" t="s">
        <v>974</v>
      </c>
      <c r="F1284" t="s">
        <v>975</v>
      </c>
      <c r="G1284" t="s">
        <v>180</v>
      </c>
      <c r="H1284" s="1" t="s">
        <v>976</v>
      </c>
      <c r="I1284" s="1">
        <v>630</v>
      </c>
      <c r="J1284" s="20">
        <v>1</v>
      </c>
      <c r="K1284" s="1">
        <v>0</v>
      </c>
      <c r="L1284" s="1">
        <v>0</v>
      </c>
      <c r="M1284" s="43" t="s">
        <v>2912</v>
      </c>
      <c r="P1284" t="s">
        <v>23</v>
      </c>
      <c r="Q1284" t="s">
        <v>365</v>
      </c>
    </row>
    <row r="1285" spans="1:17" ht="15" customHeight="1" x14ac:dyDescent="0.25">
      <c r="A1285" s="3" t="s">
        <v>1740</v>
      </c>
      <c r="B1285" s="4" t="s">
        <v>1355</v>
      </c>
      <c r="C1285" t="s">
        <v>1355</v>
      </c>
      <c r="D1285">
        <v>1</v>
      </c>
      <c r="E1285" t="s">
        <v>974</v>
      </c>
      <c r="F1285" t="s">
        <v>975</v>
      </c>
      <c r="G1285" t="s">
        <v>180</v>
      </c>
      <c r="H1285" s="1" t="s">
        <v>976</v>
      </c>
      <c r="I1285" s="1">
        <v>1099</v>
      </c>
      <c r="J1285" s="20">
        <v>0</v>
      </c>
      <c r="K1285" s="1">
        <v>175</v>
      </c>
      <c r="L1285" s="1">
        <v>0</v>
      </c>
      <c r="M1285" s="43" t="s">
        <v>2912</v>
      </c>
      <c r="O1285" s="2" t="s">
        <v>2447</v>
      </c>
      <c r="P1285" t="s">
        <v>23</v>
      </c>
      <c r="Q1285" t="s">
        <v>905</v>
      </c>
    </row>
    <row r="1286" spans="1:17" ht="15" customHeight="1" x14ac:dyDescent="0.25">
      <c r="A1286" s="42" t="s">
        <v>1740</v>
      </c>
      <c r="B1286" s="3" t="s">
        <v>1355</v>
      </c>
      <c r="C1286" s="42" t="s">
        <v>1355</v>
      </c>
      <c r="D1286">
        <v>4</v>
      </c>
      <c r="E1286" t="s">
        <v>1018</v>
      </c>
      <c r="F1286" t="s">
        <v>975</v>
      </c>
      <c r="G1286" t="s">
        <v>180</v>
      </c>
      <c r="H1286" s="1" t="s">
        <v>976</v>
      </c>
      <c r="I1286" s="1">
        <v>1099</v>
      </c>
      <c r="J1286" s="20">
        <v>0</v>
      </c>
      <c r="K1286" s="1">
        <v>0</v>
      </c>
      <c r="L1286" s="1">
        <v>0</v>
      </c>
      <c r="M1286" s="43" t="s">
        <v>2912</v>
      </c>
      <c r="O1286" s="2" t="s">
        <v>2447</v>
      </c>
      <c r="P1286" t="s">
        <v>23</v>
      </c>
      <c r="Q1286" t="s">
        <v>905</v>
      </c>
    </row>
    <row r="1287" spans="1:17" ht="15" customHeight="1" x14ac:dyDescent="0.25">
      <c r="A1287" s="3" t="s">
        <v>1741</v>
      </c>
      <c r="B1287" s="4" t="s">
        <v>1355</v>
      </c>
      <c r="C1287" t="s">
        <v>1355</v>
      </c>
      <c r="D1287">
        <v>1</v>
      </c>
      <c r="E1287" t="s">
        <v>974</v>
      </c>
      <c r="F1287" t="s">
        <v>975</v>
      </c>
      <c r="G1287" t="s">
        <v>180</v>
      </c>
      <c r="H1287" s="1" t="s">
        <v>976</v>
      </c>
      <c r="I1287" s="1">
        <v>1099</v>
      </c>
      <c r="J1287" s="20">
        <v>0</v>
      </c>
      <c r="K1287" s="1">
        <v>0</v>
      </c>
      <c r="L1287" s="1">
        <v>0</v>
      </c>
      <c r="M1287" s="43" t="s">
        <v>2912</v>
      </c>
      <c r="O1287" s="2" t="s">
        <v>2443</v>
      </c>
      <c r="P1287" t="s">
        <v>23</v>
      </c>
      <c r="Q1287" t="s">
        <v>906</v>
      </c>
    </row>
    <row r="1288" spans="1:17" ht="15" customHeight="1" x14ac:dyDescent="0.25">
      <c r="A1288" s="3" t="s">
        <v>1742</v>
      </c>
      <c r="B1288" s="4" t="s">
        <v>1355</v>
      </c>
      <c r="C1288" t="s">
        <v>1355</v>
      </c>
      <c r="D1288">
        <v>1</v>
      </c>
      <c r="E1288" t="s">
        <v>974</v>
      </c>
      <c r="F1288" t="s">
        <v>975</v>
      </c>
      <c r="G1288" t="s">
        <v>180</v>
      </c>
      <c r="H1288" s="1" t="s">
        <v>976</v>
      </c>
      <c r="I1288" s="1">
        <v>1099</v>
      </c>
      <c r="J1288" s="20">
        <v>0</v>
      </c>
      <c r="K1288" s="1">
        <v>0</v>
      </c>
      <c r="L1288" s="1">
        <v>0</v>
      </c>
      <c r="M1288" s="43" t="s">
        <v>2912</v>
      </c>
      <c r="O1288" s="2" t="s">
        <v>2482</v>
      </c>
      <c r="P1288" t="s">
        <v>23</v>
      </c>
      <c r="Q1288" t="s">
        <v>907</v>
      </c>
    </row>
    <row r="1289" spans="1:17" ht="15" customHeight="1" x14ac:dyDescent="0.25">
      <c r="A1289" s="42" t="s">
        <v>1742</v>
      </c>
      <c r="B1289" s="3" t="s">
        <v>1355</v>
      </c>
      <c r="C1289" s="42" t="s">
        <v>1355</v>
      </c>
      <c r="D1289">
        <v>4</v>
      </c>
      <c r="E1289" t="s">
        <v>1018</v>
      </c>
      <c r="F1289" t="s">
        <v>975</v>
      </c>
      <c r="G1289" t="s">
        <v>180</v>
      </c>
      <c r="H1289" s="1" t="s">
        <v>976</v>
      </c>
      <c r="I1289" s="1">
        <v>1099</v>
      </c>
      <c r="J1289" s="20">
        <v>0</v>
      </c>
      <c r="K1289" s="1">
        <v>0</v>
      </c>
      <c r="L1289" s="1">
        <v>0</v>
      </c>
      <c r="M1289" s="43" t="s">
        <v>2912</v>
      </c>
      <c r="O1289" s="2" t="s">
        <v>2482</v>
      </c>
      <c r="P1289" t="s">
        <v>23</v>
      </c>
      <c r="Q1289" t="s">
        <v>907</v>
      </c>
    </row>
    <row r="1290" spans="1:17" ht="15" customHeight="1" x14ac:dyDescent="0.25">
      <c r="A1290" s="3" t="s">
        <v>1743</v>
      </c>
      <c r="B1290" s="4" t="s">
        <v>366</v>
      </c>
      <c r="C1290" t="s">
        <v>1355</v>
      </c>
      <c r="D1290">
        <v>1</v>
      </c>
      <c r="E1290" t="s">
        <v>974</v>
      </c>
      <c r="F1290" t="s">
        <v>975</v>
      </c>
      <c r="G1290" t="s">
        <v>180</v>
      </c>
      <c r="H1290" s="1" t="s">
        <v>976</v>
      </c>
      <c r="I1290" s="1">
        <v>785</v>
      </c>
      <c r="J1290" s="20">
        <v>1</v>
      </c>
      <c r="K1290" s="1">
        <v>226.58</v>
      </c>
      <c r="L1290" s="1">
        <v>226.58</v>
      </c>
      <c r="M1290" s="43" t="s">
        <v>2912</v>
      </c>
      <c r="P1290" t="s">
        <v>24</v>
      </c>
      <c r="Q1290" t="s">
        <v>366</v>
      </c>
    </row>
    <row r="1291" spans="1:17" ht="15" customHeight="1" x14ac:dyDescent="0.25">
      <c r="A1291" s="42" t="s">
        <v>1743</v>
      </c>
      <c r="B1291" s="3" t="s">
        <v>366</v>
      </c>
      <c r="C1291" s="42" t="s">
        <v>1355</v>
      </c>
      <c r="D1291">
        <v>2</v>
      </c>
      <c r="E1291" t="s">
        <v>1017</v>
      </c>
      <c r="F1291" t="s">
        <v>975</v>
      </c>
      <c r="G1291" t="s">
        <v>180</v>
      </c>
      <c r="H1291" s="1" t="s">
        <v>976</v>
      </c>
      <c r="I1291" s="1">
        <v>785</v>
      </c>
      <c r="J1291" s="20">
        <v>0</v>
      </c>
      <c r="K1291" s="1">
        <v>353.16</v>
      </c>
      <c r="L1291" s="1">
        <v>0</v>
      </c>
      <c r="M1291" s="43" t="s">
        <v>2912</v>
      </c>
      <c r="P1291" t="s">
        <v>24</v>
      </c>
      <c r="Q1291" t="s">
        <v>366</v>
      </c>
    </row>
    <row r="1292" spans="1:17" ht="15" customHeight="1" x14ac:dyDescent="0.25">
      <c r="A1292" s="42" t="s">
        <v>1743</v>
      </c>
      <c r="B1292" s="3" t="s">
        <v>366</v>
      </c>
      <c r="C1292" s="42" t="s">
        <v>1355</v>
      </c>
      <c r="D1292">
        <v>3</v>
      </c>
      <c r="E1292" t="s">
        <v>1179</v>
      </c>
      <c r="F1292" t="s">
        <v>1180</v>
      </c>
      <c r="G1292" t="s">
        <v>180</v>
      </c>
      <c r="H1292" s="1" t="s">
        <v>976</v>
      </c>
      <c r="I1292" s="1">
        <v>785</v>
      </c>
      <c r="J1292" s="20">
        <v>0</v>
      </c>
      <c r="K1292" s="1">
        <v>100</v>
      </c>
      <c r="L1292" s="1">
        <v>0</v>
      </c>
      <c r="M1292" s="43" t="s">
        <v>2912</v>
      </c>
      <c r="P1292" t="s">
        <v>24</v>
      </c>
      <c r="Q1292" t="s">
        <v>366</v>
      </c>
    </row>
    <row r="1293" spans="1:17" ht="15" customHeight="1" x14ac:dyDescent="0.25">
      <c r="A1293" s="3" t="s">
        <v>1744</v>
      </c>
      <c r="B1293" s="4" t="s">
        <v>367</v>
      </c>
      <c r="C1293" t="s">
        <v>1355</v>
      </c>
      <c r="D1293">
        <v>1</v>
      </c>
      <c r="E1293" t="s">
        <v>974</v>
      </c>
      <c r="F1293" t="s">
        <v>975</v>
      </c>
      <c r="G1293" t="s">
        <v>180</v>
      </c>
      <c r="H1293" s="1" t="s">
        <v>976</v>
      </c>
      <c r="I1293" s="1">
        <v>785</v>
      </c>
      <c r="J1293" s="20">
        <v>2</v>
      </c>
      <c r="K1293" s="1">
        <v>137.24</v>
      </c>
      <c r="L1293" s="1">
        <v>274.48</v>
      </c>
      <c r="M1293" s="43" t="s">
        <v>2912</v>
      </c>
      <c r="P1293" t="s">
        <v>25</v>
      </c>
      <c r="Q1293" t="s">
        <v>367</v>
      </c>
    </row>
    <row r="1294" spans="1:17" ht="15" customHeight="1" x14ac:dyDescent="0.25">
      <c r="A1294" s="3" t="s">
        <v>1745</v>
      </c>
      <c r="B1294" s="4" t="s">
        <v>368</v>
      </c>
      <c r="C1294" t="s">
        <v>1355</v>
      </c>
      <c r="D1294">
        <v>1</v>
      </c>
      <c r="E1294" t="s">
        <v>974</v>
      </c>
      <c r="F1294" t="s">
        <v>975</v>
      </c>
      <c r="G1294" t="s">
        <v>180</v>
      </c>
      <c r="H1294" s="1" t="s">
        <v>976</v>
      </c>
      <c r="I1294" s="1">
        <v>785</v>
      </c>
      <c r="J1294" s="20">
        <v>4</v>
      </c>
      <c r="K1294" s="1">
        <v>132.58500000000001</v>
      </c>
      <c r="L1294" s="1">
        <v>530.34</v>
      </c>
      <c r="M1294" s="43" t="s">
        <v>2912</v>
      </c>
      <c r="P1294" t="s">
        <v>23</v>
      </c>
      <c r="Q1294" t="s">
        <v>368</v>
      </c>
    </row>
    <row r="1295" spans="1:17" ht="15" customHeight="1" x14ac:dyDescent="0.25">
      <c r="A1295" s="42" t="s">
        <v>1745</v>
      </c>
      <c r="B1295" s="3" t="s">
        <v>368</v>
      </c>
      <c r="C1295" s="42" t="s">
        <v>1355</v>
      </c>
      <c r="D1295">
        <v>3</v>
      </c>
      <c r="E1295" t="s">
        <v>1179</v>
      </c>
      <c r="F1295" t="s">
        <v>1180</v>
      </c>
      <c r="G1295" t="s">
        <v>180</v>
      </c>
      <c r="H1295" s="1" t="s">
        <v>976</v>
      </c>
      <c r="I1295" s="1">
        <v>785</v>
      </c>
      <c r="J1295" s="20">
        <v>0</v>
      </c>
      <c r="K1295" s="1">
        <v>100</v>
      </c>
      <c r="L1295" s="1">
        <v>0</v>
      </c>
      <c r="M1295" s="43" t="s">
        <v>2912</v>
      </c>
      <c r="P1295" t="s">
        <v>23</v>
      </c>
      <c r="Q1295" t="s">
        <v>368</v>
      </c>
    </row>
    <row r="1296" spans="1:17" ht="15" customHeight="1" x14ac:dyDescent="0.25">
      <c r="A1296" s="3" t="s">
        <v>1746</v>
      </c>
      <c r="B1296" s="4" t="s">
        <v>369</v>
      </c>
      <c r="C1296" t="s">
        <v>1355</v>
      </c>
      <c r="D1296">
        <v>1</v>
      </c>
      <c r="E1296" t="s">
        <v>974</v>
      </c>
      <c r="F1296" t="s">
        <v>975</v>
      </c>
      <c r="G1296" t="s">
        <v>180</v>
      </c>
      <c r="H1296" s="1" t="s">
        <v>976</v>
      </c>
      <c r="I1296" s="1">
        <v>785</v>
      </c>
      <c r="J1296" s="20">
        <v>3</v>
      </c>
      <c r="K1296" s="1">
        <v>124.826666</v>
      </c>
      <c r="L1296" s="1">
        <v>374.48</v>
      </c>
      <c r="M1296" s="43" t="s">
        <v>2912</v>
      </c>
      <c r="P1296" t="s">
        <v>22</v>
      </c>
      <c r="Q1296" t="s">
        <v>369</v>
      </c>
    </row>
    <row r="1297" spans="1:17" ht="15" customHeight="1" x14ac:dyDescent="0.25">
      <c r="A1297" s="42" t="s">
        <v>1746</v>
      </c>
      <c r="B1297" s="3" t="s">
        <v>369</v>
      </c>
      <c r="C1297" s="42" t="s">
        <v>1355</v>
      </c>
      <c r="D1297">
        <v>3</v>
      </c>
      <c r="E1297" t="s">
        <v>1179</v>
      </c>
      <c r="F1297" t="s">
        <v>1180</v>
      </c>
      <c r="G1297" t="s">
        <v>180</v>
      </c>
      <c r="H1297" s="1" t="s">
        <v>976</v>
      </c>
      <c r="I1297" s="1">
        <v>785</v>
      </c>
      <c r="J1297" s="20">
        <v>0</v>
      </c>
      <c r="K1297" s="1">
        <v>100</v>
      </c>
      <c r="L1297" s="1">
        <v>0</v>
      </c>
      <c r="M1297" s="43" t="s">
        <v>2912</v>
      </c>
      <c r="P1297" t="s">
        <v>22</v>
      </c>
      <c r="Q1297" t="s">
        <v>369</v>
      </c>
    </row>
    <row r="1298" spans="1:17" ht="15" customHeight="1" x14ac:dyDescent="0.25">
      <c r="A1298" s="3" t="s">
        <v>1747</v>
      </c>
      <c r="B1298" s="4" t="s">
        <v>370</v>
      </c>
      <c r="C1298" t="s">
        <v>1355</v>
      </c>
      <c r="D1298">
        <v>1</v>
      </c>
      <c r="E1298" t="s">
        <v>974</v>
      </c>
      <c r="F1298" t="s">
        <v>975</v>
      </c>
      <c r="G1298" t="s">
        <v>180</v>
      </c>
      <c r="H1298" s="1" t="s">
        <v>976</v>
      </c>
      <c r="I1298" s="1">
        <v>785</v>
      </c>
      <c r="J1298" s="20">
        <v>0</v>
      </c>
      <c r="K1298" s="1">
        <v>127.32</v>
      </c>
      <c r="L1298" s="1">
        <v>0</v>
      </c>
      <c r="M1298" s="43" t="s">
        <v>2912</v>
      </c>
      <c r="P1298" t="s">
        <v>24</v>
      </c>
      <c r="Q1298" t="s">
        <v>370</v>
      </c>
    </row>
    <row r="1299" spans="1:17" ht="15" customHeight="1" x14ac:dyDescent="0.25">
      <c r="A1299" s="42" t="s">
        <v>1747</v>
      </c>
      <c r="B1299" s="3" t="s">
        <v>370</v>
      </c>
      <c r="C1299" s="42" t="s">
        <v>1355</v>
      </c>
      <c r="D1299">
        <v>3</v>
      </c>
      <c r="E1299" t="s">
        <v>1179</v>
      </c>
      <c r="F1299" t="s">
        <v>1180</v>
      </c>
      <c r="G1299" t="s">
        <v>180</v>
      </c>
      <c r="H1299" s="1" t="s">
        <v>976</v>
      </c>
      <c r="I1299" s="1">
        <v>785</v>
      </c>
      <c r="J1299" s="20">
        <v>0</v>
      </c>
      <c r="K1299" s="1">
        <v>100</v>
      </c>
      <c r="L1299" s="1">
        <v>0</v>
      </c>
      <c r="M1299" s="43" t="s">
        <v>2912</v>
      </c>
      <c r="P1299" t="s">
        <v>24</v>
      </c>
      <c r="Q1299" t="s">
        <v>370</v>
      </c>
    </row>
    <row r="1300" spans="1:17" ht="15" customHeight="1" x14ac:dyDescent="0.25">
      <c r="A1300" s="3" t="s">
        <v>1748</v>
      </c>
      <c r="B1300" s="4" t="s">
        <v>371</v>
      </c>
      <c r="C1300" t="s">
        <v>1355</v>
      </c>
      <c r="D1300">
        <v>1</v>
      </c>
      <c r="E1300" t="s">
        <v>974</v>
      </c>
      <c r="F1300" t="s">
        <v>975</v>
      </c>
      <c r="G1300" t="s">
        <v>180</v>
      </c>
      <c r="H1300" s="1" t="s">
        <v>976</v>
      </c>
      <c r="I1300" s="1">
        <v>785</v>
      </c>
      <c r="J1300" s="20">
        <v>0</v>
      </c>
      <c r="K1300" s="1">
        <v>100</v>
      </c>
      <c r="L1300" s="1">
        <v>0</v>
      </c>
      <c r="M1300" s="43" t="s">
        <v>2912</v>
      </c>
      <c r="P1300" t="s">
        <v>25</v>
      </c>
      <c r="Q1300" t="s">
        <v>371</v>
      </c>
    </row>
    <row r="1301" spans="1:17" ht="15" customHeight="1" x14ac:dyDescent="0.25">
      <c r="A1301" s="42" t="s">
        <v>1748</v>
      </c>
      <c r="B1301" s="3" t="s">
        <v>371</v>
      </c>
      <c r="C1301" s="42" t="s">
        <v>1355</v>
      </c>
      <c r="D1301">
        <v>2</v>
      </c>
      <c r="E1301" t="s">
        <v>1017</v>
      </c>
      <c r="F1301" t="s">
        <v>975</v>
      </c>
      <c r="G1301" t="s">
        <v>180</v>
      </c>
      <c r="H1301" s="1" t="s">
        <v>976</v>
      </c>
      <c r="I1301" s="1">
        <v>785</v>
      </c>
      <c r="J1301" s="20">
        <v>0</v>
      </c>
      <c r="K1301" s="1">
        <v>100</v>
      </c>
      <c r="L1301" s="1">
        <v>0</v>
      </c>
      <c r="M1301" s="43" t="s">
        <v>2912</v>
      </c>
      <c r="P1301" t="s">
        <v>25</v>
      </c>
      <c r="Q1301" t="s">
        <v>371</v>
      </c>
    </row>
    <row r="1302" spans="1:17" ht="15" customHeight="1" x14ac:dyDescent="0.25">
      <c r="A1302" s="42" t="s">
        <v>1748</v>
      </c>
      <c r="B1302" s="3" t="s">
        <v>371</v>
      </c>
      <c r="C1302" s="42" t="s">
        <v>1355</v>
      </c>
      <c r="D1302">
        <v>3</v>
      </c>
      <c r="E1302" t="s">
        <v>1179</v>
      </c>
      <c r="F1302" t="s">
        <v>1180</v>
      </c>
      <c r="G1302" t="s">
        <v>180</v>
      </c>
      <c r="H1302" s="1" t="s">
        <v>976</v>
      </c>
      <c r="I1302" s="1">
        <v>785</v>
      </c>
      <c r="J1302" s="20">
        <v>0</v>
      </c>
      <c r="K1302" s="1">
        <v>100</v>
      </c>
      <c r="L1302" s="1">
        <v>0</v>
      </c>
      <c r="M1302" s="43" t="s">
        <v>2912</v>
      </c>
      <c r="P1302" t="s">
        <v>25</v>
      </c>
      <c r="Q1302" t="s">
        <v>371</v>
      </c>
    </row>
    <row r="1303" spans="1:17" ht="15" customHeight="1" x14ac:dyDescent="0.25">
      <c r="A1303" s="3" t="s">
        <v>1749</v>
      </c>
      <c r="B1303" s="4" t="s">
        <v>372</v>
      </c>
      <c r="C1303" t="s">
        <v>1355</v>
      </c>
      <c r="D1303">
        <v>1</v>
      </c>
      <c r="E1303" t="s">
        <v>974</v>
      </c>
      <c r="F1303" t="s">
        <v>975</v>
      </c>
      <c r="G1303" t="s">
        <v>180</v>
      </c>
      <c r="H1303" s="1" t="s">
        <v>976</v>
      </c>
      <c r="I1303" s="1">
        <v>785</v>
      </c>
      <c r="J1303" s="20">
        <v>2</v>
      </c>
      <c r="K1303" s="1">
        <v>140.85749999999999</v>
      </c>
      <c r="L1303" s="1">
        <v>281.72000000000003</v>
      </c>
      <c r="M1303" s="43" t="s">
        <v>2912</v>
      </c>
      <c r="P1303" t="s">
        <v>23</v>
      </c>
      <c r="Q1303" t="s">
        <v>372</v>
      </c>
    </row>
    <row r="1304" spans="1:17" ht="15" customHeight="1" x14ac:dyDescent="0.25">
      <c r="A1304" s="42" t="s">
        <v>1749</v>
      </c>
      <c r="B1304" s="3" t="s">
        <v>372</v>
      </c>
      <c r="C1304" s="42" t="s">
        <v>1355</v>
      </c>
      <c r="D1304">
        <v>3</v>
      </c>
      <c r="E1304" t="s">
        <v>1179</v>
      </c>
      <c r="F1304" t="s">
        <v>1180</v>
      </c>
      <c r="G1304" t="s">
        <v>180</v>
      </c>
      <c r="H1304" s="1" t="s">
        <v>976</v>
      </c>
      <c r="I1304" s="1">
        <v>785</v>
      </c>
      <c r="J1304" s="20">
        <v>0</v>
      </c>
      <c r="K1304" s="1">
        <v>140</v>
      </c>
      <c r="L1304" s="1">
        <v>0</v>
      </c>
      <c r="M1304" s="43" t="s">
        <v>2912</v>
      </c>
      <c r="P1304" t="s">
        <v>23</v>
      </c>
      <c r="Q1304" t="s">
        <v>372</v>
      </c>
    </row>
    <row r="1305" spans="1:17" ht="15" customHeight="1" x14ac:dyDescent="0.25">
      <c r="A1305" s="3" t="s">
        <v>1750</v>
      </c>
      <c r="B1305" s="4" t="s">
        <v>373</v>
      </c>
      <c r="C1305" t="s">
        <v>1355</v>
      </c>
      <c r="D1305">
        <v>1</v>
      </c>
      <c r="E1305" t="s">
        <v>974</v>
      </c>
      <c r="F1305" t="s">
        <v>975</v>
      </c>
      <c r="G1305" t="s">
        <v>180</v>
      </c>
      <c r="H1305" s="1" t="s">
        <v>976</v>
      </c>
      <c r="I1305" s="1">
        <v>785</v>
      </c>
      <c r="J1305" s="20">
        <v>2</v>
      </c>
      <c r="K1305" s="1">
        <v>140.97999999999999</v>
      </c>
      <c r="L1305" s="1">
        <v>281.95999999999998</v>
      </c>
      <c r="M1305" s="43" t="s">
        <v>2912</v>
      </c>
      <c r="P1305" t="s">
        <v>22</v>
      </c>
      <c r="Q1305" t="s">
        <v>373</v>
      </c>
    </row>
    <row r="1306" spans="1:17" ht="15" customHeight="1" x14ac:dyDescent="0.25">
      <c r="A1306" s="42" t="s">
        <v>1750</v>
      </c>
      <c r="B1306" s="3" t="s">
        <v>373</v>
      </c>
      <c r="C1306" s="42" t="s">
        <v>1355</v>
      </c>
      <c r="D1306">
        <v>3</v>
      </c>
      <c r="E1306" t="s">
        <v>1179</v>
      </c>
      <c r="F1306" t="s">
        <v>1180</v>
      </c>
      <c r="G1306" t="s">
        <v>180</v>
      </c>
      <c r="H1306" s="1" t="s">
        <v>976</v>
      </c>
      <c r="I1306" s="1">
        <v>785</v>
      </c>
      <c r="J1306" s="20">
        <v>0</v>
      </c>
      <c r="K1306" s="1">
        <v>140.97999999999999</v>
      </c>
      <c r="L1306" s="1">
        <v>0</v>
      </c>
      <c r="M1306" s="43" t="s">
        <v>2912</v>
      </c>
      <c r="P1306" t="s">
        <v>22</v>
      </c>
      <c r="Q1306" t="s">
        <v>373</v>
      </c>
    </row>
    <row r="1307" spans="1:17" ht="15" customHeight="1" x14ac:dyDescent="0.25">
      <c r="A1307" s="3" t="s">
        <v>1751</v>
      </c>
      <c r="B1307" s="4" t="s">
        <v>2913</v>
      </c>
      <c r="C1307" t="s">
        <v>1355</v>
      </c>
      <c r="D1307">
        <v>1</v>
      </c>
      <c r="E1307" t="s">
        <v>974</v>
      </c>
      <c r="F1307" t="s">
        <v>975</v>
      </c>
      <c r="G1307" t="s">
        <v>976</v>
      </c>
      <c r="H1307" s="1" t="s">
        <v>976</v>
      </c>
      <c r="I1307" s="1">
        <v>1055</v>
      </c>
      <c r="J1307" s="20">
        <v>0</v>
      </c>
      <c r="K1307" s="1">
        <v>189.53</v>
      </c>
      <c r="L1307" s="1">
        <v>0</v>
      </c>
      <c r="M1307" s="43" t="s">
        <v>2912</v>
      </c>
      <c r="O1307" s="2" t="s">
        <v>2463</v>
      </c>
      <c r="P1307" t="s">
        <v>24</v>
      </c>
      <c r="Q1307" t="s">
        <v>908</v>
      </c>
    </row>
    <row r="1308" spans="1:17" ht="15" customHeight="1" x14ac:dyDescent="0.25">
      <c r="A1308" s="3" t="s">
        <v>1752</v>
      </c>
      <c r="B1308" s="4" t="s">
        <v>2913</v>
      </c>
      <c r="C1308" t="s">
        <v>1355</v>
      </c>
      <c r="D1308">
        <v>1</v>
      </c>
      <c r="E1308" t="s">
        <v>974</v>
      </c>
      <c r="F1308" t="s">
        <v>975</v>
      </c>
      <c r="G1308" t="s">
        <v>976</v>
      </c>
      <c r="H1308" s="1" t="s">
        <v>976</v>
      </c>
      <c r="I1308" s="1">
        <v>1055</v>
      </c>
      <c r="J1308" s="20">
        <v>0</v>
      </c>
      <c r="K1308" s="1">
        <v>0</v>
      </c>
      <c r="L1308" s="1">
        <v>0</v>
      </c>
      <c r="M1308" s="43" t="s">
        <v>2912</v>
      </c>
      <c r="O1308" s="2" t="s">
        <v>2463</v>
      </c>
      <c r="P1308" t="s">
        <v>25</v>
      </c>
      <c r="Q1308" t="s">
        <v>908</v>
      </c>
    </row>
    <row r="1309" spans="1:17" ht="15" customHeight="1" x14ac:dyDescent="0.25">
      <c r="A1309" s="3" t="s">
        <v>1753</v>
      </c>
      <c r="B1309" s="4" t="s">
        <v>2913</v>
      </c>
      <c r="C1309" t="s">
        <v>1355</v>
      </c>
      <c r="D1309">
        <v>1</v>
      </c>
      <c r="E1309" t="s">
        <v>974</v>
      </c>
      <c r="F1309" t="s">
        <v>975</v>
      </c>
      <c r="G1309" t="s">
        <v>976</v>
      </c>
      <c r="H1309" s="1" t="s">
        <v>976</v>
      </c>
      <c r="I1309" s="1">
        <v>1055</v>
      </c>
      <c r="J1309" s="20">
        <v>0</v>
      </c>
      <c r="K1309" s="1">
        <v>0</v>
      </c>
      <c r="L1309" s="1">
        <v>0</v>
      </c>
      <c r="M1309" s="43" t="s">
        <v>2912</v>
      </c>
      <c r="O1309" s="2" t="s">
        <v>2463</v>
      </c>
      <c r="P1309" t="s">
        <v>23</v>
      </c>
      <c r="Q1309" t="s">
        <v>908</v>
      </c>
    </row>
    <row r="1310" spans="1:17" ht="15" customHeight="1" x14ac:dyDescent="0.25">
      <c r="A1310" s="3" t="s">
        <v>1754</v>
      </c>
      <c r="B1310" s="4" t="s">
        <v>2913</v>
      </c>
      <c r="C1310" t="s">
        <v>1355</v>
      </c>
      <c r="D1310">
        <v>1</v>
      </c>
      <c r="E1310" t="s">
        <v>974</v>
      </c>
      <c r="F1310" t="s">
        <v>975</v>
      </c>
      <c r="G1310" t="s">
        <v>976</v>
      </c>
      <c r="H1310" s="1" t="s">
        <v>976</v>
      </c>
      <c r="I1310" s="1">
        <v>1055</v>
      </c>
      <c r="J1310" s="20">
        <v>0</v>
      </c>
      <c r="K1310" s="1">
        <v>0</v>
      </c>
      <c r="L1310" s="1">
        <v>0</v>
      </c>
      <c r="M1310" s="43" t="s">
        <v>2912</v>
      </c>
      <c r="O1310" s="2" t="s">
        <v>2463</v>
      </c>
      <c r="P1310" t="s">
        <v>22</v>
      </c>
      <c r="Q1310" t="s">
        <v>908</v>
      </c>
    </row>
    <row r="1311" spans="1:17" ht="15" customHeight="1" x14ac:dyDescent="0.25">
      <c r="A1311" s="3" t="s">
        <v>1755</v>
      </c>
      <c r="B1311" s="4" t="s">
        <v>2913</v>
      </c>
      <c r="C1311" t="s">
        <v>1355</v>
      </c>
      <c r="D1311">
        <v>1</v>
      </c>
      <c r="E1311" t="s">
        <v>974</v>
      </c>
      <c r="F1311" t="s">
        <v>975</v>
      </c>
      <c r="G1311" t="s">
        <v>976</v>
      </c>
      <c r="H1311" s="1" t="s">
        <v>976</v>
      </c>
      <c r="I1311" s="1">
        <v>1055</v>
      </c>
      <c r="J1311" s="20">
        <v>0</v>
      </c>
      <c r="K1311" s="1">
        <v>1055</v>
      </c>
      <c r="L1311" s="1">
        <v>0</v>
      </c>
      <c r="M1311" s="43" t="s">
        <v>2912</v>
      </c>
      <c r="O1311" s="2" t="s">
        <v>2482</v>
      </c>
      <c r="P1311" t="s">
        <v>24</v>
      </c>
      <c r="Q1311" t="s">
        <v>909</v>
      </c>
    </row>
    <row r="1312" spans="1:17" ht="15" customHeight="1" x14ac:dyDescent="0.25">
      <c r="A1312" s="42" t="s">
        <v>1755</v>
      </c>
      <c r="B1312" s="3" t="s">
        <v>2913</v>
      </c>
      <c r="C1312" s="42" t="s">
        <v>1355</v>
      </c>
      <c r="D1312">
        <v>2</v>
      </c>
      <c r="E1312" t="s">
        <v>1017</v>
      </c>
      <c r="F1312" t="s">
        <v>975</v>
      </c>
      <c r="G1312" t="s">
        <v>976</v>
      </c>
      <c r="H1312" s="1" t="s">
        <v>976</v>
      </c>
      <c r="I1312" s="1">
        <v>1055</v>
      </c>
      <c r="J1312" s="20">
        <v>1</v>
      </c>
      <c r="K1312" s="1">
        <v>180</v>
      </c>
      <c r="L1312" s="1">
        <v>180</v>
      </c>
      <c r="M1312" s="43" t="s">
        <v>2912</v>
      </c>
      <c r="O1312" s="2" t="s">
        <v>2482</v>
      </c>
      <c r="P1312" t="s">
        <v>24</v>
      </c>
      <c r="Q1312" t="s">
        <v>909</v>
      </c>
    </row>
    <row r="1313" spans="1:17" ht="15" customHeight="1" x14ac:dyDescent="0.25">
      <c r="A1313" s="3" t="s">
        <v>1756</v>
      </c>
      <c r="B1313" s="4" t="s">
        <v>2913</v>
      </c>
      <c r="C1313" t="s">
        <v>1355</v>
      </c>
      <c r="D1313">
        <v>1</v>
      </c>
      <c r="E1313" t="s">
        <v>974</v>
      </c>
      <c r="F1313" t="s">
        <v>975</v>
      </c>
      <c r="G1313" t="s">
        <v>976</v>
      </c>
      <c r="H1313" s="1" t="s">
        <v>976</v>
      </c>
      <c r="I1313" s="1">
        <v>1055</v>
      </c>
      <c r="J1313" s="20">
        <v>1</v>
      </c>
      <c r="K1313" s="1">
        <v>189.53</v>
      </c>
      <c r="L1313" s="1">
        <v>189.53</v>
      </c>
      <c r="M1313" s="43" t="s">
        <v>2912</v>
      </c>
      <c r="O1313" s="2" t="s">
        <v>2482</v>
      </c>
      <c r="P1313" t="s">
        <v>25</v>
      </c>
      <c r="Q1313" t="s">
        <v>909</v>
      </c>
    </row>
    <row r="1314" spans="1:17" ht="15" customHeight="1" x14ac:dyDescent="0.25">
      <c r="A1314" s="42" t="s">
        <v>1756</v>
      </c>
      <c r="B1314" s="3" t="s">
        <v>2913</v>
      </c>
      <c r="C1314" s="42" t="s">
        <v>1355</v>
      </c>
      <c r="D1314">
        <v>2</v>
      </c>
      <c r="E1314" t="s">
        <v>1017</v>
      </c>
      <c r="F1314" t="s">
        <v>975</v>
      </c>
      <c r="G1314" t="s">
        <v>976</v>
      </c>
      <c r="H1314" s="1" t="s">
        <v>976</v>
      </c>
      <c r="I1314" s="1">
        <v>1055</v>
      </c>
      <c r="J1314" s="20">
        <v>1</v>
      </c>
      <c r="K1314" s="1">
        <v>189.53</v>
      </c>
      <c r="L1314" s="1">
        <v>189.53</v>
      </c>
      <c r="M1314" s="43" t="s">
        <v>2912</v>
      </c>
      <c r="O1314" s="2" t="s">
        <v>2482</v>
      </c>
      <c r="P1314" t="s">
        <v>25</v>
      </c>
      <c r="Q1314" t="s">
        <v>909</v>
      </c>
    </row>
    <row r="1315" spans="1:17" ht="15" customHeight="1" x14ac:dyDescent="0.25">
      <c r="A1315" s="3" t="s">
        <v>1757</v>
      </c>
      <c r="B1315" s="4" t="s">
        <v>2913</v>
      </c>
      <c r="C1315" t="s">
        <v>1355</v>
      </c>
      <c r="D1315">
        <v>1</v>
      </c>
      <c r="E1315" t="s">
        <v>974</v>
      </c>
      <c r="F1315" t="s">
        <v>975</v>
      </c>
      <c r="G1315" t="s">
        <v>976</v>
      </c>
      <c r="H1315" s="1" t="s">
        <v>976</v>
      </c>
      <c r="I1315" s="1">
        <v>1055</v>
      </c>
      <c r="J1315" s="20">
        <v>0</v>
      </c>
      <c r="K1315" s="1">
        <v>189.53</v>
      </c>
      <c r="L1315" s="1">
        <v>0</v>
      </c>
      <c r="M1315" s="43" t="s">
        <v>2912</v>
      </c>
      <c r="O1315" s="2" t="s">
        <v>2482</v>
      </c>
      <c r="P1315" t="s">
        <v>23</v>
      </c>
      <c r="Q1315" t="s">
        <v>909</v>
      </c>
    </row>
    <row r="1316" spans="1:17" ht="15" customHeight="1" x14ac:dyDescent="0.25">
      <c r="A1316" s="42" t="s">
        <v>1757</v>
      </c>
      <c r="B1316" s="3" t="s">
        <v>2913</v>
      </c>
      <c r="C1316" s="42" t="s">
        <v>1355</v>
      </c>
      <c r="D1316">
        <v>2</v>
      </c>
      <c r="E1316" t="s">
        <v>1017</v>
      </c>
      <c r="F1316" t="s">
        <v>975</v>
      </c>
      <c r="G1316" t="s">
        <v>976</v>
      </c>
      <c r="H1316" s="1" t="s">
        <v>976</v>
      </c>
      <c r="I1316" s="1">
        <v>1055</v>
      </c>
      <c r="J1316" s="20">
        <v>0</v>
      </c>
      <c r="K1316" s="1">
        <v>189.53</v>
      </c>
      <c r="L1316" s="1">
        <v>0</v>
      </c>
      <c r="M1316" s="43" t="s">
        <v>2912</v>
      </c>
      <c r="O1316" s="2" t="s">
        <v>2482</v>
      </c>
      <c r="P1316" t="s">
        <v>23</v>
      </c>
      <c r="Q1316" t="s">
        <v>909</v>
      </c>
    </row>
    <row r="1317" spans="1:17" ht="15" customHeight="1" x14ac:dyDescent="0.25">
      <c r="A1317" s="42" t="s">
        <v>1757</v>
      </c>
      <c r="B1317" s="3" t="s">
        <v>2913</v>
      </c>
      <c r="C1317" s="42" t="s">
        <v>1355</v>
      </c>
      <c r="D1317">
        <v>3</v>
      </c>
      <c r="E1317" t="s">
        <v>1179</v>
      </c>
      <c r="F1317" t="s">
        <v>1180</v>
      </c>
      <c r="G1317" t="s">
        <v>976</v>
      </c>
      <c r="H1317" s="1" t="s">
        <v>976</v>
      </c>
      <c r="I1317" s="1">
        <v>1055</v>
      </c>
      <c r="J1317" s="20">
        <v>0</v>
      </c>
      <c r="K1317" s="1">
        <v>189</v>
      </c>
      <c r="L1317" s="1">
        <v>0</v>
      </c>
      <c r="M1317" s="43" t="s">
        <v>2912</v>
      </c>
      <c r="O1317" s="2" t="s">
        <v>2482</v>
      </c>
      <c r="P1317" t="s">
        <v>23</v>
      </c>
      <c r="Q1317" t="s">
        <v>909</v>
      </c>
    </row>
    <row r="1318" spans="1:17" ht="15" customHeight="1" x14ac:dyDescent="0.25">
      <c r="A1318" s="3" t="s">
        <v>1758</v>
      </c>
      <c r="B1318" s="4" t="s">
        <v>2913</v>
      </c>
      <c r="C1318" t="s">
        <v>1355</v>
      </c>
      <c r="D1318">
        <v>1</v>
      </c>
      <c r="E1318" t="s">
        <v>974</v>
      </c>
      <c r="F1318" t="s">
        <v>975</v>
      </c>
      <c r="G1318" t="s">
        <v>976</v>
      </c>
      <c r="H1318" s="1" t="s">
        <v>976</v>
      </c>
      <c r="I1318" s="1">
        <v>1055</v>
      </c>
      <c r="J1318" s="20">
        <v>0</v>
      </c>
      <c r="K1318" s="1">
        <v>189.53</v>
      </c>
      <c r="L1318" s="1">
        <v>0</v>
      </c>
      <c r="M1318" s="43" t="s">
        <v>2912</v>
      </c>
      <c r="O1318" s="2" t="s">
        <v>2482</v>
      </c>
      <c r="P1318" t="s">
        <v>22</v>
      </c>
      <c r="Q1318" t="s">
        <v>909</v>
      </c>
    </row>
    <row r="1319" spans="1:17" ht="15" customHeight="1" x14ac:dyDescent="0.25">
      <c r="A1319" s="3" t="s">
        <v>1759</v>
      </c>
      <c r="B1319" s="4" t="s">
        <v>374</v>
      </c>
      <c r="C1319" t="s">
        <v>1148</v>
      </c>
      <c r="D1319">
        <v>1</v>
      </c>
      <c r="E1319" t="s">
        <v>974</v>
      </c>
      <c r="F1319" t="s">
        <v>975</v>
      </c>
      <c r="G1319" t="s">
        <v>180</v>
      </c>
      <c r="H1319" s="1" t="s">
        <v>976</v>
      </c>
      <c r="I1319" s="1">
        <v>185</v>
      </c>
      <c r="J1319" s="20">
        <v>1</v>
      </c>
      <c r="K1319" s="1">
        <v>159.99</v>
      </c>
      <c r="L1319" s="1">
        <v>159.99</v>
      </c>
      <c r="M1319" s="43" t="s">
        <v>2914</v>
      </c>
      <c r="Q1319" t="s">
        <v>374</v>
      </c>
    </row>
    <row r="1320" spans="1:17" ht="15" customHeight="1" x14ac:dyDescent="0.25">
      <c r="A1320" s="3" t="s">
        <v>1760</v>
      </c>
      <c r="B1320" s="4" t="s">
        <v>375</v>
      </c>
      <c r="C1320" t="s">
        <v>1219</v>
      </c>
      <c r="D1320">
        <v>1</v>
      </c>
      <c r="E1320" t="s">
        <v>974</v>
      </c>
      <c r="F1320" t="s">
        <v>975</v>
      </c>
      <c r="G1320" t="s">
        <v>976</v>
      </c>
      <c r="H1320" s="1" t="s">
        <v>976</v>
      </c>
      <c r="I1320" s="1">
        <v>498</v>
      </c>
      <c r="J1320" s="20">
        <v>6</v>
      </c>
      <c r="K1320" s="1">
        <v>92.32</v>
      </c>
      <c r="L1320" s="1">
        <v>553.91999999999996</v>
      </c>
      <c r="M1320" s="43" t="s">
        <v>2915</v>
      </c>
      <c r="P1320" t="s">
        <v>24</v>
      </c>
      <c r="Q1320" t="s">
        <v>375</v>
      </c>
    </row>
    <row r="1321" spans="1:17" ht="15" customHeight="1" x14ac:dyDescent="0.25">
      <c r="A1321" s="3" t="s">
        <v>1761</v>
      </c>
      <c r="B1321" s="4" t="s">
        <v>376</v>
      </c>
      <c r="C1321" t="s">
        <v>1219</v>
      </c>
      <c r="D1321">
        <v>1</v>
      </c>
      <c r="E1321" t="s">
        <v>974</v>
      </c>
      <c r="F1321" t="s">
        <v>975</v>
      </c>
      <c r="G1321" t="s">
        <v>976</v>
      </c>
      <c r="H1321" s="1" t="s">
        <v>976</v>
      </c>
      <c r="I1321" s="1">
        <v>498</v>
      </c>
      <c r="J1321" s="20">
        <v>8</v>
      </c>
      <c r="K1321" s="1">
        <v>92.32</v>
      </c>
      <c r="L1321" s="1">
        <v>738.56</v>
      </c>
      <c r="M1321" s="43" t="s">
        <v>2915</v>
      </c>
      <c r="P1321" t="s">
        <v>25</v>
      </c>
      <c r="Q1321" t="s">
        <v>376</v>
      </c>
    </row>
    <row r="1322" spans="1:17" ht="15" customHeight="1" x14ac:dyDescent="0.25">
      <c r="A1322" s="3" t="s">
        <v>1762</v>
      </c>
      <c r="B1322" s="4" t="s">
        <v>377</v>
      </c>
      <c r="C1322" t="s">
        <v>1219</v>
      </c>
      <c r="D1322">
        <v>1</v>
      </c>
      <c r="E1322" t="s">
        <v>974</v>
      </c>
      <c r="F1322" t="s">
        <v>975</v>
      </c>
      <c r="G1322" t="s">
        <v>976</v>
      </c>
      <c r="H1322" s="1" t="s">
        <v>976</v>
      </c>
      <c r="I1322" s="1">
        <v>498</v>
      </c>
      <c r="J1322" s="20">
        <v>8</v>
      </c>
      <c r="K1322" s="1">
        <v>92.32</v>
      </c>
      <c r="L1322" s="1">
        <v>738.56</v>
      </c>
      <c r="M1322" s="43" t="s">
        <v>2915</v>
      </c>
      <c r="P1322" t="s">
        <v>23</v>
      </c>
      <c r="Q1322" t="s">
        <v>377</v>
      </c>
    </row>
    <row r="1323" spans="1:17" ht="15" customHeight="1" x14ac:dyDescent="0.25">
      <c r="A1323" s="3" t="s">
        <v>1763</v>
      </c>
      <c r="B1323" s="4" t="s">
        <v>378</v>
      </c>
      <c r="C1323" t="s">
        <v>1219</v>
      </c>
      <c r="D1323">
        <v>1</v>
      </c>
      <c r="E1323" t="s">
        <v>974</v>
      </c>
      <c r="F1323" t="s">
        <v>975</v>
      </c>
      <c r="G1323" t="s">
        <v>976</v>
      </c>
      <c r="H1323" s="1" t="s">
        <v>976</v>
      </c>
      <c r="I1323" s="1">
        <v>498</v>
      </c>
      <c r="J1323" s="20">
        <v>8</v>
      </c>
      <c r="K1323" s="1">
        <v>92.32</v>
      </c>
      <c r="L1323" s="1">
        <v>738.56</v>
      </c>
      <c r="M1323" s="43" t="s">
        <v>2915</v>
      </c>
      <c r="P1323" t="s">
        <v>22</v>
      </c>
      <c r="Q1323" t="s">
        <v>378</v>
      </c>
    </row>
    <row r="1324" spans="1:17" ht="15" customHeight="1" x14ac:dyDescent="0.25">
      <c r="A1324" s="3" t="s">
        <v>1764</v>
      </c>
      <c r="B1324" s="4" t="s">
        <v>2917</v>
      </c>
      <c r="C1324" t="s">
        <v>1148</v>
      </c>
      <c r="D1324">
        <v>1</v>
      </c>
      <c r="E1324" t="s">
        <v>974</v>
      </c>
      <c r="F1324" t="s">
        <v>975</v>
      </c>
      <c r="G1324" t="s">
        <v>180</v>
      </c>
      <c r="H1324" s="1" t="s">
        <v>976</v>
      </c>
      <c r="I1324" s="1">
        <v>930</v>
      </c>
      <c r="J1324" s="20">
        <v>0</v>
      </c>
      <c r="K1324" s="1">
        <v>161.75</v>
      </c>
      <c r="L1324" s="1">
        <v>0</v>
      </c>
      <c r="M1324" s="43" t="s">
        <v>2916</v>
      </c>
      <c r="O1324" s="2" t="s">
        <v>2433</v>
      </c>
      <c r="Q1324" t="s">
        <v>910</v>
      </c>
    </row>
    <row r="1325" spans="1:17" ht="15" customHeight="1" x14ac:dyDescent="0.25">
      <c r="A1325" s="3" t="s">
        <v>1765</v>
      </c>
      <c r="B1325" s="4" t="s">
        <v>379</v>
      </c>
      <c r="C1325" t="s">
        <v>1148</v>
      </c>
      <c r="D1325">
        <v>1</v>
      </c>
      <c r="E1325" t="s">
        <v>974</v>
      </c>
      <c r="F1325" t="s">
        <v>975</v>
      </c>
      <c r="G1325" t="s">
        <v>180</v>
      </c>
      <c r="H1325" s="1" t="s">
        <v>976</v>
      </c>
      <c r="I1325" s="1">
        <v>50</v>
      </c>
      <c r="J1325" s="20">
        <v>39</v>
      </c>
      <c r="K1325" s="1">
        <v>10</v>
      </c>
      <c r="L1325" s="1">
        <v>390</v>
      </c>
      <c r="M1325" s="43" t="s">
        <v>2918</v>
      </c>
      <c r="Q1325" t="s">
        <v>379</v>
      </c>
    </row>
    <row r="1326" spans="1:17" ht="15" customHeight="1" x14ac:dyDescent="0.25">
      <c r="A1326" s="3" t="s">
        <v>1766</v>
      </c>
      <c r="B1326" s="4" t="s">
        <v>2919</v>
      </c>
      <c r="C1326" t="s">
        <v>1148</v>
      </c>
      <c r="D1326">
        <v>1</v>
      </c>
      <c r="E1326" t="s">
        <v>974</v>
      </c>
      <c r="F1326" t="s">
        <v>975</v>
      </c>
      <c r="G1326" t="s">
        <v>180</v>
      </c>
      <c r="H1326" s="1" t="s">
        <v>976</v>
      </c>
      <c r="I1326" s="1">
        <v>50</v>
      </c>
      <c r="J1326" s="20">
        <v>26</v>
      </c>
      <c r="K1326" s="1">
        <v>10</v>
      </c>
      <c r="L1326" s="1">
        <v>260</v>
      </c>
      <c r="M1326" s="43" t="s">
        <v>2918</v>
      </c>
      <c r="O1326" s="2" t="s">
        <v>2727</v>
      </c>
      <c r="Q1326" t="s">
        <v>911</v>
      </c>
    </row>
    <row r="1327" spans="1:17" ht="15" customHeight="1" x14ac:dyDescent="0.25">
      <c r="A1327" s="3" t="s">
        <v>1767</v>
      </c>
      <c r="B1327" s="4" t="s">
        <v>1254</v>
      </c>
      <c r="C1327" t="s">
        <v>1254</v>
      </c>
      <c r="D1327">
        <v>1</v>
      </c>
      <c r="E1327" t="s">
        <v>974</v>
      </c>
      <c r="F1327" t="s">
        <v>975</v>
      </c>
      <c r="G1327" t="s">
        <v>180</v>
      </c>
      <c r="H1327" s="1" t="s">
        <v>976</v>
      </c>
      <c r="I1327" s="1">
        <v>920</v>
      </c>
      <c r="J1327" s="20">
        <v>1</v>
      </c>
      <c r="K1327" s="1">
        <v>180</v>
      </c>
      <c r="L1327" s="1">
        <v>180</v>
      </c>
      <c r="M1327" s="43" t="s">
        <v>2920</v>
      </c>
      <c r="O1327" s="2" t="s">
        <v>2443</v>
      </c>
      <c r="P1327" t="s">
        <v>24</v>
      </c>
      <c r="Q1327" t="s">
        <v>912</v>
      </c>
    </row>
    <row r="1328" spans="1:17" ht="15" customHeight="1" x14ac:dyDescent="0.25">
      <c r="A1328" s="3" t="s">
        <v>1768</v>
      </c>
      <c r="B1328" s="4" t="s">
        <v>1254</v>
      </c>
      <c r="C1328" t="s">
        <v>1254</v>
      </c>
      <c r="D1328">
        <v>1</v>
      </c>
      <c r="E1328" t="s">
        <v>974</v>
      </c>
      <c r="F1328" t="s">
        <v>975</v>
      </c>
      <c r="G1328" t="s">
        <v>180</v>
      </c>
      <c r="H1328" s="1" t="s">
        <v>976</v>
      </c>
      <c r="I1328" s="1">
        <v>920</v>
      </c>
      <c r="J1328" s="20">
        <v>7</v>
      </c>
      <c r="K1328" s="1">
        <v>180</v>
      </c>
      <c r="L1328" s="1">
        <v>1260</v>
      </c>
      <c r="M1328" s="43" t="s">
        <v>2920</v>
      </c>
      <c r="O1328" s="2" t="s">
        <v>2443</v>
      </c>
      <c r="P1328" t="s">
        <v>23</v>
      </c>
      <c r="Q1328" t="s">
        <v>912</v>
      </c>
    </row>
    <row r="1329" spans="1:17" ht="15" customHeight="1" x14ac:dyDescent="0.25">
      <c r="A1329" s="3" t="s">
        <v>1769</v>
      </c>
      <c r="B1329" s="4" t="s">
        <v>1254</v>
      </c>
      <c r="C1329" t="s">
        <v>1254</v>
      </c>
      <c r="D1329">
        <v>1</v>
      </c>
      <c r="E1329" t="s">
        <v>974</v>
      </c>
      <c r="F1329" t="s">
        <v>975</v>
      </c>
      <c r="G1329" t="s">
        <v>180</v>
      </c>
      <c r="H1329" s="1" t="s">
        <v>976</v>
      </c>
      <c r="I1329" s="1">
        <v>920</v>
      </c>
      <c r="J1329" s="20">
        <v>3</v>
      </c>
      <c r="K1329" s="1">
        <v>180</v>
      </c>
      <c r="L1329" s="1">
        <v>540</v>
      </c>
      <c r="M1329" s="43" t="s">
        <v>2920</v>
      </c>
      <c r="O1329" s="2" t="s">
        <v>2443</v>
      </c>
      <c r="P1329" t="s">
        <v>22</v>
      </c>
      <c r="Q1329" t="s">
        <v>912</v>
      </c>
    </row>
    <row r="1330" spans="1:17" ht="15" customHeight="1" x14ac:dyDescent="0.25">
      <c r="A1330" s="3" t="s">
        <v>2423</v>
      </c>
      <c r="B1330" s="4" t="s">
        <v>596</v>
      </c>
      <c r="C1330" t="s">
        <v>1254</v>
      </c>
      <c r="D1330">
        <v>1</v>
      </c>
      <c r="E1330" t="s">
        <v>974</v>
      </c>
      <c r="F1330" t="s">
        <v>975</v>
      </c>
      <c r="G1330" t="s">
        <v>180</v>
      </c>
      <c r="H1330" s="1" t="s">
        <v>976</v>
      </c>
      <c r="I1330" s="1">
        <v>880</v>
      </c>
      <c r="J1330" s="20">
        <v>0</v>
      </c>
      <c r="K1330" s="1">
        <v>0</v>
      </c>
      <c r="L1330" s="1">
        <v>0</v>
      </c>
      <c r="M1330" s="43" t="s">
        <v>2920</v>
      </c>
      <c r="P1330" t="s">
        <v>24</v>
      </c>
      <c r="Q1330" t="s">
        <v>596</v>
      </c>
    </row>
    <row r="1331" spans="1:17" ht="15" customHeight="1" x14ac:dyDescent="0.25">
      <c r="A1331" s="3" t="s">
        <v>2424</v>
      </c>
      <c r="B1331" s="4" t="s">
        <v>597</v>
      </c>
      <c r="C1331" t="s">
        <v>1254</v>
      </c>
      <c r="D1331">
        <v>1</v>
      </c>
      <c r="E1331" t="s">
        <v>974</v>
      </c>
      <c r="F1331" t="s">
        <v>975</v>
      </c>
      <c r="G1331" t="s">
        <v>180</v>
      </c>
      <c r="H1331" s="1" t="s">
        <v>976</v>
      </c>
      <c r="I1331" s="1">
        <v>770</v>
      </c>
      <c r="J1331" s="20">
        <v>0</v>
      </c>
      <c r="K1331" s="1">
        <v>100</v>
      </c>
      <c r="L1331" s="1">
        <v>0</v>
      </c>
      <c r="M1331" s="43" t="s">
        <v>2920</v>
      </c>
      <c r="P1331" t="s">
        <v>23</v>
      </c>
      <c r="Q1331" t="s">
        <v>597</v>
      </c>
    </row>
    <row r="1332" spans="1:17" ht="15" customHeight="1" x14ac:dyDescent="0.25">
      <c r="A1332" s="42" t="s">
        <v>2424</v>
      </c>
      <c r="B1332" s="3" t="s">
        <v>597</v>
      </c>
      <c r="C1332" s="42" t="s">
        <v>1254</v>
      </c>
      <c r="D1332">
        <v>4</v>
      </c>
      <c r="E1332" t="s">
        <v>1018</v>
      </c>
      <c r="F1332" t="s">
        <v>975</v>
      </c>
      <c r="G1332" t="s">
        <v>180</v>
      </c>
      <c r="H1332" s="1" t="s">
        <v>976</v>
      </c>
      <c r="I1332" s="1">
        <v>770</v>
      </c>
      <c r="J1332" s="20">
        <v>0</v>
      </c>
      <c r="K1332" s="1">
        <v>0</v>
      </c>
      <c r="L1332" s="1">
        <v>0</v>
      </c>
      <c r="M1332" s="43" t="s">
        <v>2920</v>
      </c>
      <c r="P1332" t="s">
        <v>23</v>
      </c>
      <c r="Q1332" t="s">
        <v>597</v>
      </c>
    </row>
    <row r="1333" spans="1:17" ht="15" customHeight="1" x14ac:dyDescent="0.25">
      <c r="A1333" s="3" t="s">
        <v>2425</v>
      </c>
      <c r="B1333" s="4" t="s">
        <v>598</v>
      </c>
      <c r="C1333" t="s">
        <v>1254</v>
      </c>
      <c r="D1333">
        <v>1</v>
      </c>
      <c r="E1333" t="s">
        <v>974</v>
      </c>
      <c r="F1333" t="s">
        <v>975</v>
      </c>
      <c r="G1333" t="s">
        <v>180</v>
      </c>
      <c r="H1333" s="1" t="s">
        <v>976</v>
      </c>
      <c r="I1333" s="1">
        <v>770</v>
      </c>
      <c r="J1333" s="20">
        <v>0</v>
      </c>
      <c r="K1333" s="1">
        <v>0</v>
      </c>
      <c r="L1333" s="1">
        <v>0</v>
      </c>
      <c r="M1333" s="43" t="s">
        <v>2920</v>
      </c>
      <c r="P1333" t="s">
        <v>22</v>
      </c>
      <c r="Q1333" t="s">
        <v>598</v>
      </c>
    </row>
    <row r="1334" spans="1:17" ht="15" customHeight="1" x14ac:dyDescent="0.25">
      <c r="A1334" s="3" t="s">
        <v>1770</v>
      </c>
      <c r="B1334" s="4" t="s">
        <v>2921</v>
      </c>
      <c r="C1334" t="s">
        <v>1254</v>
      </c>
      <c r="D1334">
        <v>1</v>
      </c>
      <c r="E1334" t="s">
        <v>974</v>
      </c>
      <c r="F1334" t="s">
        <v>975</v>
      </c>
      <c r="G1334" t="s">
        <v>180</v>
      </c>
      <c r="H1334" s="1" t="s">
        <v>976</v>
      </c>
      <c r="I1334" s="1">
        <v>370</v>
      </c>
      <c r="J1334" s="20">
        <v>4</v>
      </c>
      <c r="K1334" s="1">
        <v>0</v>
      </c>
      <c r="L1334" s="1">
        <v>0</v>
      </c>
      <c r="M1334" s="43" t="s">
        <v>2920</v>
      </c>
      <c r="O1334" s="2" t="s">
        <v>2433</v>
      </c>
      <c r="P1334" t="s">
        <v>24</v>
      </c>
      <c r="Q1334" t="s">
        <v>913</v>
      </c>
    </row>
    <row r="1335" spans="1:17" ht="15" customHeight="1" x14ac:dyDescent="0.25">
      <c r="A1335" s="3" t="s">
        <v>1771</v>
      </c>
      <c r="B1335" s="4" t="s">
        <v>2921</v>
      </c>
      <c r="C1335" t="s">
        <v>1254</v>
      </c>
      <c r="D1335">
        <v>1</v>
      </c>
      <c r="E1335" t="s">
        <v>974</v>
      </c>
      <c r="F1335" t="s">
        <v>975</v>
      </c>
      <c r="G1335" t="s">
        <v>180</v>
      </c>
      <c r="H1335" s="1" t="s">
        <v>976</v>
      </c>
      <c r="I1335" s="1">
        <v>370</v>
      </c>
      <c r="J1335" s="20">
        <v>4</v>
      </c>
      <c r="K1335" s="1">
        <v>0</v>
      </c>
      <c r="L1335" s="1">
        <v>0</v>
      </c>
      <c r="M1335" s="43" t="s">
        <v>2920</v>
      </c>
      <c r="O1335" s="2" t="s">
        <v>2433</v>
      </c>
      <c r="P1335" t="s">
        <v>23</v>
      </c>
      <c r="Q1335" t="s">
        <v>913</v>
      </c>
    </row>
    <row r="1336" spans="1:17" ht="15" customHeight="1" x14ac:dyDescent="0.25">
      <c r="A1336" s="3" t="s">
        <v>1772</v>
      </c>
      <c r="B1336" s="4" t="s">
        <v>2921</v>
      </c>
      <c r="C1336" t="s">
        <v>1254</v>
      </c>
      <c r="D1336">
        <v>1</v>
      </c>
      <c r="E1336" t="s">
        <v>974</v>
      </c>
      <c r="F1336" t="s">
        <v>975</v>
      </c>
      <c r="G1336" t="s">
        <v>180</v>
      </c>
      <c r="H1336" s="1" t="s">
        <v>976</v>
      </c>
      <c r="I1336" s="1">
        <v>370</v>
      </c>
      <c r="J1336" s="20">
        <v>7</v>
      </c>
      <c r="K1336" s="1">
        <v>0</v>
      </c>
      <c r="L1336" s="1">
        <v>0</v>
      </c>
      <c r="M1336" s="43" t="s">
        <v>2920</v>
      </c>
      <c r="O1336" s="2" t="s">
        <v>2433</v>
      </c>
      <c r="P1336" t="s">
        <v>22</v>
      </c>
      <c r="Q1336" t="s">
        <v>913</v>
      </c>
    </row>
    <row r="1337" spans="1:17" ht="15" customHeight="1" x14ac:dyDescent="0.25">
      <c r="A1337" s="3" t="s">
        <v>1773</v>
      </c>
      <c r="B1337" s="4" t="s">
        <v>2922</v>
      </c>
      <c r="C1337" t="s">
        <v>1254</v>
      </c>
      <c r="D1337">
        <v>1</v>
      </c>
      <c r="E1337" t="s">
        <v>974</v>
      </c>
      <c r="F1337" t="s">
        <v>975</v>
      </c>
      <c r="G1337" t="s">
        <v>180</v>
      </c>
      <c r="H1337" s="1" t="s">
        <v>976</v>
      </c>
      <c r="I1337" s="1">
        <v>490</v>
      </c>
      <c r="J1337" s="20">
        <v>3</v>
      </c>
      <c r="K1337" s="1">
        <v>98</v>
      </c>
      <c r="L1337" s="1">
        <v>294</v>
      </c>
      <c r="M1337" s="43" t="s">
        <v>2920</v>
      </c>
      <c r="O1337" s="2" t="s">
        <v>2447</v>
      </c>
      <c r="P1337" t="s">
        <v>24</v>
      </c>
      <c r="Q1337" t="s">
        <v>914</v>
      </c>
    </row>
    <row r="1338" spans="1:17" ht="15" customHeight="1" x14ac:dyDescent="0.25">
      <c r="A1338" s="3" t="s">
        <v>1774</v>
      </c>
      <c r="B1338" s="4" t="s">
        <v>2922</v>
      </c>
      <c r="C1338" t="s">
        <v>1254</v>
      </c>
      <c r="D1338">
        <v>1</v>
      </c>
      <c r="E1338" t="s">
        <v>974</v>
      </c>
      <c r="F1338" t="s">
        <v>975</v>
      </c>
      <c r="G1338" t="s">
        <v>180</v>
      </c>
      <c r="H1338" s="1" t="s">
        <v>976</v>
      </c>
      <c r="I1338" s="1">
        <v>490</v>
      </c>
      <c r="J1338" s="20">
        <v>0</v>
      </c>
      <c r="K1338" s="1">
        <v>0</v>
      </c>
      <c r="L1338" s="1">
        <v>0</v>
      </c>
      <c r="M1338" s="43" t="s">
        <v>2920</v>
      </c>
      <c r="O1338" s="2" t="s">
        <v>2447</v>
      </c>
      <c r="P1338" t="s">
        <v>25</v>
      </c>
      <c r="Q1338" t="s">
        <v>914</v>
      </c>
    </row>
    <row r="1339" spans="1:17" ht="15" customHeight="1" x14ac:dyDescent="0.25">
      <c r="A1339" s="3" t="s">
        <v>1775</v>
      </c>
      <c r="B1339" s="4" t="s">
        <v>2922</v>
      </c>
      <c r="C1339" t="s">
        <v>1254</v>
      </c>
      <c r="D1339">
        <v>1</v>
      </c>
      <c r="E1339" t="s">
        <v>974</v>
      </c>
      <c r="F1339" t="s">
        <v>975</v>
      </c>
      <c r="G1339" t="s">
        <v>180</v>
      </c>
      <c r="H1339" s="1" t="s">
        <v>976</v>
      </c>
      <c r="I1339" s="1">
        <v>490</v>
      </c>
      <c r="J1339" s="20">
        <v>4</v>
      </c>
      <c r="K1339" s="1">
        <v>98</v>
      </c>
      <c r="L1339" s="1">
        <v>392</v>
      </c>
      <c r="M1339" s="43" t="s">
        <v>2920</v>
      </c>
      <c r="O1339" s="2" t="s">
        <v>2447</v>
      </c>
      <c r="P1339" t="s">
        <v>23</v>
      </c>
      <c r="Q1339" t="s">
        <v>914</v>
      </c>
    </row>
    <row r="1340" spans="1:17" ht="15" customHeight="1" x14ac:dyDescent="0.25">
      <c r="A1340" s="3" t="s">
        <v>1776</v>
      </c>
      <c r="B1340" s="4" t="s">
        <v>2922</v>
      </c>
      <c r="C1340" t="s">
        <v>1254</v>
      </c>
      <c r="D1340">
        <v>1</v>
      </c>
      <c r="E1340" t="s">
        <v>974</v>
      </c>
      <c r="F1340" t="s">
        <v>975</v>
      </c>
      <c r="G1340" t="s">
        <v>180</v>
      </c>
      <c r="H1340" s="1" t="s">
        <v>976</v>
      </c>
      <c r="I1340" s="1">
        <v>490</v>
      </c>
      <c r="J1340" s="20">
        <v>0</v>
      </c>
      <c r="K1340" s="1">
        <v>98</v>
      </c>
      <c r="L1340" s="1">
        <v>0</v>
      </c>
      <c r="M1340" s="43" t="s">
        <v>2920</v>
      </c>
      <c r="O1340" s="2" t="s">
        <v>2447</v>
      </c>
      <c r="P1340" t="s">
        <v>22</v>
      </c>
      <c r="Q1340" t="s">
        <v>914</v>
      </c>
    </row>
    <row r="1341" spans="1:17" ht="15" customHeight="1" x14ac:dyDescent="0.25">
      <c r="A1341" s="3" t="s">
        <v>1777</v>
      </c>
      <c r="B1341" s="4" t="s">
        <v>2922</v>
      </c>
      <c r="C1341" t="s">
        <v>1254</v>
      </c>
      <c r="D1341">
        <v>1</v>
      </c>
      <c r="E1341" t="s">
        <v>974</v>
      </c>
      <c r="F1341" t="s">
        <v>975</v>
      </c>
      <c r="G1341" t="s">
        <v>180</v>
      </c>
      <c r="H1341" s="1" t="s">
        <v>976</v>
      </c>
      <c r="I1341" s="1">
        <v>490</v>
      </c>
      <c r="J1341" s="20">
        <v>1</v>
      </c>
      <c r="K1341" s="1">
        <v>86</v>
      </c>
      <c r="L1341" s="1">
        <v>86</v>
      </c>
      <c r="M1341" s="43" t="s">
        <v>2920</v>
      </c>
      <c r="O1341" s="2" t="s">
        <v>2447</v>
      </c>
      <c r="P1341" t="s">
        <v>21</v>
      </c>
      <c r="Q1341" t="s">
        <v>914</v>
      </c>
    </row>
    <row r="1342" spans="1:17" ht="15" customHeight="1" x14ac:dyDescent="0.25">
      <c r="A1342" s="3" t="s">
        <v>1778</v>
      </c>
      <c r="B1342" s="4" t="s">
        <v>2922</v>
      </c>
      <c r="C1342" t="s">
        <v>1254</v>
      </c>
      <c r="D1342">
        <v>1</v>
      </c>
      <c r="E1342" t="s">
        <v>974</v>
      </c>
      <c r="F1342" t="s">
        <v>975</v>
      </c>
      <c r="G1342" t="s">
        <v>180</v>
      </c>
      <c r="H1342" s="1" t="s">
        <v>976</v>
      </c>
      <c r="I1342" s="1">
        <v>490</v>
      </c>
      <c r="J1342" s="20">
        <v>1</v>
      </c>
      <c r="K1342" s="1">
        <v>98</v>
      </c>
      <c r="L1342" s="1">
        <v>98</v>
      </c>
      <c r="M1342" s="43" t="s">
        <v>2920</v>
      </c>
      <c r="O1342" s="2" t="s">
        <v>2443</v>
      </c>
      <c r="P1342" t="s">
        <v>24</v>
      </c>
      <c r="Q1342" t="s">
        <v>915</v>
      </c>
    </row>
    <row r="1343" spans="1:17" ht="15" customHeight="1" x14ac:dyDescent="0.25">
      <c r="A1343" s="3" t="s">
        <v>1779</v>
      </c>
      <c r="B1343" s="4" t="s">
        <v>2922</v>
      </c>
      <c r="C1343" t="s">
        <v>1254</v>
      </c>
      <c r="D1343">
        <v>1</v>
      </c>
      <c r="E1343" t="s">
        <v>974</v>
      </c>
      <c r="F1343" t="s">
        <v>975</v>
      </c>
      <c r="G1343" t="s">
        <v>180</v>
      </c>
      <c r="H1343" s="1" t="s">
        <v>976</v>
      </c>
      <c r="I1343" s="1">
        <v>490</v>
      </c>
      <c r="J1343" s="20">
        <v>1</v>
      </c>
      <c r="K1343" s="1">
        <v>98</v>
      </c>
      <c r="L1343" s="1">
        <v>98</v>
      </c>
      <c r="M1343" s="43" t="s">
        <v>2920</v>
      </c>
      <c r="O1343" s="2" t="s">
        <v>2443</v>
      </c>
      <c r="P1343" t="s">
        <v>25</v>
      </c>
      <c r="Q1343" t="s">
        <v>915</v>
      </c>
    </row>
    <row r="1344" spans="1:17" ht="15" customHeight="1" x14ac:dyDescent="0.25">
      <c r="A1344" s="3" t="s">
        <v>1780</v>
      </c>
      <c r="B1344" s="4" t="s">
        <v>2922</v>
      </c>
      <c r="C1344" t="s">
        <v>1254</v>
      </c>
      <c r="D1344">
        <v>1</v>
      </c>
      <c r="E1344" t="s">
        <v>974</v>
      </c>
      <c r="F1344" t="s">
        <v>975</v>
      </c>
      <c r="G1344" t="s">
        <v>180</v>
      </c>
      <c r="H1344" s="1" t="s">
        <v>976</v>
      </c>
      <c r="I1344" s="1">
        <v>490</v>
      </c>
      <c r="J1344" s="20">
        <v>1</v>
      </c>
      <c r="K1344" s="1">
        <v>98</v>
      </c>
      <c r="L1344" s="1">
        <v>98</v>
      </c>
      <c r="M1344" s="43" t="s">
        <v>2920</v>
      </c>
      <c r="O1344" s="2" t="s">
        <v>2443</v>
      </c>
      <c r="P1344" t="s">
        <v>23</v>
      </c>
      <c r="Q1344" t="s">
        <v>915</v>
      </c>
    </row>
    <row r="1345" spans="1:17" ht="15" customHeight="1" x14ac:dyDescent="0.25">
      <c r="A1345" s="3" t="s">
        <v>1781</v>
      </c>
      <c r="B1345" s="4" t="s">
        <v>2922</v>
      </c>
      <c r="C1345" t="s">
        <v>1254</v>
      </c>
      <c r="D1345">
        <v>1</v>
      </c>
      <c r="E1345" t="s">
        <v>974</v>
      </c>
      <c r="F1345" t="s">
        <v>975</v>
      </c>
      <c r="G1345" t="s">
        <v>180</v>
      </c>
      <c r="H1345" s="1" t="s">
        <v>976</v>
      </c>
      <c r="I1345" s="1">
        <v>490</v>
      </c>
      <c r="J1345" s="20">
        <v>1</v>
      </c>
      <c r="K1345" s="1">
        <v>98</v>
      </c>
      <c r="L1345" s="1">
        <v>98</v>
      </c>
      <c r="M1345" s="43" t="s">
        <v>2920</v>
      </c>
      <c r="O1345" s="2" t="s">
        <v>2443</v>
      </c>
      <c r="P1345" t="s">
        <v>22</v>
      </c>
      <c r="Q1345" t="s">
        <v>915</v>
      </c>
    </row>
    <row r="1346" spans="1:17" ht="15" customHeight="1" x14ac:dyDescent="0.25">
      <c r="A1346" s="3" t="s">
        <v>1782</v>
      </c>
      <c r="B1346" s="4" t="s">
        <v>2922</v>
      </c>
      <c r="C1346" t="s">
        <v>1254</v>
      </c>
      <c r="D1346">
        <v>1</v>
      </c>
      <c r="E1346" t="s">
        <v>974</v>
      </c>
      <c r="F1346" t="s">
        <v>975</v>
      </c>
      <c r="G1346" t="s">
        <v>180</v>
      </c>
      <c r="H1346" s="1" t="s">
        <v>976</v>
      </c>
      <c r="I1346" s="1">
        <v>490</v>
      </c>
      <c r="J1346" s="20">
        <v>1</v>
      </c>
      <c r="K1346" s="1">
        <v>98</v>
      </c>
      <c r="L1346" s="1">
        <v>98</v>
      </c>
      <c r="M1346" s="43" t="s">
        <v>2920</v>
      </c>
      <c r="O1346" s="2" t="s">
        <v>2443</v>
      </c>
      <c r="P1346" t="s">
        <v>21</v>
      </c>
      <c r="Q1346" t="s">
        <v>915</v>
      </c>
    </row>
    <row r="1347" spans="1:17" ht="15" customHeight="1" x14ac:dyDescent="0.25">
      <c r="A1347" s="3" t="s">
        <v>1783</v>
      </c>
      <c r="B1347" s="4" t="s">
        <v>2922</v>
      </c>
      <c r="C1347" t="s">
        <v>1254</v>
      </c>
      <c r="D1347">
        <v>1</v>
      </c>
      <c r="E1347" t="s">
        <v>974</v>
      </c>
      <c r="F1347" t="s">
        <v>975</v>
      </c>
      <c r="G1347" t="s">
        <v>180</v>
      </c>
      <c r="H1347" s="1" t="s">
        <v>976</v>
      </c>
      <c r="I1347" s="1">
        <v>490</v>
      </c>
      <c r="J1347" s="20">
        <v>0</v>
      </c>
      <c r="K1347" s="1">
        <v>86</v>
      </c>
      <c r="L1347" s="1">
        <v>0</v>
      </c>
      <c r="M1347" s="43" t="s">
        <v>2920</v>
      </c>
      <c r="O1347" s="2" t="s">
        <v>2482</v>
      </c>
      <c r="P1347" t="s">
        <v>24</v>
      </c>
      <c r="Q1347" t="s">
        <v>916</v>
      </c>
    </row>
    <row r="1348" spans="1:17" ht="15" customHeight="1" x14ac:dyDescent="0.25">
      <c r="A1348" s="3" t="s">
        <v>1784</v>
      </c>
      <c r="B1348" s="4" t="s">
        <v>2922</v>
      </c>
      <c r="C1348" t="s">
        <v>1254</v>
      </c>
      <c r="D1348">
        <v>1</v>
      </c>
      <c r="E1348" t="s">
        <v>974</v>
      </c>
      <c r="F1348" t="s">
        <v>975</v>
      </c>
      <c r="G1348" t="s">
        <v>180</v>
      </c>
      <c r="H1348" s="1" t="s">
        <v>976</v>
      </c>
      <c r="I1348" s="1">
        <v>490</v>
      </c>
      <c r="J1348" s="20">
        <v>2</v>
      </c>
      <c r="K1348" s="1">
        <v>86</v>
      </c>
      <c r="L1348" s="1">
        <v>172</v>
      </c>
      <c r="M1348" s="43" t="s">
        <v>2920</v>
      </c>
      <c r="O1348" s="2" t="s">
        <v>2482</v>
      </c>
      <c r="P1348" t="s">
        <v>25</v>
      </c>
      <c r="Q1348" t="s">
        <v>916</v>
      </c>
    </row>
    <row r="1349" spans="1:17" ht="15" customHeight="1" x14ac:dyDescent="0.25">
      <c r="A1349" s="3" t="s">
        <v>1785</v>
      </c>
      <c r="B1349" s="4" t="s">
        <v>2922</v>
      </c>
      <c r="C1349" t="s">
        <v>1254</v>
      </c>
      <c r="D1349">
        <v>1</v>
      </c>
      <c r="E1349" t="s">
        <v>974</v>
      </c>
      <c r="F1349" t="s">
        <v>975</v>
      </c>
      <c r="G1349" t="s">
        <v>180</v>
      </c>
      <c r="H1349" s="1" t="s">
        <v>976</v>
      </c>
      <c r="I1349" s="1">
        <v>490</v>
      </c>
      <c r="J1349" s="20">
        <v>1</v>
      </c>
      <c r="K1349" s="1">
        <v>98</v>
      </c>
      <c r="L1349" s="1">
        <v>98</v>
      </c>
      <c r="M1349" s="43" t="s">
        <v>2920</v>
      </c>
      <c r="O1349" s="2" t="s">
        <v>2482</v>
      </c>
      <c r="P1349" t="s">
        <v>23</v>
      </c>
      <c r="Q1349" t="s">
        <v>916</v>
      </c>
    </row>
    <row r="1350" spans="1:17" ht="15" customHeight="1" x14ac:dyDescent="0.25">
      <c r="A1350" s="3" t="s">
        <v>1786</v>
      </c>
      <c r="B1350" s="4" t="s">
        <v>2922</v>
      </c>
      <c r="C1350" t="s">
        <v>1254</v>
      </c>
      <c r="D1350">
        <v>1</v>
      </c>
      <c r="E1350" t="s">
        <v>974</v>
      </c>
      <c r="F1350" t="s">
        <v>975</v>
      </c>
      <c r="G1350" t="s">
        <v>180</v>
      </c>
      <c r="H1350" s="1" t="s">
        <v>976</v>
      </c>
      <c r="I1350" s="1">
        <v>490</v>
      </c>
      <c r="J1350" s="20">
        <v>1</v>
      </c>
      <c r="K1350" s="1">
        <v>98</v>
      </c>
      <c r="L1350" s="1">
        <v>98</v>
      </c>
      <c r="M1350" s="43" t="s">
        <v>2920</v>
      </c>
      <c r="O1350" s="2" t="s">
        <v>2482</v>
      </c>
      <c r="P1350" t="s">
        <v>22</v>
      </c>
      <c r="Q1350" t="s">
        <v>916</v>
      </c>
    </row>
    <row r="1351" spans="1:17" ht="15" customHeight="1" x14ac:dyDescent="0.25">
      <c r="A1351" s="3" t="s">
        <v>1787</v>
      </c>
      <c r="B1351" s="4" t="s">
        <v>2922</v>
      </c>
      <c r="C1351" t="s">
        <v>1254</v>
      </c>
      <c r="D1351">
        <v>1</v>
      </c>
      <c r="E1351" t="s">
        <v>974</v>
      </c>
      <c r="F1351" t="s">
        <v>975</v>
      </c>
      <c r="G1351" t="s">
        <v>180</v>
      </c>
      <c r="H1351" s="1" t="s">
        <v>976</v>
      </c>
      <c r="I1351" s="1">
        <v>490</v>
      </c>
      <c r="J1351" s="20">
        <v>3</v>
      </c>
      <c r="K1351" s="1">
        <v>89</v>
      </c>
      <c r="L1351" s="1">
        <v>267</v>
      </c>
      <c r="M1351" s="43" t="s">
        <v>2920</v>
      </c>
      <c r="O1351" s="2" t="s">
        <v>2482</v>
      </c>
      <c r="P1351" t="s">
        <v>21</v>
      </c>
      <c r="Q1351" t="s">
        <v>916</v>
      </c>
    </row>
    <row r="1352" spans="1:17" ht="15" customHeight="1" x14ac:dyDescent="0.25">
      <c r="A1352" s="3" t="s">
        <v>2242</v>
      </c>
      <c r="B1352" s="4" t="s">
        <v>2840</v>
      </c>
      <c r="C1352" t="s">
        <v>1383</v>
      </c>
      <c r="D1352">
        <v>1</v>
      </c>
      <c r="E1352" t="s">
        <v>974</v>
      </c>
      <c r="F1352" t="s">
        <v>975</v>
      </c>
      <c r="G1352" t="s">
        <v>180</v>
      </c>
      <c r="H1352" s="1" t="s">
        <v>976</v>
      </c>
      <c r="I1352" s="1">
        <v>89</v>
      </c>
      <c r="J1352" s="20">
        <v>6</v>
      </c>
      <c r="K1352" s="1">
        <v>24</v>
      </c>
      <c r="L1352" s="1">
        <v>144</v>
      </c>
      <c r="M1352" s="43" t="s">
        <v>2923</v>
      </c>
      <c r="O1352" s="2" t="s">
        <v>2472</v>
      </c>
      <c r="Q1352" t="s">
        <v>825</v>
      </c>
    </row>
    <row r="1353" spans="1:17" ht="15" customHeight="1" x14ac:dyDescent="0.25">
      <c r="A1353" s="3" t="s">
        <v>1788</v>
      </c>
      <c r="B1353" s="4" t="s">
        <v>2925</v>
      </c>
      <c r="C1353" t="s">
        <v>1148</v>
      </c>
      <c r="D1353">
        <v>1</v>
      </c>
      <c r="E1353" t="s">
        <v>974</v>
      </c>
      <c r="F1353" t="s">
        <v>975</v>
      </c>
      <c r="G1353" t="s">
        <v>976</v>
      </c>
      <c r="H1353" s="1" t="s">
        <v>976</v>
      </c>
      <c r="I1353" s="1">
        <v>1020</v>
      </c>
      <c r="J1353" s="20">
        <v>5</v>
      </c>
      <c r="K1353" s="1">
        <v>187.44618</v>
      </c>
      <c r="L1353" s="1">
        <v>937.23</v>
      </c>
      <c r="M1353" s="43" t="s">
        <v>2924</v>
      </c>
      <c r="O1353" s="2" t="s">
        <v>2433</v>
      </c>
      <c r="Q1353" t="s">
        <v>917</v>
      </c>
    </row>
    <row r="1354" spans="1:17" ht="15" customHeight="1" x14ac:dyDescent="0.25">
      <c r="A1354" s="3" t="s">
        <v>1789</v>
      </c>
      <c r="B1354" s="4" t="s">
        <v>380</v>
      </c>
      <c r="C1354" t="s">
        <v>1148</v>
      </c>
      <c r="D1354">
        <v>1</v>
      </c>
      <c r="E1354" t="s">
        <v>974</v>
      </c>
      <c r="F1354" t="s">
        <v>975</v>
      </c>
      <c r="G1354" t="s">
        <v>976</v>
      </c>
      <c r="H1354" s="1" t="s">
        <v>976</v>
      </c>
      <c r="I1354" s="1">
        <v>1020</v>
      </c>
      <c r="J1354" s="20">
        <v>8</v>
      </c>
      <c r="K1354" s="1">
        <v>176.826922</v>
      </c>
      <c r="L1354" s="1">
        <v>1414.62</v>
      </c>
      <c r="M1354" s="43" t="s">
        <v>2924</v>
      </c>
      <c r="Q1354" t="s">
        <v>380</v>
      </c>
    </row>
    <row r="1355" spans="1:17" ht="15" customHeight="1" x14ac:dyDescent="0.25">
      <c r="A1355" s="3" t="s">
        <v>1790</v>
      </c>
      <c r="B1355" s="4" t="s">
        <v>2926</v>
      </c>
      <c r="C1355" t="s">
        <v>1148</v>
      </c>
      <c r="D1355">
        <v>1</v>
      </c>
      <c r="E1355" t="s">
        <v>974</v>
      </c>
      <c r="F1355" t="s">
        <v>975</v>
      </c>
      <c r="G1355" t="s">
        <v>976</v>
      </c>
      <c r="H1355" s="1" t="s">
        <v>976</v>
      </c>
      <c r="I1355" s="1">
        <v>1020</v>
      </c>
      <c r="J1355" s="20">
        <v>14</v>
      </c>
      <c r="K1355" s="1">
        <v>176.83928499999999</v>
      </c>
      <c r="L1355" s="1">
        <v>2475.75</v>
      </c>
      <c r="M1355" s="43" t="s">
        <v>2924</v>
      </c>
      <c r="O1355" s="2" t="s">
        <v>2472</v>
      </c>
      <c r="Q1355" t="s">
        <v>918</v>
      </c>
    </row>
    <row r="1356" spans="1:17" ht="15" customHeight="1" x14ac:dyDescent="0.25">
      <c r="A1356" s="42" t="s">
        <v>1790</v>
      </c>
      <c r="B1356" s="3" t="s">
        <v>2926</v>
      </c>
      <c r="C1356" s="42" t="s">
        <v>1148</v>
      </c>
      <c r="D1356">
        <v>3</v>
      </c>
      <c r="E1356" t="s">
        <v>1179</v>
      </c>
      <c r="F1356" t="s">
        <v>1180</v>
      </c>
      <c r="G1356" t="s">
        <v>976</v>
      </c>
      <c r="H1356" s="1" t="s">
        <v>976</v>
      </c>
      <c r="I1356" s="1">
        <v>1020</v>
      </c>
      <c r="J1356" s="20">
        <v>2</v>
      </c>
      <c r="K1356" s="1">
        <v>890</v>
      </c>
      <c r="L1356" s="1">
        <v>1780</v>
      </c>
      <c r="M1356" s="43" t="s">
        <v>2924</v>
      </c>
      <c r="O1356" s="2" t="s">
        <v>2472</v>
      </c>
      <c r="Q1356" t="s">
        <v>918</v>
      </c>
    </row>
    <row r="1357" spans="1:17" ht="15" customHeight="1" x14ac:dyDescent="0.25">
      <c r="A1357" s="3" t="s">
        <v>1791</v>
      </c>
      <c r="B1357" s="4" t="s">
        <v>381</v>
      </c>
      <c r="C1357" t="s">
        <v>1219</v>
      </c>
      <c r="D1357">
        <v>1</v>
      </c>
      <c r="E1357" t="s">
        <v>974</v>
      </c>
      <c r="F1357" t="s">
        <v>975</v>
      </c>
      <c r="G1357" t="s">
        <v>976</v>
      </c>
      <c r="H1357" s="1" t="s">
        <v>976</v>
      </c>
      <c r="I1357" s="1">
        <v>328</v>
      </c>
      <c r="J1357" s="20">
        <v>11</v>
      </c>
      <c r="K1357" s="1">
        <v>58.15</v>
      </c>
      <c r="L1357" s="1">
        <v>639.65</v>
      </c>
      <c r="M1357" s="43" t="s">
        <v>2927</v>
      </c>
      <c r="Q1357" t="s">
        <v>381</v>
      </c>
    </row>
    <row r="1358" spans="1:17" ht="15" customHeight="1" x14ac:dyDescent="0.25">
      <c r="A1358" s="3" t="s">
        <v>1792</v>
      </c>
      <c r="B1358" s="4" t="s">
        <v>382</v>
      </c>
      <c r="C1358" t="s">
        <v>1152</v>
      </c>
      <c r="D1358">
        <v>1</v>
      </c>
      <c r="E1358" t="s">
        <v>974</v>
      </c>
      <c r="F1358" t="s">
        <v>975</v>
      </c>
      <c r="G1358" t="s">
        <v>180</v>
      </c>
      <c r="H1358" s="1" t="s">
        <v>976</v>
      </c>
      <c r="I1358" s="1">
        <v>165</v>
      </c>
      <c r="J1358" s="20">
        <v>70</v>
      </c>
      <c r="K1358" s="1">
        <v>45</v>
      </c>
      <c r="L1358" s="1">
        <v>3150</v>
      </c>
      <c r="M1358" s="43" t="s">
        <v>2928</v>
      </c>
      <c r="Q1358" t="s">
        <v>382</v>
      </c>
    </row>
    <row r="1359" spans="1:17" ht="15" customHeight="1" x14ac:dyDescent="0.25">
      <c r="A1359" s="3" t="s">
        <v>1793</v>
      </c>
      <c r="B1359" s="4" t="s">
        <v>383</v>
      </c>
      <c r="C1359" t="s">
        <v>1266</v>
      </c>
      <c r="D1359">
        <v>1</v>
      </c>
      <c r="E1359" t="s">
        <v>974</v>
      </c>
      <c r="F1359" t="s">
        <v>975</v>
      </c>
      <c r="G1359" t="s">
        <v>180</v>
      </c>
      <c r="H1359" s="1" t="s">
        <v>976</v>
      </c>
      <c r="I1359" s="1">
        <v>575</v>
      </c>
      <c r="J1359" s="20">
        <v>-3</v>
      </c>
      <c r="K1359" s="1">
        <v>0</v>
      </c>
      <c r="L1359" s="1">
        <v>0</v>
      </c>
      <c r="M1359" s="43" t="s">
        <v>2929</v>
      </c>
      <c r="P1359" t="s">
        <v>23</v>
      </c>
      <c r="Q1359" t="s">
        <v>383</v>
      </c>
    </row>
    <row r="1360" spans="1:17" ht="15" customHeight="1" x14ac:dyDescent="0.25">
      <c r="A1360" s="3" t="s">
        <v>1794</v>
      </c>
      <c r="B1360" s="4" t="s">
        <v>2930</v>
      </c>
      <c r="C1360" t="s">
        <v>1795</v>
      </c>
      <c r="D1360">
        <v>1</v>
      </c>
      <c r="E1360" t="s">
        <v>974</v>
      </c>
      <c r="F1360" t="s">
        <v>975</v>
      </c>
      <c r="G1360" t="s">
        <v>180</v>
      </c>
      <c r="H1360" s="1" t="s">
        <v>976</v>
      </c>
      <c r="I1360" s="1">
        <v>650</v>
      </c>
      <c r="J1360" s="20">
        <v>2</v>
      </c>
      <c r="K1360" s="1">
        <v>119.503333</v>
      </c>
      <c r="L1360" s="1">
        <v>239.01</v>
      </c>
      <c r="M1360" s="43" t="s">
        <v>2929</v>
      </c>
      <c r="O1360" s="2" t="s">
        <v>2447</v>
      </c>
      <c r="P1360" t="s">
        <v>24</v>
      </c>
      <c r="Q1360" t="s">
        <v>919</v>
      </c>
    </row>
    <row r="1361" spans="1:17" ht="15" customHeight="1" x14ac:dyDescent="0.25">
      <c r="A1361" s="3" t="s">
        <v>1796</v>
      </c>
      <c r="B1361" s="4" t="s">
        <v>2930</v>
      </c>
      <c r="C1361" t="s">
        <v>1795</v>
      </c>
      <c r="D1361">
        <v>1</v>
      </c>
      <c r="E1361" t="s">
        <v>974</v>
      </c>
      <c r="F1361" t="s">
        <v>975</v>
      </c>
      <c r="G1361" t="s">
        <v>180</v>
      </c>
      <c r="H1361" s="1" t="s">
        <v>976</v>
      </c>
      <c r="I1361" s="1">
        <v>650</v>
      </c>
      <c r="J1361" s="20">
        <v>2</v>
      </c>
      <c r="K1361" s="1">
        <v>118.75</v>
      </c>
      <c r="L1361" s="1">
        <v>237.5</v>
      </c>
      <c r="M1361" s="43" t="s">
        <v>2929</v>
      </c>
      <c r="O1361" s="2" t="s">
        <v>2447</v>
      </c>
      <c r="P1361" t="s">
        <v>25</v>
      </c>
      <c r="Q1361" t="s">
        <v>919</v>
      </c>
    </row>
    <row r="1362" spans="1:17" ht="15" customHeight="1" x14ac:dyDescent="0.25">
      <c r="A1362" s="3" t="s">
        <v>1797</v>
      </c>
      <c r="B1362" s="4" t="s">
        <v>2930</v>
      </c>
      <c r="C1362" t="s">
        <v>1795</v>
      </c>
      <c r="D1362">
        <v>1</v>
      </c>
      <c r="E1362" t="s">
        <v>974</v>
      </c>
      <c r="F1362" t="s">
        <v>975</v>
      </c>
      <c r="G1362" t="s">
        <v>180</v>
      </c>
      <c r="H1362" s="1" t="s">
        <v>976</v>
      </c>
      <c r="I1362" s="1">
        <v>650</v>
      </c>
      <c r="J1362" s="20">
        <v>6</v>
      </c>
      <c r="K1362" s="1">
        <v>118.434285</v>
      </c>
      <c r="L1362" s="1">
        <v>710.61</v>
      </c>
      <c r="M1362" s="43" t="s">
        <v>2929</v>
      </c>
      <c r="O1362" s="2" t="s">
        <v>2447</v>
      </c>
      <c r="P1362" t="s">
        <v>23</v>
      </c>
      <c r="Q1362" t="s">
        <v>919</v>
      </c>
    </row>
    <row r="1363" spans="1:17" ht="15" customHeight="1" x14ac:dyDescent="0.25">
      <c r="A1363" s="3" t="s">
        <v>1798</v>
      </c>
      <c r="B1363" s="4" t="s">
        <v>2930</v>
      </c>
      <c r="C1363" t="s">
        <v>1795</v>
      </c>
      <c r="D1363">
        <v>1</v>
      </c>
      <c r="E1363" t="s">
        <v>974</v>
      </c>
      <c r="F1363" t="s">
        <v>975</v>
      </c>
      <c r="G1363" t="s">
        <v>180</v>
      </c>
      <c r="H1363" s="1" t="s">
        <v>976</v>
      </c>
      <c r="I1363" s="1">
        <v>650</v>
      </c>
      <c r="J1363" s="20">
        <v>6</v>
      </c>
      <c r="K1363" s="1">
        <v>119.717142</v>
      </c>
      <c r="L1363" s="1">
        <v>718.3</v>
      </c>
      <c r="M1363" s="43" t="s">
        <v>2929</v>
      </c>
      <c r="O1363" s="2" t="s">
        <v>2447</v>
      </c>
      <c r="P1363" t="s">
        <v>22</v>
      </c>
      <c r="Q1363" t="s">
        <v>919</v>
      </c>
    </row>
    <row r="1364" spans="1:17" ht="15" customHeight="1" x14ac:dyDescent="0.25">
      <c r="A1364" s="3" t="s">
        <v>1799</v>
      </c>
      <c r="B1364" s="4" t="s">
        <v>384</v>
      </c>
      <c r="C1364" t="s">
        <v>1795</v>
      </c>
      <c r="D1364">
        <v>1</v>
      </c>
      <c r="E1364" t="s">
        <v>974</v>
      </c>
      <c r="F1364" t="s">
        <v>975</v>
      </c>
      <c r="G1364" t="s">
        <v>976</v>
      </c>
      <c r="H1364" s="1" t="s">
        <v>976</v>
      </c>
      <c r="I1364" s="1">
        <v>650</v>
      </c>
      <c r="J1364" s="20">
        <v>3</v>
      </c>
      <c r="K1364" s="1">
        <v>118.71</v>
      </c>
      <c r="L1364" s="1">
        <v>356.13</v>
      </c>
      <c r="M1364" s="43" t="s">
        <v>2929</v>
      </c>
      <c r="P1364" t="s">
        <v>24</v>
      </c>
      <c r="Q1364" t="s">
        <v>384</v>
      </c>
    </row>
    <row r="1365" spans="1:17" ht="15" customHeight="1" x14ac:dyDescent="0.25">
      <c r="A1365" s="3" t="s">
        <v>1800</v>
      </c>
      <c r="B1365" s="4" t="s">
        <v>385</v>
      </c>
      <c r="C1365" t="s">
        <v>1795</v>
      </c>
      <c r="D1365">
        <v>1</v>
      </c>
      <c r="E1365" t="s">
        <v>974</v>
      </c>
      <c r="F1365" t="s">
        <v>975</v>
      </c>
      <c r="G1365" t="s">
        <v>976</v>
      </c>
      <c r="H1365" s="1" t="s">
        <v>976</v>
      </c>
      <c r="I1365" s="1">
        <v>650</v>
      </c>
      <c r="J1365" s="20">
        <v>2</v>
      </c>
      <c r="K1365" s="1">
        <v>121</v>
      </c>
      <c r="L1365" s="1">
        <v>242</v>
      </c>
      <c r="M1365" s="43" t="s">
        <v>2929</v>
      </c>
      <c r="P1365" t="s">
        <v>25</v>
      </c>
      <c r="Q1365" t="s">
        <v>385</v>
      </c>
    </row>
    <row r="1366" spans="1:17" ht="15" customHeight="1" x14ac:dyDescent="0.25">
      <c r="A1366" s="3" t="s">
        <v>1801</v>
      </c>
      <c r="B1366" s="4" t="s">
        <v>386</v>
      </c>
      <c r="C1366" t="s">
        <v>1795</v>
      </c>
      <c r="D1366">
        <v>1</v>
      </c>
      <c r="E1366" t="s">
        <v>974</v>
      </c>
      <c r="F1366" t="s">
        <v>975</v>
      </c>
      <c r="G1366" t="s">
        <v>976</v>
      </c>
      <c r="H1366" s="1" t="s">
        <v>976</v>
      </c>
      <c r="I1366" s="1">
        <v>650</v>
      </c>
      <c r="J1366" s="20">
        <v>6</v>
      </c>
      <c r="K1366" s="1">
        <v>116.70625</v>
      </c>
      <c r="L1366" s="1">
        <v>700.24</v>
      </c>
      <c r="M1366" s="43" t="s">
        <v>2929</v>
      </c>
      <c r="P1366" t="s">
        <v>23</v>
      </c>
      <c r="Q1366" t="s">
        <v>386</v>
      </c>
    </row>
    <row r="1367" spans="1:17" ht="15" customHeight="1" x14ac:dyDescent="0.25">
      <c r="A1367" s="3" t="s">
        <v>1802</v>
      </c>
      <c r="B1367" s="4" t="s">
        <v>387</v>
      </c>
      <c r="C1367" t="s">
        <v>1795</v>
      </c>
      <c r="D1367">
        <v>1</v>
      </c>
      <c r="E1367" t="s">
        <v>974</v>
      </c>
      <c r="F1367" t="s">
        <v>975</v>
      </c>
      <c r="G1367" t="s">
        <v>976</v>
      </c>
      <c r="H1367" s="1" t="s">
        <v>976</v>
      </c>
      <c r="I1367" s="1">
        <v>650</v>
      </c>
      <c r="J1367" s="20">
        <v>5</v>
      </c>
      <c r="K1367" s="1">
        <v>116.884</v>
      </c>
      <c r="L1367" s="1">
        <v>584.41999999999996</v>
      </c>
      <c r="M1367" s="43" t="s">
        <v>2929</v>
      </c>
      <c r="P1367" t="s">
        <v>22</v>
      </c>
      <c r="Q1367" t="s">
        <v>387</v>
      </c>
    </row>
    <row r="1368" spans="1:17" ht="15" customHeight="1" x14ac:dyDescent="0.25">
      <c r="A1368" s="3" t="s">
        <v>1803</v>
      </c>
      <c r="B1368" s="4" t="s">
        <v>2930</v>
      </c>
      <c r="C1368" t="s">
        <v>1795</v>
      </c>
      <c r="D1368">
        <v>1</v>
      </c>
      <c r="E1368" t="s">
        <v>974</v>
      </c>
      <c r="F1368" t="s">
        <v>975</v>
      </c>
      <c r="G1368" t="s">
        <v>180</v>
      </c>
      <c r="H1368" s="1" t="s">
        <v>976</v>
      </c>
      <c r="I1368" s="1">
        <v>650</v>
      </c>
      <c r="J1368" s="20">
        <v>0</v>
      </c>
      <c r="K1368" s="1">
        <v>118.755</v>
      </c>
      <c r="L1368" s="1">
        <v>0</v>
      </c>
      <c r="M1368" s="43" t="s">
        <v>2929</v>
      </c>
      <c r="O1368" s="2" t="s">
        <v>2443</v>
      </c>
      <c r="P1368" t="s">
        <v>24</v>
      </c>
      <c r="Q1368" t="s">
        <v>920</v>
      </c>
    </row>
    <row r="1369" spans="1:17" ht="15" customHeight="1" x14ac:dyDescent="0.25">
      <c r="A1369" s="3" t="s">
        <v>1804</v>
      </c>
      <c r="B1369" s="4" t="s">
        <v>2930</v>
      </c>
      <c r="C1369" t="s">
        <v>1795</v>
      </c>
      <c r="D1369">
        <v>1</v>
      </c>
      <c r="E1369" t="s">
        <v>974</v>
      </c>
      <c r="F1369" t="s">
        <v>975</v>
      </c>
      <c r="G1369" t="s">
        <v>180</v>
      </c>
      <c r="H1369" s="1" t="s">
        <v>976</v>
      </c>
      <c r="I1369" s="1">
        <v>650</v>
      </c>
      <c r="J1369" s="20">
        <v>1</v>
      </c>
      <c r="K1369" s="1">
        <v>121</v>
      </c>
      <c r="L1369" s="1">
        <v>121</v>
      </c>
      <c r="M1369" s="43" t="s">
        <v>2929</v>
      </c>
      <c r="O1369" s="2" t="s">
        <v>2443</v>
      </c>
      <c r="P1369" t="s">
        <v>25</v>
      </c>
      <c r="Q1369" t="s">
        <v>920</v>
      </c>
    </row>
    <row r="1370" spans="1:17" ht="15" customHeight="1" x14ac:dyDescent="0.25">
      <c r="A1370" s="3" t="s">
        <v>1805</v>
      </c>
      <c r="B1370" s="4" t="s">
        <v>2930</v>
      </c>
      <c r="C1370" t="s">
        <v>1795</v>
      </c>
      <c r="D1370">
        <v>1</v>
      </c>
      <c r="E1370" t="s">
        <v>974</v>
      </c>
      <c r="F1370" t="s">
        <v>975</v>
      </c>
      <c r="G1370" t="s">
        <v>180</v>
      </c>
      <c r="H1370" s="1" t="s">
        <v>976</v>
      </c>
      <c r="I1370" s="1">
        <v>650</v>
      </c>
      <c r="J1370" s="20">
        <v>8</v>
      </c>
      <c r="K1370" s="1">
        <v>121</v>
      </c>
      <c r="L1370" s="1">
        <v>968</v>
      </c>
      <c r="M1370" s="43" t="s">
        <v>2929</v>
      </c>
      <c r="O1370" s="2" t="s">
        <v>2443</v>
      </c>
      <c r="P1370" t="s">
        <v>23</v>
      </c>
      <c r="Q1370" t="s">
        <v>920</v>
      </c>
    </row>
    <row r="1371" spans="1:17" ht="15" customHeight="1" x14ac:dyDescent="0.25">
      <c r="A1371" s="42" t="s">
        <v>1805</v>
      </c>
      <c r="B1371" s="3" t="s">
        <v>2930</v>
      </c>
      <c r="C1371" s="42" t="s">
        <v>1795</v>
      </c>
      <c r="D1371">
        <v>4</v>
      </c>
      <c r="E1371" t="s">
        <v>1018</v>
      </c>
      <c r="F1371" t="s">
        <v>975</v>
      </c>
      <c r="G1371" t="s">
        <v>180</v>
      </c>
      <c r="H1371" s="1" t="s">
        <v>976</v>
      </c>
      <c r="I1371" s="1">
        <v>650</v>
      </c>
      <c r="J1371" s="20">
        <v>0</v>
      </c>
      <c r="K1371" s="1">
        <v>575</v>
      </c>
      <c r="L1371" s="1">
        <v>0</v>
      </c>
      <c r="M1371" s="43" t="s">
        <v>2929</v>
      </c>
      <c r="O1371" s="2" t="s">
        <v>2443</v>
      </c>
      <c r="P1371" t="s">
        <v>23</v>
      </c>
      <c r="Q1371" t="s">
        <v>920</v>
      </c>
    </row>
    <row r="1372" spans="1:17" ht="15" customHeight="1" x14ac:dyDescent="0.25">
      <c r="A1372" s="3" t="s">
        <v>1806</v>
      </c>
      <c r="B1372" s="4" t="s">
        <v>2930</v>
      </c>
      <c r="C1372" t="s">
        <v>1795</v>
      </c>
      <c r="D1372">
        <v>1</v>
      </c>
      <c r="E1372" t="s">
        <v>974</v>
      </c>
      <c r="F1372" t="s">
        <v>975</v>
      </c>
      <c r="G1372" t="s">
        <v>180</v>
      </c>
      <c r="H1372" s="1" t="s">
        <v>976</v>
      </c>
      <c r="I1372" s="1">
        <v>650</v>
      </c>
      <c r="J1372" s="20">
        <v>7</v>
      </c>
      <c r="K1372" s="1">
        <v>120.358571</v>
      </c>
      <c r="L1372" s="1">
        <v>842.51</v>
      </c>
      <c r="M1372" s="43" t="s">
        <v>2929</v>
      </c>
      <c r="O1372" s="2" t="s">
        <v>2443</v>
      </c>
      <c r="P1372" t="s">
        <v>22</v>
      </c>
      <c r="Q1372" t="s">
        <v>920</v>
      </c>
    </row>
    <row r="1373" spans="1:17" ht="15" customHeight="1" x14ac:dyDescent="0.25">
      <c r="A1373" s="3" t="s">
        <v>1807</v>
      </c>
      <c r="B1373" s="4" t="s">
        <v>2930</v>
      </c>
      <c r="C1373" t="s">
        <v>1795</v>
      </c>
      <c r="D1373">
        <v>1</v>
      </c>
      <c r="E1373" t="s">
        <v>974</v>
      </c>
      <c r="F1373" t="s">
        <v>975</v>
      </c>
      <c r="G1373" t="s">
        <v>180</v>
      </c>
      <c r="H1373" s="1" t="s">
        <v>976</v>
      </c>
      <c r="I1373" s="1">
        <v>650</v>
      </c>
      <c r="J1373" s="20">
        <v>2</v>
      </c>
      <c r="K1373" s="1">
        <v>116.51</v>
      </c>
      <c r="L1373" s="1">
        <v>233.02</v>
      </c>
      <c r="M1373" s="43" t="s">
        <v>2929</v>
      </c>
      <c r="O1373" s="2" t="s">
        <v>2433</v>
      </c>
      <c r="P1373" t="s">
        <v>24</v>
      </c>
      <c r="Q1373" t="s">
        <v>921</v>
      </c>
    </row>
    <row r="1374" spans="1:17" ht="15" customHeight="1" x14ac:dyDescent="0.25">
      <c r="A1374" s="42" t="s">
        <v>1807</v>
      </c>
      <c r="B1374" s="3" t="s">
        <v>2930</v>
      </c>
      <c r="C1374" s="42" t="s">
        <v>1795</v>
      </c>
      <c r="D1374">
        <v>4</v>
      </c>
      <c r="E1374" t="s">
        <v>1018</v>
      </c>
      <c r="F1374" t="s">
        <v>975</v>
      </c>
      <c r="G1374" t="s">
        <v>180</v>
      </c>
      <c r="H1374" s="1" t="s">
        <v>976</v>
      </c>
      <c r="I1374" s="1">
        <v>650</v>
      </c>
      <c r="J1374" s="20">
        <v>1</v>
      </c>
      <c r="K1374" s="1">
        <v>0</v>
      </c>
      <c r="L1374" s="1">
        <v>0</v>
      </c>
      <c r="M1374" s="43" t="s">
        <v>2929</v>
      </c>
      <c r="O1374" s="2" t="s">
        <v>2433</v>
      </c>
      <c r="P1374" t="s">
        <v>24</v>
      </c>
      <c r="Q1374" t="s">
        <v>921</v>
      </c>
    </row>
    <row r="1375" spans="1:17" ht="15" customHeight="1" x14ac:dyDescent="0.25">
      <c r="A1375" s="3" t="s">
        <v>1808</v>
      </c>
      <c r="B1375" s="4" t="s">
        <v>2930</v>
      </c>
      <c r="C1375" t="s">
        <v>1795</v>
      </c>
      <c r="D1375">
        <v>1</v>
      </c>
      <c r="E1375" t="s">
        <v>974</v>
      </c>
      <c r="F1375" t="s">
        <v>975</v>
      </c>
      <c r="G1375" t="s">
        <v>180</v>
      </c>
      <c r="H1375" s="1" t="s">
        <v>976</v>
      </c>
      <c r="I1375" s="1">
        <v>650</v>
      </c>
      <c r="J1375" s="20">
        <v>1</v>
      </c>
      <c r="K1375" s="1">
        <v>345.755</v>
      </c>
      <c r="L1375" s="1">
        <v>345.76</v>
      </c>
      <c r="M1375" s="43" t="s">
        <v>2929</v>
      </c>
      <c r="O1375" s="2" t="s">
        <v>2433</v>
      </c>
      <c r="P1375" t="s">
        <v>25</v>
      </c>
      <c r="Q1375" t="s">
        <v>921</v>
      </c>
    </row>
    <row r="1376" spans="1:17" ht="15" customHeight="1" x14ac:dyDescent="0.25">
      <c r="A1376" s="42" t="s">
        <v>1808</v>
      </c>
      <c r="B1376" s="3" t="s">
        <v>2930</v>
      </c>
      <c r="C1376" s="42" t="s">
        <v>1795</v>
      </c>
      <c r="D1376">
        <v>4</v>
      </c>
      <c r="E1376" t="s">
        <v>1018</v>
      </c>
      <c r="F1376" t="s">
        <v>975</v>
      </c>
      <c r="G1376" t="s">
        <v>180</v>
      </c>
      <c r="H1376" s="1" t="s">
        <v>976</v>
      </c>
      <c r="I1376" s="1">
        <v>650</v>
      </c>
      <c r="J1376" s="20">
        <v>0</v>
      </c>
      <c r="K1376" s="1">
        <v>0</v>
      </c>
      <c r="L1376" s="1">
        <v>0</v>
      </c>
      <c r="M1376" s="43" t="s">
        <v>2929</v>
      </c>
      <c r="O1376" s="2" t="s">
        <v>2433</v>
      </c>
      <c r="P1376" t="s">
        <v>25</v>
      </c>
      <c r="Q1376" t="s">
        <v>921</v>
      </c>
    </row>
    <row r="1377" spans="1:17" ht="15" customHeight="1" x14ac:dyDescent="0.25">
      <c r="A1377" s="3" t="s">
        <v>1809</v>
      </c>
      <c r="B1377" s="4" t="s">
        <v>2930</v>
      </c>
      <c r="C1377" t="s">
        <v>1795</v>
      </c>
      <c r="D1377">
        <v>1</v>
      </c>
      <c r="E1377" t="s">
        <v>974</v>
      </c>
      <c r="F1377" t="s">
        <v>975</v>
      </c>
      <c r="G1377" t="s">
        <v>180</v>
      </c>
      <c r="H1377" s="1" t="s">
        <v>976</v>
      </c>
      <c r="I1377" s="1">
        <v>650</v>
      </c>
      <c r="J1377" s="20">
        <v>7</v>
      </c>
      <c r="K1377" s="1">
        <v>118.434285</v>
      </c>
      <c r="L1377" s="1">
        <v>829.04</v>
      </c>
      <c r="M1377" s="43" t="s">
        <v>2929</v>
      </c>
      <c r="O1377" s="2" t="s">
        <v>2433</v>
      </c>
      <c r="P1377" t="s">
        <v>23</v>
      </c>
      <c r="Q1377" t="s">
        <v>921</v>
      </c>
    </row>
    <row r="1378" spans="1:17" ht="15" customHeight="1" x14ac:dyDescent="0.25">
      <c r="A1378" s="3" t="s">
        <v>1810</v>
      </c>
      <c r="B1378" s="4" t="s">
        <v>2930</v>
      </c>
      <c r="C1378" t="s">
        <v>1795</v>
      </c>
      <c r="D1378">
        <v>1</v>
      </c>
      <c r="E1378" t="s">
        <v>974</v>
      </c>
      <c r="F1378" t="s">
        <v>975</v>
      </c>
      <c r="G1378" t="s">
        <v>180</v>
      </c>
      <c r="H1378" s="1" t="s">
        <v>976</v>
      </c>
      <c r="I1378" s="1">
        <v>650</v>
      </c>
      <c r="J1378" s="20">
        <v>4</v>
      </c>
      <c r="K1378" s="1">
        <v>117.63249999999999</v>
      </c>
      <c r="L1378" s="1">
        <v>470.53</v>
      </c>
      <c r="M1378" s="43" t="s">
        <v>2929</v>
      </c>
      <c r="O1378" s="2" t="s">
        <v>2433</v>
      </c>
      <c r="P1378" t="s">
        <v>22</v>
      </c>
      <c r="Q1378" t="s">
        <v>921</v>
      </c>
    </row>
    <row r="1379" spans="1:17" ht="15" customHeight="1" x14ac:dyDescent="0.25">
      <c r="A1379" s="3" t="s">
        <v>1811</v>
      </c>
      <c r="B1379" s="4" t="s">
        <v>2930</v>
      </c>
      <c r="C1379" t="s">
        <v>1795</v>
      </c>
      <c r="D1379">
        <v>1</v>
      </c>
      <c r="E1379" t="s">
        <v>974</v>
      </c>
      <c r="F1379" t="s">
        <v>975</v>
      </c>
      <c r="G1379" t="s">
        <v>180</v>
      </c>
      <c r="H1379" s="1" t="s">
        <v>976</v>
      </c>
      <c r="I1379" s="1">
        <v>650</v>
      </c>
      <c r="J1379" s="20">
        <v>2</v>
      </c>
      <c r="K1379" s="1">
        <v>118.006666</v>
      </c>
      <c r="L1379" s="1">
        <v>236.01</v>
      </c>
      <c r="M1379" s="43" t="s">
        <v>2929</v>
      </c>
      <c r="O1379" s="2" t="s">
        <v>2482</v>
      </c>
      <c r="P1379" t="s">
        <v>24</v>
      </c>
      <c r="Q1379" t="s">
        <v>922</v>
      </c>
    </row>
    <row r="1380" spans="1:17" ht="15" customHeight="1" x14ac:dyDescent="0.25">
      <c r="A1380" s="3" t="s">
        <v>1812</v>
      </c>
      <c r="B1380" s="4" t="s">
        <v>2930</v>
      </c>
      <c r="C1380" t="s">
        <v>1795</v>
      </c>
      <c r="D1380">
        <v>1</v>
      </c>
      <c r="E1380" t="s">
        <v>974</v>
      </c>
      <c r="F1380" t="s">
        <v>975</v>
      </c>
      <c r="G1380" t="s">
        <v>180</v>
      </c>
      <c r="H1380" s="1" t="s">
        <v>976</v>
      </c>
      <c r="I1380" s="1">
        <v>650</v>
      </c>
      <c r="J1380" s="20">
        <v>2</v>
      </c>
      <c r="K1380" s="1">
        <v>116.51</v>
      </c>
      <c r="L1380" s="1">
        <v>233.02</v>
      </c>
      <c r="M1380" s="43" t="s">
        <v>2929</v>
      </c>
      <c r="O1380" s="2" t="s">
        <v>2482</v>
      </c>
      <c r="P1380" t="s">
        <v>25</v>
      </c>
      <c r="Q1380" t="s">
        <v>922</v>
      </c>
    </row>
    <row r="1381" spans="1:17" ht="15" customHeight="1" x14ac:dyDescent="0.25">
      <c r="A1381" s="3" t="s">
        <v>1813</v>
      </c>
      <c r="B1381" s="4" t="s">
        <v>2930</v>
      </c>
      <c r="C1381" t="s">
        <v>1795</v>
      </c>
      <c r="D1381">
        <v>1</v>
      </c>
      <c r="E1381" t="s">
        <v>974</v>
      </c>
      <c r="F1381" t="s">
        <v>975</v>
      </c>
      <c r="G1381" t="s">
        <v>180</v>
      </c>
      <c r="H1381" s="1" t="s">
        <v>976</v>
      </c>
      <c r="I1381" s="1">
        <v>650</v>
      </c>
      <c r="J1381" s="20">
        <v>7</v>
      </c>
      <c r="K1381" s="1">
        <v>119.717142</v>
      </c>
      <c r="L1381" s="1">
        <v>838.02</v>
      </c>
      <c r="M1381" s="43" t="s">
        <v>2929</v>
      </c>
      <c r="O1381" s="2" t="s">
        <v>2482</v>
      </c>
      <c r="P1381" t="s">
        <v>23</v>
      </c>
      <c r="Q1381" t="s">
        <v>922</v>
      </c>
    </row>
    <row r="1382" spans="1:17" ht="15" customHeight="1" x14ac:dyDescent="0.25">
      <c r="A1382" s="3" t="s">
        <v>1814</v>
      </c>
      <c r="B1382" s="4" t="s">
        <v>2930</v>
      </c>
      <c r="C1382" t="s">
        <v>1795</v>
      </c>
      <c r="D1382">
        <v>1</v>
      </c>
      <c r="E1382" t="s">
        <v>974</v>
      </c>
      <c r="F1382" t="s">
        <v>975</v>
      </c>
      <c r="G1382" t="s">
        <v>180</v>
      </c>
      <c r="H1382" s="1" t="s">
        <v>976</v>
      </c>
      <c r="I1382" s="1">
        <v>650</v>
      </c>
      <c r="J1382" s="20">
        <v>0</v>
      </c>
      <c r="K1382" s="1">
        <v>118.755</v>
      </c>
      <c r="L1382" s="1">
        <v>0</v>
      </c>
      <c r="M1382" s="43" t="s">
        <v>2929</v>
      </c>
      <c r="O1382" s="2" t="s">
        <v>2482</v>
      </c>
      <c r="P1382" t="s">
        <v>22</v>
      </c>
      <c r="Q1382" t="s">
        <v>922</v>
      </c>
    </row>
    <row r="1383" spans="1:17" ht="15" customHeight="1" x14ac:dyDescent="0.25">
      <c r="A1383" s="3" t="s">
        <v>2181</v>
      </c>
      <c r="B1383" s="4" t="s">
        <v>530</v>
      </c>
      <c r="C1383" t="s">
        <v>1016</v>
      </c>
      <c r="D1383">
        <v>1</v>
      </c>
      <c r="E1383" t="s">
        <v>974</v>
      </c>
      <c r="F1383" t="s">
        <v>975</v>
      </c>
      <c r="G1383" t="s">
        <v>976</v>
      </c>
      <c r="H1383" s="1" t="s">
        <v>976</v>
      </c>
      <c r="I1383" s="1">
        <v>1</v>
      </c>
      <c r="J1383" s="20">
        <v>1000</v>
      </c>
      <c r="K1383" s="1">
        <v>1</v>
      </c>
      <c r="L1383" s="1">
        <v>1000</v>
      </c>
      <c r="M1383" s="43" t="s">
        <v>2931</v>
      </c>
      <c r="Q1383" t="s">
        <v>530</v>
      </c>
    </row>
    <row r="1384" spans="1:17" ht="15" customHeight="1" x14ac:dyDescent="0.25">
      <c r="A1384" s="3" t="s">
        <v>1815</v>
      </c>
      <c r="B1384" s="4" t="s">
        <v>388</v>
      </c>
      <c r="C1384" t="s">
        <v>1016</v>
      </c>
      <c r="D1384">
        <v>1</v>
      </c>
      <c r="E1384" t="s">
        <v>974</v>
      </c>
      <c r="F1384" t="s">
        <v>975</v>
      </c>
      <c r="G1384" t="s">
        <v>976</v>
      </c>
      <c r="H1384" s="1" t="s">
        <v>976</v>
      </c>
      <c r="I1384" s="1">
        <v>2.5299999999999998</v>
      </c>
      <c r="J1384" s="20">
        <v>0</v>
      </c>
      <c r="K1384" s="1">
        <v>0</v>
      </c>
      <c r="L1384" s="1">
        <v>0</v>
      </c>
      <c r="M1384" s="43" t="s">
        <v>2932</v>
      </c>
      <c r="Q1384" t="s">
        <v>388</v>
      </c>
    </row>
    <row r="1385" spans="1:17" ht="15" customHeight="1" x14ac:dyDescent="0.25">
      <c r="A1385" s="3" t="s">
        <v>2426</v>
      </c>
      <c r="B1385" s="4" t="s">
        <v>599</v>
      </c>
      <c r="C1385" t="s">
        <v>976</v>
      </c>
      <c r="D1385">
        <v>1</v>
      </c>
      <c r="E1385" t="s">
        <v>974</v>
      </c>
      <c r="F1385" t="s">
        <v>975</v>
      </c>
      <c r="G1385" t="s">
        <v>976</v>
      </c>
      <c r="H1385" s="1" t="s">
        <v>976</v>
      </c>
      <c r="I1385" s="1">
        <v>10</v>
      </c>
      <c r="J1385" s="20">
        <v>-1</v>
      </c>
      <c r="K1385" s="1">
        <v>0</v>
      </c>
      <c r="L1385" s="1">
        <v>0</v>
      </c>
      <c r="M1385" s="43" t="s">
        <v>2933</v>
      </c>
      <c r="Q1385" t="s">
        <v>599</v>
      </c>
    </row>
    <row r="1386" spans="1:17" ht="15" customHeight="1" x14ac:dyDescent="0.25">
      <c r="A1386" s="3" t="s">
        <v>2243</v>
      </c>
      <c r="B1386" s="4" t="s">
        <v>553</v>
      </c>
      <c r="C1386" t="s">
        <v>1016</v>
      </c>
      <c r="D1386">
        <v>1</v>
      </c>
      <c r="E1386" t="s">
        <v>974</v>
      </c>
      <c r="F1386" t="s">
        <v>975</v>
      </c>
      <c r="G1386" t="s">
        <v>976</v>
      </c>
      <c r="H1386" s="1" t="s">
        <v>976</v>
      </c>
      <c r="I1386" s="1">
        <v>0.73</v>
      </c>
      <c r="J1386" s="20">
        <v>23</v>
      </c>
      <c r="K1386" s="1">
        <v>0.8</v>
      </c>
      <c r="L1386" s="1">
        <v>18.399999999999999</v>
      </c>
      <c r="M1386" s="43" t="s">
        <v>2934</v>
      </c>
      <c r="Q1386" t="s">
        <v>553</v>
      </c>
    </row>
    <row r="1387" spans="1:17" ht="15" customHeight="1" x14ac:dyDescent="0.25">
      <c r="A1387" s="42" t="s">
        <v>2243</v>
      </c>
      <c r="B1387" s="3" t="s">
        <v>553</v>
      </c>
      <c r="C1387" s="42" t="s">
        <v>1016</v>
      </c>
      <c r="D1387">
        <v>4</v>
      </c>
      <c r="E1387" t="s">
        <v>1018</v>
      </c>
      <c r="F1387" t="s">
        <v>975</v>
      </c>
      <c r="G1387" t="s">
        <v>976</v>
      </c>
      <c r="H1387" s="1" t="s">
        <v>976</v>
      </c>
      <c r="I1387" s="1">
        <v>0.73</v>
      </c>
      <c r="J1387" s="20">
        <v>393</v>
      </c>
      <c r="K1387" s="1">
        <v>0.73</v>
      </c>
      <c r="L1387" s="1">
        <v>286.89</v>
      </c>
      <c r="M1387" s="43" t="s">
        <v>2934</v>
      </c>
      <c r="Q1387" t="s">
        <v>553</v>
      </c>
    </row>
    <row r="1388" spans="1:17" ht="15" customHeight="1" x14ac:dyDescent="0.25">
      <c r="A1388" s="3" t="s">
        <v>2427</v>
      </c>
      <c r="B1388" s="4" t="s">
        <v>600</v>
      </c>
      <c r="C1388" t="s">
        <v>1066</v>
      </c>
      <c r="D1388">
        <v>1</v>
      </c>
      <c r="E1388" t="s">
        <v>974</v>
      </c>
      <c r="F1388" t="s">
        <v>975</v>
      </c>
      <c r="G1388" t="s">
        <v>976</v>
      </c>
      <c r="H1388" s="1" t="s">
        <v>976</v>
      </c>
      <c r="I1388" s="1">
        <v>0.72</v>
      </c>
      <c r="J1388" s="20">
        <v>600</v>
      </c>
      <c r="K1388" s="1">
        <v>0.75283999999999995</v>
      </c>
      <c r="L1388" s="1">
        <v>451.7</v>
      </c>
      <c r="M1388" s="43" t="s">
        <v>2935</v>
      </c>
      <c r="Q1388" t="s">
        <v>600</v>
      </c>
    </row>
    <row r="1389" spans="1:17" ht="15" customHeight="1" x14ac:dyDescent="0.25">
      <c r="A1389" s="42" t="s">
        <v>2427</v>
      </c>
      <c r="B1389" s="3" t="s">
        <v>600</v>
      </c>
      <c r="C1389" s="42" t="s">
        <v>1066</v>
      </c>
      <c r="D1389">
        <v>4</v>
      </c>
      <c r="E1389" t="s">
        <v>1018</v>
      </c>
      <c r="F1389" t="s">
        <v>975</v>
      </c>
      <c r="G1389" t="s">
        <v>976</v>
      </c>
      <c r="H1389" s="1" t="s">
        <v>976</v>
      </c>
      <c r="I1389" s="1">
        <v>0.72</v>
      </c>
      <c r="J1389" s="20">
        <v>608</v>
      </c>
      <c r="K1389" s="1">
        <v>0.72</v>
      </c>
      <c r="L1389" s="1">
        <v>437.76</v>
      </c>
      <c r="M1389" s="43" t="s">
        <v>2935</v>
      </c>
      <c r="Q1389" t="s">
        <v>600</v>
      </c>
    </row>
    <row r="1390" spans="1:17" ht="15" customHeight="1" x14ac:dyDescent="0.25">
      <c r="A1390" s="3" t="s">
        <v>2182</v>
      </c>
      <c r="B1390" s="4" t="s">
        <v>531</v>
      </c>
      <c r="C1390" t="s">
        <v>1016</v>
      </c>
      <c r="D1390">
        <v>1</v>
      </c>
      <c r="E1390" t="s">
        <v>974</v>
      </c>
      <c r="F1390" t="s">
        <v>975</v>
      </c>
      <c r="G1390" t="s">
        <v>976</v>
      </c>
      <c r="H1390" s="1" t="s">
        <v>976</v>
      </c>
      <c r="I1390" s="1">
        <v>1.33</v>
      </c>
      <c r="J1390" s="20">
        <v>880</v>
      </c>
      <c r="K1390" s="1">
        <v>1.33</v>
      </c>
      <c r="L1390" s="1">
        <v>1170.4000000000001</v>
      </c>
      <c r="M1390" s="43" t="s">
        <v>2936</v>
      </c>
      <c r="Q1390" t="s">
        <v>531</v>
      </c>
    </row>
    <row r="1391" spans="1:17" ht="15" customHeight="1" x14ac:dyDescent="0.25">
      <c r="A1391" s="3" t="s">
        <v>1816</v>
      </c>
      <c r="B1391" s="4" t="s">
        <v>2938</v>
      </c>
      <c r="C1391" t="s">
        <v>973</v>
      </c>
      <c r="D1391">
        <v>1</v>
      </c>
      <c r="E1391" t="s">
        <v>974</v>
      </c>
      <c r="F1391" t="s">
        <v>975</v>
      </c>
      <c r="G1391" t="s">
        <v>976</v>
      </c>
      <c r="H1391" s="1" t="s">
        <v>976</v>
      </c>
      <c r="I1391" s="1">
        <v>75</v>
      </c>
      <c r="J1391" s="20">
        <v>-1.4</v>
      </c>
      <c r="K1391" s="1">
        <v>0</v>
      </c>
      <c r="L1391" s="1">
        <v>0</v>
      </c>
      <c r="M1391" s="43" t="s">
        <v>2937</v>
      </c>
      <c r="O1391" s="2" t="s">
        <v>2447</v>
      </c>
      <c r="Q1391" t="s">
        <v>923</v>
      </c>
    </row>
    <row r="1392" spans="1:17" ht="15" customHeight="1" x14ac:dyDescent="0.25">
      <c r="A1392" s="3" t="s">
        <v>1817</v>
      </c>
      <c r="B1392" s="4" t="s">
        <v>2940</v>
      </c>
      <c r="C1392" t="s">
        <v>1383</v>
      </c>
      <c r="D1392">
        <v>1</v>
      </c>
      <c r="E1392" t="s">
        <v>974</v>
      </c>
      <c r="F1392" t="s">
        <v>975</v>
      </c>
      <c r="G1392" t="s">
        <v>180</v>
      </c>
      <c r="H1392" s="1" t="s">
        <v>976</v>
      </c>
      <c r="I1392" s="1">
        <v>790</v>
      </c>
      <c r="J1392" s="20">
        <v>0</v>
      </c>
      <c r="K1392" s="1">
        <v>0</v>
      </c>
      <c r="L1392" s="1">
        <v>0</v>
      </c>
      <c r="M1392" s="43" t="s">
        <v>2939</v>
      </c>
      <c r="O1392" s="2" t="s">
        <v>2495</v>
      </c>
      <c r="Q1392" t="s">
        <v>924</v>
      </c>
    </row>
    <row r="1393" spans="1:17" ht="15" customHeight="1" x14ac:dyDescent="0.25">
      <c r="A1393" s="42" t="s">
        <v>1817</v>
      </c>
      <c r="B1393" s="3" t="s">
        <v>2940</v>
      </c>
      <c r="C1393" s="42" t="s">
        <v>1383</v>
      </c>
      <c r="D1393">
        <v>4</v>
      </c>
      <c r="E1393" t="s">
        <v>1018</v>
      </c>
      <c r="F1393" t="s">
        <v>975</v>
      </c>
      <c r="G1393" t="s">
        <v>180</v>
      </c>
      <c r="H1393" s="1" t="s">
        <v>976</v>
      </c>
      <c r="I1393" s="1">
        <v>790</v>
      </c>
      <c r="J1393" s="20">
        <v>0</v>
      </c>
      <c r="K1393" s="1">
        <v>0</v>
      </c>
      <c r="L1393" s="1">
        <v>0</v>
      </c>
      <c r="M1393" s="43" t="s">
        <v>2939</v>
      </c>
      <c r="O1393" s="2" t="s">
        <v>2495</v>
      </c>
      <c r="Q1393" t="s">
        <v>924</v>
      </c>
    </row>
    <row r="1394" spans="1:17" ht="15" customHeight="1" x14ac:dyDescent="0.25">
      <c r="A1394" s="3" t="s">
        <v>2428</v>
      </c>
      <c r="B1394" s="4" t="s">
        <v>601</v>
      </c>
      <c r="C1394" t="s">
        <v>1818</v>
      </c>
      <c r="D1394">
        <v>1</v>
      </c>
      <c r="E1394" t="s">
        <v>974</v>
      </c>
      <c r="F1394" t="s">
        <v>975</v>
      </c>
      <c r="G1394" t="s">
        <v>976</v>
      </c>
      <c r="H1394" s="1" t="s">
        <v>976</v>
      </c>
      <c r="I1394" s="1">
        <v>33.9</v>
      </c>
      <c r="J1394" s="20">
        <v>0</v>
      </c>
      <c r="K1394" s="1">
        <v>0</v>
      </c>
      <c r="L1394" s="1">
        <v>0</v>
      </c>
      <c r="M1394" s="43" t="s">
        <v>2941</v>
      </c>
      <c r="Q1394" t="s">
        <v>601</v>
      </c>
    </row>
    <row r="1395" spans="1:17" ht="15" customHeight="1" x14ac:dyDescent="0.25">
      <c r="A1395" s="3" t="s">
        <v>1819</v>
      </c>
      <c r="B1395" s="4" t="s">
        <v>389</v>
      </c>
      <c r="C1395" t="s">
        <v>976</v>
      </c>
      <c r="D1395">
        <v>1</v>
      </c>
      <c r="E1395" t="s">
        <v>974</v>
      </c>
      <c r="F1395" t="s">
        <v>975</v>
      </c>
      <c r="G1395" t="s">
        <v>976</v>
      </c>
      <c r="H1395" s="1" t="s">
        <v>976</v>
      </c>
      <c r="I1395" s="1">
        <v>350</v>
      </c>
      <c r="J1395" s="20">
        <v>-1</v>
      </c>
      <c r="K1395" s="1">
        <v>0</v>
      </c>
      <c r="L1395" s="1">
        <v>0</v>
      </c>
      <c r="M1395" s="43" t="s">
        <v>2942</v>
      </c>
      <c r="Q1395" t="s">
        <v>389</v>
      </c>
    </row>
    <row r="1396" spans="1:17" ht="15" customHeight="1" x14ac:dyDescent="0.25">
      <c r="A1396" s="3" t="s">
        <v>2183</v>
      </c>
      <c r="B1396" s="4" t="s">
        <v>532</v>
      </c>
      <c r="C1396" t="s">
        <v>973</v>
      </c>
      <c r="D1396">
        <v>1</v>
      </c>
      <c r="E1396" t="s">
        <v>974</v>
      </c>
      <c r="F1396" t="s">
        <v>975</v>
      </c>
      <c r="G1396" t="s">
        <v>1820</v>
      </c>
      <c r="H1396" s="1" t="s">
        <v>976</v>
      </c>
      <c r="I1396" s="1">
        <v>16.899999999999999</v>
      </c>
      <c r="J1396" s="20">
        <v>0</v>
      </c>
      <c r="K1396" s="1">
        <v>16.899999999999999</v>
      </c>
      <c r="L1396" s="1">
        <v>0</v>
      </c>
      <c r="M1396" s="43" t="s">
        <v>2943</v>
      </c>
      <c r="Q1396" t="s">
        <v>532</v>
      </c>
    </row>
    <row r="1397" spans="1:17" ht="15" customHeight="1" x14ac:dyDescent="0.25">
      <c r="A1397" s="42" t="s">
        <v>2183</v>
      </c>
      <c r="B1397" s="3" t="s">
        <v>532</v>
      </c>
      <c r="C1397" s="42" t="s">
        <v>973</v>
      </c>
      <c r="D1397">
        <v>4</v>
      </c>
      <c r="E1397" t="s">
        <v>1018</v>
      </c>
      <c r="F1397" t="s">
        <v>975</v>
      </c>
      <c r="G1397" t="s">
        <v>1820</v>
      </c>
      <c r="H1397" s="1" t="s">
        <v>976</v>
      </c>
      <c r="I1397" s="1">
        <v>16.899999999999999</v>
      </c>
      <c r="J1397" s="20">
        <v>40</v>
      </c>
      <c r="K1397" s="1">
        <v>16.899999999999999</v>
      </c>
      <c r="L1397" s="1">
        <v>676</v>
      </c>
      <c r="M1397" s="43" t="s">
        <v>2943</v>
      </c>
      <c r="Q1397" t="s">
        <v>532</v>
      </c>
    </row>
    <row r="1398" spans="1:17" ht="15" customHeight="1" x14ac:dyDescent="0.25">
      <c r="A1398" s="3" t="s">
        <v>1821</v>
      </c>
      <c r="B1398" s="4" t="s">
        <v>2945</v>
      </c>
      <c r="C1398" t="s">
        <v>973</v>
      </c>
      <c r="D1398">
        <v>1</v>
      </c>
      <c r="E1398" t="s">
        <v>974</v>
      </c>
      <c r="F1398" t="s">
        <v>975</v>
      </c>
      <c r="G1398" t="s">
        <v>976</v>
      </c>
      <c r="H1398" s="1" t="s">
        <v>976</v>
      </c>
      <c r="I1398" s="1">
        <v>17.45</v>
      </c>
      <c r="J1398" s="20">
        <v>100</v>
      </c>
      <c r="K1398" s="1">
        <v>17.45</v>
      </c>
      <c r="L1398" s="1">
        <v>1745</v>
      </c>
      <c r="M1398" s="43" t="s">
        <v>2944</v>
      </c>
      <c r="O1398" s="2" t="s">
        <v>2463</v>
      </c>
      <c r="Q1398" t="s">
        <v>925</v>
      </c>
    </row>
    <row r="1399" spans="1:17" ht="15" customHeight="1" x14ac:dyDescent="0.25">
      <c r="A1399" s="3" t="s">
        <v>2184</v>
      </c>
      <c r="B1399" s="4" t="s">
        <v>2947</v>
      </c>
      <c r="C1399" t="s">
        <v>973</v>
      </c>
      <c r="D1399">
        <v>1</v>
      </c>
      <c r="E1399" t="s">
        <v>974</v>
      </c>
      <c r="F1399" t="s">
        <v>975</v>
      </c>
      <c r="G1399" t="s">
        <v>1820</v>
      </c>
      <c r="H1399" s="1" t="s">
        <v>976</v>
      </c>
      <c r="I1399" s="1">
        <v>15.49</v>
      </c>
      <c r="J1399" s="20">
        <v>50</v>
      </c>
      <c r="K1399" s="1">
        <v>15.49</v>
      </c>
      <c r="L1399" s="1">
        <v>774.5</v>
      </c>
      <c r="M1399" s="43" t="s">
        <v>2946</v>
      </c>
      <c r="O1399" s="2" t="s">
        <v>2437</v>
      </c>
      <c r="Q1399" t="s">
        <v>926</v>
      </c>
    </row>
    <row r="1400" spans="1:17" ht="15" customHeight="1" x14ac:dyDescent="0.25">
      <c r="A1400" s="3" t="s">
        <v>2185</v>
      </c>
      <c r="B1400" s="4" t="s">
        <v>2949</v>
      </c>
      <c r="C1400" t="s">
        <v>973</v>
      </c>
      <c r="D1400">
        <v>1</v>
      </c>
      <c r="E1400" t="s">
        <v>974</v>
      </c>
      <c r="F1400" t="s">
        <v>975</v>
      </c>
      <c r="G1400" t="s">
        <v>1820</v>
      </c>
      <c r="H1400" s="1" t="s">
        <v>976</v>
      </c>
      <c r="I1400" s="1">
        <v>15.8</v>
      </c>
      <c r="J1400" s="20">
        <v>50</v>
      </c>
      <c r="K1400" s="1">
        <v>15.8</v>
      </c>
      <c r="L1400" s="1">
        <v>790</v>
      </c>
      <c r="M1400" s="43" t="s">
        <v>2948</v>
      </c>
      <c r="O1400" s="2" t="s">
        <v>2482</v>
      </c>
      <c r="Q1400" t="s">
        <v>927</v>
      </c>
    </row>
    <row r="1401" spans="1:17" ht="15" customHeight="1" x14ac:dyDescent="0.25">
      <c r="A1401" s="3" t="s">
        <v>1822</v>
      </c>
      <c r="B1401" s="4" t="s">
        <v>2951</v>
      </c>
      <c r="C1401" t="s">
        <v>973</v>
      </c>
      <c r="D1401">
        <v>1</v>
      </c>
      <c r="E1401" t="s">
        <v>974</v>
      </c>
      <c r="F1401" t="s">
        <v>975</v>
      </c>
      <c r="G1401" t="s">
        <v>1820</v>
      </c>
      <c r="H1401" s="1" t="s">
        <v>976</v>
      </c>
      <c r="I1401" s="1">
        <v>18.420000000000002</v>
      </c>
      <c r="J1401" s="20">
        <v>55</v>
      </c>
      <c r="K1401" s="1">
        <v>18.420000000000002</v>
      </c>
      <c r="L1401" s="1">
        <v>1013.1</v>
      </c>
      <c r="M1401" s="43" t="s">
        <v>2950</v>
      </c>
      <c r="O1401" s="2" t="s">
        <v>2447</v>
      </c>
      <c r="Q1401" t="s">
        <v>928</v>
      </c>
    </row>
    <row r="1402" spans="1:17" ht="15" customHeight="1" x14ac:dyDescent="0.25">
      <c r="A1402" s="3" t="s">
        <v>1823</v>
      </c>
      <c r="B1402" s="4" t="s">
        <v>390</v>
      </c>
      <c r="C1402" t="s">
        <v>973</v>
      </c>
      <c r="D1402">
        <v>1</v>
      </c>
      <c r="E1402" t="s">
        <v>974</v>
      </c>
      <c r="F1402" t="s">
        <v>975</v>
      </c>
      <c r="G1402" t="s">
        <v>1820</v>
      </c>
      <c r="H1402" s="1" t="s">
        <v>976</v>
      </c>
      <c r="I1402" s="1">
        <v>18.420000000000002</v>
      </c>
      <c r="J1402" s="20">
        <v>0</v>
      </c>
      <c r="K1402" s="1">
        <v>18.419975999999998</v>
      </c>
      <c r="L1402" s="1">
        <v>0</v>
      </c>
      <c r="M1402" s="43" t="s">
        <v>2952</v>
      </c>
      <c r="Q1402" t="s">
        <v>390</v>
      </c>
    </row>
    <row r="1403" spans="1:17" ht="15" customHeight="1" x14ac:dyDescent="0.25">
      <c r="A1403" s="3" t="s">
        <v>2186</v>
      </c>
      <c r="B1403" s="4" t="s">
        <v>2954</v>
      </c>
      <c r="C1403" t="s">
        <v>973</v>
      </c>
      <c r="D1403">
        <v>1</v>
      </c>
      <c r="E1403" t="s">
        <v>974</v>
      </c>
      <c r="F1403" t="s">
        <v>975</v>
      </c>
      <c r="G1403" t="s">
        <v>1820</v>
      </c>
      <c r="H1403" s="1" t="s">
        <v>976</v>
      </c>
      <c r="I1403" s="1">
        <v>17.45</v>
      </c>
      <c r="J1403" s="20">
        <v>50</v>
      </c>
      <c r="K1403" s="1">
        <v>17.45</v>
      </c>
      <c r="L1403" s="1">
        <v>872.5</v>
      </c>
      <c r="M1403" s="43" t="s">
        <v>2953</v>
      </c>
      <c r="O1403" s="2" t="s">
        <v>2472</v>
      </c>
      <c r="Q1403" t="s">
        <v>533</v>
      </c>
    </row>
    <row r="1404" spans="1:17" ht="15" customHeight="1" x14ac:dyDescent="0.25">
      <c r="A1404" s="3" t="s">
        <v>2187</v>
      </c>
      <c r="B1404" s="4" t="s">
        <v>534</v>
      </c>
      <c r="C1404" t="s">
        <v>973</v>
      </c>
      <c r="D1404">
        <v>1</v>
      </c>
      <c r="E1404" t="s">
        <v>974</v>
      </c>
      <c r="F1404" t="s">
        <v>975</v>
      </c>
      <c r="G1404" t="s">
        <v>1820</v>
      </c>
      <c r="H1404" s="1" t="s">
        <v>976</v>
      </c>
      <c r="I1404" s="1">
        <v>11.9</v>
      </c>
      <c r="J1404" s="20">
        <v>8.1999999999999993</v>
      </c>
      <c r="K1404" s="1">
        <v>11.9</v>
      </c>
      <c r="L1404" s="1">
        <v>97.58</v>
      </c>
      <c r="M1404" s="43" t="s">
        <v>2955</v>
      </c>
      <c r="Q1404" t="s">
        <v>534</v>
      </c>
    </row>
    <row r="1405" spans="1:17" ht="15" customHeight="1" x14ac:dyDescent="0.25">
      <c r="A1405" s="3" t="s">
        <v>1824</v>
      </c>
      <c r="B1405" s="4" t="s">
        <v>391</v>
      </c>
      <c r="C1405" t="s">
        <v>1383</v>
      </c>
      <c r="D1405">
        <v>1</v>
      </c>
      <c r="E1405" t="s">
        <v>974</v>
      </c>
      <c r="F1405" t="s">
        <v>975</v>
      </c>
      <c r="G1405" t="s">
        <v>180</v>
      </c>
      <c r="H1405" s="1" t="s">
        <v>976</v>
      </c>
      <c r="I1405" s="1">
        <v>870</v>
      </c>
      <c r="J1405" s="20">
        <v>2</v>
      </c>
      <c r="K1405" s="1">
        <v>229</v>
      </c>
      <c r="L1405" s="1">
        <v>458</v>
      </c>
      <c r="M1405" s="43" t="s">
        <v>2956</v>
      </c>
      <c r="P1405">
        <v>35</v>
      </c>
      <c r="Q1405" t="s">
        <v>391</v>
      </c>
    </row>
    <row r="1406" spans="1:17" ht="15" customHeight="1" x14ac:dyDescent="0.25">
      <c r="A1406" s="3" t="s">
        <v>1825</v>
      </c>
      <c r="B1406" s="4" t="s">
        <v>392</v>
      </c>
      <c r="C1406" t="s">
        <v>1383</v>
      </c>
      <c r="D1406">
        <v>1</v>
      </c>
      <c r="E1406" t="s">
        <v>974</v>
      </c>
      <c r="F1406" t="s">
        <v>975</v>
      </c>
      <c r="G1406" t="s">
        <v>180</v>
      </c>
      <c r="H1406" s="1" t="s">
        <v>976</v>
      </c>
      <c r="I1406" s="1">
        <v>870</v>
      </c>
      <c r="J1406" s="20">
        <v>3</v>
      </c>
      <c r="K1406" s="1">
        <v>242.33333300000001</v>
      </c>
      <c r="L1406" s="1">
        <v>727</v>
      </c>
      <c r="M1406" s="43" t="s">
        <v>2956</v>
      </c>
      <c r="P1406">
        <v>36</v>
      </c>
      <c r="Q1406" t="s">
        <v>392</v>
      </c>
    </row>
    <row r="1407" spans="1:17" ht="15" customHeight="1" x14ac:dyDescent="0.25">
      <c r="A1407" s="3" t="s">
        <v>1826</v>
      </c>
      <c r="B1407" s="4" t="s">
        <v>393</v>
      </c>
      <c r="C1407" t="s">
        <v>1383</v>
      </c>
      <c r="D1407">
        <v>1</v>
      </c>
      <c r="E1407" t="s">
        <v>974</v>
      </c>
      <c r="F1407" t="s">
        <v>975</v>
      </c>
      <c r="G1407" t="s">
        <v>180</v>
      </c>
      <c r="H1407" s="1" t="s">
        <v>976</v>
      </c>
      <c r="I1407" s="1">
        <v>870</v>
      </c>
      <c r="J1407" s="20">
        <v>2</v>
      </c>
      <c r="K1407" s="1">
        <v>229</v>
      </c>
      <c r="L1407" s="1">
        <v>458</v>
      </c>
      <c r="M1407" s="43" t="s">
        <v>2956</v>
      </c>
      <c r="P1407">
        <v>37</v>
      </c>
      <c r="Q1407" t="s">
        <v>393</v>
      </c>
    </row>
    <row r="1408" spans="1:17" ht="15" customHeight="1" x14ac:dyDescent="0.25">
      <c r="A1408" s="3" t="s">
        <v>1827</v>
      </c>
      <c r="B1408" s="4" t="s">
        <v>394</v>
      </c>
      <c r="C1408" t="s">
        <v>1383</v>
      </c>
      <c r="D1408">
        <v>1</v>
      </c>
      <c r="E1408" t="s">
        <v>974</v>
      </c>
      <c r="F1408" t="s">
        <v>975</v>
      </c>
      <c r="G1408" t="s">
        <v>180</v>
      </c>
      <c r="H1408" s="1" t="s">
        <v>976</v>
      </c>
      <c r="I1408" s="1">
        <v>870</v>
      </c>
      <c r="J1408" s="20">
        <v>2</v>
      </c>
      <c r="K1408" s="1">
        <v>429.33333299999998</v>
      </c>
      <c r="L1408" s="1">
        <v>858.67</v>
      </c>
      <c r="M1408" s="43" t="s">
        <v>2956</v>
      </c>
      <c r="P1408">
        <v>38</v>
      </c>
      <c r="Q1408" t="s">
        <v>394</v>
      </c>
    </row>
    <row r="1409" spans="1:17" ht="15" customHeight="1" x14ac:dyDescent="0.25">
      <c r="A1409" s="42" t="s">
        <v>1827</v>
      </c>
      <c r="B1409" s="3" t="s">
        <v>394</v>
      </c>
      <c r="C1409" s="42" t="s">
        <v>1383</v>
      </c>
      <c r="D1409">
        <v>4</v>
      </c>
      <c r="E1409" t="s">
        <v>1018</v>
      </c>
      <c r="F1409" t="s">
        <v>975</v>
      </c>
      <c r="G1409" t="s">
        <v>180</v>
      </c>
      <c r="H1409" s="1" t="s">
        <v>976</v>
      </c>
      <c r="I1409" s="1">
        <v>870</v>
      </c>
      <c r="J1409" s="20">
        <v>0</v>
      </c>
      <c r="K1409" s="1">
        <v>830</v>
      </c>
      <c r="L1409" s="1">
        <v>0</v>
      </c>
      <c r="M1409" s="43" t="s">
        <v>2956</v>
      </c>
      <c r="P1409">
        <v>38</v>
      </c>
      <c r="Q1409" t="s">
        <v>394</v>
      </c>
    </row>
    <row r="1410" spans="1:17" ht="15" customHeight="1" x14ac:dyDescent="0.25">
      <c r="A1410" s="3" t="s">
        <v>1828</v>
      </c>
      <c r="B1410" s="4" t="s">
        <v>395</v>
      </c>
      <c r="C1410" t="s">
        <v>1383</v>
      </c>
      <c r="D1410">
        <v>1</v>
      </c>
      <c r="E1410" t="s">
        <v>974</v>
      </c>
      <c r="F1410" t="s">
        <v>975</v>
      </c>
      <c r="G1410" t="s">
        <v>180</v>
      </c>
      <c r="H1410" s="1" t="s">
        <v>976</v>
      </c>
      <c r="I1410" s="1">
        <v>870</v>
      </c>
      <c r="J1410" s="20">
        <v>3</v>
      </c>
      <c r="K1410" s="1">
        <v>229</v>
      </c>
      <c r="L1410" s="1">
        <v>687</v>
      </c>
      <c r="M1410" s="43" t="s">
        <v>2956</v>
      </c>
      <c r="P1410">
        <v>39</v>
      </c>
      <c r="Q1410" t="s">
        <v>395</v>
      </c>
    </row>
    <row r="1411" spans="1:17" ht="15" customHeight="1" x14ac:dyDescent="0.25">
      <c r="A1411" s="3" t="s">
        <v>1829</v>
      </c>
      <c r="B1411" s="4" t="s">
        <v>396</v>
      </c>
      <c r="C1411" t="s">
        <v>1383</v>
      </c>
      <c r="D1411">
        <v>1</v>
      </c>
      <c r="E1411" t="s">
        <v>974</v>
      </c>
      <c r="F1411" t="s">
        <v>975</v>
      </c>
      <c r="G1411" t="s">
        <v>180</v>
      </c>
      <c r="H1411" s="1" t="s">
        <v>976</v>
      </c>
      <c r="I1411" s="1">
        <v>870</v>
      </c>
      <c r="J1411" s="20">
        <v>0</v>
      </c>
      <c r="K1411" s="1">
        <v>229</v>
      </c>
      <c r="L1411" s="1">
        <v>0</v>
      </c>
      <c r="M1411" s="43" t="s">
        <v>2956</v>
      </c>
      <c r="P1411">
        <v>40</v>
      </c>
      <c r="Q1411" t="s">
        <v>396</v>
      </c>
    </row>
    <row r="1412" spans="1:17" ht="15" customHeight="1" x14ac:dyDescent="0.25">
      <c r="A1412" s="3" t="s">
        <v>1830</v>
      </c>
      <c r="B1412" s="4" t="s">
        <v>397</v>
      </c>
      <c r="C1412" t="s">
        <v>1383</v>
      </c>
      <c r="D1412">
        <v>1</v>
      </c>
      <c r="E1412" t="s">
        <v>974</v>
      </c>
      <c r="F1412" t="s">
        <v>975</v>
      </c>
      <c r="G1412" t="s">
        <v>180</v>
      </c>
      <c r="H1412" s="1" t="s">
        <v>976</v>
      </c>
      <c r="I1412" s="1">
        <v>870</v>
      </c>
      <c r="J1412" s="20">
        <v>1</v>
      </c>
      <c r="K1412" s="1">
        <v>229</v>
      </c>
      <c r="L1412" s="1">
        <v>229</v>
      </c>
      <c r="M1412" s="43" t="s">
        <v>2956</v>
      </c>
      <c r="Q1412" t="s">
        <v>397</v>
      </c>
    </row>
    <row r="1413" spans="1:17" ht="15" customHeight="1" x14ac:dyDescent="0.25">
      <c r="A1413" s="3" t="s">
        <v>1831</v>
      </c>
      <c r="B1413" s="4" t="s">
        <v>398</v>
      </c>
      <c r="C1413" t="s">
        <v>1383</v>
      </c>
      <c r="D1413">
        <v>1</v>
      </c>
      <c r="E1413" t="s">
        <v>974</v>
      </c>
      <c r="F1413" t="s">
        <v>975</v>
      </c>
      <c r="G1413" t="s">
        <v>180</v>
      </c>
      <c r="H1413" s="1" t="s">
        <v>976</v>
      </c>
      <c r="I1413" s="1">
        <v>870</v>
      </c>
      <c r="J1413" s="20">
        <v>3</v>
      </c>
      <c r="K1413" s="1">
        <v>229</v>
      </c>
      <c r="L1413" s="1">
        <v>687</v>
      </c>
      <c r="M1413" s="43" t="s">
        <v>2956</v>
      </c>
      <c r="P1413">
        <v>42</v>
      </c>
      <c r="Q1413" t="s">
        <v>398</v>
      </c>
    </row>
    <row r="1414" spans="1:17" ht="15" customHeight="1" x14ac:dyDescent="0.25">
      <c r="A1414" s="3" t="s">
        <v>1832</v>
      </c>
      <c r="B1414" s="4" t="s">
        <v>399</v>
      </c>
      <c r="C1414" t="s">
        <v>1383</v>
      </c>
      <c r="D1414">
        <v>1</v>
      </c>
      <c r="E1414" t="s">
        <v>974</v>
      </c>
      <c r="F1414" t="s">
        <v>975</v>
      </c>
      <c r="G1414" t="s">
        <v>180</v>
      </c>
      <c r="H1414" s="1" t="s">
        <v>976</v>
      </c>
      <c r="I1414" s="1">
        <v>870</v>
      </c>
      <c r="J1414" s="20">
        <v>1</v>
      </c>
      <c r="K1414" s="1">
        <v>229</v>
      </c>
      <c r="L1414" s="1">
        <v>229</v>
      </c>
      <c r="M1414" s="43" t="s">
        <v>2956</v>
      </c>
      <c r="Q1414" t="s">
        <v>399</v>
      </c>
    </row>
    <row r="1415" spans="1:17" ht="15" customHeight="1" x14ac:dyDescent="0.25">
      <c r="A1415" s="3" t="s">
        <v>1833</v>
      </c>
      <c r="B1415" s="4" t="s">
        <v>400</v>
      </c>
      <c r="C1415" t="s">
        <v>1383</v>
      </c>
      <c r="D1415">
        <v>1</v>
      </c>
      <c r="E1415" t="s">
        <v>974</v>
      </c>
      <c r="F1415" t="s">
        <v>975</v>
      </c>
      <c r="G1415" t="s">
        <v>180</v>
      </c>
      <c r="H1415" s="1" t="s">
        <v>976</v>
      </c>
      <c r="I1415" s="1">
        <v>870</v>
      </c>
      <c r="J1415" s="20">
        <v>0</v>
      </c>
      <c r="K1415" s="1">
        <v>229</v>
      </c>
      <c r="L1415" s="1">
        <v>0</v>
      </c>
      <c r="M1415" s="43" t="s">
        <v>2956</v>
      </c>
      <c r="P1415">
        <v>44</v>
      </c>
      <c r="Q1415" t="s">
        <v>400</v>
      </c>
    </row>
    <row r="1416" spans="1:17" ht="15" customHeight="1" x14ac:dyDescent="0.25">
      <c r="A1416" s="3" t="s">
        <v>2429</v>
      </c>
      <c r="B1416" s="4" t="s">
        <v>602</v>
      </c>
      <c r="C1416" t="s">
        <v>1383</v>
      </c>
      <c r="D1416">
        <v>1</v>
      </c>
      <c r="E1416" t="s">
        <v>974</v>
      </c>
      <c r="F1416" t="s">
        <v>975</v>
      </c>
      <c r="G1416" t="s">
        <v>180</v>
      </c>
      <c r="H1416" s="1" t="s">
        <v>976</v>
      </c>
      <c r="I1416" s="1">
        <v>870</v>
      </c>
      <c r="J1416" s="20">
        <v>0</v>
      </c>
      <c r="K1416" s="1">
        <v>0</v>
      </c>
      <c r="L1416" s="1">
        <v>0</v>
      </c>
      <c r="M1416" s="43" t="s">
        <v>2956</v>
      </c>
      <c r="Q1416" t="s">
        <v>602</v>
      </c>
    </row>
    <row r="1417" spans="1:17" ht="15" customHeight="1" x14ac:dyDescent="0.25">
      <c r="A1417" s="42" t="s">
        <v>2429</v>
      </c>
      <c r="B1417" s="3" t="s">
        <v>602</v>
      </c>
      <c r="C1417" s="42" t="s">
        <v>1383</v>
      </c>
      <c r="D1417">
        <v>4</v>
      </c>
      <c r="E1417" t="s">
        <v>1018</v>
      </c>
      <c r="F1417" t="s">
        <v>975</v>
      </c>
      <c r="G1417" t="s">
        <v>180</v>
      </c>
      <c r="H1417" s="1" t="s">
        <v>976</v>
      </c>
      <c r="I1417" s="1">
        <v>870</v>
      </c>
      <c r="J1417" s="20">
        <v>0</v>
      </c>
      <c r="K1417" s="1">
        <v>0</v>
      </c>
      <c r="L1417" s="1">
        <v>0</v>
      </c>
      <c r="M1417" s="43" t="s">
        <v>2956</v>
      </c>
      <c r="Q1417" t="s">
        <v>602</v>
      </c>
    </row>
    <row r="1418" spans="1:17" ht="15" customHeight="1" x14ac:dyDescent="0.25">
      <c r="A1418" s="3" t="s">
        <v>1834</v>
      </c>
      <c r="B1418" s="4" t="s">
        <v>401</v>
      </c>
      <c r="C1418" t="s">
        <v>1315</v>
      </c>
      <c r="D1418">
        <v>1</v>
      </c>
      <c r="E1418" t="s">
        <v>974</v>
      </c>
      <c r="F1418" t="s">
        <v>975</v>
      </c>
      <c r="G1418" t="s">
        <v>976</v>
      </c>
      <c r="H1418" s="1" t="s">
        <v>976</v>
      </c>
      <c r="I1418" s="1">
        <v>1650</v>
      </c>
      <c r="J1418" s="20">
        <v>1</v>
      </c>
      <c r="K1418" s="1">
        <v>0</v>
      </c>
      <c r="L1418" s="1">
        <v>0</v>
      </c>
      <c r="M1418" s="43" t="s">
        <v>2957</v>
      </c>
      <c r="Q1418" t="s">
        <v>401</v>
      </c>
    </row>
    <row r="1419" spans="1:17" ht="15" customHeight="1" x14ac:dyDescent="0.25">
      <c r="A1419" s="3" t="s">
        <v>1835</v>
      </c>
      <c r="B1419" s="4" t="s">
        <v>2959</v>
      </c>
      <c r="C1419" t="s">
        <v>1836</v>
      </c>
      <c r="D1419">
        <v>1</v>
      </c>
      <c r="E1419" t="s">
        <v>974</v>
      </c>
      <c r="F1419" t="s">
        <v>975</v>
      </c>
      <c r="G1419" t="s">
        <v>976</v>
      </c>
      <c r="H1419" s="1" t="s">
        <v>976</v>
      </c>
      <c r="I1419" s="1">
        <v>570</v>
      </c>
      <c r="J1419" s="20">
        <v>2</v>
      </c>
      <c r="K1419" s="1">
        <v>85</v>
      </c>
      <c r="L1419" s="1">
        <v>170</v>
      </c>
      <c r="M1419" s="43" t="s">
        <v>2958</v>
      </c>
      <c r="O1419" s="2" t="s">
        <v>2443</v>
      </c>
      <c r="P1419" t="s">
        <v>24</v>
      </c>
      <c r="Q1419" t="s">
        <v>929</v>
      </c>
    </row>
    <row r="1420" spans="1:17" ht="15" customHeight="1" x14ac:dyDescent="0.25">
      <c r="A1420" s="3" t="s">
        <v>1837</v>
      </c>
      <c r="B1420" s="4" t="s">
        <v>2959</v>
      </c>
      <c r="C1420" t="s">
        <v>1836</v>
      </c>
      <c r="D1420">
        <v>1</v>
      </c>
      <c r="E1420" t="s">
        <v>974</v>
      </c>
      <c r="F1420" t="s">
        <v>975</v>
      </c>
      <c r="G1420" t="s">
        <v>976</v>
      </c>
      <c r="H1420" s="1" t="s">
        <v>976</v>
      </c>
      <c r="I1420" s="1">
        <v>570</v>
      </c>
      <c r="J1420" s="20">
        <v>1</v>
      </c>
      <c r="K1420" s="1">
        <v>85</v>
      </c>
      <c r="L1420" s="1">
        <v>85</v>
      </c>
      <c r="M1420" s="43" t="s">
        <v>2958</v>
      </c>
      <c r="O1420" s="2" t="s">
        <v>2443</v>
      </c>
      <c r="P1420" t="s">
        <v>23</v>
      </c>
      <c r="Q1420" t="s">
        <v>929</v>
      </c>
    </row>
    <row r="1421" spans="1:17" ht="15" customHeight="1" x14ac:dyDescent="0.25">
      <c r="A1421" s="3" t="s">
        <v>1838</v>
      </c>
      <c r="B1421" s="4" t="s">
        <v>2959</v>
      </c>
      <c r="C1421" t="s">
        <v>1836</v>
      </c>
      <c r="D1421">
        <v>1</v>
      </c>
      <c r="E1421" t="s">
        <v>974</v>
      </c>
      <c r="F1421" t="s">
        <v>975</v>
      </c>
      <c r="G1421" t="s">
        <v>976</v>
      </c>
      <c r="H1421" s="1" t="s">
        <v>976</v>
      </c>
      <c r="I1421" s="1">
        <v>570</v>
      </c>
      <c r="J1421" s="20">
        <v>0</v>
      </c>
      <c r="K1421" s="1">
        <v>85</v>
      </c>
      <c r="L1421" s="1">
        <v>0</v>
      </c>
      <c r="M1421" s="43" t="s">
        <v>2958</v>
      </c>
      <c r="O1421" s="2" t="s">
        <v>2443</v>
      </c>
      <c r="P1421" t="s">
        <v>22</v>
      </c>
      <c r="Q1421" t="s">
        <v>929</v>
      </c>
    </row>
    <row r="1422" spans="1:17" ht="15" customHeight="1" x14ac:dyDescent="0.25">
      <c r="A1422" s="3" t="s">
        <v>1839</v>
      </c>
      <c r="B1422" s="4" t="s">
        <v>2959</v>
      </c>
      <c r="C1422" t="s">
        <v>1836</v>
      </c>
      <c r="D1422">
        <v>1</v>
      </c>
      <c r="E1422" t="s">
        <v>974</v>
      </c>
      <c r="F1422" t="s">
        <v>975</v>
      </c>
      <c r="G1422" t="s">
        <v>976</v>
      </c>
      <c r="H1422" s="1" t="s">
        <v>976</v>
      </c>
      <c r="I1422" s="1">
        <v>570</v>
      </c>
      <c r="J1422" s="20">
        <v>0</v>
      </c>
      <c r="K1422" s="1">
        <v>85</v>
      </c>
      <c r="L1422" s="1">
        <v>0</v>
      </c>
      <c r="M1422" s="43" t="s">
        <v>2958</v>
      </c>
      <c r="O1422" s="2" t="s">
        <v>2443</v>
      </c>
      <c r="P1422" t="s">
        <v>21</v>
      </c>
      <c r="Q1422" t="s">
        <v>929</v>
      </c>
    </row>
    <row r="1423" spans="1:17" ht="15" customHeight="1" x14ac:dyDescent="0.25">
      <c r="A1423" s="3" t="s">
        <v>1840</v>
      </c>
      <c r="B1423" s="4" t="s">
        <v>402</v>
      </c>
      <c r="C1423" t="s">
        <v>1836</v>
      </c>
      <c r="D1423">
        <v>1</v>
      </c>
      <c r="E1423" t="s">
        <v>974</v>
      </c>
      <c r="F1423" t="s">
        <v>975</v>
      </c>
      <c r="G1423" t="s">
        <v>976</v>
      </c>
      <c r="H1423" s="1" t="s">
        <v>976</v>
      </c>
      <c r="I1423" s="1">
        <v>570</v>
      </c>
      <c r="J1423" s="20">
        <v>3</v>
      </c>
      <c r="K1423" s="1">
        <v>99.93</v>
      </c>
      <c r="L1423" s="1">
        <v>299.79000000000002</v>
      </c>
      <c r="M1423" s="43" t="s">
        <v>2958</v>
      </c>
      <c r="P1423" t="s">
        <v>24</v>
      </c>
      <c r="Q1423" t="s">
        <v>402</v>
      </c>
    </row>
    <row r="1424" spans="1:17" ht="15" customHeight="1" x14ac:dyDescent="0.25">
      <c r="A1424" s="3" t="s">
        <v>1841</v>
      </c>
      <c r="B1424" s="4" t="s">
        <v>403</v>
      </c>
      <c r="C1424" t="s">
        <v>1836</v>
      </c>
      <c r="D1424">
        <v>1</v>
      </c>
      <c r="E1424" t="s">
        <v>974</v>
      </c>
      <c r="F1424" t="s">
        <v>975</v>
      </c>
      <c r="G1424" t="s">
        <v>976</v>
      </c>
      <c r="H1424" s="1" t="s">
        <v>976</v>
      </c>
      <c r="I1424" s="1">
        <v>570</v>
      </c>
      <c r="J1424" s="20">
        <v>0</v>
      </c>
      <c r="K1424" s="1">
        <v>99.93</v>
      </c>
      <c r="L1424" s="1">
        <v>0</v>
      </c>
      <c r="M1424" s="43" t="s">
        <v>2958</v>
      </c>
      <c r="P1424" t="s">
        <v>23</v>
      </c>
      <c r="Q1424" t="s">
        <v>403</v>
      </c>
    </row>
    <row r="1425" spans="1:17" ht="15" customHeight="1" x14ac:dyDescent="0.25">
      <c r="A1425" s="3" t="s">
        <v>1842</v>
      </c>
      <c r="B1425" s="4" t="s">
        <v>404</v>
      </c>
      <c r="C1425" t="s">
        <v>1836</v>
      </c>
      <c r="D1425">
        <v>1</v>
      </c>
      <c r="E1425" t="s">
        <v>974</v>
      </c>
      <c r="F1425" t="s">
        <v>975</v>
      </c>
      <c r="G1425" t="s">
        <v>976</v>
      </c>
      <c r="H1425" s="1" t="s">
        <v>976</v>
      </c>
      <c r="I1425" s="1">
        <v>570</v>
      </c>
      <c r="J1425" s="20">
        <v>3</v>
      </c>
      <c r="K1425" s="1">
        <v>99.93</v>
      </c>
      <c r="L1425" s="1">
        <v>299.79000000000002</v>
      </c>
      <c r="M1425" s="43" t="s">
        <v>2958</v>
      </c>
      <c r="P1425" t="s">
        <v>22</v>
      </c>
      <c r="Q1425" t="s">
        <v>404</v>
      </c>
    </row>
    <row r="1426" spans="1:17" ht="15" customHeight="1" x14ac:dyDescent="0.25">
      <c r="A1426" s="3" t="s">
        <v>1843</v>
      </c>
      <c r="B1426" s="4" t="s">
        <v>405</v>
      </c>
      <c r="C1426" t="s">
        <v>1836</v>
      </c>
      <c r="D1426">
        <v>1</v>
      </c>
      <c r="E1426" t="s">
        <v>974</v>
      </c>
      <c r="F1426" t="s">
        <v>975</v>
      </c>
      <c r="G1426" t="s">
        <v>976</v>
      </c>
      <c r="H1426" s="1" t="s">
        <v>976</v>
      </c>
      <c r="I1426" s="1">
        <v>570</v>
      </c>
      <c r="J1426" s="20">
        <v>0</v>
      </c>
      <c r="K1426" s="1">
        <v>99.93</v>
      </c>
      <c r="L1426" s="1">
        <v>0</v>
      </c>
      <c r="M1426" s="43" t="s">
        <v>2958</v>
      </c>
      <c r="P1426" t="s">
        <v>21</v>
      </c>
      <c r="Q1426" t="s">
        <v>405</v>
      </c>
    </row>
    <row r="1427" spans="1:17" ht="15" customHeight="1" x14ac:dyDescent="0.25">
      <c r="A1427" s="3" t="s">
        <v>1844</v>
      </c>
      <c r="B1427" s="4" t="s">
        <v>930</v>
      </c>
      <c r="C1427" t="s">
        <v>1836</v>
      </c>
      <c r="D1427">
        <v>4</v>
      </c>
      <c r="E1427" t="s">
        <v>1018</v>
      </c>
      <c r="F1427" t="s">
        <v>975</v>
      </c>
      <c r="G1427" t="s">
        <v>976</v>
      </c>
      <c r="H1427" s="1" t="s">
        <v>976</v>
      </c>
      <c r="I1427" s="1">
        <v>1400</v>
      </c>
      <c r="J1427" s="20">
        <v>0</v>
      </c>
      <c r="K1427" s="1">
        <v>0</v>
      </c>
      <c r="L1427" s="1">
        <v>0</v>
      </c>
      <c r="M1427" s="43" t="s">
        <v>2958</v>
      </c>
      <c r="N1427" s="1" t="s">
        <v>2616</v>
      </c>
      <c r="Q1427" t="s">
        <v>930</v>
      </c>
    </row>
    <row r="1428" spans="1:17" ht="15" customHeight="1" x14ac:dyDescent="0.25">
      <c r="A1428" s="3" t="s">
        <v>1845</v>
      </c>
      <c r="B1428" s="4" t="s">
        <v>406</v>
      </c>
      <c r="C1428" t="s">
        <v>1836</v>
      </c>
      <c r="D1428">
        <v>1</v>
      </c>
      <c r="E1428" t="s">
        <v>974</v>
      </c>
      <c r="F1428" t="s">
        <v>975</v>
      </c>
      <c r="G1428" t="s">
        <v>976</v>
      </c>
      <c r="H1428" s="1" t="s">
        <v>976</v>
      </c>
      <c r="I1428" s="1">
        <v>1400</v>
      </c>
      <c r="J1428" s="20">
        <v>1</v>
      </c>
      <c r="K1428" s="1">
        <v>0</v>
      </c>
      <c r="L1428" s="1">
        <v>0</v>
      </c>
      <c r="M1428" s="43" t="s">
        <v>2958</v>
      </c>
      <c r="P1428" t="s">
        <v>24</v>
      </c>
      <c r="Q1428" t="s">
        <v>406</v>
      </c>
    </row>
    <row r="1429" spans="1:17" ht="15" customHeight="1" x14ac:dyDescent="0.25">
      <c r="A1429" s="3" t="s">
        <v>1846</v>
      </c>
      <c r="B1429" s="4" t="s">
        <v>407</v>
      </c>
      <c r="C1429" t="s">
        <v>1836</v>
      </c>
      <c r="D1429">
        <v>1</v>
      </c>
      <c r="E1429" t="s">
        <v>974</v>
      </c>
      <c r="F1429" t="s">
        <v>975</v>
      </c>
      <c r="G1429" t="s">
        <v>976</v>
      </c>
      <c r="H1429" s="1" t="s">
        <v>976</v>
      </c>
      <c r="I1429" s="1">
        <v>1400</v>
      </c>
      <c r="J1429" s="20">
        <v>5</v>
      </c>
      <c r="K1429" s="1">
        <v>249</v>
      </c>
      <c r="L1429" s="1">
        <v>1245</v>
      </c>
      <c r="M1429" s="43" t="s">
        <v>2958</v>
      </c>
      <c r="P1429" t="s">
        <v>23</v>
      </c>
      <c r="Q1429" t="s">
        <v>407</v>
      </c>
    </row>
    <row r="1430" spans="1:17" ht="15" customHeight="1" x14ac:dyDescent="0.25">
      <c r="A1430" s="3" t="s">
        <v>1847</v>
      </c>
      <c r="B1430" s="4" t="s">
        <v>408</v>
      </c>
      <c r="C1430" t="s">
        <v>1836</v>
      </c>
      <c r="D1430">
        <v>1</v>
      </c>
      <c r="E1430" t="s">
        <v>974</v>
      </c>
      <c r="F1430" t="s">
        <v>975</v>
      </c>
      <c r="G1430" t="s">
        <v>976</v>
      </c>
      <c r="H1430" s="1" t="s">
        <v>976</v>
      </c>
      <c r="I1430" s="1">
        <v>1400</v>
      </c>
      <c r="J1430" s="20">
        <v>8</v>
      </c>
      <c r="K1430" s="1">
        <v>249</v>
      </c>
      <c r="L1430" s="1">
        <v>1992</v>
      </c>
      <c r="M1430" s="43" t="s">
        <v>2958</v>
      </c>
      <c r="P1430" t="s">
        <v>22</v>
      </c>
      <c r="Q1430" t="s">
        <v>408</v>
      </c>
    </row>
    <row r="1431" spans="1:17" ht="15" customHeight="1" x14ac:dyDescent="0.25">
      <c r="A1431" s="3" t="s">
        <v>1848</v>
      </c>
      <c r="B1431" s="4" t="s">
        <v>409</v>
      </c>
      <c r="C1431" t="s">
        <v>1836</v>
      </c>
      <c r="D1431">
        <v>1</v>
      </c>
      <c r="E1431" t="s">
        <v>974</v>
      </c>
      <c r="F1431" t="s">
        <v>975</v>
      </c>
      <c r="G1431" t="s">
        <v>976</v>
      </c>
      <c r="H1431" s="1" t="s">
        <v>976</v>
      </c>
      <c r="I1431" s="1">
        <v>1400</v>
      </c>
      <c r="J1431" s="20">
        <v>3</v>
      </c>
      <c r="K1431" s="1">
        <v>249</v>
      </c>
      <c r="L1431" s="1">
        <v>747</v>
      </c>
      <c r="M1431" s="43" t="s">
        <v>2958</v>
      </c>
      <c r="P1431" t="s">
        <v>21</v>
      </c>
      <c r="Q1431" t="s">
        <v>409</v>
      </c>
    </row>
    <row r="1432" spans="1:17" ht="15" customHeight="1" x14ac:dyDescent="0.25">
      <c r="A1432" s="3" t="s">
        <v>1849</v>
      </c>
      <c r="B1432" s="4" t="s">
        <v>2960</v>
      </c>
      <c r="C1432" t="s">
        <v>1836</v>
      </c>
      <c r="D1432">
        <v>1</v>
      </c>
      <c r="E1432" t="s">
        <v>974</v>
      </c>
      <c r="F1432" t="s">
        <v>975</v>
      </c>
      <c r="G1432" t="s">
        <v>976</v>
      </c>
      <c r="H1432" s="1" t="s">
        <v>976</v>
      </c>
      <c r="I1432" s="1">
        <v>1400</v>
      </c>
      <c r="J1432" s="20">
        <v>0</v>
      </c>
      <c r="K1432" s="1">
        <v>0</v>
      </c>
      <c r="L1432" s="1">
        <v>0</v>
      </c>
      <c r="M1432" s="43" t="s">
        <v>2958</v>
      </c>
      <c r="O1432" s="2" t="s">
        <v>2472</v>
      </c>
      <c r="P1432" t="s">
        <v>24</v>
      </c>
      <c r="Q1432" t="s">
        <v>931</v>
      </c>
    </row>
    <row r="1433" spans="1:17" ht="15" customHeight="1" x14ac:dyDescent="0.25">
      <c r="A1433" s="3" t="s">
        <v>1850</v>
      </c>
      <c r="B1433" s="4" t="s">
        <v>2960</v>
      </c>
      <c r="C1433" t="s">
        <v>1836</v>
      </c>
      <c r="D1433">
        <v>1</v>
      </c>
      <c r="E1433" t="s">
        <v>974</v>
      </c>
      <c r="F1433" t="s">
        <v>975</v>
      </c>
      <c r="G1433" t="s">
        <v>976</v>
      </c>
      <c r="H1433" s="1" t="s">
        <v>976</v>
      </c>
      <c r="I1433" s="1">
        <v>1400</v>
      </c>
      <c r="J1433" s="20">
        <v>4</v>
      </c>
      <c r="K1433" s="1">
        <v>251</v>
      </c>
      <c r="L1433" s="1">
        <v>1004</v>
      </c>
      <c r="M1433" s="43" t="s">
        <v>2958</v>
      </c>
      <c r="O1433" s="2" t="s">
        <v>2472</v>
      </c>
      <c r="P1433" t="s">
        <v>23</v>
      </c>
      <c r="Q1433" t="s">
        <v>931</v>
      </c>
    </row>
    <row r="1434" spans="1:17" ht="15" customHeight="1" x14ac:dyDescent="0.25">
      <c r="A1434" s="42" t="s">
        <v>1850</v>
      </c>
      <c r="B1434" s="3" t="s">
        <v>2960</v>
      </c>
      <c r="C1434" s="42" t="s">
        <v>1836</v>
      </c>
      <c r="D1434">
        <v>2</v>
      </c>
      <c r="E1434" t="s">
        <v>1017</v>
      </c>
      <c r="F1434" t="s">
        <v>975</v>
      </c>
      <c r="G1434" t="s">
        <v>976</v>
      </c>
      <c r="H1434" s="1" t="s">
        <v>976</v>
      </c>
      <c r="I1434" s="1">
        <v>1400</v>
      </c>
      <c r="J1434" s="20">
        <v>0</v>
      </c>
      <c r="K1434" s="1">
        <v>0</v>
      </c>
      <c r="L1434" s="1">
        <v>0</v>
      </c>
      <c r="M1434" s="43" t="s">
        <v>2958</v>
      </c>
      <c r="O1434" s="2" t="s">
        <v>2472</v>
      </c>
      <c r="P1434" t="s">
        <v>23</v>
      </c>
      <c r="Q1434" t="s">
        <v>931</v>
      </c>
    </row>
    <row r="1435" spans="1:17" ht="15" customHeight="1" x14ac:dyDescent="0.25">
      <c r="A1435" s="3" t="s">
        <v>1851</v>
      </c>
      <c r="B1435" s="4" t="s">
        <v>2960</v>
      </c>
      <c r="C1435" t="s">
        <v>1836</v>
      </c>
      <c r="D1435">
        <v>1</v>
      </c>
      <c r="E1435" t="s">
        <v>974</v>
      </c>
      <c r="F1435" t="s">
        <v>975</v>
      </c>
      <c r="G1435" t="s">
        <v>976</v>
      </c>
      <c r="H1435" s="1" t="s">
        <v>976</v>
      </c>
      <c r="I1435" s="1">
        <v>1400</v>
      </c>
      <c r="J1435" s="20">
        <v>6</v>
      </c>
      <c r="K1435" s="1">
        <v>251</v>
      </c>
      <c r="L1435" s="1">
        <v>1506</v>
      </c>
      <c r="M1435" s="43" t="s">
        <v>2958</v>
      </c>
      <c r="O1435" s="2" t="s">
        <v>2472</v>
      </c>
      <c r="P1435" t="s">
        <v>22</v>
      </c>
      <c r="Q1435" t="s">
        <v>931</v>
      </c>
    </row>
    <row r="1436" spans="1:17" ht="15" customHeight="1" x14ac:dyDescent="0.25">
      <c r="A1436" s="3" t="s">
        <v>1852</v>
      </c>
      <c r="B1436" s="4" t="s">
        <v>2960</v>
      </c>
      <c r="C1436" t="s">
        <v>1836</v>
      </c>
      <c r="D1436">
        <v>1</v>
      </c>
      <c r="E1436" t="s">
        <v>974</v>
      </c>
      <c r="F1436" t="s">
        <v>975</v>
      </c>
      <c r="G1436" t="s">
        <v>976</v>
      </c>
      <c r="H1436" s="1" t="s">
        <v>976</v>
      </c>
      <c r="I1436" s="1">
        <v>1400</v>
      </c>
      <c r="J1436" s="20">
        <v>2</v>
      </c>
      <c r="K1436" s="1">
        <v>251</v>
      </c>
      <c r="L1436" s="1">
        <v>502</v>
      </c>
      <c r="M1436" s="43" t="s">
        <v>2958</v>
      </c>
      <c r="O1436" s="2" t="s">
        <v>2472</v>
      </c>
      <c r="P1436" t="s">
        <v>21</v>
      </c>
      <c r="Q1436" t="s">
        <v>931</v>
      </c>
    </row>
    <row r="1437" spans="1:17" ht="15" customHeight="1" x14ac:dyDescent="0.25">
      <c r="A1437" s="3" t="s">
        <v>1853</v>
      </c>
      <c r="B1437" s="4" t="s">
        <v>932</v>
      </c>
      <c r="C1437" t="s">
        <v>1241</v>
      </c>
      <c r="D1437">
        <v>1</v>
      </c>
      <c r="E1437" t="s">
        <v>974</v>
      </c>
      <c r="F1437" t="s">
        <v>975</v>
      </c>
      <c r="G1437" t="s">
        <v>976</v>
      </c>
      <c r="H1437" s="1" t="s">
        <v>976</v>
      </c>
      <c r="I1437" s="1">
        <v>1400</v>
      </c>
      <c r="J1437" s="20">
        <v>0</v>
      </c>
      <c r="K1437" s="1">
        <v>0</v>
      </c>
      <c r="L1437" s="1">
        <v>0</v>
      </c>
      <c r="M1437" s="43" t="s">
        <v>2958</v>
      </c>
      <c r="N1437" s="1" t="s">
        <v>2616</v>
      </c>
      <c r="Q1437" t="s">
        <v>932</v>
      </c>
    </row>
    <row r="1438" spans="1:17" ht="15" customHeight="1" x14ac:dyDescent="0.25">
      <c r="A1438" s="3" t="s">
        <v>1854</v>
      </c>
      <c r="B1438" s="4" t="s">
        <v>1836</v>
      </c>
      <c r="C1438" t="s">
        <v>1855</v>
      </c>
      <c r="D1438">
        <v>4</v>
      </c>
      <c r="E1438" t="s">
        <v>1018</v>
      </c>
      <c r="F1438" t="s">
        <v>975</v>
      </c>
      <c r="G1438" t="s">
        <v>180</v>
      </c>
      <c r="H1438" s="1" t="s">
        <v>976</v>
      </c>
      <c r="I1438" s="1">
        <v>750</v>
      </c>
      <c r="J1438" s="20">
        <v>1</v>
      </c>
      <c r="K1438" s="1">
        <v>100</v>
      </c>
      <c r="L1438" s="1">
        <v>100</v>
      </c>
      <c r="M1438" s="43" t="s">
        <v>2958</v>
      </c>
      <c r="O1438" s="2" t="s">
        <v>2463</v>
      </c>
      <c r="Q1438" t="s">
        <v>933</v>
      </c>
    </row>
    <row r="1439" spans="1:17" ht="15" customHeight="1" x14ac:dyDescent="0.25">
      <c r="A1439" s="3" t="s">
        <v>1856</v>
      </c>
      <c r="B1439" s="4" t="s">
        <v>410</v>
      </c>
      <c r="C1439" t="s">
        <v>1383</v>
      </c>
      <c r="D1439">
        <v>1</v>
      </c>
      <c r="E1439" t="s">
        <v>974</v>
      </c>
      <c r="F1439" t="s">
        <v>975</v>
      </c>
      <c r="G1439" t="s">
        <v>976</v>
      </c>
      <c r="H1439" s="1" t="s">
        <v>976</v>
      </c>
      <c r="I1439" s="1">
        <v>870</v>
      </c>
      <c r="J1439" s="20">
        <v>1</v>
      </c>
      <c r="K1439" s="1">
        <v>239</v>
      </c>
      <c r="L1439" s="1">
        <v>239</v>
      </c>
      <c r="M1439" s="43" t="s">
        <v>2961</v>
      </c>
      <c r="P1439">
        <v>34</v>
      </c>
      <c r="Q1439" t="s">
        <v>410</v>
      </c>
    </row>
    <row r="1440" spans="1:17" ht="15" customHeight="1" x14ac:dyDescent="0.25">
      <c r="A1440" s="3" t="s">
        <v>1857</v>
      </c>
      <c r="B1440" s="4" t="s">
        <v>411</v>
      </c>
      <c r="C1440" t="s">
        <v>1383</v>
      </c>
      <c r="D1440">
        <v>1</v>
      </c>
      <c r="E1440" t="s">
        <v>974</v>
      </c>
      <c r="F1440" t="s">
        <v>975</v>
      </c>
      <c r="G1440" t="s">
        <v>976</v>
      </c>
      <c r="H1440" s="1" t="s">
        <v>976</v>
      </c>
      <c r="I1440" s="1">
        <v>870</v>
      </c>
      <c r="J1440" s="20">
        <v>0</v>
      </c>
      <c r="K1440" s="1">
        <v>239</v>
      </c>
      <c r="L1440" s="1">
        <v>0</v>
      </c>
      <c r="M1440" s="43" t="s">
        <v>2961</v>
      </c>
      <c r="P1440">
        <v>35</v>
      </c>
      <c r="Q1440" t="s">
        <v>411</v>
      </c>
    </row>
    <row r="1441" spans="1:17" ht="15" customHeight="1" x14ac:dyDescent="0.25">
      <c r="A1441" s="3" t="s">
        <v>1858</v>
      </c>
      <c r="B1441" s="4" t="s">
        <v>412</v>
      </c>
      <c r="C1441" t="s">
        <v>1383</v>
      </c>
      <c r="D1441">
        <v>1</v>
      </c>
      <c r="E1441" t="s">
        <v>974</v>
      </c>
      <c r="F1441" t="s">
        <v>975</v>
      </c>
      <c r="G1441" t="s">
        <v>976</v>
      </c>
      <c r="H1441" s="1" t="s">
        <v>976</v>
      </c>
      <c r="I1441" s="1">
        <v>870</v>
      </c>
      <c r="J1441" s="20">
        <v>1</v>
      </c>
      <c r="K1441" s="1">
        <v>239</v>
      </c>
      <c r="L1441" s="1">
        <v>239</v>
      </c>
      <c r="M1441" s="43" t="s">
        <v>2961</v>
      </c>
      <c r="P1441">
        <v>36</v>
      </c>
      <c r="Q1441" t="s">
        <v>412</v>
      </c>
    </row>
    <row r="1442" spans="1:17" ht="15" customHeight="1" x14ac:dyDescent="0.25">
      <c r="A1442" s="3" t="s">
        <v>1859</v>
      </c>
      <c r="B1442" s="4" t="s">
        <v>413</v>
      </c>
      <c r="C1442" t="s">
        <v>1383</v>
      </c>
      <c r="D1442">
        <v>1</v>
      </c>
      <c r="E1442" t="s">
        <v>974</v>
      </c>
      <c r="F1442" t="s">
        <v>975</v>
      </c>
      <c r="G1442" t="s">
        <v>976</v>
      </c>
      <c r="H1442" s="1" t="s">
        <v>976</v>
      </c>
      <c r="I1442" s="1">
        <v>870</v>
      </c>
      <c r="J1442" s="20">
        <v>3</v>
      </c>
      <c r="K1442" s="1">
        <v>239</v>
      </c>
      <c r="L1442" s="1">
        <v>717</v>
      </c>
      <c r="M1442" s="43" t="s">
        <v>2961</v>
      </c>
      <c r="P1442">
        <v>37</v>
      </c>
      <c r="Q1442" t="s">
        <v>413</v>
      </c>
    </row>
    <row r="1443" spans="1:17" ht="15" customHeight="1" x14ac:dyDescent="0.25">
      <c r="A1443" s="42" t="s">
        <v>1859</v>
      </c>
      <c r="B1443" s="3" t="s">
        <v>413</v>
      </c>
      <c r="C1443" s="42" t="s">
        <v>1383</v>
      </c>
      <c r="D1443">
        <v>4</v>
      </c>
      <c r="E1443" t="s">
        <v>1018</v>
      </c>
      <c r="F1443" t="s">
        <v>975</v>
      </c>
      <c r="G1443" t="s">
        <v>976</v>
      </c>
      <c r="H1443" s="1" t="s">
        <v>976</v>
      </c>
      <c r="I1443" s="1">
        <v>870</v>
      </c>
      <c r="J1443" s="20">
        <v>0</v>
      </c>
      <c r="K1443" s="1">
        <v>0</v>
      </c>
      <c r="L1443" s="1">
        <v>0</v>
      </c>
      <c r="M1443" s="43" t="s">
        <v>2961</v>
      </c>
      <c r="P1443">
        <v>37</v>
      </c>
      <c r="Q1443" t="s">
        <v>413</v>
      </c>
    </row>
    <row r="1444" spans="1:17" ht="15" customHeight="1" x14ac:dyDescent="0.25">
      <c r="A1444" s="3" t="s">
        <v>1860</v>
      </c>
      <c r="B1444" s="4" t="s">
        <v>414</v>
      </c>
      <c r="C1444" t="s">
        <v>1383</v>
      </c>
      <c r="D1444">
        <v>1</v>
      </c>
      <c r="E1444" t="s">
        <v>974</v>
      </c>
      <c r="F1444" t="s">
        <v>975</v>
      </c>
      <c r="G1444" t="s">
        <v>976</v>
      </c>
      <c r="H1444" s="1" t="s">
        <v>976</v>
      </c>
      <c r="I1444" s="1">
        <v>870</v>
      </c>
      <c r="J1444" s="20">
        <v>2</v>
      </c>
      <c r="K1444" s="1">
        <v>239</v>
      </c>
      <c r="L1444" s="1">
        <v>478</v>
      </c>
      <c r="M1444" s="43" t="s">
        <v>2961</v>
      </c>
      <c r="P1444">
        <v>38</v>
      </c>
      <c r="Q1444" t="s">
        <v>414</v>
      </c>
    </row>
    <row r="1445" spans="1:17" ht="15" customHeight="1" x14ac:dyDescent="0.25">
      <c r="A1445" s="3" t="s">
        <v>1861</v>
      </c>
      <c r="B1445" s="4" t="s">
        <v>415</v>
      </c>
      <c r="C1445" t="s">
        <v>1383</v>
      </c>
      <c r="D1445">
        <v>1</v>
      </c>
      <c r="E1445" t="s">
        <v>974</v>
      </c>
      <c r="F1445" t="s">
        <v>975</v>
      </c>
      <c r="G1445" t="s">
        <v>976</v>
      </c>
      <c r="H1445" s="1" t="s">
        <v>976</v>
      </c>
      <c r="I1445" s="1">
        <v>870</v>
      </c>
      <c r="J1445" s="20">
        <v>0</v>
      </c>
      <c r="K1445" s="1">
        <v>239</v>
      </c>
      <c r="L1445" s="1">
        <v>0</v>
      </c>
      <c r="M1445" s="43" t="s">
        <v>2961</v>
      </c>
      <c r="P1445">
        <v>39</v>
      </c>
      <c r="Q1445" t="s">
        <v>415</v>
      </c>
    </row>
    <row r="1446" spans="1:17" ht="15" customHeight="1" x14ac:dyDescent="0.25">
      <c r="A1446" s="3" t="s">
        <v>1862</v>
      </c>
      <c r="B1446" s="4" t="s">
        <v>416</v>
      </c>
      <c r="C1446" t="s">
        <v>1383</v>
      </c>
      <c r="D1446">
        <v>1</v>
      </c>
      <c r="E1446" t="s">
        <v>974</v>
      </c>
      <c r="F1446" t="s">
        <v>975</v>
      </c>
      <c r="G1446" t="s">
        <v>976</v>
      </c>
      <c r="H1446" s="1" t="s">
        <v>976</v>
      </c>
      <c r="I1446" s="1">
        <v>870</v>
      </c>
      <c r="J1446" s="20">
        <v>6</v>
      </c>
      <c r="K1446" s="1">
        <v>239</v>
      </c>
      <c r="L1446" s="1">
        <v>1434</v>
      </c>
      <c r="M1446" s="43" t="s">
        <v>2961</v>
      </c>
      <c r="P1446">
        <v>40</v>
      </c>
      <c r="Q1446" t="s">
        <v>416</v>
      </c>
    </row>
    <row r="1447" spans="1:17" ht="15" customHeight="1" x14ac:dyDescent="0.25">
      <c r="A1447" s="3" t="s">
        <v>1863</v>
      </c>
      <c r="B1447" s="4" t="s">
        <v>417</v>
      </c>
      <c r="C1447" t="s">
        <v>1383</v>
      </c>
      <c r="D1447">
        <v>1</v>
      </c>
      <c r="E1447" t="s">
        <v>974</v>
      </c>
      <c r="F1447" t="s">
        <v>975</v>
      </c>
      <c r="G1447" t="s">
        <v>976</v>
      </c>
      <c r="H1447" s="1" t="s">
        <v>976</v>
      </c>
      <c r="I1447" s="1">
        <v>870</v>
      </c>
      <c r="J1447" s="20">
        <v>1</v>
      </c>
      <c r="K1447" s="1">
        <v>239</v>
      </c>
      <c r="L1447" s="1">
        <v>239</v>
      </c>
      <c r="M1447" s="43" t="s">
        <v>2961</v>
      </c>
      <c r="Q1447" t="s">
        <v>417</v>
      </c>
    </row>
    <row r="1448" spans="1:17" ht="15" customHeight="1" x14ac:dyDescent="0.25">
      <c r="A1448" s="3" t="s">
        <v>1864</v>
      </c>
      <c r="B1448" s="4" t="s">
        <v>418</v>
      </c>
      <c r="C1448" t="s">
        <v>1383</v>
      </c>
      <c r="D1448">
        <v>1</v>
      </c>
      <c r="E1448" t="s">
        <v>974</v>
      </c>
      <c r="F1448" t="s">
        <v>975</v>
      </c>
      <c r="G1448" t="s">
        <v>976</v>
      </c>
      <c r="H1448" s="1" t="s">
        <v>976</v>
      </c>
      <c r="I1448" s="1">
        <v>870</v>
      </c>
      <c r="J1448" s="20">
        <v>2</v>
      </c>
      <c r="K1448" s="1">
        <v>239</v>
      </c>
      <c r="L1448" s="1">
        <v>478</v>
      </c>
      <c r="M1448" s="43" t="s">
        <v>2961</v>
      </c>
      <c r="P1448">
        <v>42</v>
      </c>
      <c r="Q1448" t="s">
        <v>418</v>
      </c>
    </row>
    <row r="1449" spans="1:17" ht="15" customHeight="1" x14ac:dyDescent="0.25">
      <c r="A1449" s="3" t="s">
        <v>1865</v>
      </c>
      <c r="B1449" s="4" t="s">
        <v>419</v>
      </c>
      <c r="C1449" t="s">
        <v>1383</v>
      </c>
      <c r="D1449">
        <v>1</v>
      </c>
      <c r="E1449" t="s">
        <v>974</v>
      </c>
      <c r="F1449" t="s">
        <v>975</v>
      </c>
      <c r="G1449" t="s">
        <v>976</v>
      </c>
      <c r="H1449" s="1" t="s">
        <v>976</v>
      </c>
      <c r="I1449" s="1">
        <v>870</v>
      </c>
      <c r="J1449" s="20">
        <v>0</v>
      </c>
      <c r="K1449" s="1">
        <v>239</v>
      </c>
      <c r="L1449" s="1">
        <v>0</v>
      </c>
      <c r="M1449" s="43" t="s">
        <v>2961</v>
      </c>
      <c r="Q1449" t="s">
        <v>419</v>
      </c>
    </row>
    <row r="1450" spans="1:17" ht="15" customHeight="1" x14ac:dyDescent="0.25">
      <c r="A1450" s="3" t="s">
        <v>1866</v>
      </c>
      <c r="B1450" s="4" t="s">
        <v>420</v>
      </c>
      <c r="C1450" t="s">
        <v>1383</v>
      </c>
      <c r="D1450">
        <v>1</v>
      </c>
      <c r="E1450" t="s">
        <v>974</v>
      </c>
      <c r="F1450" t="s">
        <v>975</v>
      </c>
      <c r="G1450" t="s">
        <v>976</v>
      </c>
      <c r="H1450" s="1" t="s">
        <v>976</v>
      </c>
      <c r="I1450" s="1">
        <v>870</v>
      </c>
      <c r="J1450" s="20">
        <v>0</v>
      </c>
      <c r="K1450" s="1">
        <v>239</v>
      </c>
      <c r="L1450" s="1">
        <v>0</v>
      </c>
      <c r="M1450" s="43" t="s">
        <v>2961</v>
      </c>
      <c r="P1450">
        <v>44</v>
      </c>
      <c r="Q1450" t="s">
        <v>420</v>
      </c>
    </row>
    <row r="1451" spans="1:17" ht="15" customHeight="1" x14ac:dyDescent="0.25">
      <c r="A1451" s="3" t="s">
        <v>1867</v>
      </c>
      <c r="B1451" s="4" t="s">
        <v>421</v>
      </c>
      <c r="C1451" t="s">
        <v>1383</v>
      </c>
      <c r="D1451">
        <v>1</v>
      </c>
      <c r="E1451" t="s">
        <v>974</v>
      </c>
      <c r="F1451" t="s">
        <v>975</v>
      </c>
      <c r="G1451" t="s">
        <v>976</v>
      </c>
      <c r="H1451" s="1" t="s">
        <v>976</v>
      </c>
      <c r="I1451" s="1">
        <v>0.1</v>
      </c>
      <c r="J1451" s="20">
        <v>0</v>
      </c>
      <c r="K1451" s="1">
        <v>0</v>
      </c>
      <c r="L1451" s="1">
        <v>0</v>
      </c>
      <c r="M1451" s="43" t="s">
        <v>2961</v>
      </c>
      <c r="Q1451" t="s">
        <v>421</v>
      </c>
    </row>
    <row r="1452" spans="1:17" ht="15" customHeight="1" x14ac:dyDescent="0.25">
      <c r="A1452" s="3" t="s">
        <v>1868</v>
      </c>
      <c r="B1452" s="4" t="s">
        <v>422</v>
      </c>
      <c r="C1452" t="s">
        <v>1383</v>
      </c>
      <c r="D1452">
        <v>1</v>
      </c>
      <c r="E1452" t="s">
        <v>974</v>
      </c>
      <c r="F1452" t="s">
        <v>975</v>
      </c>
      <c r="G1452" t="s">
        <v>976</v>
      </c>
      <c r="H1452" s="1" t="s">
        <v>976</v>
      </c>
      <c r="I1452" s="1">
        <v>0</v>
      </c>
      <c r="J1452" s="20">
        <v>0</v>
      </c>
      <c r="K1452" s="1">
        <v>0</v>
      </c>
      <c r="L1452" s="1">
        <v>0</v>
      </c>
      <c r="M1452" s="43" t="s">
        <v>2961</v>
      </c>
      <c r="Q1452" t="s">
        <v>422</v>
      </c>
    </row>
    <row r="1453" spans="1:17" ht="15" customHeight="1" x14ac:dyDescent="0.25">
      <c r="A1453" s="3" t="s">
        <v>1869</v>
      </c>
      <c r="B1453" s="4" t="s">
        <v>423</v>
      </c>
      <c r="C1453" t="s">
        <v>1383</v>
      </c>
      <c r="D1453">
        <v>1</v>
      </c>
      <c r="E1453" t="s">
        <v>974</v>
      </c>
      <c r="F1453" t="s">
        <v>975</v>
      </c>
      <c r="G1453" t="s">
        <v>180</v>
      </c>
      <c r="H1453" s="1" t="s">
        <v>976</v>
      </c>
      <c r="I1453" s="1">
        <v>990</v>
      </c>
      <c r="J1453" s="20">
        <v>2</v>
      </c>
      <c r="K1453" s="1">
        <v>229</v>
      </c>
      <c r="L1453" s="1">
        <v>458</v>
      </c>
      <c r="M1453" s="43" t="s">
        <v>2962</v>
      </c>
      <c r="P1453">
        <v>35</v>
      </c>
      <c r="Q1453" t="s">
        <v>423</v>
      </c>
    </row>
    <row r="1454" spans="1:17" ht="15" customHeight="1" x14ac:dyDescent="0.25">
      <c r="A1454" s="3" t="s">
        <v>1870</v>
      </c>
      <c r="B1454" s="4" t="s">
        <v>424</v>
      </c>
      <c r="C1454" t="s">
        <v>1383</v>
      </c>
      <c r="D1454">
        <v>1</v>
      </c>
      <c r="E1454" t="s">
        <v>974</v>
      </c>
      <c r="F1454" t="s">
        <v>975</v>
      </c>
      <c r="G1454" t="s">
        <v>180</v>
      </c>
      <c r="H1454" s="1" t="s">
        <v>976</v>
      </c>
      <c r="I1454" s="1">
        <v>990</v>
      </c>
      <c r="J1454" s="20">
        <v>3</v>
      </c>
      <c r="K1454" s="1">
        <v>229</v>
      </c>
      <c r="L1454" s="1">
        <v>687</v>
      </c>
      <c r="M1454" s="43" t="s">
        <v>2962</v>
      </c>
      <c r="P1454">
        <v>36</v>
      </c>
      <c r="Q1454" t="s">
        <v>424</v>
      </c>
    </row>
    <row r="1455" spans="1:17" ht="15" customHeight="1" x14ac:dyDescent="0.25">
      <c r="A1455" s="3" t="s">
        <v>1871</v>
      </c>
      <c r="B1455" s="4" t="s">
        <v>425</v>
      </c>
      <c r="C1455" t="s">
        <v>1383</v>
      </c>
      <c r="D1455">
        <v>1</v>
      </c>
      <c r="E1455" t="s">
        <v>974</v>
      </c>
      <c r="F1455" t="s">
        <v>975</v>
      </c>
      <c r="G1455" t="s">
        <v>180</v>
      </c>
      <c r="H1455" s="1" t="s">
        <v>976</v>
      </c>
      <c r="I1455" s="1">
        <v>990</v>
      </c>
      <c r="J1455" s="20">
        <v>6</v>
      </c>
      <c r="K1455" s="1">
        <v>229</v>
      </c>
      <c r="L1455" s="1">
        <v>1374</v>
      </c>
      <c r="M1455" s="43" t="s">
        <v>2962</v>
      </c>
      <c r="P1455">
        <v>37</v>
      </c>
      <c r="Q1455" t="s">
        <v>425</v>
      </c>
    </row>
    <row r="1456" spans="1:17" ht="15" customHeight="1" x14ac:dyDescent="0.25">
      <c r="A1456" s="42" t="s">
        <v>1871</v>
      </c>
      <c r="B1456" s="3" t="s">
        <v>425</v>
      </c>
      <c r="C1456" s="42" t="s">
        <v>1383</v>
      </c>
      <c r="D1456">
        <v>3</v>
      </c>
      <c r="E1456" t="s">
        <v>1179</v>
      </c>
      <c r="F1456" t="s">
        <v>1180</v>
      </c>
      <c r="G1456" t="s">
        <v>180</v>
      </c>
      <c r="H1456" s="1" t="s">
        <v>976</v>
      </c>
      <c r="I1456" s="1">
        <v>990</v>
      </c>
      <c r="J1456" s="20">
        <v>0</v>
      </c>
      <c r="K1456" s="1">
        <v>229</v>
      </c>
      <c r="L1456" s="1">
        <v>0</v>
      </c>
      <c r="M1456" s="43" t="s">
        <v>2962</v>
      </c>
      <c r="P1456">
        <v>37</v>
      </c>
      <c r="Q1456" t="s">
        <v>425</v>
      </c>
    </row>
    <row r="1457" spans="1:17" ht="15" customHeight="1" x14ac:dyDescent="0.25">
      <c r="A1457" s="3" t="s">
        <v>1872</v>
      </c>
      <c r="B1457" s="4" t="s">
        <v>426</v>
      </c>
      <c r="C1457" t="s">
        <v>1383</v>
      </c>
      <c r="D1457">
        <v>1</v>
      </c>
      <c r="E1457" t="s">
        <v>974</v>
      </c>
      <c r="F1457" t="s">
        <v>975</v>
      </c>
      <c r="G1457" t="s">
        <v>180</v>
      </c>
      <c r="H1457" s="1" t="s">
        <v>976</v>
      </c>
      <c r="I1457" s="1">
        <v>990</v>
      </c>
      <c r="J1457" s="20">
        <v>3</v>
      </c>
      <c r="K1457" s="1">
        <v>229</v>
      </c>
      <c r="L1457" s="1">
        <v>687</v>
      </c>
      <c r="M1457" s="43" t="s">
        <v>2962</v>
      </c>
      <c r="P1457">
        <v>38</v>
      </c>
      <c r="Q1457" t="s">
        <v>426</v>
      </c>
    </row>
    <row r="1458" spans="1:17" ht="15" customHeight="1" x14ac:dyDescent="0.25">
      <c r="A1458" s="42" t="s">
        <v>1872</v>
      </c>
      <c r="B1458" s="3" t="s">
        <v>426</v>
      </c>
      <c r="C1458" s="42" t="s">
        <v>1383</v>
      </c>
      <c r="D1458">
        <v>3</v>
      </c>
      <c r="E1458" t="s">
        <v>1179</v>
      </c>
      <c r="F1458" t="s">
        <v>1180</v>
      </c>
      <c r="G1458" t="s">
        <v>180</v>
      </c>
      <c r="H1458" s="1" t="s">
        <v>976</v>
      </c>
      <c r="I1458" s="1">
        <v>990</v>
      </c>
      <c r="J1458" s="20">
        <v>0</v>
      </c>
      <c r="K1458" s="1">
        <v>229</v>
      </c>
      <c r="L1458" s="1">
        <v>0</v>
      </c>
      <c r="M1458" s="43" t="s">
        <v>2962</v>
      </c>
      <c r="P1458">
        <v>38</v>
      </c>
      <c r="Q1458" t="s">
        <v>426</v>
      </c>
    </row>
    <row r="1459" spans="1:17" ht="15" customHeight="1" x14ac:dyDescent="0.25">
      <c r="A1459" s="3" t="s">
        <v>1873</v>
      </c>
      <c r="B1459" s="4" t="s">
        <v>427</v>
      </c>
      <c r="C1459" t="s">
        <v>1383</v>
      </c>
      <c r="D1459">
        <v>1</v>
      </c>
      <c r="E1459" t="s">
        <v>974</v>
      </c>
      <c r="F1459" t="s">
        <v>975</v>
      </c>
      <c r="G1459" t="s">
        <v>180</v>
      </c>
      <c r="H1459" s="1" t="s">
        <v>976</v>
      </c>
      <c r="I1459" s="1">
        <v>990</v>
      </c>
      <c r="J1459" s="20">
        <v>1</v>
      </c>
      <c r="K1459" s="1">
        <v>229</v>
      </c>
      <c r="L1459" s="1">
        <v>229</v>
      </c>
      <c r="M1459" s="43" t="s">
        <v>2962</v>
      </c>
      <c r="P1459">
        <v>39</v>
      </c>
      <c r="Q1459" t="s">
        <v>427</v>
      </c>
    </row>
    <row r="1460" spans="1:17" ht="15" customHeight="1" x14ac:dyDescent="0.25">
      <c r="A1460" s="3" t="s">
        <v>1874</v>
      </c>
      <c r="B1460" s="4" t="s">
        <v>428</v>
      </c>
      <c r="C1460" t="s">
        <v>1383</v>
      </c>
      <c r="D1460">
        <v>1</v>
      </c>
      <c r="E1460" t="s">
        <v>974</v>
      </c>
      <c r="F1460" t="s">
        <v>975</v>
      </c>
      <c r="G1460" t="s">
        <v>180</v>
      </c>
      <c r="H1460" s="1" t="s">
        <v>976</v>
      </c>
      <c r="I1460" s="1">
        <v>990</v>
      </c>
      <c r="J1460" s="20">
        <v>0</v>
      </c>
      <c r="K1460" s="1">
        <v>229</v>
      </c>
      <c r="L1460" s="1">
        <v>0</v>
      </c>
      <c r="M1460" s="43" t="s">
        <v>2962</v>
      </c>
      <c r="P1460">
        <v>40</v>
      </c>
      <c r="Q1460" t="s">
        <v>428</v>
      </c>
    </row>
    <row r="1461" spans="1:17" ht="15" customHeight="1" x14ac:dyDescent="0.25">
      <c r="A1461" s="42" t="s">
        <v>1874</v>
      </c>
      <c r="B1461" s="3" t="s">
        <v>428</v>
      </c>
      <c r="C1461" s="42" t="s">
        <v>1383</v>
      </c>
      <c r="D1461">
        <v>3</v>
      </c>
      <c r="E1461" t="s">
        <v>1179</v>
      </c>
      <c r="F1461" t="s">
        <v>1180</v>
      </c>
      <c r="G1461" t="s">
        <v>180</v>
      </c>
      <c r="H1461" s="1" t="s">
        <v>976</v>
      </c>
      <c r="I1461" s="1">
        <v>990</v>
      </c>
      <c r="J1461" s="20">
        <v>0</v>
      </c>
      <c r="K1461" s="1">
        <v>229</v>
      </c>
      <c r="L1461" s="1">
        <v>0</v>
      </c>
      <c r="M1461" s="43" t="s">
        <v>2962</v>
      </c>
      <c r="P1461">
        <v>40</v>
      </c>
      <c r="Q1461" t="s">
        <v>428</v>
      </c>
    </row>
    <row r="1462" spans="1:17" ht="15" customHeight="1" x14ac:dyDescent="0.25">
      <c r="A1462" s="3" t="s">
        <v>1875</v>
      </c>
      <c r="B1462" s="4" t="s">
        <v>429</v>
      </c>
      <c r="C1462" t="s">
        <v>1383</v>
      </c>
      <c r="D1462">
        <v>1</v>
      </c>
      <c r="E1462" t="s">
        <v>974</v>
      </c>
      <c r="F1462" t="s">
        <v>975</v>
      </c>
      <c r="G1462" t="s">
        <v>180</v>
      </c>
      <c r="H1462" s="1" t="s">
        <v>976</v>
      </c>
      <c r="I1462" s="1">
        <v>990</v>
      </c>
      <c r="J1462" s="20">
        <v>0</v>
      </c>
      <c r="K1462" s="1">
        <v>0</v>
      </c>
      <c r="L1462" s="1">
        <v>0</v>
      </c>
      <c r="M1462" s="43" t="s">
        <v>2962</v>
      </c>
      <c r="Q1462" t="s">
        <v>429</v>
      </c>
    </row>
    <row r="1463" spans="1:17" ht="15" customHeight="1" x14ac:dyDescent="0.25">
      <c r="A1463" s="3" t="s">
        <v>1876</v>
      </c>
      <c r="B1463" s="4" t="s">
        <v>430</v>
      </c>
      <c r="C1463" t="s">
        <v>1383</v>
      </c>
      <c r="D1463">
        <v>1</v>
      </c>
      <c r="E1463" t="s">
        <v>974</v>
      </c>
      <c r="F1463" t="s">
        <v>975</v>
      </c>
      <c r="G1463" t="s">
        <v>180</v>
      </c>
      <c r="H1463" s="1" t="s">
        <v>976</v>
      </c>
      <c r="I1463" s="1">
        <v>990</v>
      </c>
      <c r="J1463" s="20">
        <v>0</v>
      </c>
      <c r="K1463" s="1">
        <v>234</v>
      </c>
      <c r="L1463" s="1">
        <v>0</v>
      </c>
      <c r="M1463" s="43" t="s">
        <v>2962</v>
      </c>
      <c r="P1463">
        <v>42</v>
      </c>
      <c r="Q1463" t="s">
        <v>430</v>
      </c>
    </row>
    <row r="1464" spans="1:17" ht="15" customHeight="1" x14ac:dyDescent="0.25">
      <c r="A1464" s="42" t="s">
        <v>1876</v>
      </c>
      <c r="B1464" s="3" t="s">
        <v>430</v>
      </c>
      <c r="C1464" s="42" t="s">
        <v>1383</v>
      </c>
      <c r="D1464">
        <v>4</v>
      </c>
      <c r="E1464" t="s">
        <v>1018</v>
      </c>
      <c r="F1464" t="s">
        <v>975</v>
      </c>
      <c r="G1464" t="s">
        <v>180</v>
      </c>
      <c r="H1464" s="1" t="s">
        <v>976</v>
      </c>
      <c r="I1464" s="1">
        <v>990</v>
      </c>
      <c r="J1464" s="20">
        <v>1</v>
      </c>
      <c r="K1464" s="1">
        <v>234</v>
      </c>
      <c r="L1464" s="1">
        <v>234</v>
      </c>
      <c r="M1464" s="43" t="s">
        <v>2962</v>
      </c>
      <c r="P1464">
        <v>42</v>
      </c>
      <c r="Q1464" t="s">
        <v>430</v>
      </c>
    </row>
    <row r="1465" spans="1:17" ht="15" customHeight="1" x14ac:dyDescent="0.25">
      <c r="A1465" s="3" t="s">
        <v>1877</v>
      </c>
      <c r="B1465" s="4" t="s">
        <v>431</v>
      </c>
      <c r="C1465" t="s">
        <v>1383</v>
      </c>
      <c r="D1465">
        <v>1</v>
      </c>
      <c r="E1465" t="s">
        <v>974</v>
      </c>
      <c r="F1465" t="s">
        <v>975</v>
      </c>
      <c r="G1465" t="s">
        <v>180</v>
      </c>
      <c r="H1465" s="1" t="s">
        <v>976</v>
      </c>
      <c r="I1465" s="1">
        <v>990</v>
      </c>
      <c r="J1465" s="20">
        <v>0</v>
      </c>
      <c r="K1465" s="1">
        <v>234</v>
      </c>
      <c r="L1465" s="1">
        <v>0</v>
      </c>
      <c r="M1465" s="43" t="s">
        <v>2962</v>
      </c>
      <c r="Q1465" t="s">
        <v>431</v>
      </c>
    </row>
    <row r="1466" spans="1:17" ht="15" customHeight="1" x14ac:dyDescent="0.25">
      <c r="A1466" s="42" t="s">
        <v>1877</v>
      </c>
      <c r="B1466" s="3" t="s">
        <v>431</v>
      </c>
      <c r="C1466" s="42" t="s">
        <v>1383</v>
      </c>
      <c r="D1466">
        <v>4</v>
      </c>
      <c r="E1466" t="s">
        <v>1018</v>
      </c>
      <c r="F1466" t="s">
        <v>975</v>
      </c>
      <c r="G1466" t="s">
        <v>180</v>
      </c>
      <c r="H1466" s="1" t="s">
        <v>976</v>
      </c>
      <c r="I1466" s="1">
        <v>990</v>
      </c>
      <c r="J1466" s="20">
        <v>2</v>
      </c>
      <c r="K1466" s="1">
        <v>234</v>
      </c>
      <c r="L1466" s="1">
        <v>468</v>
      </c>
      <c r="M1466" s="43" t="s">
        <v>2962</v>
      </c>
      <c r="Q1466" t="s">
        <v>431</v>
      </c>
    </row>
    <row r="1467" spans="1:17" ht="15" customHeight="1" x14ac:dyDescent="0.25">
      <c r="A1467" s="3" t="s">
        <v>1878</v>
      </c>
      <c r="B1467" s="4" t="s">
        <v>432</v>
      </c>
      <c r="C1467" t="s">
        <v>1383</v>
      </c>
      <c r="D1467">
        <v>1</v>
      </c>
      <c r="E1467" t="s">
        <v>974</v>
      </c>
      <c r="F1467" t="s">
        <v>975</v>
      </c>
      <c r="G1467" t="s">
        <v>180</v>
      </c>
      <c r="H1467" s="1" t="s">
        <v>976</v>
      </c>
      <c r="I1467" s="1">
        <v>990</v>
      </c>
      <c r="J1467" s="20">
        <v>0</v>
      </c>
      <c r="K1467" s="1">
        <v>243</v>
      </c>
      <c r="L1467" s="1">
        <v>0</v>
      </c>
      <c r="M1467" s="43" t="s">
        <v>2962</v>
      </c>
      <c r="P1467">
        <v>44</v>
      </c>
      <c r="Q1467" t="s">
        <v>432</v>
      </c>
    </row>
    <row r="1468" spans="1:17" ht="15" customHeight="1" x14ac:dyDescent="0.25">
      <c r="A1468" s="3" t="s">
        <v>2430</v>
      </c>
      <c r="B1468" s="4" t="s">
        <v>603</v>
      </c>
      <c r="C1468" t="s">
        <v>1383</v>
      </c>
      <c r="D1468">
        <v>1</v>
      </c>
      <c r="E1468" t="s">
        <v>974</v>
      </c>
      <c r="F1468" t="s">
        <v>975</v>
      </c>
      <c r="G1468" t="s">
        <v>180</v>
      </c>
      <c r="H1468" s="1" t="s">
        <v>976</v>
      </c>
      <c r="I1468" s="1">
        <v>990</v>
      </c>
      <c r="J1468" s="20">
        <v>0</v>
      </c>
      <c r="K1468" s="1">
        <v>0</v>
      </c>
      <c r="L1468" s="1">
        <v>0</v>
      </c>
      <c r="M1468" s="43" t="s">
        <v>2962</v>
      </c>
      <c r="Q1468" t="s">
        <v>603</v>
      </c>
    </row>
    <row r="1469" spans="1:17" ht="15" customHeight="1" x14ac:dyDescent="0.25">
      <c r="A1469" s="3" t="s">
        <v>1879</v>
      </c>
      <c r="B1469" s="4" t="s">
        <v>2963</v>
      </c>
      <c r="C1469" t="s">
        <v>1383</v>
      </c>
      <c r="D1469">
        <v>1</v>
      </c>
      <c r="E1469" t="s">
        <v>974</v>
      </c>
      <c r="F1469" t="s">
        <v>975</v>
      </c>
      <c r="G1469" t="s">
        <v>180</v>
      </c>
      <c r="H1469" s="1" t="s">
        <v>976</v>
      </c>
      <c r="I1469" s="1">
        <v>770</v>
      </c>
      <c r="J1469" s="20">
        <v>4</v>
      </c>
      <c r="K1469" s="1">
        <v>169</v>
      </c>
      <c r="L1469" s="1">
        <v>676</v>
      </c>
      <c r="M1469" s="43" t="s">
        <v>2962</v>
      </c>
      <c r="O1469" s="2" t="s">
        <v>2443</v>
      </c>
      <c r="P1469">
        <v>35</v>
      </c>
      <c r="Q1469" t="s">
        <v>934</v>
      </c>
    </row>
    <row r="1470" spans="1:17" ht="15" customHeight="1" x14ac:dyDescent="0.25">
      <c r="A1470" s="3" t="s">
        <v>1880</v>
      </c>
      <c r="B1470" s="4" t="s">
        <v>2963</v>
      </c>
      <c r="C1470" t="s">
        <v>1383</v>
      </c>
      <c r="D1470">
        <v>1</v>
      </c>
      <c r="E1470" t="s">
        <v>974</v>
      </c>
      <c r="F1470" t="s">
        <v>975</v>
      </c>
      <c r="G1470" t="s">
        <v>180</v>
      </c>
      <c r="H1470" s="1" t="s">
        <v>976</v>
      </c>
      <c r="I1470" s="1">
        <v>770</v>
      </c>
      <c r="J1470" s="20">
        <v>1</v>
      </c>
      <c r="K1470" s="1">
        <v>154</v>
      </c>
      <c r="L1470" s="1">
        <v>154</v>
      </c>
      <c r="M1470" s="43" t="s">
        <v>2962</v>
      </c>
      <c r="O1470" s="2" t="s">
        <v>2443</v>
      </c>
      <c r="P1470">
        <v>36</v>
      </c>
      <c r="Q1470" t="s">
        <v>934</v>
      </c>
    </row>
    <row r="1471" spans="1:17" ht="15" customHeight="1" x14ac:dyDescent="0.25">
      <c r="A1471" s="3" t="s">
        <v>1881</v>
      </c>
      <c r="B1471" s="4" t="s">
        <v>2963</v>
      </c>
      <c r="C1471" t="s">
        <v>1383</v>
      </c>
      <c r="D1471">
        <v>1</v>
      </c>
      <c r="E1471" t="s">
        <v>974</v>
      </c>
      <c r="F1471" t="s">
        <v>975</v>
      </c>
      <c r="G1471" t="s">
        <v>180</v>
      </c>
      <c r="H1471" s="1" t="s">
        <v>976</v>
      </c>
      <c r="I1471" s="1">
        <v>770</v>
      </c>
      <c r="J1471" s="20">
        <v>0</v>
      </c>
      <c r="K1471" s="1">
        <v>160</v>
      </c>
      <c r="L1471" s="1">
        <v>0</v>
      </c>
      <c r="M1471" s="43" t="s">
        <v>2962</v>
      </c>
      <c r="O1471" s="2" t="s">
        <v>2443</v>
      </c>
      <c r="P1471">
        <v>37</v>
      </c>
      <c r="Q1471" t="s">
        <v>934</v>
      </c>
    </row>
    <row r="1472" spans="1:17" ht="15" customHeight="1" x14ac:dyDescent="0.25">
      <c r="A1472" s="42" t="s">
        <v>1881</v>
      </c>
      <c r="B1472" s="3" t="s">
        <v>2963</v>
      </c>
      <c r="C1472" s="42" t="s">
        <v>1383</v>
      </c>
      <c r="D1472">
        <v>3</v>
      </c>
      <c r="E1472" t="s">
        <v>1179</v>
      </c>
      <c r="F1472" t="s">
        <v>1180</v>
      </c>
      <c r="G1472" t="s">
        <v>180</v>
      </c>
      <c r="H1472" s="1" t="s">
        <v>976</v>
      </c>
      <c r="I1472" s="1">
        <v>770</v>
      </c>
      <c r="J1472" s="20">
        <v>0</v>
      </c>
      <c r="K1472" s="1">
        <v>160</v>
      </c>
      <c r="L1472" s="1">
        <v>0</v>
      </c>
      <c r="M1472" s="43" t="s">
        <v>2962</v>
      </c>
      <c r="O1472" s="2" t="s">
        <v>2443</v>
      </c>
      <c r="P1472">
        <v>37</v>
      </c>
      <c r="Q1472" t="s">
        <v>934</v>
      </c>
    </row>
    <row r="1473" spans="1:17" ht="15" customHeight="1" x14ac:dyDescent="0.25">
      <c r="A1473" s="42" t="s">
        <v>1881</v>
      </c>
      <c r="B1473" s="3" t="s">
        <v>2963</v>
      </c>
      <c r="C1473" s="42" t="s">
        <v>1383</v>
      </c>
      <c r="D1473">
        <v>4</v>
      </c>
      <c r="E1473" t="s">
        <v>1018</v>
      </c>
      <c r="F1473" t="s">
        <v>975</v>
      </c>
      <c r="G1473" t="s">
        <v>180</v>
      </c>
      <c r="H1473" s="1" t="s">
        <v>976</v>
      </c>
      <c r="I1473" s="1">
        <v>770</v>
      </c>
      <c r="J1473" s="20">
        <v>1</v>
      </c>
      <c r="K1473" s="1">
        <v>160</v>
      </c>
      <c r="L1473" s="1">
        <v>160</v>
      </c>
      <c r="M1473" s="43" t="s">
        <v>2962</v>
      </c>
      <c r="O1473" s="2" t="s">
        <v>2443</v>
      </c>
      <c r="P1473">
        <v>37</v>
      </c>
      <c r="Q1473" t="s">
        <v>934</v>
      </c>
    </row>
    <row r="1474" spans="1:17" ht="15" customHeight="1" x14ac:dyDescent="0.25">
      <c r="A1474" s="3" t="s">
        <v>1882</v>
      </c>
      <c r="B1474" s="4" t="s">
        <v>2963</v>
      </c>
      <c r="C1474" t="s">
        <v>1383</v>
      </c>
      <c r="D1474">
        <v>1</v>
      </c>
      <c r="E1474" t="s">
        <v>974</v>
      </c>
      <c r="F1474" t="s">
        <v>975</v>
      </c>
      <c r="G1474" t="s">
        <v>180</v>
      </c>
      <c r="H1474" s="1" t="s">
        <v>976</v>
      </c>
      <c r="I1474" s="1">
        <v>770</v>
      </c>
      <c r="J1474" s="20">
        <v>1</v>
      </c>
      <c r="K1474" s="1">
        <v>169</v>
      </c>
      <c r="L1474" s="1">
        <v>169</v>
      </c>
      <c r="M1474" s="43" t="s">
        <v>2962</v>
      </c>
      <c r="O1474" s="2" t="s">
        <v>2443</v>
      </c>
      <c r="P1474">
        <v>38</v>
      </c>
      <c r="Q1474" t="s">
        <v>934</v>
      </c>
    </row>
    <row r="1475" spans="1:17" ht="15" customHeight="1" x14ac:dyDescent="0.25">
      <c r="A1475" s="3" t="s">
        <v>1883</v>
      </c>
      <c r="B1475" s="4" t="s">
        <v>2963</v>
      </c>
      <c r="C1475" t="s">
        <v>1383</v>
      </c>
      <c r="D1475">
        <v>1</v>
      </c>
      <c r="E1475" t="s">
        <v>974</v>
      </c>
      <c r="F1475" t="s">
        <v>975</v>
      </c>
      <c r="G1475" t="s">
        <v>180</v>
      </c>
      <c r="H1475" s="1" t="s">
        <v>976</v>
      </c>
      <c r="I1475" s="1">
        <v>770</v>
      </c>
      <c r="J1475" s="20">
        <v>2</v>
      </c>
      <c r="K1475" s="1">
        <v>169</v>
      </c>
      <c r="L1475" s="1">
        <v>338</v>
      </c>
      <c r="M1475" s="43" t="s">
        <v>2962</v>
      </c>
      <c r="O1475" s="2" t="s">
        <v>2443</v>
      </c>
      <c r="P1475">
        <v>39</v>
      </c>
      <c r="Q1475" t="s">
        <v>934</v>
      </c>
    </row>
    <row r="1476" spans="1:17" ht="15" customHeight="1" x14ac:dyDescent="0.25">
      <c r="A1476" s="3" t="s">
        <v>1884</v>
      </c>
      <c r="B1476" s="4" t="s">
        <v>2963</v>
      </c>
      <c r="C1476" t="s">
        <v>1383</v>
      </c>
      <c r="D1476">
        <v>1</v>
      </c>
      <c r="E1476" t="s">
        <v>974</v>
      </c>
      <c r="F1476" t="s">
        <v>975</v>
      </c>
      <c r="G1476" t="s">
        <v>180</v>
      </c>
      <c r="H1476" s="1" t="s">
        <v>976</v>
      </c>
      <c r="I1476" s="1">
        <v>770</v>
      </c>
      <c r="J1476" s="20">
        <v>3</v>
      </c>
      <c r="K1476" s="1">
        <v>154</v>
      </c>
      <c r="L1476" s="1">
        <v>462</v>
      </c>
      <c r="M1476" s="43" t="s">
        <v>2962</v>
      </c>
      <c r="O1476" s="2" t="s">
        <v>2443</v>
      </c>
      <c r="P1476">
        <v>40</v>
      </c>
      <c r="Q1476" t="s">
        <v>934</v>
      </c>
    </row>
    <row r="1477" spans="1:17" ht="15" customHeight="1" x14ac:dyDescent="0.25">
      <c r="A1477" s="3" t="s">
        <v>1885</v>
      </c>
      <c r="B1477" s="4" t="s">
        <v>2963</v>
      </c>
      <c r="C1477" t="s">
        <v>1383</v>
      </c>
      <c r="D1477">
        <v>1</v>
      </c>
      <c r="E1477" t="s">
        <v>974</v>
      </c>
      <c r="F1477" t="s">
        <v>975</v>
      </c>
      <c r="G1477" t="s">
        <v>180</v>
      </c>
      <c r="H1477" s="1" t="s">
        <v>976</v>
      </c>
      <c r="I1477" s="1">
        <v>770</v>
      </c>
      <c r="J1477" s="20">
        <v>0</v>
      </c>
      <c r="K1477" s="1">
        <v>169</v>
      </c>
      <c r="L1477" s="1">
        <v>0</v>
      </c>
      <c r="M1477" s="43" t="s">
        <v>2962</v>
      </c>
      <c r="O1477" s="2" t="s">
        <v>2443</v>
      </c>
      <c r="Q1477" t="s">
        <v>934</v>
      </c>
    </row>
    <row r="1478" spans="1:17" ht="15" customHeight="1" x14ac:dyDescent="0.25">
      <c r="A1478" s="42" t="s">
        <v>1885</v>
      </c>
      <c r="B1478" s="3" t="s">
        <v>2963</v>
      </c>
      <c r="C1478" s="42" t="s">
        <v>1383</v>
      </c>
      <c r="D1478">
        <v>3</v>
      </c>
      <c r="E1478" t="s">
        <v>1179</v>
      </c>
      <c r="F1478" t="s">
        <v>1180</v>
      </c>
      <c r="G1478" t="s">
        <v>180</v>
      </c>
      <c r="H1478" s="1" t="s">
        <v>976</v>
      </c>
      <c r="I1478" s="1">
        <v>770</v>
      </c>
      <c r="J1478" s="20">
        <v>0</v>
      </c>
      <c r="K1478" s="1">
        <v>0</v>
      </c>
      <c r="L1478" s="1">
        <v>0</v>
      </c>
      <c r="M1478" s="43" t="s">
        <v>2962</v>
      </c>
      <c r="O1478" s="2" t="s">
        <v>2443</v>
      </c>
      <c r="Q1478" t="s">
        <v>934</v>
      </c>
    </row>
    <row r="1479" spans="1:17" ht="15" customHeight="1" x14ac:dyDescent="0.25">
      <c r="A1479" s="3" t="s">
        <v>1886</v>
      </c>
      <c r="B1479" s="4" t="s">
        <v>2963</v>
      </c>
      <c r="C1479" t="s">
        <v>1383</v>
      </c>
      <c r="D1479">
        <v>1</v>
      </c>
      <c r="E1479" t="s">
        <v>974</v>
      </c>
      <c r="F1479" t="s">
        <v>975</v>
      </c>
      <c r="G1479" t="s">
        <v>180</v>
      </c>
      <c r="H1479" s="1" t="s">
        <v>976</v>
      </c>
      <c r="I1479" s="1">
        <v>770</v>
      </c>
      <c r="J1479" s="20">
        <v>1</v>
      </c>
      <c r="K1479" s="1">
        <v>161.5</v>
      </c>
      <c r="L1479" s="1">
        <v>161.5</v>
      </c>
      <c r="M1479" s="43" t="s">
        <v>2962</v>
      </c>
      <c r="O1479" s="2" t="s">
        <v>2443</v>
      </c>
      <c r="P1479">
        <v>42</v>
      </c>
      <c r="Q1479" t="s">
        <v>934</v>
      </c>
    </row>
    <row r="1480" spans="1:17" ht="15" customHeight="1" x14ac:dyDescent="0.25">
      <c r="A1480" s="42" t="s">
        <v>1886</v>
      </c>
      <c r="B1480" s="3" t="s">
        <v>2963</v>
      </c>
      <c r="C1480" s="42" t="s">
        <v>1383</v>
      </c>
      <c r="D1480">
        <v>4</v>
      </c>
      <c r="E1480" t="s">
        <v>1018</v>
      </c>
      <c r="F1480" t="s">
        <v>975</v>
      </c>
      <c r="G1480" t="s">
        <v>180</v>
      </c>
      <c r="H1480" s="1" t="s">
        <v>976</v>
      </c>
      <c r="I1480" s="1">
        <v>770</v>
      </c>
      <c r="J1480" s="20">
        <v>0</v>
      </c>
      <c r="K1480" s="1">
        <v>0</v>
      </c>
      <c r="L1480" s="1">
        <v>0</v>
      </c>
      <c r="M1480" s="43" t="s">
        <v>2962</v>
      </c>
      <c r="O1480" s="2" t="s">
        <v>2443</v>
      </c>
      <c r="P1480">
        <v>42</v>
      </c>
      <c r="Q1480" t="s">
        <v>934</v>
      </c>
    </row>
    <row r="1481" spans="1:17" ht="15" customHeight="1" x14ac:dyDescent="0.25">
      <c r="A1481" s="3" t="s">
        <v>1887</v>
      </c>
      <c r="B1481" s="4" t="s">
        <v>2963</v>
      </c>
      <c r="C1481" t="s">
        <v>1383</v>
      </c>
      <c r="D1481">
        <v>1</v>
      </c>
      <c r="E1481" t="s">
        <v>974</v>
      </c>
      <c r="F1481" t="s">
        <v>975</v>
      </c>
      <c r="G1481" t="s">
        <v>180</v>
      </c>
      <c r="H1481" s="1" t="s">
        <v>976</v>
      </c>
      <c r="I1481" s="1">
        <v>770</v>
      </c>
      <c r="J1481" s="20">
        <v>3</v>
      </c>
      <c r="K1481" s="1">
        <v>169</v>
      </c>
      <c r="L1481" s="1">
        <v>507</v>
      </c>
      <c r="M1481" s="43" t="s">
        <v>2962</v>
      </c>
      <c r="O1481" s="2" t="s">
        <v>2443</v>
      </c>
      <c r="Q1481" t="s">
        <v>934</v>
      </c>
    </row>
    <row r="1482" spans="1:17" ht="15" customHeight="1" x14ac:dyDescent="0.25">
      <c r="A1482" s="3" t="s">
        <v>1888</v>
      </c>
      <c r="B1482" s="4" t="s">
        <v>2963</v>
      </c>
      <c r="C1482" t="s">
        <v>1383</v>
      </c>
      <c r="D1482">
        <v>1</v>
      </c>
      <c r="E1482" t="s">
        <v>974</v>
      </c>
      <c r="F1482" t="s">
        <v>975</v>
      </c>
      <c r="G1482" t="s">
        <v>180</v>
      </c>
      <c r="H1482" s="1" t="s">
        <v>976</v>
      </c>
      <c r="I1482" s="1">
        <v>770</v>
      </c>
      <c r="J1482" s="20">
        <v>2</v>
      </c>
      <c r="K1482" s="1">
        <v>169</v>
      </c>
      <c r="L1482" s="1">
        <v>338</v>
      </c>
      <c r="M1482" s="43" t="s">
        <v>2962</v>
      </c>
      <c r="O1482" s="2" t="s">
        <v>2443</v>
      </c>
      <c r="P1482">
        <v>44</v>
      </c>
      <c r="Q1482" t="s">
        <v>934</v>
      </c>
    </row>
    <row r="1483" spans="1:17" ht="15" customHeight="1" x14ac:dyDescent="0.25">
      <c r="A1483" s="3" t="s">
        <v>1889</v>
      </c>
      <c r="B1483" s="4" t="s">
        <v>2963</v>
      </c>
      <c r="C1483" t="s">
        <v>1383</v>
      </c>
      <c r="D1483">
        <v>1</v>
      </c>
      <c r="E1483" t="s">
        <v>974</v>
      </c>
      <c r="F1483" t="s">
        <v>975</v>
      </c>
      <c r="G1483" t="s">
        <v>180</v>
      </c>
      <c r="H1483" s="1" t="s">
        <v>976</v>
      </c>
      <c r="I1483" s="1">
        <v>770</v>
      </c>
      <c r="J1483" s="20">
        <v>0</v>
      </c>
      <c r="K1483" s="1">
        <v>0</v>
      </c>
      <c r="L1483" s="1">
        <v>0</v>
      </c>
      <c r="M1483" s="43" t="s">
        <v>2962</v>
      </c>
      <c r="O1483" s="2" t="s">
        <v>2443</v>
      </c>
      <c r="Q1483" t="s">
        <v>934</v>
      </c>
    </row>
    <row r="1484" spans="1:17" ht="15" customHeight="1" x14ac:dyDescent="0.25">
      <c r="A1484" s="3" t="s">
        <v>1890</v>
      </c>
      <c r="B1484" s="4" t="s">
        <v>2963</v>
      </c>
      <c r="C1484" t="s">
        <v>1383</v>
      </c>
      <c r="D1484">
        <v>1</v>
      </c>
      <c r="E1484" t="s">
        <v>974</v>
      </c>
      <c r="F1484" t="s">
        <v>975</v>
      </c>
      <c r="G1484" t="s">
        <v>180</v>
      </c>
      <c r="H1484" s="1" t="s">
        <v>976</v>
      </c>
      <c r="I1484" s="1">
        <v>770</v>
      </c>
      <c r="J1484" s="20">
        <v>0</v>
      </c>
      <c r="K1484" s="1">
        <v>169</v>
      </c>
      <c r="L1484" s="1">
        <v>0</v>
      </c>
      <c r="M1484" s="43" t="s">
        <v>2962</v>
      </c>
      <c r="O1484" s="2" t="s">
        <v>2433</v>
      </c>
      <c r="P1484">
        <v>34</v>
      </c>
      <c r="Q1484" t="s">
        <v>935</v>
      </c>
    </row>
    <row r="1485" spans="1:17" ht="15" customHeight="1" x14ac:dyDescent="0.25">
      <c r="A1485" s="3" t="s">
        <v>1891</v>
      </c>
      <c r="B1485" s="4" t="s">
        <v>2963</v>
      </c>
      <c r="C1485" t="s">
        <v>1383</v>
      </c>
      <c r="D1485">
        <v>1</v>
      </c>
      <c r="E1485" t="s">
        <v>974</v>
      </c>
      <c r="F1485" t="s">
        <v>975</v>
      </c>
      <c r="G1485" t="s">
        <v>180</v>
      </c>
      <c r="H1485" s="1" t="s">
        <v>976</v>
      </c>
      <c r="I1485" s="1">
        <v>770</v>
      </c>
      <c r="J1485" s="20">
        <v>2</v>
      </c>
      <c r="K1485" s="1">
        <v>154</v>
      </c>
      <c r="L1485" s="1">
        <v>308</v>
      </c>
      <c r="M1485" s="43" t="s">
        <v>2962</v>
      </c>
      <c r="O1485" s="2" t="s">
        <v>2433</v>
      </c>
      <c r="P1485">
        <v>35</v>
      </c>
      <c r="Q1485" t="s">
        <v>935</v>
      </c>
    </row>
    <row r="1486" spans="1:17" ht="15" customHeight="1" x14ac:dyDescent="0.25">
      <c r="A1486" s="3" t="s">
        <v>1892</v>
      </c>
      <c r="B1486" s="4" t="s">
        <v>2963</v>
      </c>
      <c r="C1486" t="s">
        <v>1383</v>
      </c>
      <c r="D1486">
        <v>1</v>
      </c>
      <c r="E1486" t="s">
        <v>974</v>
      </c>
      <c r="F1486" t="s">
        <v>975</v>
      </c>
      <c r="G1486" t="s">
        <v>180</v>
      </c>
      <c r="H1486" s="1" t="s">
        <v>976</v>
      </c>
      <c r="I1486" s="1">
        <v>770</v>
      </c>
      <c r="J1486" s="20">
        <v>2</v>
      </c>
      <c r="K1486" s="1">
        <v>154</v>
      </c>
      <c r="L1486" s="1">
        <v>308</v>
      </c>
      <c r="M1486" s="43" t="s">
        <v>2962</v>
      </c>
      <c r="O1486" s="2" t="s">
        <v>2433</v>
      </c>
      <c r="P1486">
        <v>36</v>
      </c>
      <c r="Q1486" t="s">
        <v>935</v>
      </c>
    </row>
    <row r="1487" spans="1:17" ht="15" customHeight="1" x14ac:dyDescent="0.25">
      <c r="A1487" s="3" t="s">
        <v>1893</v>
      </c>
      <c r="B1487" s="4" t="s">
        <v>2963</v>
      </c>
      <c r="C1487" t="s">
        <v>1383</v>
      </c>
      <c r="D1487">
        <v>1</v>
      </c>
      <c r="E1487" t="s">
        <v>974</v>
      </c>
      <c r="F1487" t="s">
        <v>975</v>
      </c>
      <c r="G1487" t="s">
        <v>180</v>
      </c>
      <c r="H1487" s="1" t="s">
        <v>976</v>
      </c>
      <c r="I1487" s="1">
        <v>770</v>
      </c>
      <c r="J1487" s="20">
        <v>2</v>
      </c>
      <c r="K1487" s="1">
        <v>169</v>
      </c>
      <c r="L1487" s="1">
        <v>338</v>
      </c>
      <c r="M1487" s="43" t="s">
        <v>2962</v>
      </c>
      <c r="O1487" s="2" t="s">
        <v>2433</v>
      </c>
      <c r="P1487">
        <v>37</v>
      </c>
      <c r="Q1487" t="s">
        <v>935</v>
      </c>
    </row>
    <row r="1488" spans="1:17" ht="15" customHeight="1" x14ac:dyDescent="0.25">
      <c r="A1488" s="42" t="s">
        <v>1893</v>
      </c>
      <c r="B1488" s="3" t="s">
        <v>2963</v>
      </c>
      <c r="C1488" s="42" t="s">
        <v>1383</v>
      </c>
      <c r="D1488">
        <v>3</v>
      </c>
      <c r="E1488" t="s">
        <v>1179</v>
      </c>
      <c r="F1488" t="s">
        <v>1180</v>
      </c>
      <c r="G1488" t="s">
        <v>180</v>
      </c>
      <c r="H1488" s="1" t="s">
        <v>976</v>
      </c>
      <c r="I1488" s="1">
        <v>770</v>
      </c>
      <c r="J1488" s="20">
        <v>0</v>
      </c>
      <c r="K1488" s="1">
        <v>169</v>
      </c>
      <c r="L1488" s="1">
        <v>0</v>
      </c>
      <c r="M1488" s="43" t="s">
        <v>2962</v>
      </c>
      <c r="O1488" s="2" t="s">
        <v>2433</v>
      </c>
      <c r="P1488">
        <v>37</v>
      </c>
      <c r="Q1488" t="s">
        <v>935</v>
      </c>
    </row>
    <row r="1489" spans="1:17" ht="15" customHeight="1" x14ac:dyDescent="0.25">
      <c r="A1489" s="3" t="s">
        <v>1894</v>
      </c>
      <c r="B1489" s="4" t="s">
        <v>2963</v>
      </c>
      <c r="C1489" t="s">
        <v>1383</v>
      </c>
      <c r="D1489">
        <v>1</v>
      </c>
      <c r="E1489" t="s">
        <v>974</v>
      </c>
      <c r="F1489" t="s">
        <v>975</v>
      </c>
      <c r="G1489" t="s">
        <v>180</v>
      </c>
      <c r="H1489" s="1" t="s">
        <v>976</v>
      </c>
      <c r="I1489" s="1">
        <v>770</v>
      </c>
      <c r="J1489" s="20">
        <v>4</v>
      </c>
      <c r="K1489" s="1">
        <v>169</v>
      </c>
      <c r="L1489" s="1">
        <v>676</v>
      </c>
      <c r="M1489" s="43" t="s">
        <v>2962</v>
      </c>
      <c r="O1489" s="2" t="s">
        <v>2433</v>
      </c>
      <c r="P1489">
        <v>38</v>
      </c>
      <c r="Q1489" t="s">
        <v>935</v>
      </c>
    </row>
    <row r="1490" spans="1:17" ht="15" customHeight="1" x14ac:dyDescent="0.25">
      <c r="A1490" s="3" t="s">
        <v>1895</v>
      </c>
      <c r="B1490" s="4" t="s">
        <v>2963</v>
      </c>
      <c r="C1490" t="s">
        <v>1383</v>
      </c>
      <c r="D1490">
        <v>1</v>
      </c>
      <c r="E1490" t="s">
        <v>974</v>
      </c>
      <c r="F1490" t="s">
        <v>975</v>
      </c>
      <c r="G1490" t="s">
        <v>180</v>
      </c>
      <c r="H1490" s="1" t="s">
        <v>976</v>
      </c>
      <c r="I1490" s="1">
        <v>770</v>
      </c>
      <c r="J1490" s="20">
        <v>2</v>
      </c>
      <c r="K1490" s="1">
        <v>154</v>
      </c>
      <c r="L1490" s="1">
        <v>308</v>
      </c>
      <c r="M1490" s="43" t="s">
        <v>2962</v>
      </c>
      <c r="O1490" s="2" t="s">
        <v>2433</v>
      </c>
      <c r="P1490">
        <v>39</v>
      </c>
      <c r="Q1490" t="s">
        <v>935</v>
      </c>
    </row>
    <row r="1491" spans="1:17" ht="15" customHeight="1" x14ac:dyDescent="0.25">
      <c r="A1491" s="3" t="s">
        <v>1896</v>
      </c>
      <c r="B1491" s="4" t="s">
        <v>2963</v>
      </c>
      <c r="C1491" t="s">
        <v>1383</v>
      </c>
      <c r="D1491">
        <v>1</v>
      </c>
      <c r="E1491" t="s">
        <v>974</v>
      </c>
      <c r="F1491" t="s">
        <v>975</v>
      </c>
      <c r="G1491" t="s">
        <v>180</v>
      </c>
      <c r="H1491" s="1" t="s">
        <v>976</v>
      </c>
      <c r="I1491" s="1">
        <v>770</v>
      </c>
      <c r="J1491" s="20">
        <v>3</v>
      </c>
      <c r="K1491" s="1">
        <v>169</v>
      </c>
      <c r="L1491" s="1">
        <v>507</v>
      </c>
      <c r="M1491" s="43" t="s">
        <v>2962</v>
      </c>
      <c r="O1491" s="2" t="s">
        <v>2433</v>
      </c>
      <c r="P1491">
        <v>40</v>
      </c>
      <c r="Q1491" t="s">
        <v>935</v>
      </c>
    </row>
    <row r="1492" spans="1:17" ht="15" customHeight="1" x14ac:dyDescent="0.25">
      <c r="A1492" s="42" t="s">
        <v>1896</v>
      </c>
      <c r="B1492" s="3" t="s">
        <v>2963</v>
      </c>
      <c r="C1492" s="42" t="s">
        <v>1383</v>
      </c>
      <c r="D1492">
        <v>3</v>
      </c>
      <c r="E1492" t="s">
        <v>1179</v>
      </c>
      <c r="F1492" t="s">
        <v>1180</v>
      </c>
      <c r="G1492" t="s">
        <v>180</v>
      </c>
      <c r="H1492" s="1" t="s">
        <v>976</v>
      </c>
      <c r="I1492" s="1">
        <v>770</v>
      </c>
      <c r="J1492" s="20">
        <v>0</v>
      </c>
      <c r="K1492" s="1">
        <v>3</v>
      </c>
      <c r="L1492" s="1">
        <v>0</v>
      </c>
      <c r="M1492" s="43" t="s">
        <v>2962</v>
      </c>
      <c r="O1492" s="2" t="s">
        <v>2433</v>
      </c>
      <c r="P1492">
        <v>40</v>
      </c>
      <c r="Q1492" t="s">
        <v>935</v>
      </c>
    </row>
    <row r="1493" spans="1:17" ht="15" customHeight="1" x14ac:dyDescent="0.25">
      <c r="A1493" s="3" t="s">
        <v>1897</v>
      </c>
      <c r="B1493" s="4" t="s">
        <v>2963</v>
      </c>
      <c r="C1493" t="s">
        <v>1383</v>
      </c>
      <c r="D1493">
        <v>1</v>
      </c>
      <c r="E1493" t="s">
        <v>974</v>
      </c>
      <c r="F1493" t="s">
        <v>975</v>
      </c>
      <c r="G1493" t="s">
        <v>180</v>
      </c>
      <c r="H1493" s="1" t="s">
        <v>976</v>
      </c>
      <c r="I1493" s="1">
        <v>770</v>
      </c>
      <c r="J1493" s="20">
        <v>2</v>
      </c>
      <c r="K1493" s="1">
        <v>169</v>
      </c>
      <c r="L1493" s="1">
        <v>338</v>
      </c>
      <c r="M1493" s="43" t="s">
        <v>2962</v>
      </c>
      <c r="O1493" s="2" t="s">
        <v>2433</v>
      </c>
      <c r="Q1493" t="s">
        <v>935</v>
      </c>
    </row>
    <row r="1494" spans="1:17" ht="15" customHeight="1" x14ac:dyDescent="0.25">
      <c r="A1494" s="3" t="s">
        <v>1898</v>
      </c>
      <c r="B1494" s="4" t="s">
        <v>2963</v>
      </c>
      <c r="C1494" t="s">
        <v>1383</v>
      </c>
      <c r="D1494">
        <v>1</v>
      </c>
      <c r="E1494" t="s">
        <v>974</v>
      </c>
      <c r="F1494" t="s">
        <v>975</v>
      </c>
      <c r="G1494" t="s">
        <v>180</v>
      </c>
      <c r="H1494" s="1" t="s">
        <v>976</v>
      </c>
      <c r="I1494" s="1">
        <v>770</v>
      </c>
      <c r="J1494" s="20">
        <v>2</v>
      </c>
      <c r="K1494" s="1">
        <v>169</v>
      </c>
      <c r="L1494" s="1">
        <v>338</v>
      </c>
      <c r="M1494" s="43" t="s">
        <v>2962</v>
      </c>
      <c r="O1494" s="2" t="s">
        <v>2433</v>
      </c>
      <c r="P1494">
        <v>42</v>
      </c>
      <c r="Q1494" t="s">
        <v>935</v>
      </c>
    </row>
    <row r="1495" spans="1:17" ht="15" customHeight="1" x14ac:dyDescent="0.25">
      <c r="A1495" s="3" t="s">
        <v>1899</v>
      </c>
      <c r="B1495" s="4" t="s">
        <v>2963</v>
      </c>
      <c r="C1495" t="s">
        <v>1383</v>
      </c>
      <c r="D1495">
        <v>1</v>
      </c>
      <c r="E1495" t="s">
        <v>974</v>
      </c>
      <c r="F1495" t="s">
        <v>975</v>
      </c>
      <c r="G1495" t="s">
        <v>180</v>
      </c>
      <c r="H1495" s="1" t="s">
        <v>976</v>
      </c>
      <c r="I1495" s="1">
        <v>770</v>
      </c>
      <c r="J1495" s="20">
        <v>0</v>
      </c>
      <c r="K1495" s="1">
        <v>154</v>
      </c>
      <c r="L1495" s="1">
        <v>0</v>
      </c>
      <c r="M1495" s="43" t="s">
        <v>2962</v>
      </c>
      <c r="O1495" s="2" t="s">
        <v>2433</v>
      </c>
      <c r="Q1495" t="s">
        <v>935</v>
      </c>
    </row>
    <row r="1496" spans="1:17" ht="15" customHeight="1" x14ac:dyDescent="0.25">
      <c r="A1496" s="3" t="s">
        <v>1900</v>
      </c>
      <c r="B1496" s="4" t="s">
        <v>2963</v>
      </c>
      <c r="C1496" t="s">
        <v>1383</v>
      </c>
      <c r="D1496">
        <v>1</v>
      </c>
      <c r="E1496" t="s">
        <v>974</v>
      </c>
      <c r="F1496" t="s">
        <v>975</v>
      </c>
      <c r="G1496" t="s">
        <v>180</v>
      </c>
      <c r="H1496" s="1" t="s">
        <v>976</v>
      </c>
      <c r="I1496" s="1">
        <v>770</v>
      </c>
      <c r="J1496" s="20">
        <v>2</v>
      </c>
      <c r="K1496" s="1">
        <v>169</v>
      </c>
      <c r="L1496" s="1">
        <v>338</v>
      </c>
      <c r="M1496" s="43" t="s">
        <v>2962</v>
      </c>
      <c r="O1496" s="2" t="s">
        <v>2433</v>
      </c>
      <c r="P1496">
        <v>44</v>
      </c>
      <c r="Q1496" t="s">
        <v>935</v>
      </c>
    </row>
    <row r="1497" spans="1:17" ht="15" customHeight="1" x14ac:dyDescent="0.25">
      <c r="A1497" s="3" t="s">
        <v>1901</v>
      </c>
      <c r="B1497" s="4" t="s">
        <v>2965</v>
      </c>
      <c r="C1497" t="s">
        <v>1159</v>
      </c>
      <c r="D1497">
        <v>1</v>
      </c>
      <c r="E1497" t="s">
        <v>974</v>
      </c>
      <c r="F1497" t="s">
        <v>975</v>
      </c>
      <c r="G1497" t="s">
        <v>976</v>
      </c>
      <c r="H1497" s="1" t="s">
        <v>976</v>
      </c>
      <c r="I1497" s="1">
        <v>595</v>
      </c>
      <c r="J1497" s="20">
        <v>1</v>
      </c>
      <c r="K1497" s="1">
        <v>105</v>
      </c>
      <c r="L1497" s="1">
        <v>105</v>
      </c>
      <c r="M1497" s="43" t="s">
        <v>2964</v>
      </c>
      <c r="O1497" s="2" t="s">
        <v>2447</v>
      </c>
      <c r="P1497">
        <v>36</v>
      </c>
      <c r="Q1497" t="s">
        <v>936</v>
      </c>
    </row>
    <row r="1498" spans="1:17" ht="15" customHeight="1" x14ac:dyDescent="0.25">
      <c r="A1498" s="3" t="s">
        <v>1902</v>
      </c>
      <c r="B1498" s="4" t="s">
        <v>2965</v>
      </c>
      <c r="C1498" t="s">
        <v>1159</v>
      </c>
      <c r="D1498">
        <v>1</v>
      </c>
      <c r="E1498" t="s">
        <v>974</v>
      </c>
      <c r="F1498" t="s">
        <v>975</v>
      </c>
      <c r="G1498" t="s">
        <v>976</v>
      </c>
      <c r="H1498" s="1" t="s">
        <v>976</v>
      </c>
      <c r="I1498" s="1">
        <v>595</v>
      </c>
      <c r="J1498" s="20">
        <v>1</v>
      </c>
      <c r="K1498" s="1">
        <v>105</v>
      </c>
      <c r="L1498" s="1">
        <v>105</v>
      </c>
      <c r="M1498" s="43" t="s">
        <v>2964</v>
      </c>
      <c r="O1498" s="2" t="s">
        <v>2447</v>
      </c>
      <c r="P1498">
        <v>38</v>
      </c>
      <c r="Q1498" t="s">
        <v>936</v>
      </c>
    </row>
    <row r="1499" spans="1:17" ht="15" customHeight="1" x14ac:dyDescent="0.25">
      <c r="A1499" s="3" t="s">
        <v>1903</v>
      </c>
      <c r="B1499" s="4" t="s">
        <v>2965</v>
      </c>
      <c r="C1499" t="s">
        <v>1159</v>
      </c>
      <c r="D1499">
        <v>1</v>
      </c>
      <c r="E1499" t="s">
        <v>974</v>
      </c>
      <c r="F1499" t="s">
        <v>975</v>
      </c>
      <c r="G1499" t="s">
        <v>976</v>
      </c>
      <c r="H1499" s="1" t="s">
        <v>976</v>
      </c>
      <c r="I1499" s="1">
        <v>595</v>
      </c>
      <c r="J1499" s="20">
        <v>10</v>
      </c>
      <c r="K1499" s="1">
        <v>105</v>
      </c>
      <c r="L1499" s="1">
        <v>1050</v>
      </c>
      <c r="M1499" s="43" t="s">
        <v>2964</v>
      </c>
      <c r="O1499" s="2" t="s">
        <v>2447</v>
      </c>
      <c r="P1499">
        <v>40</v>
      </c>
      <c r="Q1499" t="s">
        <v>936</v>
      </c>
    </row>
    <row r="1500" spans="1:17" ht="15" customHeight="1" x14ac:dyDescent="0.25">
      <c r="A1500" s="3" t="s">
        <v>1904</v>
      </c>
      <c r="B1500" s="4" t="s">
        <v>2965</v>
      </c>
      <c r="C1500" t="s">
        <v>1159</v>
      </c>
      <c r="D1500">
        <v>1</v>
      </c>
      <c r="E1500" t="s">
        <v>974</v>
      </c>
      <c r="F1500" t="s">
        <v>975</v>
      </c>
      <c r="G1500" t="s">
        <v>976</v>
      </c>
      <c r="H1500" s="1" t="s">
        <v>976</v>
      </c>
      <c r="I1500" s="1">
        <v>595</v>
      </c>
      <c r="J1500" s="20">
        <v>2</v>
      </c>
      <c r="K1500" s="1">
        <v>105</v>
      </c>
      <c r="L1500" s="1">
        <v>210</v>
      </c>
      <c r="M1500" s="43" t="s">
        <v>2964</v>
      </c>
      <c r="O1500" s="2" t="s">
        <v>2447</v>
      </c>
      <c r="P1500">
        <v>42</v>
      </c>
      <c r="Q1500" t="s">
        <v>936</v>
      </c>
    </row>
    <row r="1501" spans="1:17" ht="15" customHeight="1" x14ac:dyDescent="0.25">
      <c r="A1501" s="3" t="s">
        <v>1905</v>
      </c>
      <c r="B1501" s="4" t="s">
        <v>2965</v>
      </c>
      <c r="C1501" t="s">
        <v>1159</v>
      </c>
      <c r="D1501">
        <v>1</v>
      </c>
      <c r="E1501" t="s">
        <v>974</v>
      </c>
      <c r="F1501" t="s">
        <v>975</v>
      </c>
      <c r="G1501" t="s">
        <v>976</v>
      </c>
      <c r="H1501" s="1" t="s">
        <v>976</v>
      </c>
      <c r="I1501" s="1">
        <v>595</v>
      </c>
      <c r="J1501" s="20">
        <v>0</v>
      </c>
      <c r="K1501" s="1">
        <v>105</v>
      </c>
      <c r="L1501" s="1">
        <v>0</v>
      </c>
      <c r="M1501" s="43" t="s">
        <v>2964</v>
      </c>
      <c r="O1501" s="2" t="s">
        <v>2447</v>
      </c>
      <c r="P1501">
        <v>44</v>
      </c>
      <c r="Q1501" t="s">
        <v>936</v>
      </c>
    </row>
    <row r="1502" spans="1:17" ht="15" customHeight="1" x14ac:dyDescent="0.25">
      <c r="A1502" s="3" t="s">
        <v>1906</v>
      </c>
      <c r="B1502" s="4" t="s">
        <v>2965</v>
      </c>
      <c r="C1502" t="s">
        <v>1159</v>
      </c>
      <c r="D1502">
        <v>1</v>
      </c>
      <c r="E1502" t="s">
        <v>974</v>
      </c>
      <c r="F1502" t="s">
        <v>975</v>
      </c>
      <c r="G1502" t="s">
        <v>976</v>
      </c>
      <c r="H1502" s="1" t="s">
        <v>976</v>
      </c>
      <c r="I1502" s="1">
        <v>595</v>
      </c>
      <c r="J1502" s="20">
        <v>1</v>
      </c>
      <c r="K1502" s="1">
        <v>105</v>
      </c>
      <c r="L1502" s="1">
        <v>105</v>
      </c>
      <c r="M1502" s="43" t="s">
        <v>2964</v>
      </c>
      <c r="O1502" s="2" t="s">
        <v>2447</v>
      </c>
      <c r="P1502">
        <v>46</v>
      </c>
      <c r="Q1502" t="s">
        <v>936</v>
      </c>
    </row>
    <row r="1503" spans="1:17" ht="15" customHeight="1" x14ac:dyDescent="0.25">
      <c r="A1503" s="3" t="s">
        <v>1907</v>
      </c>
      <c r="B1503" s="4" t="s">
        <v>433</v>
      </c>
      <c r="C1503" t="s">
        <v>1159</v>
      </c>
      <c r="D1503">
        <v>1</v>
      </c>
      <c r="E1503" t="s">
        <v>974</v>
      </c>
      <c r="F1503" t="s">
        <v>975</v>
      </c>
      <c r="G1503" t="s">
        <v>976</v>
      </c>
      <c r="H1503" s="1" t="s">
        <v>976</v>
      </c>
      <c r="I1503" s="1">
        <v>595</v>
      </c>
      <c r="J1503" s="20">
        <v>1</v>
      </c>
      <c r="K1503" s="1">
        <v>105</v>
      </c>
      <c r="L1503" s="1">
        <v>105</v>
      </c>
      <c r="M1503" s="43" t="s">
        <v>2964</v>
      </c>
      <c r="P1503">
        <v>36</v>
      </c>
      <c r="Q1503" t="s">
        <v>433</v>
      </c>
    </row>
    <row r="1504" spans="1:17" ht="15" customHeight="1" x14ac:dyDescent="0.25">
      <c r="A1504" s="3" t="s">
        <v>1908</v>
      </c>
      <c r="B1504" s="4" t="s">
        <v>434</v>
      </c>
      <c r="C1504" t="s">
        <v>1159</v>
      </c>
      <c r="D1504">
        <v>1</v>
      </c>
      <c r="E1504" t="s">
        <v>974</v>
      </c>
      <c r="F1504" t="s">
        <v>975</v>
      </c>
      <c r="G1504" t="s">
        <v>976</v>
      </c>
      <c r="H1504" s="1" t="s">
        <v>976</v>
      </c>
      <c r="I1504" s="1">
        <v>595</v>
      </c>
      <c r="J1504" s="20">
        <v>0</v>
      </c>
      <c r="K1504" s="1">
        <v>105</v>
      </c>
      <c r="L1504" s="1">
        <v>0</v>
      </c>
      <c r="M1504" s="43" t="s">
        <v>2964</v>
      </c>
      <c r="P1504">
        <v>38</v>
      </c>
      <c r="Q1504" t="s">
        <v>434</v>
      </c>
    </row>
    <row r="1505" spans="1:17" ht="15" customHeight="1" x14ac:dyDescent="0.25">
      <c r="A1505" s="42" t="s">
        <v>1908</v>
      </c>
      <c r="B1505" s="3" t="s">
        <v>434</v>
      </c>
      <c r="C1505" s="42" t="s">
        <v>1159</v>
      </c>
      <c r="D1505">
        <v>4</v>
      </c>
      <c r="E1505" t="s">
        <v>1018</v>
      </c>
      <c r="F1505" t="s">
        <v>975</v>
      </c>
      <c r="G1505" t="s">
        <v>976</v>
      </c>
      <c r="H1505" s="1" t="s">
        <v>976</v>
      </c>
      <c r="I1505" s="1">
        <v>595</v>
      </c>
      <c r="J1505" s="20">
        <v>0</v>
      </c>
      <c r="K1505" s="1">
        <v>0</v>
      </c>
      <c r="L1505" s="1">
        <v>0</v>
      </c>
      <c r="M1505" s="43" t="s">
        <v>2964</v>
      </c>
      <c r="P1505">
        <v>38</v>
      </c>
      <c r="Q1505" t="s">
        <v>434</v>
      </c>
    </row>
    <row r="1506" spans="1:17" ht="15" customHeight="1" x14ac:dyDescent="0.25">
      <c r="A1506" s="3" t="s">
        <v>1909</v>
      </c>
      <c r="B1506" s="4" t="s">
        <v>435</v>
      </c>
      <c r="C1506" t="s">
        <v>1159</v>
      </c>
      <c r="D1506">
        <v>1</v>
      </c>
      <c r="E1506" t="s">
        <v>974</v>
      </c>
      <c r="F1506" t="s">
        <v>975</v>
      </c>
      <c r="G1506" t="s">
        <v>976</v>
      </c>
      <c r="H1506" s="1" t="s">
        <v>976</v>
      </c>
      <c r="I1506" s="1">
        <v>595</v>
      </c>
      <c r="J1506" s="20">
        <v>5</v>
      </c>
      <c r="K1506" s="1">
        <v>93.333332999999996</v>
      </c>
      <c r="L1506" s="1">
        <v>466.67</v>
      </c>
      <c r="M1506" s="43" t="s">
        <v>2964</v>
      </c>
      <c r="P1506">
        <v>40</v>
      </c>
      <c r="Q1506" t="s">
        <v>435</v>
      </c>
    </row>
    <row r="1507" spans="1:17" ht="15" customHeight="1" x14ac:dyDescent="0.25">
      <c r="A1507" s="3" t="s">
        <v>1910</v>
      </c>
      <c r="B1507" s="4" t="s">
        <v>436</v>
      </c>
      <c r="C1507" t="s">
        <v>1159</v>
      </c>
      <c r="D1507">
        <v>1</v>
      </c>
      <c r="E1507" t="s">
        <v>974</v>
      </c>
      <c r="F1507" t="s">
        <v>975</v>
      </c>
      <c r="G1507" t="s">
        <v>976</v>
      </c>
      <c r="H1507" s="1" t="s">
        <v>976</v>
      </c>
      <c r="I1507" s="1">
        <v>595</v>
      </c>
      <c r="J1507" s="20">
        <v>1</v>
      </c>
      <c r="K1507" s="1">
        <v>105</v>
      </c>
      <c r="L1507" s="1">
        <v>105</v>
      </c>
      <c r="M1507" s="43" t="s">
        <v>2964</v>
      </c>
      <c r="P1507">
        <v>42</v>
      </c>
      <c r="Q1507" t="s">
        <v>436</v>
      </c>
    </row>
    <row r="1508" spans="1:17" ht="15" customHeight="1" x14ac:dyDescent="0.25">
      <c r="A1508" s="3" t="s">
        <v>1911</v>
      </c>
      <c r="B1508" s="4" t="s">
        <v>437</v>
      </c>
      <c r="C1508" t="s">
        <v>1159</v>
      </c>
      <c r="D1508">
        <v>1</v>
      </c>
      <c r="E1508" t="s">
        <v>974</v>
      </c>
      <c r="F1508" t="s">
        <v>975</v>
      </c>
      <c r="G1508" t="s">
        <v>976</v>
      </c>
      <c r="H1508" s="1" t="s">
        <v>976</v>
      </c>
      <c r="I1508" s="1">
        <v>595</v>
      </c>
      <c r="J1508" s="20">
        <v>0</v>
      </c>
      <c r="K1508" s="1">
        <v>105</v>
      </c>
      <c r="L1508" s="1">
        <v>0</v>
      </c>
      <c r="M1508" s="43" t="s">
        <v>2964</v>
      </c>
      <c r="P1508">
        <v>44</v>
      </c>
      <c r="Q1508" t="s">
        <v>437</v>
      </c>
    </row>
    <row r="1509" spans="1:17" ht="15" customHeight="1" x14ac:dyDescent="0.25">
      <c r="A1509" s="3" t="s">
        <v>1912</v>
      </c>
      <c r="B1509" s="4" t="s">
        <v>438</v>
      </c>
      <c r="C1509" t="s">
        <v>1159</v>
      </c>
      <c r="D1509">
        <v>1</v>
      </c>
      <c r="E1509" t="s">
        <v>974</v>
      </c>
      <c r="F1509" t="s">
        <v>975</v>
      </c>
      <c r="G1509" t="s">
        <v>976</v>
      </c>
      <c r="H1509" s="1" t="s">
        <v>976</v>
      </c>
      <c r="I1509" s="1">
        <v>595</v>
      </c>
      <c r="J1509" s="20">
        <v>0</v>
      </c>
      <c r="K1509" s="1">
        <v>105</v>
      </c>
      <c r="L1509" s="1">
        <v>0</v>
      </c>
      <c r="M1509" s="43" t="s">
        <v>2964</v>
      </c>
      <c r="P1509">
        <v>46</v>
      </c>
      <c r="Q1509" t="s">
        <v>438</v>
      </c>
    </row>
    <row r="1510" spans="1:17" ht="15" customHeight="1" x14ac:dyDescent="0.25">
      <c r="A1510" s="3" t="s">
        <v>1913</v>
      </c>
      <c r="B1510" s="4" t="s">
        <v>2965</v>
      </c>
      <c r="C1510" t="s">
        <v>1159</v>
      </c>
      <c r="D1510">
        <v>1</v>
      </c>
      <c r="E1510" t="s">
        <v>974</v>
      </c>
      <c r="F1510" t="s">
        <v>975</v>
      </c>
      <c r="G1510" t="s">
        <v>976</v>
      </c>
      <c r="H1510" s="1" t="s">
        <v>976</v>
      </c>
      <c r="I1510" s="1">
        <v>595</v>
      </c>
      <c r="J1510" s="20">
        <v>0</v>
      </c>
      <c r="K1510" s="1">
        <v>105</v>
      </c>
      <c r="L1510" s="1">
        <v>0</v>
      </c>
      <c r="M1510" s="43" t="s">
        <v>2964</v>
      </c>
      <c r="O1510" s="2" t="s">
        <v>2482</v>
      </c>
      <c r="P1510">
        <v>36</v>
      </c>
      <c r="Q1510" t="s">
        <v>937</v>
      </c>
    </row>
    <row r="1511" spans="1:17" ht="15" customHeight="1" x14ac:dyDescent="0.25">
      <c r="A1511" s="3" t="s">
        <v>1914</v>
      </c>
      <c r="B1511" s="4" t="s">
        <v>2965</v>
      </c>
      <c r="C1511" t="s">
        <v>1159</v>
      </c>
      <c r="D1511">
        <v>1</v>
      </c>
      <c r="E1511" t="s">
        <v>974</v>
      </c>
      <c r="F1511" t="s">
        <v>975</v>
      </c>
      <c r="G1511" t="s">
        <v>976</v>
      </c>
      <c r="H1511" s="1" t="s">
        <v>976</v>
      </c>
      <c r="I1511" s="1">
        <v>595</v>
      </c>
      <c r="J1511" s="20">
        <v>2</v>
      </c>
      <c r="K1511" s="1">
        <v>105</v>
      </c>
      <c r="L1511" s="1">
        <v>210</v>
      </c>
      <c r="M1511" s="43" t="s">
        <v>2964</v>
      </c>
      <c r="O1511" s="2" t="s">
        <v>2482</v>
      </c>
      <c r="P1511">
        <v>38</v>
      </c>
      <c r="Q1511" t="s">
        <v>937</v>
      </c>
    </row>
    <row r="1512" spans="1:17" ht="15" customHeight="1" x14ac:dyDescent="0.25">
      <c r="A1512" s="3" t="s">
        <v>1915</v>
      </c>
      <c r="B1512" s="4" t="s">
        <v>2965</v>
      </c>
      <c r="C1512" t="s">
        <v>1159</v>
      </c>
      <c r="D1512">
        <v>1</v>
      </c>
      <c r="E1512" t="s">
        <v>974</v>
      </c>
      <c r="F1512" t="s">
        <v>975</v>
      </c>
      <c r="G1512" t="s">
        <v>976</v>
      </c>
      <c r="H1512" s="1" t="s">
        <v>976</v>
      </c>
      <c r="I1512" s="1">
        <v>595</v>
      </c>
      <c r="J1512" s="20">
        <v>9</v>
      </c>
      <c r="K1512" s="1">
        <v>105</v>
      </c>
      <c r="L1512" s="1">
        <v>945</v>
      </c>
      <c r="M1512" s="43" t="s">
        <v>2964</v>
      </c>
      <c r="O1512" s="2" t="s">
        <v>2482</v>
      </c>
      <c r="P1512">
        <v>40</v>
      </c>
      <c r="Q1512" t="s">
        <v>937</v>
      </c>
    </row>
    <row r="1513" spans="1:17" ht="15" customHeight="1" x14ac:dyDescent="0.25">
      <c r="A1513" s="3" t="s">
        <v>1916</v>
      </c>
      <c r="B1513" s="4" t="s">
        <v>2965</v>
      </c>
      <c r="C1513" t="s">
        <v>1159</v>
      </c>
      <c r="D1513">
        <v>1</v>
      </c>
      <c r="E1513" t="s">
        <v>974</v>
      </c>
      <c r="F1513" t="s">
        <v>975</v>
      </c>
      <c r="G1513" t="s">
        <v>976</v>
      </c>
      <c r="H1513" s="1" t="s">
        <v>976</v>
      </c>
      <c r="I1513" s="1">
        <v>595</v>
      </c>
      <c r="J1513" s="20">
        <v>0</v>
      </c>
      <c r="K1513" s="1">
        <v>105</v>
      </c>
      <c r="L1513" s="1">
        <v>0</v>
      </c>
      <c r="M1513" s="43" t="s">
        <v>2964</v>
      </c>
      <c r="O1513" s="2" t="s">
        <v>2482</v>
      </c>
      <c r="P1513">
        <v>42</v>
      </c>
      <c r="Q1513" t="s">
        <v>937</v>
      </c>
    </row>
    <row r="1514" spans="1:17" ht="15" customHeight="1" x14ac:dyDescent="0.25">
      <c r="A1514" s="3" t="s">
        <v>1917</v>
      </c>
      <c r="B1514" s="4" t="s">
        <v>2965</v>
      </c>
      <c r="C1514" t="s">
        <v>1159</v>
      </c>
      <c r="D1514">
        <v>1</v>
      </c>
      <c r="E1514" t="s">
        <v>974</v>
      </c>
      <c r="F1514" t="s">
        <v>975</v>
      </c>
      <c r="G1514" t="s">
        <v>976</v>
      </c>
      <c r="H1514" s="1" t="s">
        <v>976</v>
      </c>
      <c r="I1514" s="1">
        <v>595</v>
      </c>
      <c r="J1514" s="20">
        <v>1</v>
      </c>
      <c r="K1514" s="1">
        <v>105</v>
      </c>
      <c r="L1514" s="1">
        <v>105</v>
      </c>
      <c r="M1514" s="43" t="s">
        <v>2964</v>
      </c>
      <c r="O1514" s="2" t="s">
        <v>2482</v>
      </c>
      <c r="P1514">
        <v>44</v>
      </c>
      <c r="Q1514" t="s">
        <v>937</v>
      </c>
    </row>
    <row r="1515" spans="1:17" ht="15" customHeight="1" x14ac:dyDescent="0.25">
      <c r="A1515" s="3" t="s">
        <v>1918</v>
      </c>
      <c r="B1515" s="4" t="s">
        <v>2965</v>
      </c>
      <c r="C1515" t="s">
        <v>1159</v>
      </c>
      <c r="D1515">
        <v>1</v>
      </c>
      <c r="E1515" t="s">
        <v>974</v>
      </c>
      <c r="F1515" t="s">
        <v>975</v>
      </c>
      <c r="G1515" t="s">
        <v>976</v>
      </c>
      <c r="H1515" s="1" t="s">
        <v>976</v>
      </c>
      <c r="I1515" s="1">
        <v>595</v>
      </c>
      <c r="J1515" s="20">
        <v>0</v>
      </c>
      <c r="K1515" s="1">
        <v>0</v>
      </c>
      <c r="L1515" s="1">
        <v>0</v>
      </c>
      <c r="M1515" s="43" t="s">
        <v>2964</v>
      </c>
      <c r="O1515" s="2" t="s">
        <v>2482</v>
      </c>
      <c r="P1515">
        <v>46</v>
      </c>
      <c r="Q1515" t="s">
        <v>937</v>
      </c>
    </row>
    <row r="1516" spans="1:17" ht="15" customHeight="1" x14ac:dyDescent="0.25">
      <c r="A1516" s="3" t="s">
        <v>1919</v>
      </c>
      <c r="B1516" s="4" t="s">
        <v>439</v>
      </c>
      <c r="C1516" t="s">
        <v>1159</v>
      </c>
      <c r="D1516">
        <v>1</v>
      </c>
      <c r="E1516" t="s">
        <v>974</v>
      </c>
      <c r="F1516" t="s">
        <v>975</v>
      </c>
      <c r="G1516" t="s">
        <v>976</v>
      </c>
      <c r="H1516" s="1" t="s">
        <v>976</v>
      </c>
      <c r="I1516" s="1">
        <v>690</v>
      </c>
      <c r="J1516" s="20">
        <v>1</v>
      </c>
      <c r="K1516" s="1">
        <v>123</v>
      </c>
      <c r="L1516" s="1">
        <v>123</v>
      </c>
      <c r="M1516" s="43" t="s">
        <v>2964</v>
      </c>
      <c r="P1516">
        <v>36</v>
      </c>
      <c r="Q1516" t="s">
        <v>439</v>
      </c>
    </row>
    <row r="1517" spans="1:17" ht="15" customHeight="1" x14ac:dyDescent="0.25">
      <c r="A1517" s="3" t="s">
        <v>1920</v>
      </c>
      <c r="B1517" s="4" t="s">
        <v>440</v>
      </c>
      <c r="C1517" t="s">
        <v>1159</v>
      </c>
      <c r="D1517">
        <v>1</v>
      </c>
      <c r="E1517" t="s">
        <v>974</v>
      </c>
      <c r="F1517" t="s">
        <v>975</v>
      </c>
      <c r="G1517" t="s">
        <v>976</v>
      </c>
      <c r="H1517" s="1" t="s">
        <v>976</v>
      </c>
      <c r="I1517" s="1">
        <v>690</v>
      </c>
      <c r="J1517" s="20">
        <v>7</v>
      </c>
      <c r="K1517" s="1">
        <v>123</v>
      </c>
      <c r="L1517" s="1">
        <v>861</v>
      </c>
      <c r="M1517" s="43" t="s">
        <v>2964</v>
      </c>
      <c r="P1517">
        <v>38</v>
      </c>
      <c r="Q1517" t="s">
        <v>440</v>
      </c>
    </row>
    <row r="1518" spans="1:17" ht="15" customHeight="1" x14ac:dyDescent="0.25">
      <c r="A1518" s="3" t="s">
        <v>1921</v>
      </c>
      <c r="B1518" s="4" t="s">
        <v>441</v>
      </c>
      <c r="C1518" t="s">
        <v>1159</v>
      </c>
      <c r="D1518">
        <v>1</v>
      </c>
      <c r="E1518" t="s">
        <v>974</v>
      </c>
      <c r="F1518" t="s">
        <v>975</v>
      </c>
      <c r="G1518" t="s">
        <v>976</v>
      </c>
      <c r="H1518" s="1" t="s">
        <v>976</v>
      </c>
      <c r="I1518" s="1">
        <v>690</v>
      </c>
      <c r="J1518" s="20">
        <v>20</v>
      </c>
      <c r="K1518" s="1">
        <v>123</v>
      </c>
      <c r="L1518" s="1">
        <v>2460</v>
      </c>
      <c r="M1518" s="43" t="s">
        <v>2964</v>
      </c>
      <c r="P1518">
        <v>40</v>
      </c>
      <c r="Q1518" t="s">
        <v>441</v>
      </c>
    </row>
    <row r="1519" spans="1:17" ht="15" customHeight="1" x14ac:dyDescent="0.25">
      <c r="A1519" s="3" t="s">
        <v>1922</v>
      </c>
      <c r="B1519" s="4" t="s">
        <v>442</v>
      </c>
      <c r="C1519" t="s">
        <v>1159</v>
      </c>
      <c r="D1519">
        <v>1</v>
      </c>
      <c r="E1519" t="s">
        <v>974</v>
      </c>
      <c r="F1519" t="s">
        <v>975</v>
      </c>
      <c r="G1519" t="s">
        <v>976</v>
      </c>
      <c r="H1519" s="1" t="s">
        <v>976</v>
      </c>
      <c r="I1519" s="1">
        <v>690</v>
      </c>
      <c r="J1519" s="20">
        <v>7</v>
      </c>
      <c r="K1519" s="1">
        <v>123</v>
      </c>
      <c r="L1519" s="1">
        <v>861</v>
      </c>
      <c r="M1519" s="43" t="s">
        <v>2964</v>
      </c>
      <c r="P1519">
        <v>42</v>
      </c>
      <c r="Q1519" t="s">
        <v>442</v>
      </c>
    </row>
    <row r="1520" spans="1:17" ht="15" customHeight="1" x14ac:dyDescent="0.25">
      <c r="A1520" s="3" t="s">
        <v>1923</v>
      </c>
      <c r="B1520" s="4" t="s">
        <v>443</v>
      </c>
      <c r="C1520" t="s">
        <v>1159</v>
      </c>
      <c r="D1520">
        <v>1</v>
      </c>
      <c r="E1520" t="s">
        <v>974</v>
      </c>
      <c r="F1520" t="s">
        <v>975</v>
      </c>
      <c r="G1520" t="s">
        <v>976</v>
      </c>
      <c r="H1520" s="1" t="s">
        <v>976</v>
      </c>
      <c r="I1520" s="1">
        <v>690</v>
      </c>
      <c r="J1520" s="20">
        <v>3</v>
      </c>
      <c r="K1520" s="1">
        <v>123</v>
      </c>
      <c r="L1520" s="1">
        <v>369</v>
      </c>
      <c r="M1520" s="43" t="s">
        <v>2964</v>
      </c>
      <c r="P1520">
        <v>44</v>
      </c>
      <c r="Q1520" t="s">
        <v>443</v>
      </c>
    </row>
    <row r="1521" spans="1:17" ht="15" customHeight="1" x14ac:dyDescent="0.25">
      <c r="A1521" s="3" t="s">
        <v>1924</v>
      </c>
      <c r="B1521" s="4" t="s">
        <v>444</v>
      </c>
      <c r="C1521" t="s">
        <v>1159</v>
      </c>
      <c r="D1521">
        <v>1</v>
      </c>
      <c r="E1521" t="s">
        <v>974</v>
      </c>
      <c r="F1521" t="s">
        <v>975</v>
      </c>
      <c r="G1521" t="s">
        <v>976</v>
      </c>
      <c r="H1521" s="1" t="s">
        <v>976</v>
      </c>
      <c r="I1521" s="1">
        <v>690</v>
      </c>
      <c r="J1521" s="20">
        <v>0</v>
      </c>
      <c r="K1521" s="1">
        <v>0</v>
      </c>
      <c r="L1521" s="1">
        <v>0</v>
      </c>
      <c r="M1521" s="43" t="s">
        <v>2964</v>
      </c>
      <c r="P1521">
        <v>46</v>
      </c>
      <c r="Q1521" t="s">
        <v>444</v>
      </c>
    </row>
    <row r="1522" spans="1:17" ht="15" customHeight="1" x14ac:dyDescent="0.25">
      <c r="A1522" s="3" t="s">
        <v>1925</v>
      </c>
      <c r="B1522" s="4" t="s">
        <v>445</v>
      </c>
      <c r="C1522" t="s">
        <v>1159</v>
      </c>
      <c r="D1522">
        <v>1</v>
      </c>
      <c r="E1522" t="s">
        <v>974</v>
      </c>
      <c r="F1522" t="s">
        <v>975</v>
      </c>
      <c r="G1522" t="s">
        <v>976</v>
      </c>
      <c r="H1522" s="1" t="s">
        <v>976</v>
      </c>
      <c r="I1522" s="1">
        <v>690</v>
      </c>
      <c r="J1522" s="20">
        <v>3</v>
      </c>
      <c r="K1522" s="1">
        <v>105</v>
      </c>
      <c r="L1522" s="1">
        <v>315</v>
      </c>
      <c r="M1522" s="43" t="s">
        <v>2964</v>
      </c>
      <c r="P1522">
        <v>36</v>
      </c>
      <c r="Q1522" t="s">
        <v>445</v>
      </c>
    </row>
    <row r="1523" spans="1:17" ht="15" customHeight="1" x14ac:dyDescent="0.25">
      <c r="A1523" s="3" t="s">
        <v>1926</v>
      </c>
      <c r="B1523" s="4" t="s">
        <v>446</v>
      </c>
      <c r="C1523" t="s">
        <v>1159</v>
      </c>
      <c r="D1523">
        <v>1</v>
      </c>
      <c r="E1523" t="s">
        <v>974</v>
      </c>
      <c r="F1523" t="s">
        <v>975</v>
      </c>
      <c r="G1523" t="s">
        <v>976</v>
      </c>
      <c r="H1523" s="1" t="s">
        <v>976</v>
      </c>
      <c r="I1523" s="1">
        <v>690</v>
      </c>
      <c r="J1523" s="20">
        <v>10</v>
      </c>
      <c r="K1523" s="1">
        <v>105</v>
      </c>
      <c r="L1523" s="1">
        <v>1050</v>
      </c>
      <c r="M1523" s="43" t="s">
        <v>2964</v>
      </c>
      <c r="P1523">
        <v>38</v>
      </c>
      <c r="Q1523" t="s">
        <v>446</v>
      </c>
    </row>
    <row r="1524" spans="1:17" ht="15" customHeight="1" x14ac:dyDescent="0.25">
      <c r="A1524" s="3" t="s">
        <v>1927</v>
      </c>
      <c r="B1524" s="4" t="s">
        <v>447</v>
      </c>
      <c r="C1524" t="s">
        <v>1159</v>
      </c>
      <c r="D1524">
        <v>1</v>
      </c>
      <c r="E1524" t="s">
        <v>974</v>
      </c>
      <c r="F1524" t="s">
        <v>975</v>
      </c>
      <c r="G1524" t="s">
        <v>976</v>
      </c>
      <c r="H1524" s="1" t="s">
        <v>976</v>
      </c>
      <c r="I1524" s="1">
        <v>690</v>
      </c>
      <c r="J1524" s="20">
        <v>18</v>
      </c>
      <c r="K1524" s="1">
        <v>105</v>
      </c>
      <c r="L1524" s="1">
        <v>1890</v>
      </c>
      <c r="M1524" s="43" t="s">
        <v>2964</v>
      </c>
      <c r="P1524">
        <v>40</v>
      </c>
      <c r="Q1524" t="s">
        <v>447</v>
      </c>
    </row>
    <row r="1525" spans="1:17" ht="15" customHeight="1" x14ac:dyDescent="0.25">
      <c r="A1525" s="3" t="s">
        <v>1928</v>
      </c>
      <c r="B1525" s="4" t="s">
        <v>448</v>
      </c>
      <c r="C1525" t="s">
        <v>1159</v>
      </c>
      <c r="D1525">
        <v>1</v>
      </c>
      <c r="E1525" t="s">
        <v>974</v>
      </c>
      <c r="F1525" t="s">
        <v>975</v>
      </c>
      <c r="G1525" t="s">
        <v>976</v>
      </c>
      <c r="H1525" s="1" t="s">
        <v>976</v>
      </c>
      <c r="I1525" s="1">
        <v>690</v>
      </c>
      <c r="J1525" s="20">
        <v>6</v>
      </c>
      <c r="K1525" s="1">
        <v>105</v>
      </c>
      <c r="L1525" s="1">
        <v>630</v>
      </c>
      <c r="M1525" s="43" t="s">
        <v>2964</v>
      </c>
      <c r="P1525">
        <v>42</v>
      </c>
      <c r="Q1525" t="s">
        <v>448</v>
      </c>
    </row>
    <row r="1526" spans="1:17" ht="15" customHeight="1" x14ac:dyDescent="0.25">
      <c r="A1526" s="3" t="s">
        <v>1929</v>
      </c>
      <c r="B1526" s="4" t="s">
        <v>449</v>
      </c>
      <c r="C1526" t="s">
        <v>1159</v>
      </c>
      <c r="D1526">
        <v>1</v>
      </c>
      <c r="E1526" t="s">
        <v>974</v>
      </c>
      <c r="F1526" t="s">
        <v>975</v>
      </c>
      <c r="G1526" t="s">
        <v>976</v>
      </c>
      <c r="H1526" s="1" t="s">
        <v>976</v>
      </c>
      <c r="I1526" s="1">
        <v>690</v>
      </c>
      <c r="J1526" s="20">
        <v>3</v>
      </c>
      <c r="K1526" s="1">
        <v>105</v>
      </c>
      <c r="L1526" s="1">
        <v>315</v>
      </c>
      <c r="M1526" s="43" t="s">
        <v>2964</v>
      </c>
      <c r="P1526">
        <v>44</v>
      </c>
      <c r="Q1526" t="s">
        <v>449</v>
      </c>
    </row>
    <row r="1527" spans="1:17" ht="15" customHeight="1" x14ac:dyDescent="0.25">
      <c r="A1527" s="3" t="s">
        <v>1930</v>
      </c>
      <c r="B1527" s="4" t="s">
        <v>450</v>
      </c>
      <c r="C1527" t="s">
        <v>1159</v>
      </c>
      <c r="D1527">
        <v>1</v>
      </c>
      <c r="E1527" t="s">
        <v>974</v>
      </c>
      <c r="F1527" t="s">
        <v>975</v>
      </c>
      <c r="G1527" t="s">
        <v>976</v>
      </c>
      <c r="H1527" s="1" t="s">
        <v>976</v>
      </c>
      <c r="I1527" s="1">
        <v>690</v>
      </c>
      <c r="J1527" s="20">
        <v>0</v>
      </c>
      <c r="K1527" s="1">
        <v>0</v>
      </c>
      <c r="L1527" s="1">
        <v>0</v>
      </c>
      <c r="M1527" s="43" t="s">
        <v>2964</v>
      </c>
      <c r="P1527">
        <v>46</v>
      </c>
      <c r="Q1527" t="s">
        <v>450</v>
      </c>
    </row>
    <row r="1528" spans="1:17" ht="15" customHeight="1" x14ac:dyDescent="0.25">
      <c r="A1528" s="3" t="s">
        <v>1931</v>
      </c>
      <c r="B1528" s="4" t="s">
        <v>2966</v>
      </c>
      <c r="C1528" t="s">
        <v>1159</v>
      </c>
      <c r="D1528">
        <v>1</v>
      </c>
      <c r="E1528" t="s">
        <v>974</v>
      </c>
      <c r="F1528" t="s">
        <v>975</v>
      </c>
      <c r="G1528" t="s">
        <v>976</v>
      </c>
      <c r="H1528" s="1" t="s">
        <v>976</v>
      </c>
      <c r="I1528" s="1">
        <v>960</v>
      </c>
      <c r="J1528" s="20">
        <v>0</v>
      </c>
      <c r="K1528" s="1">
        <v>236</v>
      </c>
      <c r="L1528" s="1">
        <v>0</v>
      </c>
      <c r="M1528" s="43" t="s">
        <v>2964</v>
      </c>
      <c r="O1528" s="2" t="s">
        <v>2447</v>
      </c>
      <c r="Q1528" t="s">
        <v>938</v>
      </c>
    </row>
    <row r="1529" spans="1:17" ht="15" customHeight="1" x14ac:dyDescent="0.25">
      <c r="A1529" s="3" t="s">
        <v>1932</v>
      </c>
      <c r="B1529" s="4" t="s">
        <v>2966</v>
      </c>
      <c r="C1529" t="s">
        <v>1159</v>
      </c>
      <c r="D1529">
        <v>1</v>
      </c>
      <c r="E1529" t="s">
        <v>974</v>
      </c>
      <c r="F1529" t="s">
        <v>975</v>
      </c>
      <c r="G1529" t="s">
        <v>976</v>
      </c>
      <c r="H1529" s="1" t="s">
        <v>976</v>
      </c>
      <c r="I1529" s="1">
        <v>960</v>
      </c>
      <c r="J1529" s="20">
        <v>6</v>
      </c>
      <c r="K1529" s="1">
        <v>236</v>
      </c>
      <c r="L1529" s="1">
        <v>1416</v>
      </c>
      <c r="M1529" s="43" t="s">
        <v>2964</v>
      </c>
      <c r="O1529" s="2" t="s">
        <v>2447</v>
      </c>
      <c r="Q1529" t="s">
        <v>938</v>
      </c>
    </row>
    <row r="1530" spans="1:17" ht="15" customHeight="1" x14ac:dyDescent="0.25">
      <c r="A1530" s="3" t="s">
        <v>1933</v>
      </c>
      <c r="B1530" s="4" t="s">
        <v>2966</v>
      </c>
      <c r="C1530" t="s">
        <v>1159</v>
      </c>
      <c r="D1530">
        <v>1</v>
      </c>
      <c r="E1530" t="s">
        <v>974</v>
      </c>
      <c r="F1530" t="s">
        <v>975</v>
      </c>
      <c r="G1530" t="s">
        <v>976</v>
      </c>
      <c r="H1530" s="1" t="s">
        <v>976</v>
      </c>
      <c r="I1530" s="1">
        <v>960</v>
      </c>
      <c r="J1530" s="20">
        <v>4</v>
      </c>
      <c r="K1530" s="1">
        <v>236</v>
      </c>
      <c r="L1530" s="1">
        <v>944</v>
      </c>
      <c r="M1530" s="43" t="s">
        <v>2964</v>
      </c>
      <c r="O1530" s="2" t="s">
        <v>2447</v>
      </c>
      <c r="Q1530" t="s">
        <v>938</v>
      </c>
    </row>
    <row r="1531" spans="1:17" ht="15" customHeight="1" x14ac:dyDescent="0.25">
      <c r="A1531" s="3" t="s">
        <v>1934</v>
      </c>
      <c r="B1531" s="4" t="s">
        <v>2966</v>
      </c>
      <c r="C1531" t="s">
        <v>1159</v>
      </c>
      <c r="D1531">
        <v>1</v>
      </c>
      <c r="E1531" t="s">
        <v>974</v>
      </c>
      <c r="F1531" t="s">
        <v>975</v>
      </c>
      <c r="G1531" t="s">
        <v>976</v>
      </c>
      <c r="H1531" s="1" t="s">
        <v>976</v>
      </c>
      <c r="I1531" s="1">
        <v>960</v>
      </c>
      <c r="J1531" s="20">
        <v>3</v>
      </c>
      <c r="K1531" s="1">
        <v>236</v>
      </c>
      <c r="L1531" s="1">
        <v>708</v>
      </c>
      <c r="M1531" s="43" t="s">
        <v>2964</v>
      </c>
      <c r="O1531" s="2" t="s">
        <v>2447</v>
      </c>
      <c r="Q1531" t="s">
        <v>938</v>
      </c>
    </row>
    <row r="1532" spans="1:17" ht="15" customHeight="1" x14ac:dyDescent="0.25">
      <c r="A1532" s="3" t="s">
        <v>1935</v>
      </c>
      <c r="B1532" s="4" t="s">
        <v>2966</v>
      </c>
      <c r="C1532" t="s">
        <v>1159</v>
      </c>
      <c r="D1532">
        <v>1</v>
      </c>
      <c r="E1532" t="s">
        <v>974</v>
      </c>
      <c r="F1532" t="s">
        <v>975</v>
      </c>
      <c r="G1532" t="s">
        <v>976</v>
      </c>
      <c r="H1532" s="1" t="s">
        <v>976</v>
      </c>
      <c r="I1532" s="1">
        <v>960</v>
      </c>
      <c r="J1532" s="20">
        <v>1</v>
      </c>
      <c r="K1532" s="1">
        <v>236</v>
      </c>
      <c r="L1532" s="1">
        <v>236</v>
      </c>
      <c r="M1532" s="43" t="s">
        <v>2964</v>
      </c>
      <c r="O1532" s="2" t="s">
        <v>2447</v>
      </c>
      <c r="Q1532" t="s">
        <v>938</v>
      </c>
    </row>
    <row r="1533" spans="1:17" ht="15" customHeight="1" x14ac:dyDescent="0.25">
      <c r="A1533" s="3" t="s">
        <v>1936</v>
      </c>
      <c r="B1533" s="4" t="s">
        <v>2966</v>
      </c>
      <c r="C1533" t="s">
        <v>1159</v>
      </c>
      <c r="D1533">
        <v>1</v>
      </c>
      <c r="E1533" t="s">
        <v>974</v>
      </c>
      <c r="F1533" t="s">
        <v>975</v>
      </c>
      <c r="G1533" t="s">
        <v>976</v>
      </c>
      <c r="H1533" s="1" t="s">
        <v>976</v>
      </c>
      <c r="I1533" s="1">
        <v>910</v>
      </c>
      <c r="J1533" s="20">
        <v>-1</v>
      </c>
      <c r="K1533" s="1">
        <v>0</v>
      </c>
      <c r="L1533" s="1">
        <v>0</v>
      </c>
      <c r="M1533" s="43" t="s">
        <v>2964</v>
      </c>
      <c r="N1533" s="1" t="s">
        <v>2616</v>
      </c>
      <c r="O1533" s="2" t="s">
        <v>2447</v>
      </c>
      <c r="Q1533" t="s">
        <v>938</v>
      </c>
    </row>
    <row r="1534" spans="1:17" ht="15" customHeight="1" x14ac:dyDescent="0.25">
      <c r="A1534" s="42" t="s">
        <v>1936</v>
      </c>
      <c r="B1534" s="3" t="s">
        <v>2966</v>
      </c>
      <c r="C1534" s="42" t="s">
        <v>1159</v>
      </c>
      <c r="D1534">
        <v>4</v>
      </c>
      <c r="E1534" t="s">
        <v>1018</v>
      </c>
      <c r="F1534" t="s">
        <v>975</v>
      </c>
      <c r="G1534" t="s">
        <v>976</v>
      </c>
      <c r="H1534" s="1" t="s">
        <v>976</v>
      </c>
      <c r="I1534" s="1">
        <v>910</v>
      </c>
      <c r="J1534" s="20">
        <v>1</v>
      </c>
      <c r="K1534" s="1">
        <v>910</v>
      </c>
      <c r="L1534" s="1">
        <v>910</v>
      </c>
      <c r="M1534" s="43" t="s">
        <v>2964</v>
      </c>
      <c r="N1534" s="1" t="s">
        <v>2616</v>
      </c>
      <c r="O1534" s="2" t="s">
        <v>2447</v>
      </c>
      <c r="Q1534" t="s">
        <v>938</v>
      </c>
    </row>
    <row r="1535" spans="1:17" ht="15" customHeight="1" x14ac:dyDescent="0.25">
      <c r="A1535" s="3" t="s">
        <v>1937</v>
      </c>
      <c r="B1535" s="4" t="s">
        <v>2966</v>
      </c>
      <c r="C1535" t="s">
        <v>1159</v>
      </c>
      <c r="D1535">
        <v>1</v>
      </c>
      <c r="E1535" t="s">
        <v>974</v>
      </c>
      <c r="F1535" t="s">
        <v>975</v>
      </c>
      <c r="G1535" t="s">
        <v>976</v>
      </c>
      <c r="H1535" s="1" t="s">
        <v>976</v>
      </c>
      <c r="I1535" s="1">
        <v>960</v>
      </c>
      <c r="J1535" s="20">
        <v>0</v>
      </c>
      <c r="K1535" s="1">
        <v>236</v>
      </c>
      <c r="L1535" s="1">
        <v>0</v>
      </c>
      <c r="M1535" s="43" t="s">
        <v>2964</v>
      </c>
      <c r="O1535" s="2" t="s">
        <v>2482</v>
      </c>
      <c r="Q1535" t="s">
        <v>939</v>
      </c>
    </row>
    <row r="1536" spans="1:17" ht="15" customHeight="1" x14ac:dyDescent="0.25">
      <c r="A1536" s="3" t="s">
        <v>1938</v>
      </c>
      <c r="B1536" s="4" t="s">
        <v>2966</v>
      </c>
      <c r="C1536" t="s">
        <v>1159</v>
      </c>
      <c r="D1536">
        <v>1</v>
      </c>
      <c r="E1536" t="s">
        <v>974</v>
      </c>
      <c r="F1536" t="s">
        <v>975</v>
      </c>
      <c r="G1536" t="s">
        <v>976</v>
      </c>
      <c r="H1536" s="1" t="s">
        <v>976</v>
      </c>
      <c r="I1536" s="1">
        <v>960</v>
      </c>
      <c r="J1536" s="20">
        <v>-1</v>
      </c>
      <c r="K1536" s="1">
        <v>236</v>
      </c>
      <c r="L1536" s="1">
        <v>-236</v>
      </c>
      <c r="M1536" s="43" t="s">
        <v>2964</v>
      </c>
      <c r="O1536" s="2" t="s">
        <v>2482</v>
      </c>
      <c r="Q1536" t="s">
        <v>939</v>
      </c>
    </row>
    <row r="1537" spans="1:17" ht="15" customHeight="1" x14ac:dyDescent="0.25">
      <c r="A1537" s="3" t="s">
        <v>1939</v>
      </c>
      <c r="B1537" s="4" t="s">
        <v>2966</v>
      </c>
      <c r="C1537" t="s">
        <v>1159</v>
      </c>
      <c r="D1537">
        <v>1</v>
      </c>
      <c r="E1537" t="s">
        <v>974</v>
      </c>
      <c r="F1537" t="s">
        <v>975</v>
      </c>
      <c r="G1537" t="s">
        <v>976</v>
      </c>
      <c r="H1537" s="1" t="s">
        <v>976</v>
      </c>
      <c r="I1537" s="1">
        <v>960</v>
      </c>
      <c r="J1537" s="20">
        <v>6</v>
      </c>
      <c r="K1537" s="1">
        <v>236</v>
      </c>
      <c r="L1537" s="1">
        <v>1416</v>
      </c>
      <c r="M1537" s="43" t="s">
        <v>2964</v>
      </c>
      <c r="O1537" s="2" t="s">
        <v>2482</v>
      </c>
      <c r="Q1537" t="s">
        <v>939</v>
      </c>
    </row>
    <row r="1538" spans="1:17" ht="15" customHeight="1" x14ac:dyDescent="0.25">
      <c r="A1538" s="3" t="s">
        <v>1940</v>
      </c>
      <c r="B1538" s="4" t="s">
        <v>2966</v>
      </c>
      <c r="C1538" t="s">
        <v>1159</v>
      </c>
      <c r="D1538">
        <v>1</v>
      </c>
      <c r="E1538" t="s">
        <v>974</v>
      </c>
      <c r="F1538" t="s">
        <v>975</v>
      </c>
      <c r="G1538" t="s">
        <v>976</v>
      </c>
      <c r="H1538" s="1" t="s">
        <v>976</v>
      </c>
      <c r="I1538" s="1">
        <v>960</v>
      </c>
      <c r="J1538" s="20">
        <v>2</v>
      </c>
      <c r="K1538" s="1">
        <v>236</v>
      </c>
      <c r="L1538" s="1">
        <v>472</v>
      </c>
      <c r="M1538" s="43" t="s">
        <v>2964</v>
      </c>
      <c r="O1538" s="2" t="s">
        <v>2482</v>
      </c>
      <c r="Q1538" t="s">
        <v>939</v>
      </c>
    </row>
    <row r="1539" spans="1:17" ht="15" customHeight="1" x14ac:dyDescent="0.25">
      <c r="A1539" s="3" t="s">
        <v>1941</v>
      </c>
      <c r="B1539" s="4" t="s">
        <v>2966</v>
      </c>
      <c r="C1539" t="s">
        <v>1159</v>
      </c>
      <c r="D1539">
        <v>1</v>
      </c>
      <c r="E1539" t="s">
        <v>974</v>
      </c>
      <c r="F1539" t="s">
        <v>975</v>
      </c>
      <c r="G1539" t="s">
        <v>976</v>
      </c>
      <c r="H1539" s="1" t="s">
        <v>976</v>
      </c>
      <c r="I1539" s="1">
        <v>960</v>
      </c>
      <c r="J1539" s="20">
        <v>1</v>
      </c>
      <c r="K1539" s="1">
        <v>236</v>
      </c>
      <c r="L1539" s="1">
        <v>236</v>
      </c>
      <c r="M1539" s="43" t="s">
        <v>2964</v>
      </c>
      <c r="O1539" s="2" t="s">
        <v>2482</v>
      </c>
      <c r="Q1539" t="s">
        <v>939</v>
      </c>
    </row>
    <row r="1540" spans="1:17" ht="15" customHeight="1" x14ac:dyDescent="0.25">
      <c r="A1540" s="3" t="s">
        <v>1942</v>
      </c>
      <c r="B1540" s="4" t="s">
        <v>2966</v>
      </c>
      <c r="C1540" t="s">
        <v>1159</v>
      </c>
      <c r="D1540">
        <v>1</v>
      </c>
      <c r="E1540" t="s">
        <v>974</v>
      </c>
      <c r="F1540" t="s">
        <v>975</v>
      </c>
      <c r="G1540" t="s">
        <v>976</v>
      </c>
      <c r="H1540" s="1" t="s">
        <v>976</v>
      </c>
      <c r="I1540" s="1">
        <v>910</v>
      </c>
      <c r="J1540" s="20">
        <v>0</v>
      </c>
      <c r="K1540" s="1">
        <v>0</v>
      </c>
      <c r="L1540" s="1">
        <v>0</v>
      </c>
      <c r="M1540" s="43" t="s">
        <v>2964</v>
      </c>
      <c r="N1540" s="1" t="s">
        <v>2616</v>
      </c>
      <c r="O1540" s="2" t="s">
        <v>2482</v>
      </c>
      <c r="Q1540" t="s">
        <v>939</v>
      </c>
    </row>
    <row r="1541" spans="1:17" ht="15" customHeight="1" x14ac:dyDescent="0.25">
      <c r="A1541" s="3" t="s">
        <v>2212</v>
      </c>
      <c r="B1541" s="4" t="s">
        <v>547</v>
      </c>
      <c r="C1541" t="s">
        <v>1943</v>
      </c>
      <c r="D1541">
        <v>1</v>
      </c>
      <c r="E1541" t="s">
        <v>974</v>
      </c>
      <c r="F1541" t="s">
        <v>975</v>
      </c>
      <c r="G1541" t="s">
        <v>180</v>
      </c>
      <c r="H1541" s="1" t="s">
        <v>976</v>
      </c>
      <c r="I1541" s="1">
        <v>890</v>
      </c>
      <c r="J1541" s="20">
        <v>2</v>
      </c>
      <c r="K1541" s="1">
        <v>173.5</v>
      </c>
      <c r="L1541" s="1">
        <v>347</v>
      </c>
      <c r="M1541" s="43" t="s">
        <v>2967</v>
      </c>
      <c r="P1541" t="s">
        <v>24</v>
      </c>
      <c r="Q1541" t="s">
        <v>547</v>
      </c>
    </row>
    <row r="1542" spans="1:17" ht="15" customHeight="1" x14ac:dyDescent="0.25">
      <c r="A1542" s="3" t="s">
        <v>2213</v>
      </c>
      <c r="B1542" s="4" t="s">
        <v>548</v>
      </c>
      <c r="C1542" t="s">
        <v>1943</v>
      </c>
      <c r="D1542">
        <v>1</v>
      </c>
      <c r="E1542" t="s">
        <v>974</v>
      </c>
      <c r="F1542" t="s">
        <v>975</v>
      </c>
      <c r="G1542" t="s">
        <v>180</v>
      </c>
      <c r="H1542" s="1" t="s">
        <v>976</v>
      </c>
      <c r="I1542" s="1">
        <v>890</v>
      </c>
      <c r="J1542" s="20">
        <v>8</v>
      </c>
      <c r="K1542" s="1">
        <v>173.5</v>
      </c>
      <c r="L1542" s="1">
        <v>1388</v>
      </c>
      <c r="M1542" s="43" t="s">
        <v>2967</v>
      </c>
      <c r="P1542" t="s">
        <v>23</v>
      </c>
      <c r="Q1542" t="s">
        <v>548</v>
      </c>
    </row>
    <row r="1543" spans="1:17" ht="15" customHeight="1" x14ac:dyDescent="0.25">
      <c r="A1543" s="3" t="s">
        <v>2214</v>
      </c>
      <c r="B1543" s="4" t="s">
        <v>549</v>
      </c>
      <c r="C1543" t="s">
        <v>1943</v>
      </c>
      <c r="D1543">
        <v>1</v>
      </c>
      <c r="E1543" t="s">
        <v>974</v>
      </c>
      <c r="F1543" t="s">
        <v>975</v>
      </c>
      <c r="G1543" t="s">
        <v>180</v>
      </c>
      <c r="H1543" s="1" t="s">
        <v>976</v>
      </c>
      <c r="I1543" s="1">
        <v>890</v>
      </c>
      <c r="J1543" s="20">
        <v>10</v>
      </c>
      <c r="K1543" s="1">
        <v>173.5</v>
      </c>
      <c r="L1543" s="1">
        <v>1735</v>
      </c>
      <c r="M1543" s="43" t="s">
        <v>2967</v>
      </c>
      <c r="P1543" t="s">
        <v>22</v>
      </c>
      <c r="Q1543" t="s">
        <v>549</v>
      </c>
    </row>
    <row r="1544" spans="1:17" ht="15" customHeight="1" x14ac:dyDescent="0.25">
      <c r="A1544" s="3" t="s">
        <v>2215</v>
      </c>
      <c r="B1544" s="4" t="s">
        <v>550</v>
      </c>
      <c r="C1544" t="s">
        <v>1943</v>
      </c>
      <c r="D1544">
        <v>1</v>
      </c>
      <c r="E1544" t="s">
        <v>974</v>
      </c>
      <c r="F1544" t="s">
        <v>975</v>
      </c>
      <c r="G1544" t="s">
        <v>180</v>
      </c>
      <c r="H1544" s="1" t="s">
        <v>976</v>
      </c>
      <c r="I1544" s="1">
        <v>890</v>
      </c>
      <c r="J1544" s="20">
        <v>0</v>
      </c>
      <c r="K1544" s="1">
        <v>173.5</v>
      </c>
      <c r="L1544" s="1">
        <v>0</v>
      </c>
      <c r="M1544" s="43" t="s">
        <v>2967</v>
      </c>
      <c r="P1544" t="s">
        <v>24</v>
      </c>
      <c r="Q1544" t="s">
        <v>550</v>
      </c>
    </row>
    <row r="1545" spans="1:17" ht="15" customHeight="1" x14ac:dyDescent="0.25">
      <c r="A1545" s="3" t="s">
        <v>2216</v>
      </c>
      <c r="B1545" s="4" t="s">
        <v>551</v>
      </c>
      <c r="C1545" t="s">
        <v>1943</v>
      </c>
      <c r="D1545">
        <v>1</v>
      </c>
      <c r="E1545" t="s">
        <v>974</v>
      </c>
      <c r="F1545" t="s">
        <v>975</v>
      </c>
      <c r="G1545" t="s">
        <v>180</v>
      </c>
      <c r="H1545" s="1" t="s">
        <v>976</v>
      </c>
      <c r="I1545" s="1">
        <v>890</v>
      </c>
      <c r="J1545" s="20">
        <v>3</v>
      </c>
      <c r="K1545" s="1">
        <v>173.5</v>
      </c>
      <c r="L1545" s="1">
        <v>520.5</v>
      </c>
      <c r="M1545" s="43" t="s">
        <v>2967</v>
      </c>
      <c r="P1545" t="s">
        <v>23</v>
      </c>
      <c r="Q1545" t="s">
        <v>551</v>
      </c>
    </row>
    <row r="1546" spans="1:17" ht="15" customHeight="1" x14ac:dyDescent="0.25">
      <c r="A1546" s="3" t="s">
        <v>2217</v>
      </c>
      <c r="B1546" s="4" t="s">
        <v>552</v>
      </c>
      <c r="C1546" t="s">
        <v>1943</v>
      </c>
      <c r="D1546">
        <v>1</v>
      </c>
      <c r="E1546" t="s">
        <v>974</v>
      </c>
      <c r="F1546" t="s">
        <v>975</v>
      </c>
      <c r="G1546" t="s">
        <v>180</v>
      </c>
      <c r="H1546" s="1" t="s">
        <v>976</v>
      </c>
      <c r="I1546" s="1">
        <v>890</v>
      </c>
      <c r="J1546" s="20">
        <v>0</v>
      </c>
      <c r="K1546" s="1">
        <v>173.5</v>
      </c>
      <c r="L1546" s="1">
        <v>0</v>
      </c>
      <c r="M1546" s="43" t="s">
        <v>2967</v>
      </c>
      <c r="P1546" t="s">
        <v>22</v>
      </c>
      <c r="Q1546" t="s">
        <v>552</v>
      </c>
    </row>
    <row r="1547" spans="1:17" ht="15" customHeight="1" x14ac:dyDescent="0.25">
      <c r="A1547" s="3" t="s">
        <v>2218</v>
      </c>
      <c r="B1547" s="4" t="s">
        <v>2968</v>
      </c>
      <c r="C1547" t="s">
        <v>1943</v>
      </c>
      <c r="D1547">
        <v>1</v>
      </c>
      <c r="E1547" t="s">
        <v>974</v>
      </c>
      <c r="F1547" t="s">
        <v>975</v>
      </c>
      <c r="G1547" t="s">
        <v>180</v>
      </c>
      <c r="H1547" s="1" t="s">
        <v>976</v>
      </c>
      <c r="I1547" s="1">
        <v>890</v>
      </c>
      <c r="J1547" s="20">
        <v>6</v>
      </c>
      <c r="K1547" s="1">
        <v>173.5</v>
      </c>
      <c r="L1547" s="1">
        <v>1041</v>
      </c>
      <c r="M1547" s="43" t="s">
        <v>2967</v>
      </c>
      <c r="O1547" s="2" t="s">
        <v>2482</v>
      </c>
      <c r="P1547" t="s">
        <v>24</v>
      </c>
      <c r="Q1547" t="s">
        <v>940</v>
      </c>
    </row>
    <row r="1548" spans="1:17" ht="15" customHeight="1" x14ac:dyDescent="0.25">
      <c r="A1548" s="3" t="s">
        <v>2219</v>
      </c>
      <c r="B1548" s="4" t="s">
        <v>2968</v>
      </c>
      <c r="C1548" t="s">
        <v>1943</v>
      </c>
      <c r="D1548">
        <v>1</v>
      </c>
      <c r="E1548" t="s">
        <v>974</v>
      </c>
      <c r="F1548" t="s">
        <v>975</v>
      </c>
      <c r="G1548" t="s">
        <v>180</v>
      </c>
      <c r="H1548" s="1" t="s">
        <v>976</v>
      </c>
      <c r="I1548" s="1">
        <v>890</v>
      </c>
      <c r="J1548" s="20">
        <v>11</v>
      </c>
      <c r="K1548" s="1">
        <v>173.5</v>
      </c>
      <c r="L1548" s="1">
        <v>1908.5</v>
      </c>
      <c r="M1548" s="43" t="s">
        <v>2967</v>
      </c>
      <c r="O1548" s="2" t="s">
        <v>2482</v>
      </c>
      <c r="P1548" t="s">
        <v>23</v>
      </c>
      <c r="Q1548" t="s">
        <v>940</v>
      </c>
    </row>
    <row r="1549" spans="1:17" ht="15" customHeight="1" x14ac:dyDescent="0.25">
      <c r="A1549" s="3" t="s">
        <v>2220</v>
      </c>
      <c r="B1549" s="4" t="s">
        <v>2968</v>
      </c>
      <c r="C1549" t="s">
        <v>1943</v>
      </c>
      <c r="D1549">
        <v>1</v>
      </c>
      <c r="E1549" t="s">
        <v>974</v>
      </c>
      <c r="F1549" t="s">
        <v>975</v>
      </c>
      <c r="G1549" t="s">
        <v>180</v>
      </c>
      <c r="H1549" s="1" t="s">
        <v>976</v>
      </c>
      <c r="I1549" s="1">
        <v>890</v>
      </c>
      <c r="J1549" s="20">
        <v>6</v>
      </c>
      <c r="K1549" s="1">
        <v>173.5</v>
      </c>
      <c r="L1549" s="1">
        <v>1041</v>
      </c>
      <c r="M1549" s="43" t="s">
        <v>2967</v>
      </c>
      <c r="O1549" s="2" t="s">
        <v>2482</v>
      </c>
      <c r="P1549" t="s">
        <v>22</v>
      </c>
      <c r="Q1549" t="s">
        <v>940</v>
      </c>
    </row>
    <row r="1550" spans="1:17" ht="15" customHeight="1" x14ac:dyDescent="0.25">
      <c r="A1550" s="3" t="s">
        <v>2221</v>
      </c>
      <c r="B1550" s="4" t="s">
        <v>2968</v>
      </c>
      <c r="C1550" t="s">
        <v>1943</v>
      </c>
      <c r="D1550">
        <v>1</v>
      </c>
      <c r="E1550" t="s">
        <v>974</v>
      </c>
      <c r="F1550" t="s">
        <v>975</v>
      </c>
      <c r="G1550" t="s">
        <v>180</v>
      </c>
      <c r="H1550" s="1" t="s">
        <v>976</v>
      </c>
      <c r="I1550" s="1">
        <v>890</v>
      </c>
      <c r="J1550" s="20">
        <v>3</v>
      </c>
      <c r="K1550" s="1">
        <v>173.5</v>
      </c>
      <c r="L1550" s="1">
        <v>520.5</v>
      </c>
      <c r="M1550" s="43" t="s">
        <v>2967</v>
      </c>
      <c r="O1550" s="2" t="s">
        <v>2437</v>
      </c>
      <c r="P1550" t="s">
        <v>24</v>
      </c>
      <c r="Q1550" t="s">
        <v>941</v>
      </c>
    </row>
    <row r="1551" spans="1:17" ht="15" customHeight="1" x14ac:dyDescent="0.25">
      <c r="A1551" s="3" t="s">
        <v>2222</v>
      </c>
      <c r="B1551" s="4" t="s">
        <v>2968</v>
      </c>
      <c r="C1551" t="s">
        <v>1943</v>
      </c>
      <c r="D1551">
        <v>1</v>
      </c>
      <c r="E1551" t="s">
        <v>974</v>
      </c>
      <c r="F1551" t="s">
        <v>975</v>
      </c>
      <c r="G1551" t="s">
        <v>180</v>
      </c>
      <c r="H1551" s="1" t="s">
        <v>976</v>
      </c>
      <c r="I1551" s="1">
        <v>890</v>
      </c>
      <c r="J1551" s="20">
        <v>4</v>
      </c>
      <c r="K1551" s="1">
        <v>173.5</v>
      </c>
      <c r="L1551" s="1">
        <v>694</v>
      </c>
      <c r="M1551" s="43" t="s">
        <v>2967</v>
      </c>
      <c r="O1551" s="2" t="s">
        <v>2437</v>
      </c>
      <c r="P1551" t="s">
        <v>23</v>
      </c>
      <c r="Q1551" t="s">
        <v>941</v>
      </c>
    </row>
    <row r="1552" spans="1:17" ht="15" customHeight="1" x14ac:dyDescent="0.25">
      <c r="A1552" s="3" t="s">
        <v>2223</v>
      </c>
      <c r="B1552" s="4" t="s">
        <v>2968</v>
      </c>
      <c r="C1552" t="s">
        <v>1943</v>
      </c>
      <c r="D1552">
        <v>1</v>
      </c>
      <c r="E1552" t="s">
        <v>974</v>
      </c>
      <c r="F1552" t="s">
        <v>975</v>
      </c>
      <c r="G1552" t="s">
        <v>180</v>
      </c>
      <c r="H1552" s="1" t="s">
        <v>976</v>
      </c>
      <c r="I1552" s="1">
        <v>890</v>
      </c>
      <c r="J1552" s="20">
        <v>8</v>
      </c>
      <c r="K1552" s="1">
        <v>173.5</v>
      </c>
      <c r="L1552" s="1">
        <v>1388</v>
      </c>
      <c r="M1552" s="43" t="s">
        <v>2967</v>
      </c>
      <c r="O1552" s="2" t="s">
        <v>2437</v>
      </c>
      <c r="P1552" t="s">
        <v>22</v>
      </c>
      <c r="Q1552" t="s">
        <v>941</v>
      </c>
    </row>
    <row r="1553" spans="1:17" ht="15" customHeight="1" x14ac:dyDescent="0.25">
      <c r="A1553" s="3" t="s">
        <v>1944</v>
      </c>
      <c r="B1553" s="4" t="s">
        <v>451</v>
      </c>
      <c r="C1553" t="s">
        <v>1219</v>
      </c>
      <c r="D1553">
        <v>1</v>
      </c>
      <c r="E1553" t="s">
        <v>974</v>
      </c>
      <c r="F1553" t="s">
        <v>975</v>
      </c>
      <c r="G1553" t="s">
        <v>976</v>
      </c>
      <c r="H1553" s="1" t="s">
        <v>976</v>
      </c>
      <c r="I1553" s="1">
        <v>220</v>
      </c>
      <c r="J1553" s="20">
        <v>0</v>
      </c>
      <c r="K1553" s="1">
        <v>38.99</v>
      </c>
      <c r="L1553" s="1">
        <v>0</v>
      </c>
      <c r="M1553" s="43" t="s">
        <v>2969</v>
      </c>
      <c r="P1553" t="s">
        <v>24</v>
      </c>
      <c r="Q1553" t="s">
        <v>451</v>
      </c>
    </row>
    <row r="1554" spans="1:17" ht="15" customHeight="1" x14ac:dyDescent="0.25">
      <c r="A1554" s="3" t="s">
        <v>1945</v>
      </c>
      <c r="B1554" s="4" t="s">
        <v>452</v>
      </c>
      <c r="C1554" t="s">
        <v>1219</v>
      </c>
      <c r="D1554">
        <v>1</v>
      </c>
      <c r="E1554" t="s">
        <v>974</v>
      </c>
      <c r="F1554" t="s">
        <v>975</v>
      </c>
      <c r="G1554" t="s">
        <v>976</v>
      </c>
      <c r="H1554" s="1" t="s">
        <v>976</v>
      </c>
      <c r="I1554" s="1">
        <v>220</v>
      </c>
      <c r="J1554" s="20">
        <v>12</v>
      </c>
      <c r="K1554" s="1">
        <v>38.99</v>
      </c>
      <c r="L1554" s="1">
        <v>467.88</v>
      </c>
      <c r="M1554" s="43" t="s">
        <v>2969</v>
      </c>
      <c r="P1554" t="s">
        <v>25</v>
      </c>
      <c r="Q1554" t="s">
        <v>452</v>
      </c>
    </row>
    <row r="1555" spans="1:17" ht="15" customHeight="1" x14ac:dyDescent="0.25">
      <c r="A1555" s="3" t="s">
        <v>1946</v>
      </c>
      <c r="B1555" s="4" t="s">
        <v>453</v>
      </c>
      <c r="C1555" t="s">
        <v>1219</v>
      </c>
      <c r="D1555">
        <v>1</v>
      </c>
      <c r="E1555" t="s">
        <v>974</v>
      </c>
      <c r="F1555" t="s">
        <v>975</v>
      </c>
      <c r="G1555" t="s">
        <v>976</v>
      </c>
      <c r="H1555" s="1" t="s">
        <v>976</v>
      </c>
      <c r="I1555" s="1">
        <v>220</v>
      </c>
      <c r="J1555" s="20">
        <v>0</v>
      </c>
      <c r="K1555" s="1">
        <v>38.99</v>
      </c>
      <c r="L1555" s="1">
        <v>0</v>
      </c>
      <c r="M1555" s="43" t="s">
        <v>2969</v>
      </c>
      <c r="P1555" t="s">
        <v>23</v>
      </c>
      <c r="Q1555" t="s">
        <v>453</v>
      </c>
    </row>
    <row r="1556" spans="1:17" ht="15" customHeight="1" x14ac:dyDescent="0.25">
      <c r="A1556" s="3" t="s">
        <v>1947</v>
      </c>
      <c r="B1556" s="4" t="s">
        <v>454</v>
      </c>
      <c r="C1556" t="s">
        <v>1219</v>
      </c>
      <c r="D1556">
        <v>1</v>
      </c>
      <c r="E1556" t="s">
        <v>974</v>
      </c>
      <c r="F1556" t="s">
        <v>975</v>
      </c>
      <c r="G1556" t="s">
        <v>976</v>
      </c>
      <c r="H1556" s="1" t="s">
        <v>976</v>
      </c>
      <c r="I1556" s="1">
        <v>220</v>
      </c>
      <c r="J1556" s="20">
        <v>0</v>
      </c>
      <c r="K1556" s="1">
        <v>38.99</v>
      </c>
      <c r="L1556" s="1">
        <v>0</v>
      </c>
      <c r="M1556" s="43" t="s">
        <v>2969</v>
      </c>
      <c r="P1556" t="s">
        <v>22</v>
      </c>
      <c r="Q1556" t="s">
        <v>454</v>
      </c>
    </row>
    <row r="1557" spans="1:17" ht="15" customHeight="1" x14ac:dyDescent="0.25">
      <c r="A1557" s="3" t="s">
        <v>1948</v>
      </c>
      <c r="B1557" s="4" t="s">
        <v>2970</v>
      </c>
      <c r="C1557" t="s">
        <v>1219</v>
      </c>
      <c r="D1557">
        <v>1</v>
      </c>
      <c r="E1557" t="s">
        <v>974</v>
      </c>
      <c r="F1557" t="s">
        <v>975</v>
      </c>
      <c r="G1557" t="s">
        <v>976</v>
      </c>
      <c r="H1557" s="1" t="s">
        <v>976</v>
      </c>
      <c r="I1557" s="1">
        <v>220</v>
      </c>
      <c r="J1557" s="20">
        <v>0</v>
      </c>
      <c r="K1557" s="1">
        <v>38.99</v>
      </c>
      <c r="L1557" s="1">
        <v>0</v>
      </c>
      <c r="M1557" s="43" t="s">
        <v>2969</v>
      </c>
      <c r="O1557" s="2" t="s">
        <v>2482</v>
      </c>
      <c r="P1557" t="s">
        <v>24</v>
      </c>
      <c r="Q1557" t="s">
        <v>942</v>
      </c>
    </row>
    <row r="1558" spans="1:17" ht="15" customHeight="1" x14ac:dyDescent="0.25">
      <c r="A1558" s="3" t="s">
        <v>1949</v>
      </c>
      <c r="B1558" s="4" t="s">
        <v>2970</v>
      </c>
      <c r="C1558" t="s">
        <v>1219</v>
      </c>
      <c r="D1558">
        <v>1</v>
      </c>
      <c r="E1558" t="s">
        <v>974</v>
      </c>
      <c r="F1558" t="s">
        <v>975</v>
      </c>
      <c r="G1558" t="s">
        <v>976</v>
      </c>
      <c r="H1558" s="1" t="s">
        <v>976</v>
      </c>
      <c r="I1558" s="1">
        <v>220</v>
      </c>
      <c r="J1558" s="20">
        <v>11</v>
      </c>
      <c r="K1558" s="1">
        <v>38.99</v>
      </c>
      <c r="L1558" s="1">
        <v>428.89</v>
      </c>
      <c r="M1558" s="43" t="s">
        <v>2969</v>
      </c>
      <c r="O1558" s="2" t="s">
        <v>2482</v>
      </c>
      <c r="P1558" t="s">
        <v>25</v>
      </c>
      <c r="Q1558" t="s">
        <v>942</v>
      </c>
    </row>
    <row r="1559" spans="1:17" ht="15" customHeight="1" x14ac:dyDescent="0.25">
      <c r="A1559" s="3" t="s">
        <v>1950</v>
      </c>
      <c r="B1559" s="4" t="s">
        <v>2970</v>
      </c>
      <c r="C1559" t="s">
        <v>1219</v>
      </c>
      <c r="D1559">
        <v>1</v>
      </c>
      <c r="E1559" t="s">
        <v>974</v>
      </c>
      <c r="F1559" t="s">
        <v>975</v>
      </c>
      <c r="G1559" t="s">
        <v>976</v>
      </c>
      <c r="H1559" s="1" t="s">
        <v>976</v>
      </c>
      <c r="I1559" s="1">
        <v>220</v>
      </c>
      <c r="J1559" s="20">
        <v>0</v>
      </c>
      <c r="K1559" s="1">
        <v>38.99</v>
      </c>
      <c r="L1559" s="1">
        <v>0</v>
      </c>
      <c r="M1559" s="43" t="s">
        <v>2969</v>
      </c>
      <c r="O1559" s="2" t="s">
        <v>2482</v>
      </c>
      <c r="P1559" t="s">
        <v>23</v>
      </c>
      <c r="Q1559" t="s">
        <v>942</v>
      </c>
    </row>
    <row r="1560" spans="1:17" ht="15" customHeight="1" x14ac:dyDescent="0.25">
      <c r="A1560" s="3" t="s">
        <v>1951</v>
      </c>
      <c r="B1560" s="4" t="s">
        <v>2970</v>
      </c>
      <c r="C1560" t="s">
        <v>1219</v>
      </c>
      <c r="D1560">
        <v>1</v>
      </c>
      <c r="E1560" t="s">
        <v>974</v>
      </c>
      <c r="F1560" t="s">
        <v>975</v>
      </c>
      <c r="G1560" t="s">
        <v>976</v>
      </c>
      <c r="H1560" s="1" t="s">
        <v>976</v>
      </c>
      <c r="I1560" s="1">
        <v>220</v>
      </c>
      <c r="J1560" s="20">
        <v>0</v>
      </c>
      <c r="K1560" s="1">
        <v>38.99</v>
      </c>
      <c r="L1560" s="1">
        <v>0</v>
      </c>
      <c r="M1560" s="43" t="s">
        <v>2969</v>
      </c>
      <c r="O1560" s="2" t="s">
        <v>2482</v>
      </c>
      <c r="P1560" t="s">
        <v>22</v>
      </c>
      <c r="Q1560" t="s">
        <v>942</v>
      </c>
    </row>
    <row r="1561" spans="1:17" ht="15" customHeight="1" x14ac:dyDescent="0.25">
      <c r="A1561" s="3" t="s">
        <v>2188</v>
      </c>
      <c r="B1561" s="4" t="s">
        <v>2972</v>
      </c>
      <c r="C1561" t="s">
        <v>973</v>
      </c>
      <c r="D1561">
        <v>1</v>
      </c>
      <c r="E1561" t="s">
        <v>974</v>
      </c>
      <c r="F1561" t="s">
        <v>975</v>
      </c>
      <c r="G1561" t="s">
        <v>1952</v>
      </c>
      <c r="H1561" s="1" t="s">
        <v>976</v>
      </c>
      <c r="I1561" s="1">
        <v>17.8</v>
      </c>
      <c r="J1561" s="20">
        <v>162.72</v>
      </c>
      <c r="K1561" s="1">
        <v>17.181234</v>
      </c>
      <c r="L1561" s="1">
        <v>2795.73</v>
      </c>
      <c r="M1561" s="43" t="s">
        <v>2971</v>
      </c>
      <c r="O1561" s="2" t="s">
        <v>2443</v>
      </c>
      <c r="Q1561" t="s">
        <v>943</v>
      </c>
    </row>
    <row r="1562" spans="1:17" ht="15" customHeight="1" x14ac:dyDescent="0.25">
      <c r="A1562" s="42" t="s">
        <v>2188</v>
      </c>
      <c r="B1562" s="3" t="s">
        <v>2972</v>
      </c>
      <c r="C1562" s="42" t="s">
        <v>973</v>
      </c>
      <c r="D1562">
        <v>4</v>
      </c>
      <c r="E1562" t="s">
        <v>1018</v>
      </c>
      <c r="F1562" t="s">
        <v>975</v>
      </c>
      <c r="G1562" t="s">
        <v>1952</v>
      </c>
      <c r="H1562" s="1" t="s">
        <v>976</v>
      </c>
      <c r="I1562" s="1">
        <v>17.8</v>
      </c>
      <c r="J1562" s="20">
        <v>81</v>
      </c>
      <c r="K1562" s="1">
        <v>13.91</v>
      </c>
      <c r="L1562" s="1">
        <v>1126.71</v>
      </c>
      <c r="M1562" s="43" t="s">
        <v>2971</v>
      </c>
      <c r="O1562" s="2" t="s">
        <v>2443</v>
      </c>
      <c r="Q1562" t="s">
        <v>943</v>
      </c>
    </row>
    <row r="1563" spans="1:17" ht="15" customHeight="1" x14ac:dyDescent="0.25">
      <c r="A1563" s="3" t="s">
        <v>1953</v>
      </c>
      <c r="B1563" s="4" t="s">
        <v>2974</v>
      </c>
      <c r="C1563" t="s">
        <v>973</v>
      </c>
      <c r="D1563">
        <v>1</v>
      </c>
      <c r="E1563" t="s">
        <v>974</v>
      </c>
      <c r="F1563" t="s">
        <v>975</v>
      </c>
      <c r="G1563" t="s">
        <v>976</v>
      </c>
      <c r="H1563" s="1" t="s">
        <v>976</v>
      </c>
      <c r="I1563" s="1">
        <v>7.820036</v>
      </c>
      <c r="J1563" s="20">
        <v>50.01</v>
      </c>
      <c r="K1563" s="1">
        <v>7.82</v>
      </c>
      <c r="L1563" s="1">
        <v>391.08</v>
      </c>
      <c r="M1563" s="43" t="s">
        <v>2973</v>
      </c>
      <c r="O1563" s="2" t="s">
        <v>2443</v>
      </c>
      <c r="Q1563" t="s">
        <v>455</v>
      </c>
    </row>
    <row r="1564" spans="1:17" ht="15" customHeight="1" x14ac:dyDescent="0.25">
      <c r="A1564" s="3" t="s">
        <v>1954</v>
      </c>
      <c r="B1564" s="4" t="s">
        <v>2976</v>
      </c>
      <c r="C1564" t="s">
        <v>973</v>
      </c>
      <c r="D1564">
        <v>1</v>
      </c>
      <c r="E1564" t="s">
        <v>974</v>
      </c>
      <c r="F1564" t="s">
        <v>975</v>
      </c>
      <c r="G1564" t="s">
        <v>976</v>
      </c>
      <c r="H1564" s="1" t="s">
        <v>976</v>
      </c>
      <c r="I1564" s="1">
        <v>7.82</v>
      </c>
      <c r="J1564" s="20">
        <v>50</v>
      </c>
      <c r="K1564" s="1">
        <v>7.82</v>
      </c>
      <c r="L1564" s="1">
        <v>391</v>
      </c>
      <c r="M1564" s="43" t="s">
        <v>2975</v>
      </c>
      <c r="O1564" s="2" t="s">
        <v>2463</v>
      </c>
      <c r="Q1564" t="s">
        <v>944</v>
      </c>
    </row>
    <row r="1565" spans="1:17" ht="15" customHeight="1" x14ac:dyDescent="0.25">
      <c r="A1565" s="3" t="s">
        <v>1955</v>
      </c>
      <c r="B1565" s="4" t="s">
        <v>456</v>
      </c>
      <c r="C1565" t="s">
        <v>973</v>
      </c>
      <c r="D1565">
        <v>1</v>
      </c>
      <c r="E1565" t="s">
        <v>974</v>
      </c>
      <c r="F1565" t="s">
        <v>975</v>
      </c>
      <c r="G1565" t="s">
        <v>976</v>
      </c>
      <c r="H1565" s="1" t="s">
        <v>976</v>
      </c>
      <c r="I1565" s="1">
        <v>18.98</v>
      </c>
      <c r="J1565" s="20">
        <v>0.19</v>
      </c>
      <c r="K1565" s="1">
        <v>18.980031</v>
      </c>
      <c r="L1565" s="1">
        <v>3.61</v>
      </c>
      <c r="M1565" s="43" t="s">
        <v>2977</v>
      </c>
      <c r="Q1565" t="s">
        <v>456</v>
      </c>
    </row>
    <row r="1566" spans="1:17" ht="15" customHeight="1" x14ac:dyDescent="0.25">
      <c r="A1566" s="42" t="s">
        <v>1955</v>
      </c>
      <c r="B1566" s="3" t="s">
        <v>456</v>
      </c>
      <c r="C1566" s="42" t="s">
        <v>973</v>
      </c>
      <c r="D1566">
        <v>4</v>
      </c>
      <c r="E1566" t="s">
        <v>1018</v>
      </c>
      <c r="F1566" t="s">
        <v>975</v>
      </c>
      <c r="G1566" t="s">
        <v>976</v>
      </c>
      <c r="H1566" s="1" t="s">
        <v>976</v>
      </c>
      <c r="I1566" s="1">
        <v>18.98</v>
      </c>
      <c r="J1566" s="20">
        <v>121</v>
      </c>
      <c r="K1566" s="1">
        <v>8</v>
      </c>
      <c r="L1566" s="1">
        <v>968</v>
      </c>
      <c r="M1566" s="43" t="s">
        <v>2977</v>
      </c>
      <c r="Q1566" t="s">
        <v>456</v>
      </c>
    </row>
    <row r="1567" spans="1:17" ht="15" customHeight="1" x14ac:dyDescent="0.25">
      <c r="A1567" s="3" t="s">
        <v>1956</v>
      </c>
      <c r="B1567" s="4" t="s">
        <v>2940</v>
      </c>
      <c r="C1567" t="s">
        <v>1383</v>
      </c>
      <c r="D1567">
        <v>1</v>
      </c>
      <c r="E1567" t="s">
        <v>974</v>
      </c>
      <c r="F1567" t="s">
        <v>975</v>
      </c>
      <c r="G1567" t="s">
        <v>180</v>
      </c>
      <c r="H1567" s="1" t="s">
        <v>976</v>
      </c>
      <c r="I1567" s="1">
        <v>870</v>
      </c>
      <c r="J1567" s="20">
        <v>1</v>
      </c>
      <c r="K1567" s="1">
        <v>232.33333300000001</v>
      </c>
      <c r="L1567" s="1">
        <v>232.33</v>
      </c>
      <c r="M1567" s="43" t="s">
        <v>2978</v>
      </c>
      <c r="O1567" s="2" t="s">
        <v>2495</v>
      </c>
      <c r="P1567">
        <v>34</v>
      </c>
      <c r="Q1567" t="s">
        <v>924</v>
      </c>
    </row>
    <row r="1568" spans="1:17" ht="15" customHeight="1" x14ac:dyDescent="0.25">
      <c r="A1568" s="3" t="s">
        <v>1957</v>
      </c>
      <c r="B1568" s="4" t="s">
        <v>2940</v>
      </c>
      <c r="C1568" t="s">
        <v>1383</v>
      </c>
      <c r="D1568">
        <v>1</v>
      </c>
      <c r="E1568" t="s">
        <v>974</v>
      </c>
      <c r="F1568" t="s">
        <v>975</v>
      </c>
      <c r="G1568" t="s">
        <v>180</v>
      </c>
      <c r="H1568" s="1" t="s">
        <v>976</v>
      </c>
      <c r="I1568" s="1">
        <v>870</v>
      </c>
      <c r="J1568" s="20">
        <v>3</v>
      </c>
      <c r="K1568" s="1">
        <v>239</v>
      </c>
      <c r="L1568" s="1">
        <v>717</v>
      </c>
      <c r="M1568" s="43" t="s">
        <v>2978</v>
      </c>
      <c r="O1568" s="2" t="s">
        <v>2495</v>
      </c>
      <c r="P1568">
        <v>35</v>
      </c>
      <c r="Q1568" t="s">
        <v>924</v>
      </c>
    </row>
    <row r="1569" spans="1:17" ht="15" customHeight="1" x14ac:dyDescent="0.25">
      <c r="A1569" s="42" t="s">
        <v>1957</v>
      </c>
      <c r="B1569" s="3" t="s">
        <v>2940</v>
      </c>
      <c r="C1569" s="42" t="s">
        <v>1383</v>
      </c>
      <c r="D1569">
        <v>4</v>
      </c>
      <c r="E1569" t="s">
        <v>1018</v>
      </c>
      <c r="F1569" t="s">
        <v>975</v>
      </c>
      <c r="G1569" t="s">
        <v>180</v>
      </c>
      <c r="H1569" s="1" t="s">
        <v>976</v>
      </c>
      <c r="I1569" s="1">
        <v>870</v>
      </c>
      <c r="J1569" s="20">
        <v>1</v>
      </c>
      <c r="K1569" s="1">
        <v>219</v>
      </c>
      <c r="L1569" s="1">
        <v>219</v>
      </c>
      <c r="M1569" s="43" t="s">
        <v>2978</v>
      </c>
      <c r="O1569" s="2" t="s">
        <v>2495</v>
      </c>
      <c r="P1569">
        <v>35</v>
      </c>
      <c r="Q1569" t="s">
        <v>924</v>
      </c>
    </row>
    <row r="1570" spans="1:17" ht="15" customHeight="1" x14ac:dyDescent="0.25">
      <c r="A1570" s="3" t="s">
        <v>1958</v>
      </c>
      <c r="B1570" s="4" t="s">
        <v>2940</v>
      </c>
      <c r="C1570" t="s">
        <v>1383</v>
      </c>
      <c r="D1570">
        <v>1</v>
      </c>
      <c r="E1570" t="s">
        <v>974</v>
      </c>
      <c r="F1570" t="s">
        <v>975</v>
      </c>
      <c r="G1570" t="s">
        <v>180</v>
      </c>
      <c r="H1570" s="1" t="s">
        <v>976</v>
      </c>
      <c r="I1570" s="1">
        <v>870</v>
      </c>
      <c r="J1570" s="20">
        <v>-1</v>
      </c>
      <c r="K1570" s="1">
        <v>239</v>
      </c>
      <c r="L1570" s="1">
        <v>-239</v>
      </c>
      <c r="M1570" s="43" t="s">
        <v>2978</v>
      </c>
      <c r="O1570" s="2" t="s">
        <v>2495</v>
      </c>
      <c r="P1570">
        <v>36</v>
      </c>
      <c r="Q1570" t="s">
        <v>924</v>
      </c>
    </row>
    <row r="1571" spans="1:17" ht="15" customHeight="1" x14ac:dyDescent="0.25">
      <c r="A1571" s="42" t="s">
        <v>1958</v>
      </c>
      <c r="B1571" s="3" t="s">
        <v>2940</v>
      </c>
      <c r="C1571" s="42" t="s">
        <v>1383</v>
      </c>
      <c r="D1571">
        <v>3</v>
      </c>
      <c r="E1571" t="s">
        <v>1179</v>
      </c>
      <c r="F1571" t="s">
        <v>1180</v>
      </c>
      <c r="G1571" t="s">
        <v>180</v>
      </c>
      <c r="H1571" s="1" t="s">
        <v>976</v>
      </c>
      <c r="I1571" s="1">
        <v>870</v>
      </c>
      <c r="J1571" s="20">
        <v>0</v>
      </c>
      <c r="K1571" s="1">
        <v>219</v>
      </c>
      <c r="L1571" s="1">
        <v>0</v>
      </c>
      <c r="M1571" s="43" t="s">
        <v>2978</v>
      </c>
      <c r="O1571" s="2" t="s">
        <v>2495</v>
      </c>
      <c r="P1571">
        <v>36</v>
      </c>
      <c r="Q1571" t="s">
        <v>924</v>
      </c>
    </row>
    <row r="1572" spans="1:17" ht="15" customHeight="1" x14ac:dyDescent="0.25">
      <c r="A1572" s="42" t="s">
        <v>1958</v>
      </c>
      <c r="B1572" s="3" t="s">
        <v>2940</v>
      </c>
      <c r="C1572" s="42" t="s">
        <v>1383</v>
      </c>
      <c r="D1572">
        <v>4</v>
      </c>
      <c r="E1572" t="s">
        <v>1018</v>
      </c>
      <c r="F1572" t="s">
        <v>975</v>
      </c>
      <c r="G1572" t="s">
        <v>180</v>
      </c>
      <c r="H1572" s="1" t="s">
        <v>976</v>
      </c>
      <c r="I1572" s="1">
        <v>870</v>
      </c>
      <c r="J1572" s="20">
        <v>1</v>
      </c>
      <c r="K1572" s="1">
        <v>0</v>
      </c>
      <c r="L1572" s="1">
        <v>0</v>
      </c>
      <c r="M1572" s="43" t="s">
        <v>2978</v>
      </c>
      <c r="O1572" s="2" t="s">
        <v>2495</v>
      </c>
      <c r="P1572">
        <v>36</v>
      </c>
      <c r="Q1572" t="s">
        <v>924</v>
      </c>
    </row>
    <row r="1573" spans="1:17" ht="15" customHeight="1" x14ac:dyDescent="0.25">
      <c r="A1573" s="3" t="s">
        <v>1959</v>
      </c>
      <c r="B1573" s="4" t="s">
        <v>2940</v>
      </c>
      <c r="C1573" t="s">
        <v>1383</v>
      </c>
      <c r="D1573">
        <v>1</v>
      </c>
      <c r="E1573" t="s">
        <v>974</v>
      </c>
      <c r="F1573" t="s">
        <v>975</v>
      </c>
      <c r="G1573" t="s">
        <v>180</v>
      </c>
      <c r="H1573" s="1" t="s">
        <v>976</v>
      </c>
      <c r="I1573" s="1">
        <v>870</v>
      </c>
      <c r="J1573" s="20">
        <v>1</v>
      </c>
      <c r="K1573" s="1">
        <v>229</v>
      </c>
      <c r="L1573" s="1">
        <v>229</v>
      </c>
      <c r="M1573" s="43" t="s">
        <v>2978</v>
      </c>
      <c r="O1573" s="2" t="s">
        <v>2495</v>
      </c>
      <c r="P1573">
        <v>37</v>
      </c>
      <c r="Q1573" t="s">
        <v>924</v>
      </c>
    </row>
    <row r="1574" spans="1:17" ht="15" customHeight="1" x14ac:dyDescent="0.25">
      <c r="A1574" s="42" t="s">
        <v>1959</v>
      </c>
      <c r="B1574" s="3" t="s">
        <v>2940</v>
      </c>
      <c r="C1574" s="42" t="s">
        <v>1383</v>
      </c>
      <c r="D1574">
        <v>4</v>
      </c>
      <c r="E1574" t="s">
        <v>1018</v>
      </c>
      <c r="F1574" t="s">
        <v>975</v>
      </c>
      <c r="G1574" t="s">
        <v>180</v>
      </c>
      <c r="H1574" s="1" t="s">
        <v>976</v>
      </c>
      <c r="I1574" s="1">
        <v>870</v>
      </c>
      <c r="J1574" s="20">
        <v>3</v>
      </c>
      <c r="K1574" s="1">
        <v>229</v>
      </c>
      <c r="L1574" s="1">
        <v>687</v>
      </c>
      <c r="M1574" s="43" t="s">
        <v>2978</v>
      </c>
      <c r="O1574" s="2" t="s">
        <v>2495</v>
      </c>
      <c r="P1574">
        <v>37</v>
      </c>
      <c r="Q1574" t="s">
        <v>924</v>
      </c>
    </row>
    <row r="1575" spans="1:17" ht="15" customHeight="1" x14ac:dyDescent="0.25">
      <c r="A1575" s="3" t="s">
        <v>1960</v>
      </c>
      <c r="B1575" s="4" t="s">
        <v>2940</v>
      </c>
      <c r="C1575" t="s">
        <v>1383</v>
      </c>
      <c r="D1575">
        <v>1</v>
      </c>
      <c r="E1575" t="s">
        <v>974</v>
      </c>
      <c r="F1575" t="s">
        <v>975</v>
      </c>
      <c r="G1575" t="s">
        <v>180</v>
      </c>
      <c r="H1575" s="1" t="s">
        <v>976</v>
      </c>
      <c r="I1575" s="1">
        <v>870</v>
      </c>
      <c r="J1575" s="20">
        <v>1</v>
      </c>
      <c r="K1575" s="1">
        <v>245.66666599999999</v>
      </c>
      <c r="L1575" s="1">
        <v>245.67</v>
      </c>
      <c r="M1575" s="43" t="s">
        <v>2978</v>
      </c>
      <c r="O1575" s="2" t="s">
        <v>2495</v>
      </c>
      <c r="P1575">
        <v>38</v>
      </c>
      <c r="Q1575" t="s">
        <v>924</v>
      </c>
    </row>
    <row r="1576" spans="1:17" ht="15" customHeight="1" x14ac:dyDescent="0.25">
      <c r="A1576" s="42" t="s">
        <v>1960</v>
      </c>
      <c r="B1576" s="3" t="s">
        <v>2940</v>
      </c>
      <c r="C1576" s="42" t="s">
        <v>1383</v>
      </c>
      <c r="D1576">
        <v>4</v>
      </c>
      <c r="E1576" t="s">
        <v>1018</v>
      </c>
      <c r="F1576" t="s">
        <v>975</v>
      </c>
      <c r="G1576" t="s">
        <v>180</v>
      </c>
      <c r="H1576" s="1" t="s">
        <v>976</v>
      </c>
      <c r="I1576" s="1">
        <v>870</v>
      </c>
      <c r="J1576" s="20">
        <v>4</v>
      </c>
      <c r="K1576" s="1">
        <v>381.749999</v>
      </c>
      <c r="L1576" s="1">
        <v>1527</v>
      </c>
      <c r="M1576" s="43" t="s">
        <v>2978</v>
      </c>
      <c r="O1576" s="2" t="s">
        <v>2495</v>
      </c>
      <c r="P1576">
        <v>38</v>
      </c>
      <c r="Q1576" t="s">
        <v>924</v>
      </c>
    </row>
    <row r="1577" spans="1:17" ht="15" customHeight="1" x14ac:dyDescent="0.25">
      <c r="A1577" s="3" t="s">
        <v>1961</v>
      </c>
      <c r="B1577" s="4" t="s">
        <v>2940</v>
      </c>
      <c r="C1577" t="s">
        <v>1383</v>
      </c>
      <c r="D1577">
        <v>1</v>
      </c>
      <c r="E1577" t="s">
        <v>974</v>
      </c>
      <c r="F1577" t="s">
        <v>975</v>
      </c>
      <c r="G1577" t="s">
        <v>180</v>
      </c>
      <c r="H1577" s="1" t="s">
        <v>976</v>
      </c>
      <c r="I1577" s="1">
        <v>870</v>
      </c>
      <c r="J1577" s="20">
        <v>0</v>
      </c>
      <c r="K1577" s="1">
        <v>239</v>
      </c>
      <c r="L1577" s="1">
        <v>0</v>
      </c>
      <c r="M1577" s="43" t="s">
        <v>2978</v>
      </c>
      <c r="O1577" s="2" t="s">
        <v>2495</v>
      </c>
      <c r="P1577">
        <v>39</v>
      </c>
      <c r="Q1577" t="s">
        <v>924</v>
      </c>
    </row>
    <row r="1578" spans="1:17" ht="15" customHeight="1" x14ac:dyDescent="0.25">
      <c r="A1578" s="3" t="s">
        <v>1962</v>
      </c>
      <c r="B1578" s="4" t="s">
        <v>2940</v>
      </c>
      <c r="C1578" t="s">
        <v>1383</v>
      </c>
      <c r="D1578">
        <v>1</v>
      </c>
      <c r="E1578" t="s">
        <v>974</v>
      </c>
      <c r="F1578" t="s">
        <v>975</v>
      </c>
      <c r="G1578" t="s">
        <v>180</v>
      </c>
      <c r="H1578" s="1" t="s">
        <v>976</v>
      </c>
      <c r="I1578" s="1">
        <v>870</v>
      </c>
      <c r="J1578" s="20">
        <v>-2</v>
      </c>
      <c r="K1578" s="1">
        <v>224</v>
      </c>
      <c r="L1578" s="1">
        <v>-448</v>
      </c>
      <c r="M1578" s="43" t="s">
        <v>2978</v>
      </c>
      <c r="O1578" s="2" t="s">
        <v>2495</v>
      </c>
      <c r="P1578">
        <v>40</v>
      </c>
      <c r="Q1578" t="s">
        <v>924</v>
      </c>
    </row>
    <row r="1579" spans="1:17" ht="15" customHeight="1" x14ac:dyDescent="0.25">
      <c r="A1579" s="42" t="s">
        <v>1962</v>
      </c>
      <c r="B1579" s="3" t="s">
        <v>2940</v>
      </c>
      <c r="C1579" s="42" t="s">
        <v>1383</v>
      </c>
      <c r="D1579">
        <v>4</v>
      </c>
      <c r="E1579" t="s">
        <v>1018</v>
      </c>
      <c r="F1579" t="s">
        <v>975</v>
      </c>
      <c r="G1579" t="s">
        <v>180</v>
      </c>
      <c r="H1579" s="1" t="s">
        <v>976</v>
      </c>
      <c r="I1579" s="1">
        <v>870</v>
      </c>
      <c r="J1579" s="20">
        <v>2</v>
      </c>
      <c r="K1579" s="1">
        <v>224</v>
      </c>
      <c r="L1579" s="1">
        <v>448</v>
      </c>
      <c r="M1579" s="43" t="s">
        <v>2978</v>
      </c>
      <c r="O1579" s="2" t="s">
        <v>2495</v>
      </c>
      <c r="P1579">
        <v>40</v>
      </c>
      <c r="Q1579" t="s">
        <v>924</v>
      </c>
    </row>
    <row r="1580" spans="1:17" ht="15" customHeight="1" x14ac:dyDescent="0.25">
      <c r="A1580" s="3" t="s">
        <v>1963</v>
      </c>
      <c r="B1580" s="4" t="s">
        <v>2940</v>
      </c>
      <c r="C1580" t="s">
        <v>1383</v>
      </c>
      <c r="D1580">
        <v>1</v>
      </c>
      <c r="E1580" t="s">
        <v>974</v>
      </c>
      <c r="F1580" t="s">
        <v>975</v>
      </c>
      <c r="G1580" t="s">
        <v>180</v>
      </c>
      <c r="H1580" s="1" t="s">
        <v>976</v>
      </c>
      <c r="I1580" s="1">
        <v>870</v>
      </c>
      <c r="J1580" s="20">
        <v>0</v>
      </c>
      <c r="K1580" s="1">
        <v>219</v>
      </c>
      <c r="L1580" s="1">
        <v>0</v>
      </c>
      <c r="M1580" s="43" t="s">
        <v>2978</v>
      </c>
      <c r="O1580" s="2" t="s">
        <v>2495</v>
      </c>
      <c r="Q1580" t="s">
        <v>924</v>
      </c>
    </row>
    <row r="1581" spans="1:17" ht="15" customHeight="1" x14ac:dyDescent="0.25">
      <c r="A1581" s="42" t="s">
        <v>1963</v>
      </c>
      <c r="B1581" s="3" t="s">
        <v>2940</v>
      </c>
      <c r="C1581" s="42" t="s">
        <v>1383</v>
      </c>
      <c r="D1581">
        <v>4</v>
      </c>
      <c r="E1581" t="s">
        <v>1018</v>
      </c>
      <c r="F1581" t="s">
        <v>975</v>
      </c>
      <c r="G1581" t="s">
        <v>180</v>
      </c>
      <c r="H1581" s="1" t="s">
        <v>976</v>
      </c>
      <c r="I1581" s="1">
        <v>870</v>
      </c>
      <c r="J1581" s="20">
        <v>1</v>
      </c>
      <c r="K1581" s="1">
        <v>219</v>
      </c>
      <c r="L1581" s="1">
        <v>219</v>
      </c>
      <c r="M1581" s="43" t="s">
        <v>2978</v>
      </c>
      <c r="O1581" s="2" t="s">
        <v>2495</v>
      </c>
      <c r="Q1581" t="s">
        <v>924</v>
      </c>
    </row>
    <row r="1582" spans="1:17" ht="15" customHeight="1" x14ac:dyDescent="0.25">
      <c r="A1582" s="3" t="s">
        <v>1964</v>
      </c>
      <c r="B1582" s="4" t="s">
        <v>457</v>
      </c>
      <c r="C1582" t="s">
        <v>1152</v>
      </c>
      <c r="D1582">
        <v>1</v>
      </c>
      <c r="E1582" t="s">
        <v>974</v>
      </c>
      <c r="F1582" t="s">
        <v>975</v>
      </c>
      <c r="G1582" t="s">
        <v>180</v>
      </c>
      <c r="H1582" s="1" t="s">
        <v>976</v>
      </c>
      <c r="I1582" s="1">
        <v>9481</v>
      </c>
      <c r="J1582" s="20">
        <v>1</v>
      </c>
      <c r="K1582" s="1">
        <v>2709</v>
      </c>
      <c r="L1582" s="1">
        <v>2709</v>
      </c>
      <c r="M1582" s="43" t="s">
        <v>2979</v>
      </c>
      <c r="Q1582" t="s">
        <v>457</v>
      </c>
    </row>
    <row r="1583" spans="1:17" ht="15" customHeight="1" x14ac:dyDescent="0.25">
      <c r="A1583" s="3" t="s">
        <v>1965</v>
      </c>
      <c r="B1583" s="4" t="s">
        <v>2981</v>
      </c>
      <c r="C1583" t="s">
        <v>973</v>
      </c>
      <c r="D1583">
        <v>1</v>
      </c>
      <c r="E1583" t="s">
        <v>974</v>
      </c>
      <c r="F1583" t="s">
        <v>975</v>
      </c>
      <c r="G1583" t="s">
        <v>976</v>
      </c>
      <c r="H1583" s="1" t="s">
        <v>976</v>
      </c>
      <c r="I1583" s="1">
        <v>37.9</v>
      </c>
      <c r="J1583" s="20">
        <v>0</v>
      </c>
      <c r="K1583" s="1">
        <v>0</v>
      </c>
      <c r="L1583" s="1">
        <v>0</v>
      </c>
      <c r="M1583" s="43" t="s">
        <v>2980</v>
      </c>
      <c r="O1583" s="2" t="s">
        <v>2614</v>
      </c>
      <c r="Q1583" t="s">
        <v>945</v>
      </c>
    </row>
    <row r="1584" spans="1:17" ht="15" customHeight="1" x14ac:dyDescent="0.25">
      <c r="A1584" s="3" t="s">
        <v>1966</v>
      </c>
      <c r="B1584" s="4" t="s">
        <v>458</v>
      </c>
      <c r="C1584" t="s">
        <v>973</v>
      </c>
      <c r="D1584">
        <v>1</v>
      </c>
      <c r="E1584" t="s">
        <v>974</v>
      </c>
      <c r="F1584" t="s">
        <v>975</v>
      </c>
      <c r="G1584" t="s">
        <v>976</v>
      </c>
      <c r="H1584" s="1" t="s">
        <v>976</v>
      </c>
      <c r="I1584" s="1">
        <v>8</v>
      </c>
      <c r="J1584" s="20">
        <v>701.4</v>
      </c>
      <c r="K1584" s="1">
        <v>8</v>
      </c>
      <c r="L1584" s="1">
        <v>5611.2</v>
      </c>
      <c r="M1584" s="43" t="s">
        <v>2982</v>
      </c>
      <c r="Q1584" t="s">
        <v>458</v>
      </c>
    </row>
    <row r="1585" spans="1:17" ht="15" customHeight="1" x14ac:dyDescent="0.25">
      <c r="A1585" s="42" t="s">
        <v>1966</v>
      </c>
      <c r="B1585" s="3" t="s">
        <v>458</v>
      </c>
      <c r="C1585" s="42" t="s">
        <v>973</v>
      </c>
      <c r="D1585">
        <v>4</v>
      </c>
      <c r="E1585" t="s">
        <v>1018</v>
      </c>
      <c r="F1585" t="s">
        <v>975</v>
      </c>
      <c r="G1585" t="s">
        <v>976</v>
      </c>
      <c r="H1585" s="1" t="s">
        <v>976</v>
      </c>
      <c r="I1585" s="1">
        <v>8</v>
      </c>
      <c r="J1585" s="20">
        <v>257.2</v>
      </c>
      <c r="K1585" s="1">
        <v>8</v>
      </c>
      <c r="L1585" s="1">
        <v>2057.6</v>
      </c>
      <c r="M1585" s="43" t="s">
        <v>2982</v>
      </c>
      <c r="Q1585" t="s">
        <v>458</v>
      </c>
    </row>
    <row r="1586" spans="1:17" ht="15" customHeight="1" x14ac:dyDescent="0.25">
      <c r="A1586" s="3" t="s">
        <v>1967</v>
      </c>
      <c r="B1586" s="4" t="s">
        <v>946</v>
      </c>
      <c r="C1586" t="s">
        <v>1968</v>
      </c>
      <c r="D1586">
        <v>1</v>
      </c>
      <c r="E1586" t="s">
        <v>974</v>
      </c>
      <c r="F1586" t="s">
        <v>975</v>
      </c>
      <c r="G1586" t="s">
        <v>180</v>
      </c>
      <c r="H1586" s="1" t="s">
        <v>976</v>
      </c>
      <c r="I1586" s="1">
        <v>690</v>
      </c>
      <c r="J1586" s="20">
        <v>-1</v>
      </c>
      <c r="K1586" s="1">
        <v>0</v>
      </c>
      <c r="L1586" s="1">
        <v>0</v>
      </c>
      <c r="M1586" s="43" t="s">
        <v>2983</v>
      </c>
      <c r="N1586" s="1" t="s">
        <v>2616</v>
      </c>
      <c r="Q1586" t="s">
        <v>946</v>
      </c>
    </row>
    <row r="1587" spans="1:17" ht="15" customHeight="1" x14ac:dyDescent="0.25">
      <c r="A1587" s="42" t="s">
        <v>1967</v>
      </c>
      <c r="B1587" s="3" t="s">
        <v>946</v>
      </c>
      <c r="C1587" s="42" t="s">
        <v>1968</v>
      </c>
      <c r="D1587">
        <v>4</v>
      </c>
      <c r="E1587" t="s">
        <v>1018</v>
      </c>
      <c r="F1587" t="s">
        <v>975</v>
      </c>
      <c r="G1587" t="s">
        <v>180</v>
      </c>
      <c r="H1587" s="1" t="s">
        <v>976</v>
      </c>
      <c r="I1587" s="1">
        <v>690</v>
      </c>
      <c r="J1587" s="20">
        <v>1</v>
      </c>
      <c r="K1587" s="1">
        <v>690</v>
      </c>
      <c r="L1587" s="1">
        <v>690</v>
      </c>
      <c r="M1587" s="43" t="s">
        <v>2983</v>
      </c>
      <c r="N1587" s="1" t="s">
        <v>2616</v>
      </c>
      <c r="Q1587" t="s">
        <v>946</v>
      </c>
    </row>
    <row r="1588" spans="1:17" ht="15" customHeight="1" x14ac:dyDescent="0.25">
      <c r="A1588" s="3" t="s">
        <v>1969</v>
      </c>
      <c r="B1588" s="4" t="s">
        <v>459</v>
      </c>
      <c r="C1588" t="s">
        <v>1968</v>
      </c>
      <c r="D1588">
        <v>1</v>
      </c>
      <c r="E1588" t="s">
        <v>974</v>
      </c>
      <c r="F1588" t="s">
        <v>975</v>
      </c>
      <c r="G1588" t="s">
        <v>180</v>
      </c>
      <c r="H1588" s="1" t="s">
        <v>976</v>
      </c>
      <c r="I1588" s="1">
        <v>895</v>
      </c>
      <c r="J1588" s="20">
        <v>1</v>
      </c>
      <c r="K1588" s="1">
        <v>185.93</v>
      </c>
      <c r="L1588" s="1">
        <v>185.93</v>
      </c>
      <c r="M1588" s="43" t="s">
        <v>2983</v>
      </c>
      <c r="P1588" t="s">
        <v>24</v>
      </c>
      <c r="Q1588" t="s">
        <v>459</v>
      </c>
    </row>
    <row r="1589" spans="1:17" ht="15" customHeight="1" x14ac:dyDescent="0.25">
      <c r="A1589" s="3" t="s">
        <v>1970</v>
      </c>
      <c r="B1589" s="4" t="s">
        <v>460</v>
      </c>
      <c r="C1589" t="s">
        <v>1968</v>
      </c>
      <c r="D1589">
        <v>1</v>
      </c>
      <c r="E1589" t="s">
        <v>974</v>
      </c>
      <c r="F1589" t="s">
        <v>975</v>
      </c>
      <c r="G1589" t="s">
        <v>180</v>
      </c>
      <c r="H1589" s="1" t="s">
        <v>976</v>
      </c>
      <c r="I1589" s="1">
        <v>895</v>
      </c>
      <c r="J1589" s="20">
        <v>5</v>
      </c>
      <c r="K1589" s="1">
        <v>185.93</v>
      </c>
      <c r="L1589" s="1">
        <v>929.65</v>
      </c>
      <c r="M1589" s="43" t="s">
        <v>2983</v>
      </c>
      <c r="P1589" t="s">
        <v>23</v>
      </c>
      <c r="Q1589" t="s">
        <v>460</v>
      </c>
    </row>
    <row r="1590" spans="1:17" ht="15" customHeight="1" x14ac:dyDescent="0.25">
      <c r="A1590" s="3" t="s">
        <v>1971</v>
      </c>
      <c r="B1590" s="4" t="s">
        <v>461</v>
      </c>
      <c r="C1590" t="s">
        <v>1968</v>
      </c>
      <c r="D1590">
        <v>1</v>
      </c>
      <c r="E1590" t="s">
        <v>974</v>
      </c>
      <c r="F1590" t="s">
        <v>975</v>
      </c>
      <c r="G1590" t="s">
        <v>180</v>
      </c>
      <c r="H1590" s="1" t="s">
        <v>976</v>
      </c>
      <c r="I1590" s="1">
        <v>895</v>
      </c>
      <c r="J1590" s="20">
        <v>4</v>
      </c>
      <c r="K1590" s="1">
        <v>185.93</v>
      </c>
      <c r="L1590" s="1">
        <v>743.72</v>
      </c>
      <c r="M1590" s="43" t="s">
        <v>2983</v>
      </c>
      <c r="P1590" t="s">
        <v>22</v>
      </c>
      <c r="Q1590" t="s">
        <v>461</v>
      </c>
    </row>
    <row r="1591" spans="1:17" ht="15" customHeight="1" x14ac:dyDescent="0.25">
      <c r="A1591" s="3" t="s">
        <v>1972</v>
      </c>
      <c r="B1591" s="4" t="s">
        <v>2984</v>
      </c>
      <c r="C1591" t="s">
        <v>1968</v>
      </c>
      <c r="D1591">
        <v>1</v>
      </c>
      <c r="E1591" t="s">
        <v>974</v>
      </c>
      <c r="F1591" t="s">
        <v>975</v>
      </c>
      <c r="G1591" t="s">
        <v>180</v>
      </c>
      <c r="H1591" s="1" t="s">
        <v>976</v>
      </c>
      <c r="I1591" s="1">
        <v>895</v>
      </c>
      <c r="J1591" s="20">
        <v>3</v>
      </c>
      <c r="K1591" s="1">
        <v>185.93</v>
      </c>
      <c r="L1591" s="1">
        <v>557.79</v>
      </c>
      <c r="M1591" s="43" t="s">
        <v>2983</v>
      </c>
      <c r="O1591" s="2" t="s">
        <v>2482</v>
      </c>
      <c r="P1591" t="s">
        <v>24</v>
      </c>
      <c r="Q1591" t="s">
        <v>947</v>
      </c>
    </row>
    <row r="1592" spans="1:17" ht="15" customHeight="1" x14ac:dyDescent="0.25">
      <c r="A1592" s="3" t="s">
        <v>1973</v>
      </c>
      <c r="B1592" s="4" t="s">
        <v>2984</v>
      </c>
      <c r="C1592" t="s">
        <v>1968</v>
      </c>
      <c r="D1592">
        <v>1</v>
      </c>
      <c r="E1592" t="s">
        <v>974</v>
      </c>
      <c r="F1592" t="s">
        <v>975</v>
      </c>
      <c r="G1592" t="s">
        <v>180</v>
      </c>
      <c r="H1592" s="1" t="s">
        <v>976</v>
      </c>
      <c r="I1592" s="1">
        <v>895</v>
      </c>
      <c r="J1592" s="20">
        <v>3</v>
      </c>
      <c r="K1592" s="1">
        <v>185.93</v>
      </c>
      <c r="L1592" s="1">
        <v>557.79</v>
      </c>
      <c r="M1592" s="43" t="s">
        <v>2983</v>
      </c>
      <c r="O1592" s="2" t="s">
        <v>2482</v>
      </c>
      <c r="P1592" t="s">
        <v>23</v>
      </c>
      <c r="Q1592" t="s">
        <v>947</v>
      </c>
    </row>
    <row r="1593" spans="1:17" ht="15" customHeight="1" x14ac:dyDescent="0.25">
      <c r="A1593" s="42" t="s">
        <v>1973</v>
      </c>
      <c r="B1593" s="3" t="s">
        <v>2984</v>
      </c>
      <c r="C1593" s="42" t="s">
        <v>1968</v>
      </c>
      <c r="D1593">
        <v>3</v>
      </c>
      <c r="E1593" t="s">
        <v>1179</v>
      </c>
      <c r="F1593" t="s">
        <v>1180</v>
      </c>
      <c r="G1593" t="s">
        <v>180</v>
      </c>
      <c r="H1593" s="1" t="s">
        <v>976</v>
      </c>
      <c r="I1593" s="1">
        <v>895</v>
      </c>
      <c r="J1593" s="20">
        <v>1</v>
      </c>
      <c r="K1593" s="1">
        <v>895</v>
      </c>
      <c r="L1593" s="1">
        <v>895</v>
      </c>
      <c r="M1593" s="43" t="s">
        <v>2983</v>
      </c>
      <c r="O1593" s="2" t="s">
        <v>2482</v>
      </c>
      <c r="P1593" t="s">
        <v>23</v>
      </c>
      <c r="Q1593" t="s">
        <v>947</v>
      </c>
    </row>
    <row r="1594" spans="1:17" ht="15" customHeight="1" x14ac:dyDescent="0.25">
      <c r="A1594" s="3" t="s">
        <v>1974</v>
      </c>
      <c r="B1594" s="4" t="s">
        <v>2984</v>
      </c>
      <c r="C1594" t="s">
        <v>1968</v>
      </c>
      <c r="D1594">
        <v>1</v>
      </c>
      <c r="E1594" t="s">
        <v>974</v>
      </c>
      <c r="F1594" t="s">
        <v>975</v>
      </c>
      <c r="G1594" t="s">
        <v>180</v>
      </c>
      <c r="H1594" s="1" t="s">
        <v>976</v>
      </c>
      <c r="I1594" s="1">
        <v>895</v>
      </c>
      <c r="J1594" s="20">
        <v>1</v>
      </c>
      <c r="K1594" s="1">
        <v>185.93</v>
      </c>
      <c r="L1594" s="1">
        <v>185.93</v>
      </c>
      <c r="M1594" s="43" t="s">
        <v>2983</v>
      </c>
      <c r="O1594" s="2" t="s">
        <v>2482</v>
      </c>
      <c r="P1594" t="s">
        <v>22</v>
      </c>
      <c r="Q1594" t="s">
        <v>947</v>
      </c>
    </row>
    <row r="1595" spans="1:17" ht="15" customHeight="1" x14ac:dyDescent="0.25">
      <c r="A1595" s="42" t="s">
        <v>1974</v>
      </c>
      <c r="B1595" s="3" t="s">
        <v>2984</v>
      </c>
      <c r="C1595" s="42" t="s">
        <v>1968</v>
      </c>
      <c r="D1595">
        <v>3</v>
      </c>
      <c r="E1595" t="s">
        <v>1179</v>
      </c>
      <c r="F1595" t="s">
        <v>1180</v>
      </c>
      <c r="G1595" t="s">
        <v>180</v>
      </c>
      <c r="H1595" s="1" t="s">
        <v>976</v>
      </c>
      <c r="I1595" s="1">
        <v>895</v>
      </c>
      <c r="J1595" s="20">
        <v>1</v>
      </c>
      <c r="K1595" s="1">
        <v>895</v>
      </c>
      <c r="L1595" s="1">
        <v>895</v>
      </c>
      <c r="M1595" s="43" t="s">
        <v>2983</v>
      </c>
      <c r="O1595" s="2" t="s">
        <v>2482</v>
      </c>
      <c r="P1595" t="s">
        <v>22</v>
      </c>
      <c r="Q1595" t="s">
        <v>947</v>
      </c>
    </row>
    <row r="1596" spans="1:17" ht="15" customHeight="1" x14ac:dyDescent="0.25">
      <c r="A1596" s="3" t="s">
        <v>1975</v>
      </c>
      <c r="B1596" s="4" t="s">
        <v>948</v>
      </c>
      <c r="C1596" t="s">
        <v>1968</v>
      </c>
      <c r="D1596">
        <v>1</v>
      </c>
      <c r="E1596" t="s">
        <v>974</v>
      </c>
      <c r="F1596" t="s">
        <v>975</v>
      </c>
      <c r="G1596" t="s">
        <v>180</v>
      </c>
      <c r="H1596" s="1" t="s">
        <v>976</v>
      </c>
      <c r="I1596" s="1">
        <v>1600</v>
      </c>
      <c r="J1596" s="20">
        <v>0</v>
      </c>
      <c r="K1596" s="1">
        <v>0</v>
      </c>
      <c r="L1596" s="1">
        <v>0</v>
      </c>
      <c r="M1596" s="43" t="s">
        <v>2983</v>
      </c>
      <c r="N1596" s="1" t="s">
        <v>2616</v>
      </c>
      <c r="Q1596" t="s">
        <v>948</v>
      </c>
    </row>
    <row r="1597" spans="1:17" ht="15" customHeight="1" x14ac:dyDescent="0.25">
      <c r="A1597" s="3" t="s">
        <v>1976</v>
      </c>
      <c r="B1597" s="4" t="s">
        <v>2985</v>
      </c>
      <c r="C1597" t="s">
        <v>1968</v>
      </c>
      <c r="D1597">
        <v>1</v>
      </c>
      <c r="E1597" t="s">
        <v>974</v>
      </c>
      <c r="F1597" t="s">
        <v>975</v>
      </c>
      <c r="G1597" t="s">
        <v>180</v>
      </c>
      <c r="H1597" s="1" t="s">
        <v>976</v>
      </c>
      <c r="I1597" s="1">
        <v>785</v>
      </c>
      <c r="J1597" s="20">
        <v>0</v>
      </c>
      <c r="K1597" s="1">
        <v>165.15</v>
      </c>
      <c r="L1597" s="1">
        <v>0</v>
      </c>
      <c r="M1597" s="43" t="s">
        <v>2983</v>
      </c>
      <c r="O1597" s="2" t="s">
        <v>2447</v>
      </c>
      <c r="P1597" t="s">
        <v>24</v>
      </c>
      <c r="Q1597" t="s">
        <v>949</v>
      </c>
    </row>
    <row r="1598" spans="1:17" ht="15" customHeight="1" x14ac:dyDescent="0.25">
      <c r="A1598" s="3" t="s">
        <v>1977</v>
      </c>
      <c r="B1598" s="4" t="s">
        <v>2985</v>
      </c>
      <c r="C1598" t="s">
        <v>1968</v>
      </c>
      <c r="D1598">
        <v>1</v>
      </c>
      <c r="E1598" t="s">
        <v>974</v>
      </c>
      <c r="F1598" t="s">
        <v>975</v>
      </c>
      <c r="G1598" t="s">
        <v>180</v>
      </c>
      <c r="H1598" s="1" t="s">
        <v>976</v>
      </c>
      <c r="I1598" s="1">
        <v>785</v>
      </c>
      <c r="J1598" s="20">
        <v>5</v>
      </c>
      <c r="K1598" s="1">
        <v>165.15</v>
      </c>
      <c r="L1598" s="1">
        <v>825.75</v>
      </c>
      <c r="M1598" s="43" t="s">
        <v>2983</v>
      </c>
      <c r="O1598" s="2" t="s">
        <v>2447</v>
      </c>
      <c r="P1598" t="s">
        <v>23</v>
      </c>
      <c r="Q1598" t="s">
        <v>949</v>
      </c>
    </row>
    <row r="1599" spans="1:17" ht="15" customHeight="1" x14ac:dyDescent="0.25">
      <c r="A1599" s="42" t="s">
        <v>1977</v>
      </c>
      <c r="B1599" s="3" t="s">
        <v>2985</v>
      </c>
      <c r="C1599" s="42" t="s">
        <v>1968</v>
      </c>
      <c r="D1599">
        <v>3</v>
      </c>
      <c r="E1599" t="s">
        <v>1179</v>
      </c>
      <c r="F1599" t="s">
        <v>1180</v>
      </c>
      <c r="G1599" t="s">
        <v>180</v>
      </c>
      <c r="H1599" s="1" t="s">
        <v>976</v>
      </c>
      <c r="I1599" s="1">
        <v>785</v>
      </c>
      <c r="J1599" s="20">
        <v>-1</v>
      </c>
      <c r="K1599" s="1">
        <v>0</v>
      </c>
      <c r="L1599" s="1">
        <v>0</v>
      </c>
      <c r="M1599" s="43" t="s">
        <v>2983</v>
      </c>
      <c r="O1599" s="2" t="s">
        <v>2447</v>
      </c>
      <c r="P1599" t="s">
        <v>23</v>
      </c>
      <c r="Q1599" t="s">
        <v>949</v>
      </c>
    </row>
    <row r="1600" spans="1:17" ht="15" customHeight="1" x14ac:dyDescent="0.25">
      <c r="A1600" s="3" t="s">
        <v>1978</v>
      </c>
      <c r="B1600" s="4" t="s">
        <v>2985</v>
      </c>
      <c r="C1600" t="s">
        <v>1968</v>
      </c>
      <c r="D1600">
        <v>1</v>
      </c>
      <c r="E1600" t="s">
        <v>974</v>
      </c>
      <c r="F1600" t="s">
        <v>975</v>
      </c>
      <c r="G1600" t="s">
        <v>180</v>
      </c>
      <c r="H1600" s="1" t="s">
        <v>976</v>
      </c>
      <c r="I1600" s="1">
        <v>785</v>
      </c>
      <c r="J1600" s="20">
        <v>0</v>
      </c>
      <c r="K1600" s="1">
        <v>169</v>
      </c>
      <c r="L1600" s="1">
        <v>0</v>
      </c>
      <c r="M1600" s="43" t="s">
        <v>2983</v>
      </c>
      <c r="O1600" s="2" t="s">
        <v>2447</v>
      </c>
      <c r="P1600" t="s">
        <v>22</v>
      </c>
      <c r="Q1600" t="s">
        <v>949</v>
      </c>
    </row>
    <row r="1601" spans="1:17" ht="15" customHeight="1" x14ac:dyDescent="0.25">
      <c r="A1601" s="3" t="s">
        <v>1979</v>
      </c>
      <c r="B1601" s="4" t="s">
        <v>2985</v>
      </c>
      <c r="C1601" t="s">
        <v>1968</v>
      </c>
      <c r="D1601">
        <v>1</v>
      </c>
      <c r="E1601" t="s">
        <v>974</v>
      </c>
      <c r="F1601" t="s">
        <v>975</v>
      </c>
      <c r="G1601" t="s">
        <v>180</v>
      </c>
      <c r="H1601" s="1" t="s">
        <v>976</v>
      </c>
      <c r="I1601" s="1">
        <v>785</v>
      </c>
      <c r="J1601" s="20">
        <v>0</v>
      </c>
      <c r="K1601" s="1">
        <v>0</v>
      </c>
      <c r="L1601" s="1">
        <v>0</v>
      </c>
      <c r="M1601" s="43" t="s">
        <v>2983</v>
      </c>
      <c r="N1601" s="1" t="s">
        <v>2616</v>
      </c>
      <c r="O1601" s="2" t="s">
        <v>2447</v>
      </c>
      <c r="Q1601" t="s">
        <v>949</v>
      </c>
    </row>
    <row r="1602" spans="1:17" ht="15" customHeight="1" x14ac:dyDescent="0.25">
      <c r="A1602" s="3" t="s">
        <v>1980</v>
      </c>
      <c r="B1602" s="4" t="s">
        <v>2985</v>
      </c>
      <c r="C1602" t="s">
        <v>1968</v>
      </c>
      <c r="D1602">
        <v>1</v>
      </c>
      <c r="E1602" t="s">
        <v>974</v>
      </c>
      <c r="F1602" t="s">
        <v>975</v>
      </c>
      <c r="G1602" t="s">
        <v>180</v>
      </c>
      <c r="H1602" s="1" t="s">
        <v>976</v>
      </c>
      <c r="I1602" s="1">
        <v>785</v>
      </c>
      <c r="J1602" s="20">
        <v>0</v>
      </c>
      <c r="K1602" s="1">
        <v>165.15</v>
      </c>
      <c r="L1602" s="1">
        <v>0</v>
      </c>
      <c r="M1602" s="43" t="s">
        <v>2983</v>
      </c>
      <c r="O1602" s="2" t="s">
        <v>2447</v>
      </c>
      <c r="P1602" t="s">
        <v>21</v>
      </c>
      <c r="Q1602" t="s">
        <v>949</v>
      </c>
    </row>
    <row r="1603" spans="1:17" ht="15" customHeight="1" x14ac:dyDescent="0.25">
      <c r="A1603" s="3" t="s">
        <v>1981</v>
      </c>
      <c r="B1603" s="4" t="s">
        <v>2985</v>
      </c>
      <c r="C1603" t="s">
        <v>1968</v>
      </c>
      <c r="D1603">
        <v>1</v>
      </c>
      <c r="E1603" t="s">
        <v>974</v>
      </c>
      <c r="F1603" t="s">
        <v>975</v>
      </c>
      <c r="G1603" t="s">
        <v>180</v>
      </c>
      <c r="H1603" s="1" t="s">
        <v>976</v>
      </c>
      <c r="I1603" s="1">
        <v>785</v>
      </c>
      <c r="J1603" s="20">
        <v>1</v>
      </c>
      <c r="K1603" s="1">
        <v>165.15</v>
      </c>
      <c r="L1603" s="1">
        <v>165.15</v>
      </c>
      <c r="M1603" s="43" t="s">
        <v>2983</v>
      </c>
      <c r="O1603" s="2" t="s">
        <v>2482</v>
      </c>
      <c r="P1603" t="s">
        <v>24</v>
      </c>
      <c r="Q1603" t="s">
        <v>950</v>
      </c>
    </row>
    <row r="1604" spans="1:17" ht="15" customHeight="1" x14ac:dyDescent="0.25">
      <c r="A1604" s="42" t="s">
        <v>1981</v>
      </c>
      <c r="B1604" s="3" t="s">
        <v>2985</v>
      </c>
      <c r="C1604" s="42" t="s">
        <v>1968</v>
      </c>
      <c r="D1604">
        <v>3</v>
      </c>
      <c r="E1604" t="s">
        <v>1179</v>
      </c>
      <c r="F1604" t="s">
        <v>1180</v>
      </c>
      <c r="G1604" t="s">
        <v>180</v>
      </c>
      <c r="H1604" s="1" t="s">
        <v>976</v>
      </c>
      <c r="I1604" s="1">
        <v>785</v>
      </c>
      <c r="J1604" s="20">
        <v>1</v>
      </c>
      <c r="K1604" s="1">
        <v>785</v>
      </c>
      <c r="L1604" s="1">
        <v>785</v>
      </c>
      <c r="M1604" s="43" t="s">
        <v>2983</v>
      </c>
      <c r="O1604" s="2" t="s">
        <v>2482</v>
      </c>
      <c r="P1604" t="s">
        <v>24</v>
      </c>
      <c r="Q1604" t="s">
        <v>950</v>
      </c>
    </row>
    <row r="1605" spans="1:17" ht="15" customHeight="1" x14ac:dyDescent="0.25">
      <c r="A1605" s="3" t="s">
        <v>1982</v>
      </c>
      <c r="B1605" s="4" t="s">
        <v>2985</v>
      </c>
      <c r="C1605" t="s">
        <v>1968</v>
      </c>
      <c r="D1605">
        <v>1</v>
      </c>
      <c r="E1605" t="s">
        <v>974</v>
      </c>
      <c r="F1605" t="s">
        <v>975</v>
      </c>
      <c r="G1605" t="s">
        <v>180</v>
      </c>
      <c r="H1605" s="1" t="s">
        <v>976</v>
      </c>
      <c r="I1605" s="1">
        <v>785</v>
      </c>
      <c r="J1605" s="20">
        <v>2</v>
      </c>
      <c r="K1605" s="1">
        <v>165.15</v>
      </c>
      <c r="L1605" s="1">
        <v>330.3</v>
      </c>
      <c r="M1605" s="43" t="s">
        <v>2983</v>
      </c>
      <c r="O1605" s="2" t="s">
        <v>2482</v>
      </c>
      <c r="P1605" t="s">
        <v>23</v>
      </c>
      <c r="Q1605" t="s">
        <v>950</v>
      </c>
    </row>
    <row r="1606" spans="1:17" ht="15" customHeight="1" x14ac:dyDescent="0.25">
      <c r="A1606" s="42" t="s">
        <v>1982</v>
      </c>
      <c r="B1606" s="3" t="s">
        <v>2985</v>
      </c>
      <c r="C1606" s="42" t="s">
        <v>1968</v>
      </c>
      <c r="D1606">
        <v>3</v>
      </c>
      <c r="E1606" t="s">
        <v>1179</v>
      </c>
      <c r="F1606" t="s">
        <v>1180</v>
      </c>
      <c r="G1606" t="s">
        <v>180</v>
      </c>
      <c r="H1606" s="1" t="s">
        <v>976</v>
      </c>
      <c r="I1606" s="1">
        <v>785</v>
      </c>
      <c r="J1606" s="20">
        <v>1</v>
      </c>
      <c r="K1606" s="1">
        <v>785</v>
      </c>
      <c r="L1606" s="1">
        <v>785</v>
      </c>
      <c r="M1606" s="43" t="s">
        <v>2983</v>
      </c>
      <c r="O1606" s="2" t="s">
        <v>2482</v>
      </c>
      <c r="P1606" t="s">
        <v>23</v>
      </c>
      <c r="Q1606" t="s">
        <v>950</v>
      </c>
    </row>
    <row r="1607" spans="1:17" ht="15" customHeight="1" x14ac:dyDescent="0.25">
      <c r="A1607" s="3" t="s">
        <v>1983</v>
      </c>
      <c r="B1607" s="4" t="s">
        <v>2985</v>
      </c>
      <c r="C1607" t="s">
        <v>1968</v>
      </c>
      <c r="D1607">
        <v>1</v>
      </c>
      <c r="E1607" t="s">
        <v>974</v>
      </c>
      <c r="F1607" t="s">
        <v>975</v>
      </c>
      <c r="G1607" t="s">
        <v>180</v>
      </c>
      <c r="H1607" s="1" t="s">
        <v>976</v>
      </c>
      <c r="I1607" s="1">
        <v>785</v>
      </c>
      <c r="J1607" s="20">
        <v>0</v>
      </c>
      <c r="K1607" s="1">
        <v>165.15</v>
      </c>
      <c r="L1607" s="1">
        <v>0</v>
      </c>
      <c r="M1607" s="43" t="s">
        <v>2983</v>
      </c>
      <c r="O1607" s="2" t="s">
        <v>2482</v>
      </c>
      <c r="P1607" t="s">
        <v>22</v>
      </c>
      <c r="Q1607" t="s">
        <v>950</v>
      </c>
    </row>
    <row r="1608" spans="1:17" ht="15" customHeight="1" x14ac:dyDescent="0.25">
      <c r="A1608" s="3" t="s">
        <v>1984</v>
      </c>
      <c r="B1608" s="4" t="s">
        <v>2985</v>
      </c>
      <c r="C1608" t="s">
        <v>1968</v>
      </c>
      <c r="D1608">
        <v>1</v>
      </c>
      <c r="E1608" t="s">
        <v>974</v>
      </c>
      <c r="F1608" t="s">
        <v>975</v>
      </c>
      <c r="G1608" t="s">
        <v>180</v>
      </c>
      <c r="H1608" s="1" t="s">
        <v>976</v>
      </c>
      <c r="I1608" s="1">
        <v>785</v>
      </c>
      <c r="J1608" s="20">
        <v>0</v>
      </c>
      <c r="K1608" s="1">
        <v>0</v>
      </c>
      <c r="L1608" s="1">
        <v>0</v>
      </c>
      <c r="M1608" s="43" t="s">
        <v>2983</v>
      </c>
      <c r="N1608" s="1" t="s">
        <v>2616</v>
      </c>
      <c r="O1608" s="2" t="s">
        <v>2482</v>
      </c>
      <c r="Q1608" t="s">
        <v>950</v>
      </c>
    </row>
    <row r="1609" spans="1:17" ht="15" customHeight="1" x14ac:dyDescent="0.25">
      <c r="A1609" s="3" t="s">
        <v>1985</v>
      </c>
      <c r="B1609" s="4" t="s">
        <v>2985</v>
      </c>
      <c r="C1609" t="s">
        <v>1968</v>
      </c>
      <c r="D1609">
        <v>1</v>
      </c>
      <c r="E1609" t="s">
        <v>974</v>
      </c>
      <c r="F1609" t="s">
        <v>975</v>
      </c>
      <c r="G1609" t="s">
        <v>180</v>
      </c>
      <c r="H1609" s="1" t="s">
        <v>976</v>
      </c>
      <c r="I1609" s="1">
        <v>785</v>
      </c>
      <c r="J1609" s="20">
        <v>1</v>
      </c>
      <c r="K1609" s="1">
        <v>165.35</v>
      </c>
      <c r="L1609" s="1">
        <v>165.35</v>
      </c>
      <c r="M1609" s="43" t="s">
        <v>2983</v>
      </c>
      <c r="O1609" s="2" t="s">
        <v>2482</v>
      </c>
      <c r="P1609" t="s">
        <v>21</v>
      </c>
      <c r="Q1609" t="s">
        <v>950</v>
      </c>
    </row>
    <row r="1610" spans="1:17" ht="15" customHeight="1" x14ac:dyDescent="0.25">
      <c r="A1610" s="42" t="s">
        <v>1985</v>
      </c>
      <c r="B1610" s="3" t="s">
        <v>2985</v>
      </c>
      <c r="C1610" s="42" t="s">
        <v>1968</v>
      </c>
      <c r="D1610">
        <v>3</v>
      </c>
      <c r="E1610" t="s">
        <v>1179</v>
      </c>
      <c r="F1610" t="s">
        <v>1180</v>
      </c>
      <c r="G1610" t="s">
        <v>180</v>
      </c>
      <c r="H1610" s="1" t="s">
        <v>976</v>
      </c>
      <c r="I1610" s="1">
        <v>785</v>
      </c>
      <c r="J1610" s="20">
        <v>1</v>
      </c>
      <c r="K1610" s="1">
        <v>785</v>
      </c>
      <c r="L1610" s="1">
        <v>785</v>
      </c>
      <c r="M1610" s="43" t="s">
        <v>2983</v>
      </c>
      <c r="O1610" s="2" t="s">
        <v>2482</v>
      </c>
      <c r="P1610" t="s">
        <v>21</v>
      </c>
      <c r="Q1610" t="s">
        <v>950</v>
      </c>
    </row>
    <row r="1611" spans="1:17" ht="15" customHeight="1" x14ac:dyDescent="0.25">
      <c r="A1611" s="3" t="s">
        <v>1986</v>
      </c>
      <c r="B1611" s="4" t="s">
        <v>2987</v>
      </c>
      <c r="C1611" t="s">
        <v>973</v>
      </c>
      <c r="D1611">
        <v>1</v>
      </c>
      <c r="E1611" t="s">
        <v>974</v>
      </c>
      <c r="F1611" t="s">
        <v>975</v>
      </c>
      <c r="G1611" t="s">
        <v>1987</v>
      </c>
      <c r="H1611" s="1" t="s">
        <v>976</v>
      </c>
      <c r="I1611" s="1">
        <v>142</v>
      </c>
      <c r="J1611" s="20">
        <v>0</v>
      </c>
      <c r="K1611" s="1">
        <v>142</v>
      </c>
      <c r="L1611" s="1">
        <v>0</v>
      </c>
      <c r="M1611" s="43" t="s">
        <v>2986</v>
      </c>
      <c r="O1611" s="2" t="s">
        <v>2443</v>
      </c>
      <c r="Q1611" t="s">
        <v>951</v>
      </c>
    </row>
    <row r="1612" spans="1:17" ht="15" customHeight="1" x14ac:dyDescent="0.25">
      <c r="A1612" s="42" t="s">
        <v>1986</v>
      </c>
      <c r="B1612" s="3" t="s">
        <v>2987</v>
      </c>
      <c r="C1612" s="42" t="s">
        <v>973</v>
      </c>
      <c r="D1612">
        <v>4</v>
      </c>
      <c r="E1612" t="s">
        <v>1018</v>
      </c>
      <c r="F1612" t="s">
        <v>975</v>
      </c>
      <c r="G1612" t="s">
        <v>1987</v>
      </c>
      <c r="H1612" s="1" t="s">
        <v>976</v>
      </c>
      <c r="I1612" s="1">
        <v>142</v>
      </c>
      <c r="J1612" s="20">
        <v>33.06</v>
      </c>
      <c r="K1612" s="1">
        <v>142</v>
      </c>
      <c r="L1612" s="1">
        <v>4694.5200000000004</v>
      </c>
      <c r="M1612" s="43" t="s">
        <v>2986</v>
      </c>
      <c r="O1612" s="2" t="s">
        <v>2443</v>
      </c>
      <c r="Q1612" t="s">
        <v>951</v>
      </c>
    </row>
    <row r="1613" spans="1:17" ht="15" customHeight="1" x14ac:dyDescent="0.25">
      <c r="A1613" s="3" t="s">
        <v>1988</v>
      </c>
      <c r="B1613" s="4" t="s">
        <v>462</v>
      </c>
      <c r="C1613" t="s">
        <v>1855</v>
      </c>
      <c r="D1613">
        <v>1</v>
      </c>
      <c r="E1613" t="s">
        <v>974</v>
      </c>
      <c r="F1613" t="s">
        <v>975</v>
      </c>
      <c r="G1613" t="s">
        <v>976</v>
      </c>
      <c r="H1613" s="1" t="s">
        <v>976</v>
      </c>
      <c r="I1613" s="1">
        <v>1580</v>
      </c>
      <c r="J1613" s="20">
        <v>3</v>
      </c>
      <c r="K1613" s="1">
        <v>286</v>
      </c>
      <c r="L1613" s="1">
        <v>858</v>
      </c>
      <c r="M1613" s="43" t="s">
        <v>2988</v>
      </c>
      <c r="P1613" t="s">
        <v>24</v>
      </c>
      <c r="Q1613" t="s">
        <v>462</v>
      </c>
    </row>
    <row r="1614" spans="1:17" ht="15" customHeight="1" x14ac:dyDescent="0.25">
      <c r="A1614" s="3" t="s">
        <v>1989</v>
      </c>
      <c r="B1614" s="4" t="s">
        <v>463</v>
      </c>
      <c r="C1614" t="s">
        <v>1855</v>
      </c>
      <c r="D1614">
        <v>1</v>
      </c>
      <c r="E1614" t="s">
        <v>974</v>
      </c>
      <c r="F1614" t="s">
        <v>975</v>
      </c>
      <c r="G1614" t="s">
        <v>976</v>
      </c>
      <c r="H1614" s="1" t="s">
        <v>976</v>
      </c>
      <c r="I1614" s="1">
        <v>1580</v>
      </c>
      <c r="J1614" s="20">
        <v>7</v>
      </c>
      <c r="K1614" s="1">
        <v>280</v>
      </c>
      <c r="L1614" s="1">
        <v>1960</v>
      </c>
      <c r="M1614" s="43" t="s">
        <v>2988</v>
      </c>
      <c r="P1614" t="s">
        <v>23</v>
      </c>
      <c r="Q1614" t="s">
        <v>463</v>
      </c>
    </row>
    <row r="1615" spans="1:17" ht="15" customHeight="1" x14ac:dyDescent="0.25">
      <c r="A1615" s="3" t="s">
        <v>1990</v>
      </c>
      <c r="B1615" s="4" t="s">
        <v>464</v>
      </c>
      <c r="C1615" t="s">
        <v>1855</v>
      </c>
      <c r="D1615">
        <v>1</v>
      </c>
      <c r="E1615" t="s">
        <v>974</v>
      </c>
      <c r="F1615" t="s">
        <v>975</v>
      </c>
      <c r="G1615" t="s">
        <v>976</v>
      </c>
      <c r="H1615" s="1" t="s">
        <v>976</v>
      </c>
      <c r="I1615" s="1">
        <v>1580</v>
      </c>
      <c r="J1615" s="20">
        <v>4</v>
      </c>
      <c r="K1615" s="1">
        <v>286</v>
      </c>
      <c r="L1615" s="1">
        <v>1144</v>
      </c>
      <c r="M1615" s="43" t="s">
        <v>2988</v>
      </c>
      <c r="P1615" t="s">
        <v>22</v>
      </c>
      <c r="Q1615" t="s">
        <v>464</v>
      </c>
    </row>
    <row r="1616" spans="1:17" ht="15" customHeight="1" x14ac:dyDescent="0.25">
      <c r="A1616" s="3" t="s">
        <v>1991</v>
      </c>
      <c r="B1616" s="4" t="s">
        <v>952</v>
      </c>
      <c r="C1616" t="s">
        <v>1855</v>
      </c>
      <c r="D1616">
        <v>1</v>
      </c>
      <c r="E1616" t="s">
        <v>974</v>
      </c>
      <c r="F1616" t="s">
        <v>975</v>
      </c>
      <c r="G1616" t="s">
        <v>976</v>
      </c>
      <c r="H1616" s="1" t="s">
        <v>976</v>
      </c>
      <c r="I1616" s="1">
        <v>0</v>
      </c>
      <c r="J1616" s="20">
        <v>-1</v>
      </c>
      <c r="K1616" s="1">
        <v>0</v>
      </c>
      <c r="L1616" s="1">
        <v>0</v>
      </c>
      <c r="M1616" s="43" t="s">
        <v>2988</v>
      </c>
      <c r="N1616" s="1" t="s">
        <v>2616</v>
      </c>
      <c r="Q1616" t="s">
        <v>952</v>
      </c>
    </row>
    <row r="1617" spans="1:17" ht="15" customHeight="1" x14ac:dyDescent="0.25">
      <c r="A1617" s="42" t="s">
        <v>1991</v>
      </c>
      <c r="B1617" s="3" t="s">
        <v>952</v>
      </c>
      <c r="C1617" s="42" t="s">
        <v>1855</v>
      </c>
      <c r="D1617">
        <v>4</v>
      </c>
      <c r="E1617" t="s">
        <v>1018</v>
      </c>
      <c r="F1617" t="s">
        <v>975</v>
      </c>
      <c r="G1617" t="s">
        <v>976</v>
      </c>
      <c r="H1617" s="1" t="s">
        <v>976</v>
      </c>
      <c r="I1617" s="1">
        <v>0</v>
      </c>
      <c r="J1617" s="20">
        <v>1</v>
      </c>
      <c r="K1617" s="1">
        <v>0.01</v>
      </c>
      <c r="L1617" s="1">
        <v>0.01</v>
      </c>
      <c r="M1617" s="43" t="s">
        <v>2988</v>
      </c>
      <c r="N1617" s="1" t="s">
        <v>2616</v>
      </c>
      <c r="Q1617" t="s">
        <v>952</v>
      </c>
    </row>
    <row r="1618" spans="1:17" ht="15" customHeight="1" x14ac:dyDescent="0.25">
      <c r="A1618" s="3" t="s">
        <v>1992</v>
      </c>
      <c r="B1618" s="4" t="s">
        <v>953</v>
      </c>
      <c r="C1618" t="s">
        <v>1855</v>
      </c>
      <c r="D1618">
        <v>1</v>
      </c>
      <c r="E1618" t="s">
        <v>974</v>
      </c>
      <c r="F1618" t="s">
        <v>975</v>
      </c>
      <c r="G1618" t="s">
        <v>976</v>
      </c>
      <c r="H1618" s="1" t="s">
        <v>976</v>
      </c>
      <c r="I1618" s="1">
        <v>1500</v>
      </c>
      <c r="J1618" s="20">
        <v>-1</v>
      </c>
      <c r="K1618" s="1">
        <v>0</v>
      </c>
      <c r="L1618" s="1">
        <v>0</v>
      </c>
      <c r="M1618" s="43" t="s">
        <v>2988</v>
      </c>
      <c r="N1618" s="1" t="s">
        <v>2616</v>
      </c>
      <c r="Q1618" t="s">
        <v>953</v>
      </c>
    </row>
    <row r="1619" spans="1:17" ht="15" customHeight="1" x14ac:dyDescent="0.25">
      <c r="A1619" s="42" t="s">
        <v>1992</v>
      </c>
      <c r="B1619" s="3" t="s">
        <v>953</v>
      </c>
      <c r="C1619" s="42" t="s">
        <v>1855</v>
      </c>
      <c r="D1619">
        <v>4</v>
      </c>
      <c r="E1619" t="s">
        <v>1018</v>
      </c>
      <c r="F1619" t="s">
        <v>975</v>
      </c>
      <c r="G1619" t="s">
        <v>976</v>
      </c>
      <c r="H1619" s="1" t="s">
        <v>976</v>
      </c>
      <c r="I1619" s="1">
        <v>1500</v>
      </c>
      <c r="J1619" s="20">
        <v>1</v>
      </c>
      <c r="K1619" s="1">
        <v>1500</v>
      </c>
      <c r="L1619" s="1">
        <v>1500</v>
      </c>
      <c r="M1619" s="43" t="s">
        <v>2988</v>
      </c>
      <c r="N1619" s="1" t="s">
        <v>2616</v>
      </c>
      <c r="Q1619" t="s">
        <v>953</v>
      </c>
    </row>
    <row r="1620" spans="1:17" ht="15" customHeight="1" x14ac:dyDescent="0.25">
      <c r="A1620" s="3" t="s">
        <v>1993</v>
      </c>
      <c r="B1620" s="4" t="s">
        <v>2989</v>
      </c>
      <c r="C1620" t="s">
        <v>1855</v>
      </c>
      <c r="D1620">
        <v>1</v>
      </c>
      <c r="E1620" t="s">
        <v>974</v>
      </c>
      <c r="F1620" t="s">
        <v>975</v>
      </c>
      <c r="G1620" t="s">
        <v>976</v>
      </c>
      <c r="H1620" s="1" t="s">
        <v>976</v>
      </c>
      <c r="I1620" s="1">
        <v>0</v>
      </c>
      <c r="J1620" s="20">
        <v>-1</v>
      </c>
      <c r="K1620" s="1">
        <v>0</v>
      </c>
      <c r="L1620" s="1">
        <v>0</v>
      </c>
      <c r="M1620" s="43" t="s">
        <v>2988</v>
      </c>
      <c r="N1620" s="1" t="s">
        <v>2616</v>
      </c>
      <c r="O1620" s="2" t="s">
        <v>2472</v>
      </c>
      <c r="Q1620" t="s">
        <v>954</v>
      </c>
    </row>
    <row r="1621" spans="1:17" ht="15" customHeight="1" x14ac:dyDescent="0.25">
      <c r="A1621" s="42" t="s">
        <v>1993</v>
      </c>
      <c r="B1621" s="3" t="s">
        <v>2989</v>
      </c>
      <c r="C1621" s="42" t="s">
        <v>1855</v>
      </c>
      <c r="D1621">
        <v>4</v>
      </c>
      <c r="E1621" t="s">
        <v>1018</v>
      </c>
      <c r="F1621" t="s">
        <v>975</v>
      </c>
      <c r="G1621" t="s">
        <v>976</v>
      </c>
      <c r="H1621" s="1" t="s">
        <v>976</v>
      </c>
      <c r="I1621" s="1">
        <v>0</v>
      </c>
      <c r="J1621" s="20">
        <v>1</v>
      </c>
      <c r="K1621" s="1">
        <v>0</v>
      </c>
      <c r="L1621" s="1">
        <v>0</v>
      </c>
      <c r="M1621" s="43" t="s">
        <v>2988</v>
      </c>
      <c r="N1621" s="1" t="s">
        <v>2616</v>
      </c>
      <c r="O1621" s="2" t="s">
        <v>2472</v>
      </c>
      <c r="Q1621" t="s">
        <v>954</v>
      </c>
    </row>
    <row r="1622" spans="1:17" ht="15" customHeight="1" x14ac:dyDescent="0.25">
      <c r="A1622" s="3" t="s">
        <v>1994</v>
      </c>
      <c r="B1622" s="4" t="s">
        <v>2989</v>
      </c>
      <c r="C1622" t="s">
        <v>1855</v>
      </c>
      <c r="D1622">
        <v>1</v>
      </c>
      <c r="E1622" t="s">
        <v>974</v>
      </c>
      <c r="F1622" t="s">
        <v>975</v>
      </c>
      <c r="G1622" t="s">
        <v>976</v>
      </c>
      <c r="H1622" s="1" t="s">
        <v>976</v>
      </c>
      <c r="I1622" s="1">
        <v>1580</v>
      </c>
      <c r="J1622" s="20">
        <v>3</v>
      </c>
      <c r="K1622" s="1">
        <v>286</v>
      </c>
      <c r="L1622" s="1">
        <v>858</v>
      </c>
      <c r="M1622" s="43" t="s">
        <v>2988</v>
      </c>
      <c r="O1622" s="2" t="s">
        <v>2482</v>
      </c>
      <c r="P1622" t="s">
        <v>24</v>
      </c>
      <c r="Q1622" t="s">
        <v>955</v>
      </c>
    </row>
    <row r="1623" spans="1:17" ht="15" customHeight="1" x14ac:dyDescent="0.25">
      <c r="A1623" s="3" t="s">
        <v>1995</v>
      </c>
      <c r="B1623" s="4" t="s">
        <v>2989</v>
      </c>
      <c r="C1623" t="s">
        <v>1855</v>
      </c>
      <c r="D1623">
        <v>1</v>
      </c>
      <c r="E1623" t="s">
        <v>974</v>
      </c>
      <c r="F1623" t="s">
        <v>975</v>
      </c>
      <c r="G1623" t="s">
        <v>976</v>
      </c>
      <c r="H1623" s="1" t="s">
        <v>976</v>
      </c>
      <c r="I1623" s="1">
        <v>1580</v>
      </c>
      <c r="J1623" s="20">
        <v>5</v>
      </c>
      <c r="K1623" s="1">
        <v>286</v>
      </c>
      <c r="L1623" s="1">
        <v>1430</v>
      </c>
      <c r="M1623" s="43" t="s">
        <v>2988</v>
      </c>
      <c r="O1623" s="2" t="s">
        <v>2482</v>
      </c>
      <c r="P1623" t="s">
        <v>23</v>
      </c>
      <c r="Q1623" t="s">
        <v>955</v>
      </c>
    </row>
    <row r="1624" spans="1:17" ht="15" customHeight="1" x14ac:dyDescent="0.25">
      <c r="A1624" s="3" t="s">
        <v>1996</v>
      </c>
      <c r="B1624" s="4" t="s">
        <v>2989</v>
      </c>
      <c r="C1624" t="s">
        <v>1855</v>
      </c>
      <c r="D1624">
        <v>1</v>
      </c>
      <c r="E1624" t="s">
        <v>974</v>
      </c>
      <c r="F1624" t="s">
        <v>975</v>
      </c>
      <c r="G1624" t="s">
        <v>976</v>
      </c>
      <c r="H1624" s="1" t="s">
        <v>976</v>
      </c>
      <c r="I1624" s="1">
        <v>1580</v>
      </c>
      <c r="J1624" s="20">
        <v>3</v>
      </c>
      <c r="K1624" s="1">
        <v>286</v>
      </c>
      <c r="L1624" s="1">
        <v>858</v>
      </c>
      <c r="M1624" s="43" t="s">
        <v>2988</v>
      </c>
      <c r="O1624" s="2" t="s">
        <v>2482</v>
      </c>
      <c r="P1624" t="s">
        <v>22</v>
      </c>
      <c r="Q1624" t="s">
        <v>955</v>
      </c>
    </row>
    <row r="1625" spans="1:17" ht="15" customHeight="1" x14ac:dyDescent="0.25">
      <c r="A1625" s="3" t="s">
        <v>1997</v>
      </c>
      <c r="B1625" s="4" t="s">
        <v>1855</v>
      </c>
      <c r="C1625" t="s">
        <v>1855</v>
      </c>
      <c r="D1625">
        <v>1</v>
      </c>
      <c r="E1625" t="s">
        <v>974</v>
      </c>
      <c r="F1625" t="s">
        <v>975</v>
      </c>
      <c r="G1625" t="s">
        <v>180</v>
      </c>
      <c r="H1625" s="1" t="s">
        <v>976</v>
      </c>
      <c r="I1625" s="1">
        <v>1860</v>
      </c>
      <c r="J1625" s="20">
        <v>0</v>
      </c>
      <c r="K1625" s="1">
        <v>1860</v>
      </c>
      <c r="L1625" s="1">
        <v>0</v>
      </c>
      <c r="M1625" s="43" t="s">
        <v>2988</v>
      </c>
      <c r="O1625" s="2" t="s">
        <v>2528</v>
      </c>
      <c r="Q1625" t="s">
        <v>956</v>
      </c>
    </row>
    <row r="1626" spans="1:17" ht="15" customHeight="1" x14ac:dyDescent="0.25">
      <c r="A1626" s="42" t="s">
        <v>1997</v>
      </c>
      <c r="B1626" s="3" t="s">
        <v>1855</v>
      </c>
      <c r="C1626" s="42" t="s">
        <v>1855</v>
      </c>
      <c r="D1626">
        <v>4</v>
      </c>
      <c r="E1626" t="s">
        <v>1018</v>
      </c>
      <c r="F1626" t="s">
        <v>975</v>
      </c>
      <c r="G1626" t="s">
        <v>180</v>
      </c>
      <c r="H1626" s="1" t="s">
        <v>976</v>
      </c>
      <c r="I1626" s="1">
        <v>1860</v>
      </c>
      <c r="J1626" s="20">
        <v>1</v>
      </c>
      <c r="K1626" s="1">
        <v>1860</v>
      </c>
      <c r="L1626" s="1">
        <v>1860</v>
      </c>
      <c r="M1626" s="43" t="s">
        <v>2988</v>
      </c>
      <c r="O1626" s="2" t="s">
        <v>2528</v>
      </c>
      <c r="Q1626" t="s">
        <v>956</v>
      </c>
    </row>
    <row r="1627" spans="1:17" ht="15" customHeight="1" x14ac:dyDescent="0.25">
      <c r="A1627" s="3" t="s">
        <v>1998</v>
      </c>
      <c r="B1627" s="4" t="s">
        <v>2990</v>
      </c>
      <c r="C1627" t="s">
        <v>1855</v>
      </c>
      <c r="D1627">
        <v>1</v>
      </c>
      <c r="E1627" t="s">
        <v>974</v>
      </c>
      <c r="F1627" t="s">
        <v>975</v>
      </c>
      <c r="G1627" t="s">
        <v>180</v>
      </c>
      <c r="H1627" s="1" t="s">
        <v>976</v>
      </c>
      <c r="I1627" s="1">
        <v>1850</v>
      </c>
      <c r="J1627" s="20">
        <v>0</v>
      </c>
      <c r="K1627" s="1">
        <v>0</v>
      </c>
      <c r="L1627" s="1">
        <v>0</v>
      </c>
      <c r="M1627" s="43" t="s">
        <v>2988</v>
      </c>
      <c r="O1627" s="2" t="s">
        <v>2482</v>
      </c>
      <c r="Q1627" t="s">
        <v>957</v>
      </c>
    </row>
    <row r="1628" spans="1:17" ht="15" customHeight="1" x14ac:dyDescent="0.25">
      <c r="A1628" s="3" t="s">
        <v>1999</v>
      </c>
      <c r="B1628" s="4" t="s">
        <v>1855</v>
      </c>
      <c r="C1628" t="s">
        <v>1855</v>
      </c>
      <c r="D1628">
        <v>1</v>
      </c>
      <c r="E1628" t="s">
        <v>974</v>
      </c>
      <c r="F1628" t="s">
        <v>975</v>
      </c>
      <c r="G1628" t="s">
        <v>180</v>
      </c>
      <c r="H1628" s="1" t="s">
        <v>976</v>
      </c>
      <c r="I1628" s="1">
        <v>1450</v>
      </c>
      <c r="J1628" s="20">
        <v>0</v>
      </c>
      <c r="K1628" s="1">
        <v>1450</v>
      </c>
      <c r="L1628" s="1">
        <v>0</v>
      </c>
      <c r="M1628" s="43" t="s">
        <v>2988</v>
      </c>
      <c r="O1628" s="2" t="s">
        <v>2447</v>
      </c>
      <c r="Q1628" t="s">
        <v>958</v>
      </c>
    </row>
    <row r="1629" spans="1:17" ht="15" customHeight="1" x14ac:dyDescent="0.25">
      <c r="A1629" s="42" t="s">
        <v>1999</v>
      </c>
      <c r="B1629" s="3" t="s">
        <v>1855</v>
      </c>
      <c r="C1629" s="42" t="s">
        <v>1855</v>
      </c>
      <c r="D1629">
        <v>4</v>
      </c>
      <c r="E1629" t="s">
        <v>1018</v>
      </c>
      <c r="F1629" t="s">
        <v>975</v>
      </c>
      <c r="G1629" t="s">
        <v>180</v>
      </c>
      <c r="H1629" s="1" t="s">
        <v>976</v>
      </c>
      <c r="I1629" s="1">
        <v>1450</v>
      </c>
      <c r="J1629" s="20">
        <v>0</v>
      </c>
      <c r="K1629" s="1">
        <v>1450</v>
      </c>
      <c r="L1629" s="1">
        <v>0</v>
      </c>
      <c r="M1629" s="43" t="s">
        <v>2988</v>
      </c>
      <c r="O1629" s="2" t="s">
        <v>2447</v>
      </c>
      <c r="Q1629" t="s">
        <v>958</v>
      </c>
    </row>
    <row r="1630" spans="1:17" ht="15" customHeight="1" x14ac:dyDescent="0.25">
      <c r="A1630" s="3" t="s">
        <v>2189</v>
      </c>
      <c r="B1630" s="4" t="s">
        <v>2991</v>
      </c>
      <c r="C1630" t="s">
        <v>1855</v>
      </c>
      <c r="D1630">
        <v>1</v>
      </c>
      <c r="E1630" t="s">
        <v>974</v>
      </c>
      <c r="F1630" t="s">
        <v>975</v>
      </c>
      <c r="G1630" t="s">
        <v>180</v>
      </c>
      <c r="H1630" s="1" t="s">
        <v>976</v>
      </c>
      <c r="I1630" s="1">
        <v>970</v>
      </c>
      <c r="J1630" s="20">
        <v>0</v>
      </c>
      <c r="K1630" s="1">
        <v>183.7</v>
      </c>
      <c r="L1630" s="1">
        <v>0</v>
      </c>
      <c r="M1630" s="43" t="s">
        <v>2988</v>
      </c>
      <c r="O1630" s="2" t="s">
        <v>2447</v>
      </c>
      <c r="P1630" t="s">
        <v>24</v>
      </c>
      <c r="Q1630" t="s">
        <v>959</v>
      </c>
    </row>
    <row r="1631" spans="1:17" ht="15" customHeight="1" x14ac:dyDescent="0.25">
      <c r="A1631" s="42" t="s">
        <v>2189</v>
      </c>
      <c r="B1631" s="3" t="s">
        <v>2991</v>
      </c>
      <c r="C1631" s="42" t="s">
        <v>1855</v>
      </c>
      <c r="D1631">
        <v>2</v>
      </c>
      <c r="E1631" t="s">
        <v>1017</v>
      </c>
      <c r="F1631" t="s">
        <v>975</v>
      </c>
      <c r="G1631" t="s">
        <v>180</v>
      </c>
      <c r="H1631" s="1" t="s">
        <v>976</v>
      </c>
      <c r="I1631" s="1">
        <v>970</v>
      </c>
      <c r="J1631" s="20">
        <v>0</v>
      </c>
      <c r="K1631" s="1">
        <v>183.7</v>
      </c>
      <c r="L1631" s="1">
        <v>0</v>
      </c>
      <c r="M1631" s="43" t="s">
        <v>2988</v>
      </c>
      <c r="O1631" s="2" t="s">
        <v>2447</v>
      </c>
      <c r="P1631" t="s">
        <v>24</v>
      </c>
      <c r="Q1631" t="s">
        <v>959</v>
      </c>
    </row>
    <row r="1632" spans="1:17" ht="15" customHeight="1" x14ac:dyDescent="0.25">
      <c r="A1632" s="3" t="s">
        <v>2190</v>
      </c>
      <c r="B1632" s="4" t="s">
        <v>2991</v>
      </c>
      <c r="C1632" t="s">
        <v>1855</v>
      </c>
      <c r="D1632">
        <v>1</v>
      </c>
      <c r="E1632" t="s">
        <v>974</v>
      </c>
      <c r="F1632" t="s">
        <v>975</v>
      </c>
      <c r="G1632" t="s">
        <v>180</v>
      </c>
      <c r="H1632" s="1" t="s">
        <v>976</v>
      </c>
      <c r="I1632" s="1">
        <v>970</v>
      </c>
      <c r="J1632" s="20">
        <v>0</v>
      </c>
      <c r="K1632" s="1">
        <v>183.7</v>
      </c>
      <c r="L1632" s="1">
        <v>0</v>
      </c>
      <c r="M1632" s="43" t="s">
        <v>2988</v>
      </c>
      <c r="O1632" s="2" t="s">
        <v>2447</v>
      </c>
      <c r="P1632" t="s">
        <v>23</v>
      </c>
      <c r="Q1632" t="s">
        <v>959</v>
      </c>
    </row>
    <row r="1633" spans="1:17" ht="15" customHeight="1" x14ac:dyDescent="0.25">
      <c r="A1633" s="42" t="s">
        <v>2190</v>
      </c>
      <c r="B1633" s="3" t="s">
        <v>2991</v>
      </c>
      <c r="C1633" s="42" t="s">
        <v>1855</v>
      </c>
      <c r="D1633">
        <v>4</v>
      </c>
      <c r="E1633" t="s">
        <v>1018</v>
      </c>
      <c r="F1633" t="s">
        <v>975</v>
      </c>
      <c r="G1633" t="s">
        <v>180</v>
      </c>
      <c r="H1633" s="1" t="s">
        <v>976</v>
      </c>
      <c r="I1633" s="1">
        <v>970</v>
      </c>
      <c r="J1633" s="20">
        <v>0</v>
      </c>
      <c r="K1633" s="1">
        <v>0</v>
      </c>
      <c r="L1633" s="1">
        <v>0</v>
      </c>
      <c r="M1633" s="43" t="s">
        <v>2988</v>
      </c>
      <c r="O1633" s="2" t="s">
        <v>2447</v>
      </c>
      <c r="P1633" t="s">
        <v>23</v>
      </c>
      <c r="Q1633" t="s">
        <v>959</v>
      </c>
    </row>
    <row r="1634" spans="1:17" ht="15" customHeight="1" x14ac:dyDescent="0.25">
      <c r="A1634" s="3" t="s">
        <v>2191</v>
      </c>
      <c r="B1634" s="4" t="s">
        <v>2991</v>
      </c>
      <c r="C1634" t="s">
        <v>1855</v>
      </c>
      <c r="D1634">
        <v>1</v>
      </c>
      <c r="E1634" t="s">
        <v>974</v>
      </c>
      <c r="F1634" t="s">
        <v>975</v>
      </c>
      <c r="G1634" t="s">
        <v>180</v>
      </c>
      <c r="H1634" s="1" t="s">
        <v>976</v>
      </c>
      <c r="I1634" s="1">
        <v>970</v>
      </c>
      <c r="J1634" s="20">
        <v>0</v>
      </c>
      <c r="K1634" s="1">
        <v>183.7</v>
      </c>
      <c r="L1634" s="1">
        <v>0</v>
      </c>
      <c r="M1634" s="43" t="s">
        <v>2988</v>
      </c>
      <c r="O1634" s="2" t="s">
        <v>2447</v>
      </c>
      <c r="P1634" t="s">
        <v>22</v>
      </c>
      <c r="Q1634" t="s">
        <v>959</v>
      </c>
    </row>
    <row r="1635" spans="1:17" ht="15" customHeight="1" x14ac:dyDescent="0.25">
      <c r="A1635" s="3" t="s">
        <v>2192</v>
      </c>
      <c r="B1635" s="4" t="s">
        <v>2991</v>
      </c>
      <c r="C1635" t="s">
        <v>1855</v>
      </c>
      <c r="D1635">
        <v>1</v>
      </c>
      <c r="E1635" t="s">
        <v>974</v>
      </c>
      <c r="F1635" t="s">
        <v>975</v>
      </c>
      <c r="G1635" t="s">
        <v>180</v>
      </c>
      <c r="H1635" s="1" t="s">
        <v>976</v>
      </c>
      <c r="I1635" s="1">
        <v>970</v>
      </c>
      <c r="J1635" s="20">
        <v>0</v>
      </c>
      <c r="K1635" s="1">
        <v>970</v>
      </c>
      <c r="L1635" s="1">
        <v>0</v>
      </c>
      <c r="M1635" s="43" t="s">
        <v>2988</v>
      </c>
      <c r="O1635" s="2" t="s">
        <v>2443</v>
      </c>
      <c r="P1635" t="s">
        <v>23</v>
      </c>
      <c r="Q1635" t="s">
        <v>960</v>
      </c>
    </row>
    <row r="1636" spans="1:17" ht="15" customHeight="1" x14ac:dyDescent="0.25">
      <c r="A1636" s="42" t="s">
        <v>2192</v>
      </c>
      <c r="B1636" s="3" t="s">
        <v>2991</v>
      </c>
      <c r="C1636" s="42" t="s">
        <v>1855</v>
      </c>
      <c r="D1636">
        <v>4</v>
      </c>
      <c r="E1636" t="s">
        <v>1018</v>
      </c>
      <c r="F1636" t="s">
        <v>975</v>
      </c>
      <c r="G1636" t="s">
        <v>180</v>
      </c>
      <c r="H1636" s="1" t="s">
        <v>976</v>
      </c>
      <c r="I1636" s="1">
        <v>970</v>
      </c>
      <c r="J1636" s="20">
        <v>0</v>
      </c>
      <c r="K1636" s="1">
        <v>0</v>
      </c>
      <c r="L1636" s="1">
        <v>0</v>
      </c>
      <c r="M1636" s="43" t="s">
        <v>2988</v>
      </c>
      <c r="O1636" s="2" t="s">
        <v>2443</v>
      </c>
      <c r="P1636" t="s">
        <v>23</v>
      </c>
      <c r="Q1636" t="s">
        <v>960</v>
      </c>
    </row>
    <row r="1637" spans="1:17" ht="15" customHeight="1" x14ac:dyDescent="0.25">
      <c r="A1637" s="3" t="s">
        <v>2193</v>
      </c>
      <c r="B1637" s="4" t="s">
        <v>535</v>
      </c>
      <c r="C1637" t="s">
        <v>1855</v>
      </c>
      <c r="D1637">
        <v>1</v>
      </c>
      <c r="E1637" t="s">
        <v>974</v>
      </c>
      <c r="F1637" t="s">
        <v>975</v>
      </c>
      <c r="G1637" t="s">
        <v>180</v>
      </c>
      <c r="H1637" s="1" t="s">
        <v>976</v>
      </c>
      <c r="I1637" s="1">
        <v>970</v>
      </c>
      <c r="J1637" s="20">
        <v>0</v>
      </c>
      <c r="K1637" s="1">
        <v>162.13999999999999</v>
      </c>
      <c r="L1637" s="1">
        <v>0</v>
      </c>
      <c r="M1637" s="43" t="s">
        <v>2988</v>
      </c>
      <c r="P1637" t="s">
        <v>24</v>
      </c>
      <c r="Q1637" t="s">
        <v>535</v>
      </c>
    </row>
    <row r="1638" spans="1:17" ht="15" customHeight="1" x14ac:dyDescent="0.25">
      <c r="A1638" s="3" t="s">
        <v>2194</v>
      </c>
      <c r="B1638" s="4" t="s">
        <v>536</v>
      </c>
      <c r="C1638" t="s">
        <v>1855</v>
      </c>
      <c r="D1638">
        <v>1</v>
      </c>
      <c r="E1638" t="s">
        <v>974</v>
      </c>
      <c r="F1638" t="s">
        <v>975</v>
      </c>
      <c r="G1638" t="s">
        <v>180</v>
      </c>
      <c r="H1638" s="1" t="s">
        <v>976</v>
      </c>
      <c r="I1638" s="1">
        <v>970</v>
      </c>
      <c r="J1638" s="20">
        <v>0</v>
      </c>
      <c r="K1638" s="1">
        <v>171.56</v>
      </c>
      <c r="L1638" s="1">
        <v>0</v>
      </c>
      <c r="M1638" s="43" t="s">
        <v>2988</v>
      </c>
      <c r="P1638" t="s">
        <v>23</v>
      </c>
      <c r="Q1638" t="s">
        <v>536</v>
      </c>
    </row>
    <row r="1639" spans="1:17" ht="15" customHeight="1" x14ac:dyDescent="0.25">
      <c r="A1639" s="3" t="s">
        <v>2195</v>
      </c>
      <c r="B1639" s="4" t="s">
        <v>537</v>
      </c>
      <c r="C1639" t="s">
        <v>1855</v>
      </c>
      <c r="D1639">
        <v>1</v>
      </c>
      <c r="E1639" t="s">
        <v>974</v>
      </c>
      <c r="F1639" t="s">
        <v>975</v>
      </c>
      <c r="G1639" t="s">
        <v>180</v>
      </c>
      <c r="H1639" s="1" t="s">
        <v>976</v>
      </c>
      <c r="I1639" s="1">
        <v>970</v>
      </c>
      <c r="J1639" s="20">
        <v>0</v>
      </c>
      <c r="K1639" s="1">
        <v>162.13999999999999</v>
      </c>
      <c r="L1639" s="1">
        <v>0</v>
      </c>
      <c r="M1639" s="43" t="s">
        <v>2988</v>
      </c>
      <c r="P1639" t="s">
        <v>22</v>
      </c>
      <c r="Q1639" t="s">
        <v>537</v>
      </c>
    </row>
    <row r="1640" spans="1:17" ht="15" customHeight="1" x14ac:dyDescent="0.25">
      <c r="A1640" s="3" t="s">
        <v>2196</v>
      </c>
      <c r="B1640" s="4" t="s">
        <v>961</v>
      </c>
      <c r="C1640" t="s">
        <v>1855</v>
      </c>
      <c r="D1640">
        <v>1</v>
      </c>
      <c r="E1640" t="s">
        <v>974</v>
      </c>
      <c r="F1640" t="s">
        <v>975</v>
      </c>
      <c r="G1640" t="s">
        <v>180</v>
      </c>
      <c r="H1640" s="1" t="s">
        <v>976</v>
      </c>
      <c r="I1640" s="1">
        <v>970</v>
      </c>
      <c r="J1640" s="20">
        <v>-1</v>
      </c>
      <c r="K1640" s="1">
        <v>0</v>
      </c>
      <c r="L1640" s="1">
        <v>0</v>
      </c>
      <c r="M1640" s="43" t="s">
        <v>2988</v>
      </c>
      <c r="N1640" s="1" t="s">
        <v>2616</v>
      </c>
      <c r="Q1640" t="s">
        <v>961</v>
      </c>
    </row>
    <row r="1641" spans="1:17" ht="15" customHeight="1" x14ac:dyDescent="0.25">
      <c r="A1641" s="3" t="s">
        <v>2000</v>
      </c>
      <c r="B1641" s="4" t="s">
        <v>2992</v>
      </c>
      <c r="C1641" t="s">
        <v>1855</v>
      </c>
      <c r="D1641">
        <v>1</v>
      </c>
      <c r="E1641" t="s">
        <v>974</v>
      </c>
      <c r="F1641" t="s">
        <v>975</v>
      </c>
      <c r="G1641" t="s">
        <v>976</v>
      </c>
      <c r="H1641" s="1" t="s">
        <v>976</v>
      </c>
      <c r="I1641" s="1">
        <v>1560</v>
      </c>
      <c r="J1641" s="20">
        <v>2</v>
      </c>
      <c r="K1641" s="1">
        <v>280</v>
      </c>
      <c r="L1641" s="1">
        <v>560</v>
      </c>
      <c r="M1641" s="43" t="s">
        <v>2988</v>
      </c>
      <c r="O1641" s="2" t="s">
        <v>2443</v>
      </c>
      <c r="P1641" t="s">
        <v>24</v>
      </c>
      <c r="Q1641" t="s">
        <v>962</v>
      </c>
    </row>
    <row r="1642" spans="1:17" ht="15" customHeight="1" x14ac:dyDescent="0.25">
      <c r="A1642" s="3" t="s">
        <v>2001</v>
      </c>
      <c r="B1642" s="4" t="s">
        <v>2992</v>
      </c>
      <c r="C1642" t="s">
        <v>1855</v>
      </c>
      <c r="D1642">
        <v>1</v>
      </c>
      <c r="E1642" t="s">
        <v>974</v>
      </c>
      <c r="F1642" t="s">
        <v>975</v>
      </c>
      <c r="G1642" t="s">
        <v>976</v>
      </c>
      <c r="H1642" s="1" t="s">
        <v>976</v>
      </c>
      <c r="I1642" s="1">
        <v>1560</v>
      </c>
      <c r="J1642" s="20">
        <v>1</v>
      </c>
      <c r="K1642" s="1">
        <v>280</v>
      </c>
      <c r="L1642" s="1">
        <v>280</v>
      </c>
      <c r="M1642" s="43" t="s">
        <v>2988</v>
      </c>
      <c r="O1642" s="2" t="s">
        <v>2443</v>
      </c>
      <c r="P1642" t="s">
        <v>25</v>
      </c>
      <c r="Q1642" t="s">
        <v>962</v>
      </c>
    </row>
    <row r="1643" spans="1:17" ht="15" customHeight="1" x14ac:dyDescent="0.25">
      <c r="A1643" s="3" t="s">
        <v>2002</v>
      </c>
      <c r="B1643" s="4" t="s">
        <v>2992</v>
      </c>
      <c r="C1643" t="s">
        <v>1855</v>
      </c>
      <c r="D1643">
        <v>1</v>
      </c>
      <c r="E1643" t="s">
        <v>974</v>
      </c>
      <c r="F1643" t="s">
        <v>975</v>
      </c>
      <c r="G1643" t="s">
        <v>976</v>
      </c>
      <c r="H1643" s="1" t="s">
        <v>976</v>
      </c>
      <c r="I1643" s="1">
        <v>1560</v>
      </c>
      <c r="J1643" s="20">
        <v>3</v>
      </c>
      <c r="K1643" s="1">
        <v>280</v>
      </c>
      <c r="L1643" s="1">
        <v>840</v>
      </c>
      <c r="M1643" s="43" t="s">
        <v>2988</v>
      </c>
      <c r="O1643" s="2" t="s">
        <v>2443</v>
      </c>
      <c r="P1643" t="s">
        <v>23</v>
      </c>
      <c r="Q1643" t="s">
        <v>962</v>
      </c>
    </row>
    <row r="1644" spans="1:17" ht="15" customHeight="1" x14ac:dyDescent="0.25">
      <c r="A1644" s="42" t="s">
        <v>2002</v>
      </c>
      <c r="B1644" s="3" t="s">
        <v>2992</v>
      </c>
      <c r="C1644" s="42" t="s">
        <v>1855</v>
      </c>
      <c r="D1644">
        <v>3</v>
      </c>
      <c r="E1644" t="s">
        <v>1179</v>
      </c>
      <c r="F1644" t="s">
        <v>1180</v>
      </c>
      <c r="G1644" t="s">
        <v>976</v>
      </c>
      <c r="H1644" s="1" t="s">
        <v>976</v>
      </c>
      <c r="I1644" s="1">
        <v>1560</v>
      </c>
      <c r="J1644" s="20">
        <v>1</v>
      </c>
      <c r="K1644" s="1">
        <v>1560</v>
      </c>
      <c r="L1644" s="1">
        <v>1560</v>
      </c>
      <c r="M1644" s="43" t="s">
        <v>2988</v>
      </c>
      <c r="O1644" s="2" t="s">
        <v>2443</v>
      </c>
      <c r="P1644" t="s">
        <v>23</v>
      </c>
      <c r="Q1644" t="s">
        <v>962</v>
      </c>
    </row>
    <row r="1645" spans="1:17" ht="15" customHeight="1" x14ac:dyDescent="0.25">
      <c r="A1645" s="3" t="s">
        <v>2003</v>
      </c>
      <c r="B1645" s="4" t="s">
        <v>2992</v>
      </c>
      <c r="C1645" t="s">
        <v>1855</v>
      </c>
      <c r="D1645">
        <v>1</v>
      </c>
      <c r="E1645" t="s">
        <v>974</v>
      </c>
      <c r="F1645" t="s">
        <v>975</v>
      </c>
      <c r="G1645" t="s">
        <v>976</v>
      </c>
      <c r="H1645" s="1" t="s">
        <v>976</v>
      </c>
      <c r="I1645" s="1">
        <v>1560</v>
      </c>
      <c r="J1645" s="20">
        <v>2</v>
      </c>
      <c r="K1645" s="1">
        <v>210</v>
      </c>
      <c r="L1645" s="1">
        <v>420</v>
      </c>
      <c r="M1645" s="43" t="s">
        <v>2988</v>
      </c>
      <c r="O1645" s="2" t="s">
        <v>2443</v>
      </c>
      <c r="P1645" t="s">
        <v>22</v>
      </c>
      <c r="Q1645" t="s">
        <v>962</v>
      </c>
    </row>
    <row r="1646" spans="1:17" ht="15" customHeight="1" x14ac:dyDescent="0.25">
      <c r="A1646" s="3" t="s">
        <v>2004</v>
      </c>
      <c r="B1646" s="4" t="s">
        <v>2993</v>
      </c>
      <c r="C1646" t="s">
        <v>1855</v>
      </c>
      <c r="D1646">
        <v>1</v>
      </c>
      <c r="E1646" t="s">
        <v>974</v>
      </c>
      <c r="F1646" t="s">
        <v>975</v>
      </c>
      <c r="G1646" t="s">
        <v>976</v>
      </c>
      <c r="H1646" s="1" t="s">
        <v>976</v>
      </c>
      <c r="I1646" s="1">
        <v>0</v>
      </c>
      <c r="J1646" s="20">
        <v>-1</v>
      </c>
      <c r="K1646" s="1">
        <v>0</v>
      </c>
      <c r="L1646" s="1">
        <v>0</v>
      </c>
      <c r="M1646" s="43" t="s">
        <v>2988</v>
      </c>
      <c r="N1646" s="1" t="s">
        <v>2616</v>
      </c>
      <c r="O1646" s="2" t="s">
        <v>2443</v>
      </c>
      <c r="Q1646" t="s">
        <v>963</v>
      </c>
    </row>
    <row r="1647" spans="1:17" ht="15" customHeight="1" x14ac:dyDescent="0.25">
      <c r="A1647" s="42" t="s">
        <v>2004</v>
      </c>
      <c r="B1647" s="3" t="s">
        <v>2993</v>
      </c>
      <c r="C1647" s="42" t="s">
        <v>1855</v>
      </c>
      <c r="D1647">
        <v>4</v>
      </c>
      <c r="E1647" t="s">
        <v>1018</v>
      </c>
      <c r="F1647" t="s">
        <v>975</v>
      </c>
      <c r="G1647" t="s">
        <v>976</v>
      </c>
      <c r="H1647" s="1" t="s">
        <v>976</v>
      </c>
      <c r="I1647" s="1">
        <v>0</v>
      </c>
      <c r="J1647" s="20">
        <v>1</v>
      </c>
      <c r="K1647" s="1">
        <v>0</v>
      </c>
      <c r="L1647" s="1">
        <v>0</v>
      </c>
      <c r="M1647" s="43" t="s">
        <v>2988</v>
      </c>
      <c r="N1647" s="1" t="s">
        <v>2616</v>
      </c>
      <c r="O1647" s="2" t="s">
        <v>2443</v>
      </c>
      <c r="Q1647" t="s">
        <v>963</v>
      </c>
    </row>
    <row r="1648" spans="1:17" ht="15" customHeight="1" x14ac:dyDescent="0.25">
      <c r="A1648" s="3" t="s">
        <v>2005</v>
      </c>
      <c r="B1648" s="4" t="s">
        <v>2992</v>
      </c>
      <c r="C1648" t="s">
        <v>1855</v>
      </c>
      <c r="D1648">
        <v>1</v>
      </c>
      <c r="E1648" t="s">
        <v>974</v>
      </c>
      <c r="F1648" t="s">
        <v>975</v>
      </c>
      <c r="G1648" t="s">
        <v>976</v>
      </c>
      <c r="H1648" s="1" t="s">
        <v>976</v>
      </c>
      <c r="I1648" s="1">
        <v>1560</v>
      </c>
      <c r="J1648" s="20">
        <v>2</v>
      </c>
      <c r="K1648" s="1">
        <v>280</v>
      </c>
      <c r="L1648" s="1">
        <v>560</v>
      </c>
      <c r="M1648" s="43" t="s">
        <v>2988</v>
      </c>
      <c r="O1648" s="2" t="s">
        <v>2443</v>
      </c>
      <c r="P1648" t="s">
        <v>21</v>
      </c>
      <c r="Q1648" t="s">
        <v>962</v>
      </c>
    </row>
    <row r="1649" spans="1:17" ht="15" customHeight="1" x14ac:dyDescent="0.25">
      <c r="A1649" s="3" t="s">
        <v>2006</v>
      </c>
      <c r="B1649" s="4" t="s">
        <v>465</v>
      </c>
      <c r="C1649" t="s">
        <v>1855</v>
      </c>
      <c r="D1649">
        <v>1</v>
      </c>
      <c r="E1649" t="s">
        <v>974</v>
      </c>
      <c r="F1649" t="s">
        <v>975</v>
      </c>
      <c r="G1649" t="s">
        <v>976</v>
      </c>
      <c r="H1649" s="1" t="s">
        <v>976</v>
      </c>
      <c r="I1649" s="1">
        <v>1950</v>
      </c>
      <c r="J1649" s="20">
        <v>2</v>
      </c>
      <c r="K1649" s="1">
        <v>396</v>
      </c>
      <c r="L1649" s="1">
        <v>792</v>
      </c>
      <c r="M1649" s="43" t="s">
        <v>2988</v>
      </c>
      <c r="P1649" t="s">
        <v>24</v>
      </c>
      <c r="Q1649" t="s">
        <v>465</v>
      </c>
    </row>
    <row r="1650" spans="1:17" ht="15" customHeight="1" x14ac:dyDescent="0.25">
      <c r="A1650" s="42" t="s">
        <v>2006</v>
      </c>
      <c r="B1650" s="3" t="s">
        <v>465</v>
      </c>
      <c r="C1650" s="42" t="s">
        <v>1855</v>
      </c>
      <c r="D1650">
        <v>4</v>
      </c>
      <c r="E1650" t="s">
        <v>1018</v>
      </c>
      <c r="F1650" t="s">
        <v>975</v>
      </c>
      <c r="G1650" t="s">
        <v>976</v>
      </c>
      <c r="H1650" s="1" t="s">
        <v>976</v>
      </c>
      <c r="I1650" s="1">
        <v>1950</v>
      </c>
      <c r="J1650" s="20">
        <v>0</v>
      </c>
      <c r="K1650" s="1">
        <v>0</v>
      </c>
      <c r="L1650" s="1">
        <v>0</v>
      </c>
      <c r="M1650" s="43" t="s">
        <v>2988</v>
      </c>
      <c r="P1650" t="s">
        <v>24</v>
      </c>
      <c r="Q1650" t="s">
        <v>465</v>
      </c>
    </row>
    <row r="1651" spans="1:17" ht="15" customHeight="1" x14ac:dyDescent="0.25">
      <c r="A1651" s="3" t="s">
        <v>2007</v>
      </c>
      <c r="B1651" s="4" t="s">
        <v>466</v>
      </c>
      <c r="C1651" t="s">
        <v>1855</v>
      </c>
      <c r="D1651">
        <v>1</v>
      </c>
      <c r="E1651" t="s">
        <v>974</v>
      </c>
      <c r="F1651" t="s">
        <v>975</v>
      </c>
      <c r="G1651" t="s">
        <v>976</v>
      </c>
      <c r="H1651" s="1" t="s">
        <v>976</v>
      </c>
      <c r="I1651" s="1">
        <v>1950</v>
      </c>
      <c r="J1651" s="20">
        <v>1</v>
      </c>
      <c r="K1651" s="1">
        <v>396</v>
      </c>
      <c r="L1651" s="1">
        <v>396</v>
      </c>
      <c r="M1651" s="43" t="s">
        <v>2988</v>
      </c>
      <c r="P1651" t="s">
        <v>25</v>
      </c>
      <c r="Q1651" t="s">
        <v>466</v>
      </c>
    </row>
    <row r="1652" spans="1:17" ht="15" customHeight="1" x14ac:dyDescent="0.25">
      <c r="A1652" s="3" t="s">
        <v>2008</v>
      </c>
      <c r="B1652" s="4" t="s">
        <v>467</v>
      </c>
      <c r="C1652" t="s">
        <v>1855</v>
      </c>
      <c r="D1652">
        <v>1</v>
      </c>
      <c r="E1652" t="s">
        <v>974</v>
      </c>
      <c r="F1652" t="s">
        <v>975</v>
      </c>
      <c r="G1652" t="s">
        <v>976</v>
      </c>
      <c r="H1652" s="1" t="s">
        <v>976</v>
      </c>
      <c r="I1652" s="1">
        <v>1950</v>
      </c>
      <c r="J1652" s="20">
        <v>3</v>
      </c>
      <c r="K1652" s="1">
        <v>396</v>
      </c>
      <c r="L1652" s="1">
        <v>1188</v>
      </c>
      <c r="M1652" s="43" t="s">
        <v>2988</v>
      </c>
      <c r="P1652" t="s">
        <v>23</v>
      </c>
      <c r="Q1652" t="s">
        <v>467</v>
      </c>
    </row>
    <row r="1653" spans="1:17" ht="15" customHeight="1" x14ac:dyDescent="0.25">
      <c r="A1653" s="42" t="s">
        <v>2008</v>
      </c>
      <c r="B1653" s="3" t="s">
        <v>467</v>
      </c>
      <c r="C1653" s="42" t="s">
        <v>1855</v>
      </c>
      <c r="D1653">
        <v>3</v>
      </c>
      <c r="E1653" t="s">
        <v>1179</v>
      </c>
      <c r="F1653" t="s">
        <v>1180</v>
      </c>
      <c r="G1653" t="s">
        <v>976</v>
      </c>
      <c r="H1653" s="1" t="s">
        <v>976</v>
      </c>
      <c r="I1653" s="1">
        <v>1950</v>
      </c>
      <c r="J1653" s="20">
        <v>0</v>
      </c>
      <c r="K1653" s="1">
        <v>1950</v>
      </c>
      <c r="L1653" s="1">
        <v>0</v>
      </c>
      <c r="M1653" s="43" t="s">
        <v>2988</v>
      </c>
      <c r="P1653" t="s">
        <v>23</v>
      </c>
      <c r="Q1653" t="s">
        <v>467</v>
      </c>
    </row>
    <row r="1654" spans="1:17" ht="15" customHeight="1" x14ac:dyDescent="0.25">
      <c r="A1654" s="3" t="s">
        <v>2009</v>
      </c>
      <c r="B1654" s="4" t="s">
        <v>468</v>
      </c>
      <c r="C1654" t="s">
        <v>1855</v>
      </c>
      <c r="D1654">
        <v>1</v>
      </c>
      <c r="E1654" t="s">
        <v>974</v>
      </c>
      <c r="F1654" t="s">
        <v>975</v>
      </c>
      <c r="G1654" t="s">
        <v>976</v>
      </c>
      <c r="H1654" s="1" t="s">
        <v>976</v>
      </c>
      <c r="I1654" s="1">
        <v>1950</v>
      </c>
      <c r="J1654" s="20">
        <v>4</v>
      </c>
      <c r="K1654" s="1">
        <v>396</v>
      </c>
      <c r="L1654" s="1">
        <v>1584</v>
      </c>
      <c r="M1654" s="43" t="s">
        <v>2988</v>
      </c>
      <c r="P1654" t="s">
        <v>22</v>
      </c>
      <c r="Q1654" t="s">
        <v>468</v>
      </c>
    </row>
    <row r="1655" spans="1:17" ht="15" customHeight="1" x14ac:dyDescent="0.25">
      <c r="A1655" s="3" t="s">
        <v>2010</v>
      </c>
      <c r="B1655" s="4" t="s">
        <v>469</v>
      </c>
      <c r="C1655" t="s">
        <v>1855</v>
      </c>
      <c r="D1655">
        <v>1</v>
      </c>
      <c r="E1655" t="s">
        <v>974</v>
      </c>
      <c r="F1655" t="s">
        <v>975</v>
      </c>
      <c r="G1655" t="s">
        <v>976</v>
      </c>
      <c r="H1655" s="1" t="s">
        <v>976</v>
      </c>
      <c r="I1655" s="1">
        <v>1950</v>
      </c>
      <c r="J1655" s="20">
        <v>0</v>
      </c>
      <c r="K1655" s="1">
        <v>396</v>
      </c>
      <c r="L1655" s="1">
        <v>0</v>
      </c>
      <c r="M1655" s="43" t="s">
        <v>2988</v>
      </c>
      <c r="P1655" t="s">
        <v>21</v>
      </c>
      <c r="Q1655" t="s">
        <v>469</v>
      </c>
    </row>
    <row r="1656" spans="1:17" ht="15" customHeight="1" x14ac:dyDescent="0.25">
      <c r="A1656" s="3" t="s">
        <v>2011</v>
      </c>
      <c r="B1656" s="4" t="s">
        <v>2994</v>
      </c>
      <c r="C1656" t="s">
        <v>1855</v>
      </c>
      <c r="D1656">
        <v>1</v>
      </c>
      <c r="E1656" t="s">
        <v>974</v>
      </c>
      <c r="F1656" t="s">
        <v>975</v>
      </c>
      <c r="G1656" t="s">
        <v>976</v>
      </c>
      <c r="H1656" s="1" t="s">
        <v>976</v>
      </c>
      <c r="I1656" s="1">
        <v>1950</v>
      </c>
      <c r="J1656" s="20">
        <v>2</v>
      </c>
      <c r="K1656" s="1">
        <v>0</v>
      </c>
      <c r="L1656" s="1">
        <v>0</v>
      </c>
      <c r="M1656" s="43" t="s">
        <v>2988</v>
      </c>
      <c r="O1656" s="2" t="s">
        <v>2482</v>
      </c>
      <c r="P1656" t="s">
        <v>24</v>
      </c>
      <c r="Q1656" t="s">
        <v>964</v>
      </c>
    </row>
    <row r="1657" spans="1:17" ht="15" customHeight="1" x14ac:dyDescent="0.25">
      <c r="A1657" s="42" t="s">
        <v>2011</v>
      </c>
      <c r="B1657" s="3" t="s">
        <v>2994</v>
      </c>
      <c r="C1657" s="42" t="s">
        <v>1855</v>
      </c>
      <c r="D1657">
        <v>4</v>
      </c>
      <c r="E1657" t="s">
        <v>1018</v>
      </c>
      <c r="F1657" t="s">
        <v>975</v>
      </c>
      <c r="G1657" t="s">
        <v>976</v>
      </c>
      <c r="H1657" s="1" t="s">
        <v>976</v>
      </c>
      <c r="I1657" s="1">
        <v>1950</v>
      </c>
      <c r="J1657" s="20">
        <v>0</v>
      </c>
      <c r="K1657" s="1">
        <v>0</v>
      </c>
      <c r="L1657" s="1">
        <v>0</v>
      </c>
      <c r="M1657" s="43" t="s">
        <v>2988</v>
      </c>
      <c r="O1657" s="2" t="s">
        <v>2482</v>
      </c>
      <c r="P1657" t="s">
        <v>24</v>
      </c>
      <c r="Q1657" t="s">
        <v>964</v>
      </c>
    </row>
    <row r="1658" spans="1:17" ht="15" customHeight="1" x14ac:dyDescent="0.25">
      <c r="A1658" s="3" t="s">
        <v>2012</v>
      </c>
      <c r="B1658" s="4" t="s">
        <v>2994</v>
      </c>
      <c r="C1658" t="s">
        <v>1855</v>
      </c>
      <c r="D1658">
        <v>1</v>
      </c>
      <c r="E1658" t="s">
        <v>974</v>
      </c>
      <c r="F1658" t="s">
        <v>975</v>
      </c>
      <c r="G1658" t="s">
        <v>976</v>
      </c>
      <c r="H1658" s="1" t="s">
        <v>976</v>
      </c>
      <c r="I1658" s="1">
        <v>1950</v>
      </c>
      <c r="J1658" s="20">
        <v>1</v>
      </c>
      <c r="K1658" s="1">
        <v>396</v>
      </c>
      <c r="L1658" s="1">
        <v>396</v>
      </c>
      <c r="M1658" s="43" t="s">
        <v>2988</v>
      </c>
      <c r="O1658" s="2" t="s">
        <v>2482</v>
      </c>
      <c r="P1658" t="s">
        <v>25</v>
      </c>
      <c r="Q1658" t="s">
        <v>964</v>
      </c>
    </row>
    <row r="1659" spans="1:17" ht="15" customHeight="1" x14ac:dyDescent="0.25">
      <c r="A1659" s="3" t="s">
        <v>2013</v>
      </c>
      <c r="B1659" s="4" t="s">
        <v>2994</v>
      </c>
      <c r="C1659" t="s">
        <v>1855</v>
      </c>
      <c r="D1659">
        <v>1</v>
      </c>
      <c r="E1659" t="s">
        <v>974</v>
      </c>
      <c r="F1659" t="s">
        <v>975</v>
      </c>
      <c r="G1659" t="s">
        <v>976</v>
      </c>
      <c r="H1659" s="1" t="s">
        <v>976</v>
      </c>
      <c r="I1659" s="1">
        <v>1950</v>
      </c>
      <c r="J1659" s="20">
        <v>3</v>
      </c>
      <c r="K1659" s="1">
        <v>396</v>
      </c>
      <c r="L1659" s="1">
        <v>1188</v>
      </c>
      <c r="M1659" s="43" t="s">
        <v>2988</v>
      </c>
      <c r="O1659" s="2" t="s">
        <v>2482</v>
      </c>
      <c r="P1659" t="s">
        <v>23</v>
      </c>
      <c r="Q1659" t="s">
        <v>964</v>
      </c>
    </row>
    <row r="1660" spans="1:17" ht="15" customHeight="1" x14ac:dyDescent="0.25">
      <c r="A1660" s="42" t="s">
        <v>2013</v>
      </c>
      <c r="B1660" s="3" t="s">
        <v>2994</v>
      </c>
      <c r="C1660" s="42" t="s">
        <v>1855</v>
      </c>
      <c r="D1660">
        <v>3</v>
      </c>
      <c r="E1660" t="s">
        <v>1179</v>
      </c>
      <c r="F1660" t="s">
        <v>1180</v>
      </c>
      <c r="G1660" t="s">
        <v>976</v>
      </c>
      <c r="H1660" s="1" t="s">
        <v>976</v>
      </c>
      <c r="I1660" s="1">
        <v>1950</v>
      </c>
      <c r="J1660" s="20">
        <v>1</v>
      </c>
      <c r="K1660" s="1">
        <v>1950</v>
      </c>
      <c r="L1660" s="1">
        <v>1950</v>
      </c>
      <c r="M1660" s="43" t="s">
        <v>2988</v>
      </c>
      <c r="O1660" s="2" t="s">
        <v>2482</v>
      </c>
      <c r="P1660" t="s">
        <v>23</v>
      </c>
      <c r="Q1660" t="s">
        <v>964</v>
      </c>
    </row>
    <row r="1661" spans="1:17" ht="15" customHeight="1" x14ac:dyDescent="0.25">
      <c r="A1661" s="3" t="s">
        <v>2014</v>
      </c>
      <c r="B1661" s="4" t="s">
        <v>2994</v>
      </c>
      <c r="C1661" t="s">
        <v>1855</v>
      </c>
      <c r="D1661">
        <v>1</v>
      </c>
      <c r="E1661" t="s">
        <v>974</v>
      </c>
      <c r="F1661" t="s">
        <v>975</v>
      </c>
      <c r="G1661" t="s">
        <v>976</v>
      </c>
      <c r="H1661" s="1" t="s">
        <v>976</v>
      </c>
      <c r="I1661" s="1">
        <v>1950</v>
      </c>
      <c r="J1661" s="20">
        <v>2</v>
      </c>
      <c r="K1661" s="1">
        <v>396</v>
      </c>
      <c r="L1661" s="1">
        <v>792</v>
      </c>
      <c r="M1661" s="43" t="s">
        <v>2988</v>
      </c>
      <c r="O1661" s="2" t="s">
        <v>2482</v>
      </c>
      <c r="P1661" t="s">
        <v>22</v>
      </c>
      <c r="Q1661" t="s">
        <v>964</v>
      </c>
    </row>
    <row r="1662" spans="1:17" ht="15" customHeight="1" x14ac:dyDescent="0.25">
      <c r="A1662" s="42" t="s">
        <v>2014</v>
      </c>
      <c r="B1662" s="3" t="s">
        <v>2994</v>
      </c>
      <c r="C1662" s="42" t="s">
        <v>1855</v>
      </c>
      <c r="D1662">
        <v>3</v>
      </c>
      <c r="E1662" t="s">
        <v>1179</v>
      </c>
      <c r="F1662" t="s">
        <v>1180</v>
      </c>
      <c r="G1662" t="s">
        <v>976</v>
      </c>
      <c r="H1662" s="1" t="s">
        <v>976</v>
      </c>
      <c r="I1662" s="1">
        <v>1950</v>
      </c>
      <c r="J1662" s="20">
        <v>1</v>
      </c>
      <c r="K1662" s="1">
        <v>1950</v>
      </c>
      <c r="L1662" s="1">
        <v>1950</v>
      </c>
      <c r="M1662" s="43" t="s">
        <v>2988</v>
      </c>
      <c r="O1662" s="2" t="s">
        <v>2482</v>
      </c>
      <c r="P1662" t="s">
        <v>22</v>
      </c>
      <c r="Q1662" t="s">
        <v>964</v>
      </c>
    </row>
    <row r="1663" spans="1:17" ht="15" customHeight="1" x14ac:dyDescent="0.25">
      <c r="A1663" s="3" t="s">
        <v>2015</v>
      </c>
      <c r="B1663" s="4" t="s">
        <v>2994</v>
      </c>
      <c r="C1663" t="s">
        <v>1855</v>
      </c>
      <c r="D1663">
        <v>1</v>
      </c>
      <c r="E1663" t="s">
        <v>974</v>
      </c>
      <c r="F1663" t="s">
        <v>975</v>
      </c>
      <c r="G1663" t="s">
        <v>976</v>
      </c>
      <c r="H1663" s="1" t="s">
        <v>976</v>
      </c>
      <c r="I1663" s="1">
        <v>1950</v>
      </c>
      <c r="J1663" s="20">
        <v>2</v>
      </c>
      <c r="K1663" s="1">
        <v>396</v>
      </c>
      <c r="L1663" s="1">
        <v>792</v>
      </c>
      <c r="M1663" s="43" t="s">
        <v>2988</v>
      </c>
      <c r="O1663" s="2" t="s">
        <v>2482</v>
      </c>
      <c r="P1663" t="s">
        <v>21</v>
      </c>
      <c r="Q1663" t="s">
        <v>964</v>
      </c>
    </row>
    <row r="1664" spans="1:17" ht="15" customHeight="1" x14ac:dyDescent="0.25">
      <c r="A1664" s="3" t="s">
        <v>2016</v>
      </c>
      <c r="B1664" s="4" t="s">
        <v>2995</v>
      </c>
      <c r="C1664" t="s">
        <v>1855</v>
      </c>
      <c r="D1664">
        <v>1</v>
      </c>
      <c r="E1664" t="s">
        <v>974</v>
      </c>
      <c r="F1664" t="s">
        <v>975</v>
      </c>
      <c r="G1664" t="s">
        <v>180</v>
      </c>
      <c r="H1664" s="1" t="s">
        <v>976</v>
      </c>
      <c r="I1664" s="1">
        <v>790</v>
      </c>
      <c r="J1664" s="20">
        <v>0</v>
      </c>
      <c r="K1664" s="1">
        <v>150</v>
      </c>
      <c r="L1664" s="1">
        <v>0</v>
      </c>
      <c r="M1664" s="43" t="s">
        <v>2988</v>
      </c>
      <c r="O1664" s="2" t="s">
        <v>2467</v>
      </c>
      <c r="P1664" t="s">
        <v>23</v>
      </c>
      <c r="Q1664" t="s">
        <v>965</v>
      </c>
    </row>
    <row r="1665" spans="1:17" ht="15" customHeight="1" x14ac:dyDescent="0.25">
      <c r="A1665" s="3" t="s">
        <v>2197</v>
      </c>
      <c r="B1665" s="4" t="s">
        <v>2996</v>
      </c>
      <c r="C1665" t="s">
        <v>1855</v>
      </c>
      <c r="D1665">
        <v>1</v>
      </c>
      <c r="E1665" t="s">
        <v>974</v>
      </c>
      <c r="F1665" t="s">
        <v>975</v>
      </c>
      <c r="G1665" t="s">
        <v>180</v>
      </c>
      <c r="H1665" s="1" t="s">
        <v>976</v>
      </c>
      <c r="I1665" s="1">
        <v>490</v>
      </c>
      <c r="J1665" s="20">
        <v>2</v>
      </c>
      <c r="K1665" s="1">
        <v>84.73</v>
      </c>
      <c r="L1665" s="1">
        <v>169.46</v>
      </c>
      <c r="M1665" s="43" t="s">
        <v>2988</v>
      </c>
      <c r="O1665" s="2" t="s">
        <v>2447</v>
      </c>
      <c r="Q1665" t="s">
        <v>966</v>
      </c>
    </row>
    <row r="1666" spans="1:17" ht="15" customHeight="1" x14ac:dyDescent="0.25">
      <c r="A1666" s="42" t="s">
        <v>2197</v>
      </c>
      <c r="B1666" s="3" t="s">
        <v>2996</v>
      </c>
      <c r="C1666" s="42" t="s">
        <v>1855</v>
      </c>
      <c r="D1666">
        <v>3</v>
      </c>
      <c r="E1666" t="s">
        <v>1179</v>
      </c>
      <c r="F1666" t="s">
        <v>1180</v>
      </c>
      <c r="G1666" t="s">
        <v>180</v>
      </c>
      <c r="H1666" s="1" t="s">
        <v>976</v>
      </c>
      <c r="I1666" s="1">
        <v>490</v>
      </c>
      <c r="J1666" s="20">
        <v>1</v>
      </c>
      <c r="K1666" s="1">
        <v>490</v>
      </c>
      <c r="L1666" s="1">
        <v>490</v>
      </c>
      <c r="M1666" s="43" t="s">
        <v>2988</v>
      </c>
      <c r="O1666" s="2" t="s">
        <v>2447</v>
      </c>
      <c r="Q1666" t="s">
        <v>966</v>
      </c>
    </row>
    <row r="1667" spans="1:17" ht="15" customHeight="1" x14ac:dyDescent="0.25">
      <c r="A1667" s="3" t="s">
        <v>2198</v>
      </c>
      <c r="B1667" s="4" t="s">
        <v>2996</v>
      </c>
      <c r="C1667" t="s">
        <v>1855</v>
      </c>
      <c r="D1667">
        <v>1</v>
      </c>
      <c r="E1667" t="s">
        <v>974</v>
      </c>
      <c r="F1667" t="s">
        <v>975</v>
      </c>
      <c r="G1667" t="s">
        <v>180</v>
      </c>
      <c r="H1667" s="1" t="s">
        <v>976</v>
      </c>
      <c r="I1667" s="1">
        <v>490</v>
      </c>
      <c r="J1667" s="20">
        <v>2</v>
      </c>
      <c r="K1667" s="1">
        <v>84.73</v>
      </c>
      <c r="L1667" s="1">
        <v>169.46</v>
      </c>
      <c r="M1667" s="43" t="s">
        <v>2988</v>
      </c>
      <c r="O1667" s="2" t="s">
        <v>2447</v>
      </c>
      <c r="Q1667" t="s">
        <v>966</v>
      </c>
    </row>
    <row r="1668" spans="1:17" ht="15" customHeight="1" x14ac:dyDescent="0.25">
      <c r="A1668" s="3" t="s">
        <v>2199</v>
      </c>
      <c r="B1668" s="4" t="s">
        <v>2996</v>
      </c>
      <c r="C1668" t="s">
        <v>1855</v>
      </c>
      <c r="D1668">
        <v>1</v>
      </c>
      <c r="E1668" t="s">
        <v>974</v>
      </c>
      <c r="F1668" t="s">
        <v>975</v>
      </c>
      <c r="G1668" t="s">
        <v>180</v>
      </c>
      <c r="H1668" s="1" t="s">
        <v>976</v>
      </c>
      <c r="I1668" s="1">
        <v>490</v>
      </c>
      <c r="J1668" s="20">
        <v>2</v>
      </c>
      <c r="K1668" s="1">
        <v>84.73</v>
      </c>
      <c r="L1668" s="1">
        <v>169.46</v>
      </c>
      <c r="M1668" s="43" t="s">
        <v>2988</v>
      </c>
      <c r="O1668" s="2" t="s">
        <v>2447</v>
      </c>
      <c r="Q1668" t="s">
        <v>966</v>
      </c>
    </row>
    <row r="1669" spans="1:17" ht="15" customHeight="1" x14ac:dyDescent="0.25">
      <c r="A1669" s="42" t="s">
        <v>2199</v>
      </c>
      <c r="B1669" s="3" t="s">
        <v>2996</v>
      </c>
      <c r="C1669" s="42" t="s">
        <v>1855</v>
      </c>
      <c r="D1669">
        <v>3</v>
      </c>
      <c r="E1669" t="s">
        <v>1179</v>
      </c>
      <c r="F1669" t="s">
        <v>1180</v>
      </c>
      <c r="G1669" t="s">
        <v>180</v>
      </c>
      <c r="H1669" s="1" t="s">
        <v>976</v>
      </c>
      <c r="I1669" s="1">
        <v>490</v>
      </c>
      <c r="J1669" s="20">
        <v>1</v>
      </c>
      <c r="K1669" s="1">
        <v>490</v>
      </c>
      <c r="L1669" s="1">
        <v>490</v>
      </c>
      <c r="M1669" s="43" t="s">
        <v>2988</v>
      </c>
      <c r="O1669" s="2" t="s">
        <v>2447</v>
      </c>
      <c r="Q1669" t="s">
        <v>966</v>
      </c>
    </row>
    <row r="1670" spans="1:17" ht="15" customHeight="1" x14ac:dyDescent="0.25">
      <c r="A1670" s="3" t="s">
        <v>2200</v>
      </c>
      <c r="B1670" s="4" t="s">
        <v>2996</v>
      </c>
      <c r="C1670" t="s">
        <v>1855</v>
      </c>
      <c r="D1670">
        <v>1</v>
      </c>
      <c r="E1670" t="s">
        <v>974</v>
      </c>
      <c r="F1670" t="s">
        <v>975</v>
      </c>
      <c r="G1670" t="s">
        <v>180</v>
      </c>
      <c r="H1670" s="1" t="s">
        <v>976</v>
      </c>
      <c r="I1670" s="1">
        <v>490</v>
      </c>
      <c r="J1670" s="20">
        <v>2</v>
      </c>
      <c r="K1670" s="1">
        <v>84.73</v>
      </c>
      <c r="L1670" s="1">
        <v>169.46</v>
      </c>
      <c r="M1670" s="43" t="s">
        <v>2988</v>
      </c>
      <c r="O1670" s="2" t="s">
        <v>2447</v>
      </c>
      <c r="Q1670" t="s">
        <v>966</v>
      </c>
    </row>
    <row r="1671" spans="1:17" ht="15" customHeight="1" x14ac:dyDescent="0.25">
      <c r="A1671" s="42" t="s">
        <v>2200</v>
      </c>
      <c r="B1671" s="3" t="s">
        <v>2996</v>
      </c>
      <c r="C1671" s="42" t="s">
        <v>1855</v>
      </c>
      <c r="D1671">
        <v>3</v>
      </c>
      <c r="E1671" t="s">
        <v>1179</v>
      </c>
      <c r="F1671" t="s">
        <v>1180</v>
      </c>
      <c r="G1671" t="s">
        <v>180</v>
      </c>
      <c r="H1671" s="1" t="s">
        <v>976</v>
      </c>
      <c r="I1671" s="1">
        <v>490</v>
      </c>
      <c r="J1671" s="20">
        <v>1</v>
      </c>
      <c r="K1671" s="1">
        <v>490</v>
      </c>
      <c r="L1671" s="1">
        <v>490</v>
      </c>
      <c r="M1671" s="43" t="s">
        <v>2988</v>
      </c>
      <c r="O1671" s="2" t="s">
        <v>2447</v>
      </c>
      <c r="Q1671" t="s">
        <v>966</v>
      </c>
    </row>
    <row r="1672" spans="1:17" ht="15" customHeight="1" x14ac:dyDescent="0.25">
      <c r="A1672" s="3" t="s">
        <v>2201</v>
      </c>
      <c r="B1672" s="4" t="s">
        <v>2996</v>
      </c>
      <c r="C1672" t="s">
        <v>1855</v>
      </c>
      <c r="D1672">
        <v>1</v>
      </c>
      <c r="E1672" t="s">
        <v>974</v>
      </c>
      <c r="F1672" t="s">
        <v>975</v>
      </c>
      <c r="G1672" t="s">
        <v>180</v>
      </c>
      <c r="H1672" s="1" t="s">
        <v>976</v>
      </c>
      <c r="I1672" s="1">
        <v>490</v>
      </c>
      <c r="J1672" s="20">
        <v>1</v>
      </c>
      <c r="K1672" s="1">
        <v>84.73</v>
      </c>
      <c r="L1672" s="1">
        <v>84.73</v>
      </c>
      <c r="M1672" s="43" t="s">
        <v>2988</v>
      </c>
      <c r="O1672" s="2" t="s">
        <v>2447</v>
      </c>
      <c r="Q1672" t="s">
        <v>966</v>
      </c>
    </row>
    <row r="1673" spans="1:17" ht="15" customHeight="1" x14ac:dyDescent="0.25">
      <c r="A1673" s="3" t="s">
        <v>2202</v>
      </c>
      <c r="B1673" s="4" t="s">
        <v>538</v>
      </c>
      <c r="C1673" t="s">
        <v>1855</v>
      </c>
      <c r="D1673">
        <v>1</v>
      </c>
      <c r="E1673" t="s">
        <v>974</v>
      </c>
      <c r="F1673" t="s">
        <v>975</v>
      </c>
      <c r="G1673" t="s">
        <v>180</v>
      </c>
      <c r="H1673" s="1" t="s">
        <v>976</v>
      </c>
      <c r="I1673" s="1">
        <v>490</v>
      </c>
      <c r="J1673" s="20">
        <v>0</v>
      </c>
      <c r="K1673" s="1">
        <v>84.73</v>
      </c>
      <c r="L1673" s="1">
        <v>0</v>
      </c>
      <c r="M1673" s="43" t="s">
        <v>2988</v>
      </c>
      <c r="Q1673" t="s">
        <v>538</v>
      </c>
    </row>
    <row r="1674" spans="1:17" ht="15" customHeight="1" x14ac:dyDescent="0.25">
      <c r="A1674" s="42" t="s">
        <v>2202</v>
      </c>
      <c r="B1674" s="3" t="s">
        <v>538</v>
      </c>
      <c r="C1674" s="42" t="s">
        <v>1855</v>
      </c>
      <c r="D1674">
        <v>3</v>
      </c>
      <c r="E1674" t="s">
        <v>1179</v>
      </c>
      <c r="F1674" t="s">
        <v>1180</v>
      </c>
      <c r="G1674" t="s">
        <v>180</v>
      </c>
      <c r="H1674" s="1" t="s">
        <v>976</v>
      </c>
      <c r="I1674" s="1">
        <v>490</v>
      </c>
      <c r="J1674" s="20">
        <v>1</v>
      </c>
      <c r="K1674" s="1">
        <v>490</v>
      </c>
      <c r="L1674" s="1">
        <v>490</v>
      </c>
      <c r="M1674" s="43" t="s">
        <v>2988</v>
      </c>
      <c r="Q1674" t="s">
        <v>538</v>
      </c>
    </row>
    <row r="1675" spans="1:17" ht="15" customHeight="1" x14ac:dyDescent="0.25">
      <c r="A1675" s="3" t="s">
        <v>2203</v>
      </c>
      <c r="B1675" s="4" t="s">
        <v>539</v>
      </c>
      <c r="C1675" t="s">
        <v>1855</v>
      </c>
      <c r="D1675">
        <v>1</v>
      </c>
      <c r="E1675" t="s">
        <v>974</v>
      </c>
      <c r="F1675" t="s">
        <v>975</v>
      </c>
      <c r="G1675" t="s">
        <v>180</v>
      </c>
      <c r="H1675" s="1" t="s">
        <v>976</v>
      </c>
      <c r="I1675" s="1">
        <v>490</v>
      </c>
      <c r="J1675" s="20">
        <v>2</v>
      </c>
      <c r="K1675" s="1">
        <v>84.73</v>
      </c>
      <c r="L1675" s="1">
        <v>169.46</v>
      </c>
      <c r="M1675" s="43" t="s">
        <v>2988</v>
      </c>
      <c r="Q1675" t="s">
        <v>539</v>
      </c>
    </row>
    <row r="1676" spans="1:17" ht="15" customHeight="1" x14ac:dyDescent="0.25">
      <c r="A1676" s="3" t="s">
        <v>2204</v>
      </c>
      <c r="B1676" s="4" t="s">
        <v>540</v>
      </c>
      <c r="C1676" t="s">
        <v>1855</v>
      </c>
      <c r="D1676">
        <v>1</v>
      </c>
      <c r="E1676" t="s">
        <v>974</v>
      </c>
      <c r="F1676" t="s">
        <v>975</v>
      </c>
      <c r="G1676" t="s">
        <v>180</v>
      </c>
      <c r="H1676" s="1" t="s">
        <v>976</v>
      </c>
      <c r="I1676" s="1">
        <v>490</v>
      </c>
      <c r="J1676" s="20">
        <v>1</v>
      </c>
      <c r="K1676" s="1">
        <v>84.73</v>
      </c>
      <c r="L1676" s="1">
        <v>84.73</v>
      </c>
      <c r="M1676" s="43" t="s">
        <v>2988</v>
      </c>
      <c r="Q1676" t="s">
        <v>540</v>
      </c>
    </row>
    <row r="1677" spans="1:17" ht="15" customHeight="1" x14ac:dyDescent="0.25">
      <c r="A1677" s="42" t="s">
        <v>2204</v>
      </c>
      <c r="B1677" s="3" t="s">
        <v>540</v>
      </c>
      <c r="C1677" s="42" t="s">
        <v>1855</v>
      </c>
      <c r="D1677">
        <v>3</v>
      </c>
      <c r="E1677" t="s">
        <v>1179</v>
      </c>
      <c r="F1677" t="s">
        <v>1180</v>
      </c>
      <c r="G1677" t="s">
        <v>180</v>
      </c>
      <c r="H1677" s="1" t="s">
        <v>976</v>
      </c>
      <c r="I1677" s="1">
        <v>490</v>
      </c>
      <c r="J1677" s="20">
        <v>1</v>
      </c>
      <c r="K1677" s="1">
        <v>490</v>
      </c>
      <c r="L1677" s="1">
        <v>490</v>
      </c>
      <c r="M1677" s="43" t="s">
        <v>2988</v>
      </c>
      <c r="Q1677" t="s">
        <v>540</v>
      </c>
    </row>
    <row r="1678" spans="1:17" ht="15" customHeight="1" x14ac:dyDescent="0.25">
      <c r="A1678" s="3" t="s">
        <v>2205</v>
      </c>
      <c r="B1678" s="4" t="s">
        <v>541</v>
      </c>
      <c r="C1678" t="s">
        <v>1855</v>
      </c>
      <c r="D1678">
        <v>1</v>
      </c>
      <c r="E1678" t="s">
        <v>974</v>
      </c>
      <c r="F1678" t="s">
        <v>975</v>
      </c>
      <c r="G1678" t="s">
        <v>180</v>
      </c>
      <c r="H1678" s="1" t="s">
        <v>976</v>
      </c>
      <c r="I1678" s="1">
        <v>490</v>
      </c>
      <c r="J1678" s="20">
        <v>0</v>
      </c>
      <c r="K1678" s="1">
        <v>84.73</v>
      </c>
      <c r="L1678" s="1">
        <v>0</v>
      </c>
      <c r="M1678" s="43" t="s">
        <v>2988</v>
      </c>
      <c r="Q1678" t="s">
        <v>541</v>
      </c>
    </row>
    <row r="1679" spans="1:17" ht="15" customHeight="1" x14ac:dyDescent="0.25">
      <c r="A1679" s="42" t="s">
        <v>2205</v>
      </c>
      <c r="B1679" s="3" t="s">
        <v>541</v>
      </c>
      <c r="C1679" s="42" t="s">
        <v>1855</v>
      </c>
      <c r="D1679">
        <v>3</v>
      </c>
      <c r="E1679" t="s">
        <v>1179</v>
      </c>
      <c r="F1679" t="s">
        <v>1180</v>
      </c>
      <c r="G1679" t="s">
        <v>180</v>
      </c>
      <c r="H1679" s="1" t="s">
        <v>976</v>
      </c>
      <c r="I1679" s="1">
        <v>490</v>
      </c>
      <c r="J1679" s="20">
        <v>1</v>
      </c>
      <c r="K1679" s="1">
        <v>490</v>
      </c>
      <c r="L1679" s="1">
        <v>490</v>
      </c>
      <c r="M1679" s="43" t="s">
        <v>2988</v>
      </c>
      <c r="Q1679" t="s">
        <v>541</v>
      </c>
    </row>
    <row r="1680" spans="1:17" ht="15" customHeight="1" x14ac:dyDescent="0.25">
      <c r="A1680" s="3" t="s">
        <v>2206</v>
      </c>
      <c r="B1680" s="4" t="s">
        <v>542</v>
      </c>
      <c r="C1680" t="s">
        <v>1855</v>
      </c>
      <c r="D1680">
        <v>1</v>
      </c>
      <c r="E1680" t="s">
        <v>974</v>
      </c>
      <c r="F1680" t="s">
        <v>975</v>
      </c>
      <c r="G1680" t="s">
        <v>180</v>
      </c>
      <c r="H1680" s="1" t="s">
        <v>976</v>
      </c>
      <c r="I1680" s="1">
        <v>490</v>
      </c>
      <c r="J1680" s="20">
        <v>1</v>
      </c>
      <c r="K1680" s="1">
        <v>84.73</v>
      </c>
      <c r="L1680" s="1">
        <v>84.73</v>
      </c>
      <c r="M1680" s="43" t="s">
        <v>2988</v>
      </c>
      <c r="Q1680" t="s">
        <v>542</v>
      </c>
    </row>
    <row r="1681" spans="1:17" ht="15" customHeight="1" x14ac:dyDescent="0.25">
      <c r="A1681" s="3" t="s">
        <v>2017</v>
      </c>
      <c r="B1681" s="4" t="s">
        <v>470</v>
      </c>
      <c r="C1681" t="s">
        <v>1855</v>
      </c>
      <c r="D1681">
        <v>1</v>
      </c>
      <c r="E1681" t="s">
        <v>974</v>
      </c>
      <c r="F1681" t="s">
        <v>975</v>
      </c>
      <c r="G1681" t="s">
        <v>180</v>
      </c>
      <c r="H1681" s="1" t="s">
        <v>976</v>
      </c>
      <c r="I1681" s="1">
        <v>940</v>
      </c>
      <c r="J1681" s="20">
        <v>0</v>
      </c>
      <c r="K1681" s="1">
        <v>0</v>
      </c>
      <c r="L1681" s="1">
        <v>0</v>
      </c>
      <c r="M1681" s="43" t="s">
        <v>2988</v>
      </c>
      <c r="Q1681" t="s">
        <v>470</v>
      </c>
    </row>
    <row r="1682" spans="1:17" ht="15" customHeight="1" x14ac:dyDescent="0.25">
      <c r="A1682" s="42" t="s">
        <v>2017</v>
      </c>
      <c r="B1682" s="3" t="s">
        <v>470</v>
      </c>
      <c r="C1682" s="42" t="s">
        <v>1855</v>
      </c>
      <c r="D1682">
        <v>4</v>
      </c>
      <c r="E1682" t="s">
        <v>1018</v>
      </c>
      <c r="F1682" t="s">
        <v>975</v>
      </c>
      <c r="G1682" t="s">
        <v>180</v>
      </c>
      <c r="H1682" s="1" t="s">
        <v>976</v>
      </c>
      <c r="I1682" s="1">
        <v>940</v>
      </c>
      <c r="J1682" s="20">
        <v>0</v>
      </c>
      <c r="K1682" s="1">
        <v>0</v>
      </c>
      <c r="L1682" s="1">
        <v>0</v>
      </c>
      <c r="M1682" s="43" t="s">
        <v>2988</v>
      </c>
      <c r="Q1682" t="s">
        <v>470</v>
      </c>
    </row>
    <row r="1683" spans="1:17" ht="15" customHeight="1" x14ac:dyDescent="0.25">
      <c r="A1683" s="3" t="s">
        <v>2018</v>
      </c>
      <c r="B1683" s="4" t="s">
        <v>1855</v>
      </c>
      <c r="C1683" t="s">
        <v>1855</v>
      </c>
      <c r="D1683">
        <v>1</v>
      </c>
      <c r="E1683" t="s">
        <v>974</v>
      </c>
      <c r="F1683" t="s">
        <v>975</v>
      </c>
      <c r="G1683" t="s">
        <v>180</v>
      </c>
      <c r="H1683" s="1" t="s">
        <v>976</v>
      </c>
      <c r="I1683" s="1">
        <v>1760</v>
      </c>
      <c r="J1683" s="20">
        <v>0</v>
      </c>
      <c r="K1683" s="1">
        <v>1760</v>
      </c>
      <c r="L1683" s="1">
        <v>0</v>
      </c>
      <c r="M1683" s="43" t="s">
        <v>2988</v>
      </c>
      <c r="O1683" s="2" t="s">
        <v>2528</v>
      </c>
      <c r="Q1683" t="s">
        <v>956</v>
      </c>
    </row>
    <row r="1684" spans="1:17" ht="15" customHeight="1" x14ac:dyDescent="0.25">
      <c r="A1684" s="42" t="s">
        <v>2018</v>
      </c>
      <c r="B1684" s="3" t="s">
        <v>1855</v>
      </c>
      <c r="C1684" s="42" t="s">
        <v>1855</v>
      </c>
      <c r="D1684">
        <v>4</v>
      </c>
      <c r="E1684" t="s">
        <v>1018</v>
      </c>
      <c r="F1684" t="s">
        <v>975</v>
      </c>
      <c r="G1684" t="s">
        <v>180</v>
      </c>
      <c r="H1684" s="1" t="s">
        <v>976</v>
      </c>
      <c r="I1684" s="1">
        <v>1760</v>
      </c>
      <c r="J1684" s="20">
        <v>0</v>
      </c>
      <c r="K1684" s="1">
        <v>1760</v>
      </c>
      <c r="L1684" s="1">
        <v>0</v>
      </c>
      <c r="M1684" s="43" t="s">
        <v>2988</v>
      </c>
      <c r="O1684" s="2" t="s">
        <v>2528</v>
      </c>
      <c r="Q1684" t="s">
        <v>956</v>
      </c>
    </row>
    <row r="1685" spans="1:17" ht="15" customHeight="1" x14ac:dyDescent="0.25">
      <c r="A1685" s="3" t="s">
        <v>2019</v>
      </c>
      <c r="B1685" s="4" t="s">
        <v>471</v>
      </c>
      <c r="C1685" t="s">
        <v>1855</v>
      </c>
      <c r="D1685">
        <v>1</v>
      </c>
      <c r="E1685" t="s">
        <v>974</v>
      </c>
      <c r="F1685" t="s">
        <v>975</v>
      </c>
      <c r="G1685" t="s">
        <v>180</v>
      </c>
      <c r="H1685" s="1" t="s">
        <v>976</v>
      </c>
      <c r="I1685" s="1">
        <v>810</v>
      </c>
      <c r="J1685" s="20">
        <v>3</v>
      </c>
      <c r="K1685" s="1">
        <v>145</v>
      </c>
      <c r="L1685" s="1">
        <v>435</v>
      </c>
      <c r="M1685" s="43" t="s">
        <v>2988</v>
      </c>
      <c r="P1685" t="s">
        <v>24</v>
      </c>
      <c r="Q1685" t="s">
        <v>471</v>
      </c>
    </row>
    <row r="1686" spans="1:17" ht="15" customHeight="1" x14ac:dyDescent="0.25">
      <c r="A1686" s="3" t="s">
        <v>2020</v>
      </c>
      <c r="B1686" s="4" t="s">
        <v>472</v>
      </c>
      <c r="C1686" t="s">
        <v>1855</v>
      </c>
      <c r="D1686">
        <v>1</v>
      </c>
      <c r="E1686" t="s">
        <v>974</v>
      </c>
      <c r="F1686" t="s">
        <v>975</v>
      </c>
      <c r="G1686" t="s">
        <v>180</v>
      </c>
      <c r="H1686" s="1" t="s">
        <v>976</v>
      </c>
      <c r="I1686" s="1">
        <v>810</v>
      </c>
      <c r="J1686" s="20">
        <v>7</v>
      </c>
      <c r="K1686" s="1">
        <v>145</v>
      </c>
      <c r="L1686" s="1">
        <v>1015</v>
      </c>
      <c r="M1686" s="43" t="s">
        <v>2988</v>
      </c>
      <c r="P1686" t="s">
        <v>23</v>
      </c>
      <c r="Q1686" t="s">
        <v>472</v>
      </c>
    </row>
    <row r="1687" spans="1:17" ht="15" customHeight="1" x14ac:dyDescent="0.25">
      <c r="A1687" s="3" t="s">
        <v>2021</v>
      </c>
      <c r="B1687" s="4" t="s">
        <v>473</v>
      </c>
      <c r="C1687" t="s">
        <v>1855</v>
      </c>
      <c r="D1687">
        <v>1</v>
      </c>
      <c r="E1687" t="s">
        <v>974</v>
      </c>
      <c r="F1687" t="s">
        <v>975</v>
      </c>
      <c r="G1687" t="s">
        <v>180</v>
      </c>
      <c r="H1687" s="1" t="s">
        <v>976</v>
      </c>
      <c r="I1687" s="1">
        <v>810</v>
      </c>
      <c r="J1687" s="20">
        <v>6</v>
      </c>
      <c r="K1687" s="1">
        <v>145</v>
      </c>
      <c r="L1687" s="1">
        <v>870</v>
      </c>
      <c r="M1687" s="43" t="s">
        <v>2988</v>
      </c>
      <c r="P1687" t="s">
        <v>22</v>
      </c>
      <c r="Q1687" t="s">
        <v>473</v>
      </c>
    </row>
    <row r="1688" spans="1:17" ht="15" customHeight="1" x14ac:dyDescent="0.25">
      <c r="A1688" s="3" t="s">
        <v>2022</v>
      </c>
      <c r="B1688" s="4" t="s">
        <v>2997</v>
      </c>
      <c r="C1688" t="s">
        <v>1855</v>
      </c>
      <c r="D1688">
        <v>1</v>
      </c>
      <c r="E1688" t="s">
        <v>974</v>
      </c>
      <c r="F1688" t="s">
        <v>975</v>
      </c>
      <c r="G1688" t="s">
        <v>180</v>
      </c>
      <c r="H1688" s="1" t="s">
        <v>976</v>
      </c>
      <c r="I1688" s="1">
        <v>810</v>
      </c>
      <c r="J1688" s="20">
        <v>3</v>
      </c>
      <c r="K1688" s="1">
        <v>145</v>
      </c>
      <c r="L1688" s="1">
        <v>435</v>
      </c>
      <c r="M1688" s="43" t="s">
        <v>2988</v>
      </c>
      <c r="O1688" s="2" t="s">
        <v>2528</v>
      </c>
      <c r="P1688" t="s">
        <v>24</v>
      </c>
      <c r="Q1688" t="s">
        <v>967</v>
      </c>
    </row>
    <row r="1689" spans="1:17" ht="15" customHeight="1" x14ac:dyDescent="0.25">
      <c r="A1689" s="3" t="s">
        <v>2023</v>
      </c>
      <c r="B1689" s="4" t="s">
        <v>2997</v>
      </c>
      <c r="C1689" t="s">
        <v>1855</v>
      </c>
      <c r="D1689">
        <v>1</v>
      </c>
      <c r="E1689" t="s">
        <v>974</v>
      </c>
      <c r="F1689" t="s">
        <v>975</v>
      </c>
      <c r="G1689" t="s">
        <v>180</v>
      </c>
      <c r="H1689" s="1" t="s">
        <v>976</v>
      </c>
      <c r="I1689" s="1">
        <v>810</v>
      </c>
      <c r="J1689" s="20">
        <v>8</v>
      </c>
      <c r="K1689" s="1">
        <v>145</v>
      </c>
      <c r="L1689" s="1">
        <v>1160</v>
      </c>
      <c r="M1689" s="43" t="s">
        <v>2988</v>
      </c>
      <c r="O1689" s="2" t="s">
        <v>2528</v>
      </c>
      <c r="P1689" t="s">
        <v>23</v>
      </c>
      <c r="Q1689" t="s">
        <v>967</v>
      </c>
    </row>
    <row r="1690" spans="1:17" ht="15" customHeight="1" x14ac:dyDescent="0.25">
      <c r="A1690" s="3" t="s">
        <v>2024</v>
      </c>
      <c r="B1690" s="4" t="s">
        <v>2997</v>
      </c>
      <c r="C1690" t="s">
        <v>1855</v>
      </c>
      <c r="D1690">
        <v>1</v>
      </c>
      <c r="E1690" t="s">
        <v>974</v>
      </c>
      <c r="F1690" t="s">
        <v>975</v>
      </c>
      <c r="G1690" t="s">
        <v>180</v>
      </c>
      <c r="H1690" s="1" t="s">
        <v>976</v>
      </c>
      <c r="I1690" s="1">
        <v>810</v>
      </c>
      <c r="J1690" s="20">
        <v>7</v>
      </c>
      <c r="K1690" s="1">
        <v>145</v>
      </c>
      <c r="L1690" s="1">
        <v>1015</v>
      </c>
      <c r="M1690" s="43" t="s">
        <v>2988</v>
      </c>
      <c r="O1690" s="2" t="s">
        <v>2528</v>
      </c>
      <c r="P1690" t="s">
        <v>22</v>
      </c>
      <c r="Q1690" t="s">
        <v>967</v>
      </c>
    </row>
    <row r="1691" spans="1:17" ht="15" customHeight="1" x14ac:dyDescent="0.25">
      <c r="A1691" s="3" t="s">
        <v>2244</v>
      </c>
      <c r="B1691" s="4" t="s">
        <v>554</v>
      </c>
      <c r="C1691" t="s">
        <v>1855</v>
      </c>
      <c r="D1691">
        <v>1</v>
      </c>
      <c r="E1691" t="s">
        <v>974</v>
      </c>
      <c r="F1691" t="s">
        <v>975</v>
      </c>
      <c r="G1691" t="s">
        <v>180</v>
      </c>
      <c r="H1691" s="1" t="s">
        <v>976</v>
      </c>
      <c r="I1691" s="1">
        <v>4700</v>
      </c>
      <c r="J1691" s="20">
        <v>0</v>
      </c>
      <c r="K1691" s="1">
        <v>0</v>
      </c>
      <c r="L1691" s="1">
        <v>0</v>
      </c>
      <c r="M1691" s="43" t="s">
        <v>2988</v>
      </c>
      <c r="Q1691" t="s">
        <v>554</v>
      </c>
    </row>
    <row r="1692" spans="1:17" ht="15" customHeight="1" x14ac:dyDescent="0.25">
      <c r="A1692" s="42" t="s">
        <v>2244</v>
      </c>
      <c r="B1692" s="3" t="s">
        <v>554</v>
      </c>
      <c r="C1692" s="42" t="s">
        <v>1855</v>
      </c>
      <c r="D1692">
        <v>4</v>
      </c>
      <c r="E1692" t="s">
        <v>1018</v>
      </c>
      <c r="F1692" t="s">
        <v>975</v>
      </c>
      <c r="G1692" t="s">
        <v>180</v>
      </c>
      <c r="H1692" s="1" t="s">
        <v>976</v>
      </c>
      <c r="I1692" s="1">
        <v>4700</v>
      </c>
      <c r="J1692" s="20">
        <v>0</v>
      </c>
      <c r="K1692" s="1">
        <v>0</v>
      </c>
      <c r="L1692" s="1">
        <v>0</v>
      </c>
      <c r="M1692" s="43" t="s">
        <v>2988</v>
      </c>
      <c r="Q1692" t="s">
        <v>554</v>
      </c>
    </row>
    <row r="1693" spans="1:17" ht="15" customHeight="1" x14ac:dyDescent="0.25">
      <c r="A1693" s="3" t="s">
        <v>2025</v>
      </c>
      <c r="B1693" s="4" t="s">
        <v>2998</v>
      </c>
      <c r="C1693" t="s">
        <v>1855</v>
      </c>
      <c r="D1693">
        <v>1</v>
      </c>
      <c r="E1693" t="s">
        <v>974</v>
      </c>
      <c r="F1693" t="s">
        <v>975</v>
      </c>
      <c r="G1693" t="s">
        <v>180</v>
      </c>
      <c r="H1693" s="1" t="s">
        <v>976</v>
      </c>
      <c r="I1693" s="1">
        <v>0</v>
      </c>
      <c r="J1693" s="20">
        <v>0</v>
      </c>
      <c r="K1693" s="1">
        <v>0</v>
      </c>
      <c r="L1693" s="1">
        <v>0</v>
      </c>
      <c r="M1693" s="43" t="s">
        <v>2988</v>
      </c>
      <c r="O1693" s="2" t="s">
        <v>2472</v>
      </c>
      <c r="P1693" t="s">
        <v>23</v>
      </c>
      <c r="Q1693" t="s">
        <v>968</v>
      </c>
    </row>
    <row r="1694" spans="1:17" ht="15" customHeight="1" x14ac:dyDescent="0.25">
      <c r="A1694" s="3" t="s">
        <v>2026</v>
      </c>
      <c r="B1694" s="4" t="s">
        <v>2998</v>
      </c>
      <c r="C1694" t="s">
        <v>1855</v>
      </c>
      <c r="D1694">
        <v>1</v>
      </c>
      <c r="E1694" t="s">
        <v>974</v>
      </c>
      <c r="F1694" t="s">
        <v>975</v>
      </c>
      <c r="G1694" t="s">
        <v>180</v>
      </c>
      <c r="H1694" s="1" t="s">
        <v>976</v>
      </c>
      <c r="I1694" s="1">
        <v>870</v>
      </c>
      <c r="J1694" s="20">
        <v>1</v>
      </c>
      <c r="K1694" s="1">
        <v>160</v>
      </c>
      <c r="L1694" s="1">
        <v>160</v>
      </c>
      <c r="M1694" s="43" t="s">
        <v>2988</v>
      </c>
      <c r="O1694" s="2" t="s">
        <v>2482</v>
      </c>
      <c r="P1694" t="s">
        <v>23</v>
      </c>
      <c r="Q1694" t="s">
        <v>969</v>
      </c>
    </row>
    <row r="1695" spans="1:17" ht="15" customHeight="1" x14ac:dyDescent="0.25">
      <c r="A1695" s="3" t="s">
        <v>2027</v>
      </c>
      <c r="B1695" s="4" t="s">
        <v>1855</v>
      </c>
      <c r="C1695" t="s">
        <v>1855</v>
      </c>
      <c r="D1695">
        <v>1</v>
      </c>
      <c r="E1695" t="s">
        <v>974</v>
      </c>
      <c r="F1695" t="s">
        <v>975</v>
      </c>
      <c r="G1695" t="s">
        <v>180</v>
      </c>
      <c r="H1695" s="1" t="s">
        <v>976</v>
      </c>
      <c r="I1695" s="1">
        <v>910</v>
      </c>
      <c r="J1695" s="20">
        <v>0</v>
      </c>
      <c r="K1695" s="1">
        <v>0</v>
      </c>
      <c r="L1695" s="1">
        <v>0</v>
      </c>
      <c r="M1695" s="43" t="s">
        <v>2988</v>
      </c>
      <c r="O1695" s="2" t="s">
        <v>2447</v>
      </c>
      <c r="Q1695" t="s">
        <v>958</v>
      </c>
    </row>
    <row r="1696" spans="1:17" ht="15" customHeight="1" x14ac:dyDescent="0.25">
      <c r="A1696" s="3" t="s">
        <v>2028</v>
      </c>
      <c r="B1696" s="4" t="s">
        <v>1855</v>
      </c>
      <c r="C1696" t="s">
        <v>1855</v>
      </c>
      <c r="D1696">
        <v>4</v>
      </c>
      <c r="E1696" t="s">
        <v>1018</v>
      </c>
      <c r="F1696" t="s">
        <v>975</v>
      </c>
      <c r="G1696" t="s">
        <v>180</v>
      </c>
      <c r="H1696" s="1" t="s">
        <v>976</v>
      </c>
      <c r="I1696" s="1">
        <v>1400</v>
      </c>
      <c r="J1696" s="20">
        <v>1</v>
      </c>
      <c r="K1696" s="1">
        <v>200</v>
      </c>
      <c r="L1696" s="1">
        <v>200</v>
      </c>
      <c r="M1696" s="43" t="s">
        <v>2988</v>
      </c>
      <c r="O1696" s="2" t="s">
        <v>2472</v>
      </c>
      <c r="Q1696" t="s">
        <v>970</v>
      </c>
    </row>
    <row r="1697" spans="1:17" ht="15" customHeight="1" x14ac:dyDescent="0.25">
      <c r="A1697" s="3" t="s">
        <v>2029</v>
      </c>
      <c r="B1697" s="4" t="s">
        <v>1855</v>
      </c>
      <c r="C1697" t="s">
        <v>1855</v>
      </c>
      <c r="D1697">
        <v>4</v>
      </c>
      <c r="E1697" t="s">
        <v>1018</v>
      </c>
      <c r="F1697" t="s">
        <v>975</v>
      </c>
      <c r="G1697" t="s">
        <v>180</v>
      </c>
      <c r="H1697" s="1" t="s">
        <v>976</v>
      </c>
      <c r="I1697" s="1">
        <v>1600</v>
      </c>
      <c r="J1697" s="20">
        <v>1</v>
      </c>
      <c r="K1697" s="1">
        <v>256</v>
      </c>
      <c r="L1697" s="1">
        <v>256</v>
      </c>
      <c r="M1697" s="43" t="s">
        <v>2988</v>
      </c>
      <c r="O1697" s="2" t="s">
        <v>2472</v>
      </c>
      <c r="Q1697" t="s">
        <v>970</v>
      </c>
    </row>
  </sheetData>
  <mergeCells count="1">
    <mergeCell ref="C2:C3"/>
  </mergeCells>
  <conditionalFormatting sqref="A6:A32 A1693:A1697 A1685:A1691 A1683 A1680:A1681 A1678 A1675:A1676 A1672:A1673 A1670 A1667:A1668 A1663:A1665 A1661 A1658:A1659 A1654:A1656 A1651:A1652 A1648:A1649 A1645:A1646 A1637:A1643 A1634:A1635 A1632 A1630 A1627:A1628 A1622:A1625 A1620 A1618 A1613:A1616 A1611 A1607:A1609 A1605 A1600:A1603 A1596:A1598 A1594 A1588:A1592 A1586 A1582:A1584 A1580 A1577:A1578 A1575 A1573 A1570 A1567:A1568 A1563:A1565 A1535:A1561 A1506:A1533 A1493:A1504 A1489:A1491 A1481:A1487 A1479 A1474:A1477 A1467:A1471 A1465 A1462:A1463 A1459:A1460 A1457 A1444:A1455 A1435:A1442 A1418:A1433 A1410:A1416 A1398:A1408 A1394:A1396 A1390:A1392 A1388 A1377:A1386 A1375 A1372:A1373 A1357:A1370 A1333:A1355 A1318:A1331 A1315 A1313 A1307:A1311 A1305 A1303 A1300 A1298 A1296 A1293:A1294 A1290 A1287:A1288 A1281:A1285 A1278:A1279 A1276 A1274 A1272 A1270 A1268 A1266 A1264 A1262 A1260 A1258 A1232:A1256 A1225:A1230 A1223 A1219:A1221 A1217 A1214:A1215 A1212 A1210 A1207:A1208 A1201:A1205 A1198:A1199 A1196 A1193:A1194 A1187:A1190 A1172:A1185 A1169:A1170 A1159:A1167 A1157 A1154:A1155 A1125:A1152 A1123 A1121 A1119 A1117 A1108:A1115 A1103:A1106 A1101 A1099 A1095:A1097 A1093 A1090:A1091 A1085:A1088 A1078:A1083 A1062:A1076 A1053:A1060 A1022:A1051 A1011:A1019 A1004:A1009 A981:A1002 A975:A979 A962:A973 A960 A957:A958 A954:A955 A952 A948:A950 A943:A946 A936:A941 A934 A930:A931 A927:A928 A925 A922:A923 A899:A920 A890:A897 A888 A886 A884 A869:A882 A867 A842:A865 A839 A775:A837 A770:A773 A740:A768 A738 A736 A687:A734 A685 A673:A683 A662:A671 A656:A660 A654 A651:A652 A649 A627:A647 A617:A625 A615 A600:A613 A595:A598 A593 A591 A589 A587 A585 A583 A581 A579 A576:A577 A571:A574 A555:A569 A551:A553 A546:A549 A537:A544 A535 A530:A533 A527 A524 A518:A522 A514:A516 A504:A512 A492:A502 A485:A488 A483 A481 A477:A479 A472:A475 A468:A469 A465 A462 A460 A458 A453:A456 A449:A451 A445:A446 A436:A442 A434 A428:A432 A413:A426 A381:A411 A379 A377 A368:A375 A343:A366 A341 A339 A337 A335 A333 A326:A330 A324 A322 A304:A320 A299:A302 A290:A297 A267:A288 A262:A265 A260 A240:A258 A238 A231:A236 A229 A225:A227 A221:A223 A218:A219 A215:A216 A211:A213 A209 A207 A204:A205 A199:A202 A196:A197 A194 A192 A190 A183:A188 A178:A181 A172:A176 A166:A170 A164 A158:A162 A154:A156 A152 A149:A150 A147 A145 A143 A137:A141 A133:A135 A131 A127:A129 A125 A121:A123 A118:A119 A111:A116 A107:A109 A102:A105 A100 A98 A96 A89:A94 A85:A87 A52:A83 A39:A50 A35:A37">
    <cfRule type="duplicateValues" dxfId="0" priority="1"/>
    <cfRule type="uniqueValues" priority="2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65CC0-11AA-412F-B8FA-B09BFB492A12}">
  <sheetPr codeName="Planilha4"/>
  <dimension ref="A2:B1988"/>
  <sheetViews>
    <sheetView zoomScaleNormal="100" workbookViewId="0"/>
  </sheetViews>
  <sheetFormatPr defaultRowHeight="15" customHeight="1" x14ac:dyDescent="0.25"/>
  <cols>
    <col min="1" max="3" width="25.7109375" customWidth="1"/>
  </cols>
  <sheetData>
    <row r="2" spans="1:2" ht="15" customHeight="1" x14ac:dyDescent="0.25">
      <c r="A2" s="41" t="s">
        <v>180</v>
      </c>
      <c r="B2" s="41"/>
    </row>
    <row r="3" spans="1:2" ht="15" customHeight="1" x14ac:dyDescent="0.25">
      <c r="A3" s="41"/>
      <c r="B3" s="41"/>
    </row>
    <row r="5" spans="1:2" ht="15" customHeight="1" x14ac:dyDescent="0.25">
      <c r="A5" s="16" t="s">
        <v>45</v>
      </c>
      <c r="B5" s="16" t="s">
        <v>75</v>
      </c>
    </row>
    <row r="6" spans="1:2" ht="15" customHeight="1" x14ac:dyDescent="0.25">
      <c r="A6" t="s">
        <v>972</v>
      </c>
      <c r="B6" s="32"/>
    </row>
    <row r="7" spans="1:2" ht="15" customHeight="1" x14ac:dyDescent="0.25">
      <c r="A7" t="s">
        <v>2435</v>
      </c>
      <c r="B7" s="32"/>
    </row>
    <row r="8" spans="1:2" ht="15" customHeight="1" x14ac:dyDescent="0.25">
      <c r="A8" t="s">
        <v>2439</v>
      </c>
      <c r="B8" s="32"/>
    </row>
    <row r="9" spans="1:2" ht="15" customHeight="1" x14ac:dyDescent="0.25">
      <c r="A9" t="s">
        <v>981</v>
      </c>
      <c r="B9" s="32"/>
    </row>
    <row r="10" spans="1:2" ht="15" customHeight="1" x14ac:dyDescent="0.25">
      <c r="A10" t="s">
        <v>983</v>
      </c>
      <c r="B10" s="32"/>
    </row>
    <row r="11" spans="1:2" ht="15" customHeight="1" x14ac:dyDescent="0.25">
      <c r="A11" t="s">
        <v>2444</v>
      </c>
      <c r="B11" s="32"/>
    </row>
    <row r="12" spans="1:2" ht="15" customHeight="1" x14ac:dyDescent="0.25">
      <c r="A12" t="s">
        <v>2031</v>
      </c>
      <c r="B12" s="32"/>
    </row>
    <row r="13" spans="1:2" ht="15" customHeight="1" x14ac:dyDescent="0.25">
      <c r="A13" t="s">
        <v>2449</v>
      </c>
      <c r="B13" s="32"/>
    </row>
    <row r="14" spans="1:2" ht="15" customHeight="1" x14ac:dyDescent="0.25">
      <c r="A14" t="s">
        <v>988</v>
      </c>
      <c r="B14" s="32"/>
    </row>
    <row r="15" spans="1:2" ht="15" customHeight="1" x14ac:dyDescent="0.25">
      <c r="A15" t="s">
        <v>991</v>
      </c>
      <c r="B15" s="32"/>
    </row>
    <row r="16" spans="1:2" ht="15" customHeight="1" x14ac:dyDescent="0.25">
      <c r="A16" t="s">
        <v>993</v>
      </c>
      <c r="B16" s="32"/>
    </row>
    <row r="17" spans="1:2" ht="15" customHeight="1" x14ac:dyDescent="0.25">
      <c r="A17" t="s">
        <v>995</v>
      </c>
      <c r="B17" s="32"/>
    </row>
    <row r="18" spans="1:2" ht="15" customHeight="1" x14ac:dyDescent="0.25">
      <c r="A18" t="s">
        <v>2457</v>
      </c>
      <c r="B18" s="32"/>
    </row>
    <row r="19" spans="1:2" ht="15" customHeight="1" x14ac:dyDescent="0.25">
      <c r="A19" t="s">
        <v>2461</v>
      </c>
      <c r="B19" s="32"/>
    </row>
    <row r="20" spans="1:2" ht="15" customHeight="1" x14ac:dyDescent="0.25">
      <c r="A20" t="s">
        <v>2465</v>
      </c>
      <c r="B20" s="32"/>
    </row>
    <row r="21" spans="1:2" ht="15" customHeight="1" x14ac:dyDescent="0.25">
      <c r="A21" t="s">
        <v>2469</v>
      </c>
      <c r="B21" s="32"/>
    </row>
    <row r="22" spans="1:2" ht="15" customHeight="1" x14ac:dyDescent="0.25">
      <c r="A22" t="s">
        <v>1003</v>
      </c>
      <c r="B22" s="32"/>
    </row>
    <row r="23" spans="1:2" ht="15" customHeight="1" x14ac:dyDescent="0.25">
      <c r="A23" t="s">
        <v>2474</v>
      </c>
      <c r="B23" s="32"/>
    </row>
    <row r="24" spans="1:2" ht="15" customHeight="1" x14ac:dyDescent="0.25">
      <c r="A24" t="s">
        <v>2477</v>
      </c>
      <c r="B24" s="32"/>
    </row>
    <row r="25" spans="1:2" ht="15" customHeight="1" x14ac:dyDescent="0.25">
      <c r="A25" t="s">
        <v>2480</v>
      </c>
      <c r="B25" s="32"/>
    </row>
    <row r="26" spans="1:2" ht="15" customHeight="1" x14ac:dyDescent="0.25">
      <c r="A26" t="s">
        <v>2484</v>
      </c>
      <c r="B26" s="32"/>
    </row>
    <row r="27" spans="1:2" ht="15" customHeight="1" x14ac:dyDescent="0.25">
      <c r="A27" t="s">
        <v>2487</v>
      </c>
      <c r="B27" s="32"/>
    </row>
    <row r="28" spans="1:2" ht="15" customHeight="1" x14ac:dyDescent="0.25">
      <c r="A28" t="s">
        <v>2490</v>
      </c>
      <c r="B28" s="32"/>
    </row>
    <row r="29" spans="1:2" ht="15" customHeight="1" x14ac:dyDescent="0.25">
      <c r="A29" t="s">
        <v>2493</v>
      </c>
      <c r="B29" s="32"/>
    </row>
    <row r="30" spans="1:2" ht="15" customHeight="1" x14ac:dyDescent="0.25">
      <c r="A30" t="s">
        <v>2497</v>
      </c>
      <c r="B30" s="32"/>
    </row>
    <row r="31" spans="1:2" ht="15" customHeight="1" x14ac:dyDescent="0.25">
      <c r="A31" t="s">
        <v>1014</v>
      </c>
      <c r="B31" s="32"/>
    </row>
    <row r="32" spans="1:2" ht="15" customHeight="1" x14ac:dyDescent="0.25">
      <c r="A32" t="s">
        <v>2501</v>
      </c>
      <c r="B32" s="32"/>
    </row>
    <row r="33" spans="1:2" ht="15" customHeight="1" x14ac:dyDescent="0.25">
      <c r="A33" t="s">
        <v>2501</v>
      </c>
      <c r="B33" s="32"/>
    </row>
    <row r="34" spans="1:2" ht="15" customHeight="1" x14ac:dyDescent="0.25">
      <c r="A34" t="s">
        <v>2501</v>
      </c>
      <c r="B34" s="32"/>
    </row>
    <row r="35" spans="1:2" ht="15" customHeight="1" x14ac:dyDescent="0.25">
      <c r="A35" t="s">
        <v>604</v>
      </c>
      <c r="B35" s="32"/>
    </row>
    <row r="36" spans="1:2" ht="15" customHeight="1" x14ac:dyDescent="0.25">
      <c r="A36" t="s">
        <v>605</v>
      </c>
      <c r="B36" s="32"/>
    </row>
    <row r="37" spans="1:2" ht="15" customHeight="1" x14ac:dyDescent="0.25">
      <c r="A37" t="s">
        <v>606</v>
      </c>
      <c r="B37" s="32"/>
    </row>
    <row r="38" spans="1:2" ht="15" customHeight="1" x14ac:dyDescent="0.25">
      <c r="A38" t="s">
        <v>606</v>
      </c>
      <c r="B38" s="32"/>
    </row>
    <row r="39" spans="1:2" ht="15" customHeight="1" x14ac:dyDescent="0.25">
      <c r="A39" t="s">
        <v>181</v>
      </c>
      <c r="B39" s="32"/>
    </row>
    <row r="40" spans="1:2" ht="15" customHeight="1" x14ac:dyDescent="0.25">
      <c r="A40" t="s">
        <v>182</v>
      </c>
      <c r="B40" s="32"/>
    </row>
    <row r="41" spans="1:2" ht="15" customHeight="1" x14ac:dyDescent="0.25">
      <c r="A41" t="s">
        <v>607</v>
      </c>
      <c r="B41" s="32"/>
    </row>
    <row r="42" spans="1:2" ht="15" customHeight="1" x14ac:dyDescent="0.25">
      <c r="A42" t="s">
        <v>183</v>
      </c>
      <c r="B42" s="32"/>
    </row>
    <row r="43" spans="1:2" ht="15" customHeight="1" x14ac:dyDescent="0.25">
      <c r="A43" t="s">
        <v>608</v>
      </c>
      <c r="B43" s="32"/>
    </row>
    <row r="44" spans="1:2" ht="15" customHeight="1" x14ac:dyDescent="0.25">
      <c r="A44" t="s">
        <v>609</v>
      </c>
      <c r="B44" s="32"/>
    </row>
    <row r="45" spans="1:2" ht="15" customHeight="1" x14ac:dyDescent="0.25">
      <c r="A45" t="s">
        <v>610</v>
      </c>
      <c r="B45" s="32"/>
    </row>
    <row r="46" spans="1:2" ht="15" customHeight="1" x14ac:dyDescent="0.25">
      <c r="A46" t="s">
        <v>611</v>
      </c>
      <c r="B46" s="32"/>
    </row>
    <row r="47" spans="1:2" ht="15" customHeight="1" x14ac:dyDescent="0.25">
      <c r="A47" t="s">
        <v>184</v>
      </c>
      <c r="B47" s="32"/>
    </row>
    <row r="48" spans="1:2" ht="15" customHeight="1" x14ac:dyDescent="0.25">
      <c r="A48" t="s">
        <v>612</v>
      </c>
      <c r="B48" s="32"/>
    </row>
    <row r="49" spans="1:2" ht="15" customHeight="1" x14ac:dyDescent="0.25">
      <c r="A49" t="s">
        <v>185</v>
      </c>
      <c r="B49" s="32"/>
    </row>
    <row r="50" spans="1:2" ht="15" customHeight="1" x14ac:dyDescent="0.25">
      <c r="A50" t="s">
        <v>186</v>
      </c>
      <c r="B50" s="32"/>
    </row>
    <row r="51" spans="1:2" ht="15" customHeight="1" x14ac:dyDescent="0.25">
      <c r="A51" t="s">
        <v>186</v>
      </c>
      <c r="B51" s="32"/>
    </row>
    <row r="52" spans="1:2" ht="15" customHeight="1" x14ac:dyDescent="0.25">
      <c r="A52" t="s">
        <v>613</v>
      </c>
      <c r="B52" s="32"/>
    </row>
    <row r="53" spans="1:2" ht="15" customHeight="1" x14ac:dyDescent="0.25">
      <c r="A53" t="s">
        <v>614</v>
      </c>
      <c r="B53" s="32"/>
    </row>
    <row r="54" spans="1:2" ht="15" customHeight="1" x14ac:dyDescent="0.25">
      <c r="A54" t="s">
        <v>615</v>
      </c>
      <c r="B54" s="32"/>
    </row>
    <row r="55" spans="1:2" ht="15" customHeight="1" x14ac:dyDescent="0.25">
      <c r="A55" t="s">
        <v>187</v>
      </c>
      <c r="B55" s="32"/>
    </row>
    <row r="56" spans="1:2" ht="15" customHeight="1" x14ac:dyDescent="0.25">
      <c r="A56" t="s">
        <v>616</v>
      </c>
      <c r="B56" s="32"/>
    </row>
    <row r="57" spans="1:2" ht="15" customHeight="1" x14ac:dyDescent="0.25">
      <c r="A57" t="s">
        <v>617</v>
      </c>
      <c r="B57" s="32"/>
    </row>
    <row r="58" spans="1:2" ht="15" customHeight="1" x14ac:dyDescent="0.25">
      <c r="A58" t="s">
        <v>618</v>
      </c>
      <c r="B58" s="32"/>
    </row>
    <row r="59" spans="1:2" ht="15" customHeight="1" x14ac:dyDescent="0.25">
      <c r="A59" t="s">
        <v>544</v>
      </c>
      <c r="B59" s="32"/>
    </row>
    <row r="60" spans="1:2" ht="15" customHeight="1" x14ac:dyDescent="0.25">
      <c r="A60" t="s">
        <v>619</v>
      </c>
      <c r="B60" s="32"/>
    </row>
    <row r="61" spans="1:2" ht="15" customHeight="1" x14ac:dyDescent="0.25">
      <c r="A61" t="s">
        <v>188</v>
      </c>
      <c r="B61" s="32"/>
    </row>
    <row r="62" spans="1:2" ht="15" customHeight="1" x14ac:dyDescent="0.25">
      <c r="A62" t="s">
        <v>620</v>
      </c>
      <c r="B62" s="32"/>
    </row>
    <row r="63" spans="1:2" ht="15" customHeight="1" x14ac:dyDescent="0.25">
      <c r="A63" t="s">
        <v>621</v>
      </c>
      <c r="B63" s="32"/>
    </row>
    <row r="64" spans="1:2" ht="15" customHeight="1" x14ac:dyDescent="0.25">
      <c r="A64" t="s">
        <v>622</v>
      </c>
      <c r="B64" s="32"/>
    </row>
    <row r="65" spans="1:2" ht="15" customHeight="1" x14ac:dyDescent="0.25">
      <c r="A65" t="s">
        <v>623</v>
      </c>
      <c r="B65" s="32"/>
    </row>
    <row r="66" spans="1:2" ht="15" customHeight="1" x14ac:dyDescent="0.25">
      <c r="A66" t="s">
        <v>624</v>
      </c>
      <c r="B66" s="32"/>
    </row>
    <row r="67" spans="1:2" ht="15" customHeight="1" x14ac:dyDescent="0.25">
      <c r="A67" t="s">
        <v>189</v>
      </c>
      <c r="B67" s="32"/>
    </row>
    <row r="68" spans="1:2" ht="15" customHeight="1" x14ac:dyDescent="0.25">
      <c r="A68" t="s">
        <v>625</v>
      </c>
      <c r="B68" s="32"/>
    </row>
    <row r="69" spans="1:2" ht="15" customHeight="1" x14ac:dyDescent="0.25">
      <c r="A69" t="s">
        <v>626</v>
      </c>
      <c r="B69" s="32"/>
    </row>
    <row r="70" spans="1:2" ht="15" customHeight="1" x14ac:dyDescent="0.25">
      <c r="A70" t="s">
        <v>627</v>
      </c>
      <c r="B70" s="32"/>
    </row>
    <row r="71" spans="1:2" ht="15" customHeight="1" x14ac:dyDescent="0.25">
      <c r="A71" t="s">
        <v>628</v>
      </c>
      <c r="B71" s="32"/>
    </row>
    <row r="72" spans="1:2" ht="15" customHeight="1" x14ac:dyDescent="0.25">
      <c r="A72" t="s">
        <v>629</v>
      </c>
      <c r="B72" s="32"/>
    </row>
    <row r="73" spans="1:2" ht="15" customHeight="1" x14ac:dyDescent="0.25">
      <c r="A73" t="s">
        <v>630</v>
      </c>
      <c r="B73" s="32"/>
    </row>
    <row r="74" spans="1:2" ht="15" customHeight="1" x14ac:dyDescent="0.25">
      <c r="A74" t="s">
        <v>474</v>
      </c>
      <c r="B74" s="32"/>
    </row>
    <row r="75" spans="1:2" ht="15" customHeight="1" x14ac:dyDescent="0.25">
      <c r="A75" t="s">
        <v>475</v>
      </c>
      <c r="B75" s="32"/>
    </row>
    <row r="76" spans="1:2" ht="15" customHeight="1" x14ac:dyDescent="0.25">
      <c r="A76" t="s">
        <v>631</v>
      </c>
      <c r="B76" s="32"/>
    </row>
    <row r="77" spans="1:2" ht="15" customHeight="1" x14ac:dyDescent="0.25">
      <c r="A77" t="s">
        <v>631</v>
      </c>
      <c r="B77" s="32"/>
    </row>
    <row r="78" spans="1:2" ht="15" customHeight="1" x14ac:dyDescent="0.25">
      <c r="A78" t="s">
        <v>632</v>
      </c>
      <c r="B78" s="32"/>
    </row>
    <row r="79" spans="1:2" ht="15" customHeight="1" x14ac:dyDescent="0.25">
      <c r="A79" t="s">
        <v>633</v>
      </c>
      <c r="B79" s="32"/>
    </row>
    <row r="80" spans="1:2" ht="15" customHeight="1" x14ac:dyDescent="0.25">
      <c r="A80" t="s">
        <v>632</v>
      </c>
      <c r="B80" s="32"/>
    </row>
    <row r="81" spans="1:2" ht="15" customHeight="1" x14ac:dyDescent="0.25">
      <c r="A81" t="s">
        <v>634</v>
      </c>
      <c r="B81" s="32"/>
    </row>
    <row r="82" spans="1:2" ht="15" customHeight="1" x14ac:dyDescent="0.25">
      <c r="A82" t="s">
        <v>635</v>
      </c>
      <c r="B82" s="32"/>
    </row>
    <row r="83" spans="1:2" ht="15" customHeight="1" x14ac:dyDescent="0.25">
      <c r="A83" t="s">
        <v>636</v>
      </c>
      <c r="B83" s="32"/>
    </row>
    <row r="84" spans="1:2" ht="15" customHeight="1" x14ac:dyDescent="0.25">
      <c r="A84" t="s">
        <v>636</v>
      </c>
      <c r="B84" s="32"/>
    </row>
    <row r="85" spans="1:2" ht="15" customHeight="1" x14ac:dyDescent="0.25">
      <c r="A85" t="s">
        <v>190</v>
      </c>
      <c r="B85" s="32"/>
    </row>
    <row r="86" spans="1:2" ht="15" customHeight="1" x14ac:dyDescent="0.25">
      <c r="A86" t="s">
        <v>476</v>
      </c>
      <c r="B86" s="32"/>
    </row>
    <row r="87" spans="1:2" ht="15" customHeight="1" x14ac:dyDescent="0.25">
      <c r="A87" t="s">
        <v>637</v>
      </c>
      <c r="B87" s="32"/>
    </row>
    <row r="88" spans="1:2" ht="15" customHeight="1" x14ac:dyDescent="0.25">
      <c r="A88" t="s">
        <v>637</v>
      </c>
      <c r="B88" s="32"/>
    </row>
    <row r="89" spans="1:2" ht="15" customHeight="1" x14ac:dyDescent="0.25">
      <c r="A89" t="s">
        <v>545</v>
      </c>
      <c r="B89" s="32"/>
    </row>
    <row r="90" spans="1:2" ht="15" customHeight="1" x14ac:dyDescent="0.25">
      <c r="A90" t="s">
        <v>638</v>
      </c>
      <c r="B90" s="32"/>
    </row>
    <row r="91" spans="1:2" ht="15" customHeight="1" x14ac:dyDescent="0.25">
      <c r="A91" t="s">
        <v>639</v>
      </c>
      <c r="B91" s="32"/>
    </row>
    <row r="92" spans="1:2" ht="15" customHeight="1" x14ac:dyDescent="0.25">
      <c r="A92" t="s">
        <v>639</v>
      </c>
      <c r="B92" s="32"/>
    </row>
    <row r="93" spans="1:2" ht="15" customHeight="1" x14ac:dyDescent="0.25">
      <c r="A93" t="s">
        <v>191</v>
      </c>
      <c r="B93" s="32"/>
    </row>
    <row r="94" spans="1:2" ht="15" customHeight="1" x14ac:dyDescent="0.25">
      <c r="A94" t="s">
        <v>640</v>
      </c>
      <c r="B94" s="32"/>
    </row>
    <row r="95" spans="1:2" ht="15" customHeight="1" x14ac:dyDescent="0.25">
      <c r="A95" t="s">
        <v>640</v>
      </c>
      <c r="B95" s="32"/>
    </row>
    <row r="96" spans="1:2" ht="15" customHeight="1" x14ac:dyDescent="0.25">
      <c r="A96" t="s">
        <v>641</v>
      </c>
      <c r="B96" s="32"/>
    </row>
    <row r="97" spans="1:2" ht="15" customHeight="1" x14ac:dyDescent="0.25">
      <c r="A97" t="s">
        <v>641</v>
      </c>
      <c r="B97" s="32"/>
    </row>
    <row r="98" spans="1:2" ht="15" customHeight="1" x14ac:dyDescent="0.25">
      <c r="A98" t="s">
        <v>642</v>
      </c>
      <c r="B98" s="32"/>
    </row>
    <row r="99" spans="1:2" ht="15" customHeight="1" x14ac:dyDescent="0.25">
      <c r="A99" t="s">
        <v>642</v>
      </c>
      <c r="B99" s="32"/>
    </row>
    <row r="100" spans="1:2" ht="15" customHeight="1" x14ac:dyDescent="0.25">
      <c r="A100" t="s">
        <v>192</v>
      </c>
      <c r="B100" s="32"/>
    </row>
    <row r="101" spans="1:2" ht="15" customHeight="1" x14ac:dyDescent="0.25">
      <c r="A101" t="s">
        <v>192</v>
      </c>
      <c r="B101" s="32"/>
    </row>
    <row r="102" spans="1:2" ht="15" customHeight="1" x14ac:dyDescent="0.25">
      <c r="A102" t="s">
        <v>643</v>
      </c>
      <c r="B102" s="32"/>
    </row>
    <row r="103" spans="1:2" ht="15" customHeight="1" x14ac:dyDescent="0.25">
      <c r="A103" t="s">
        <v>644</v>
      </c>
      <c r="B103" s="32"/>
    </row>
    <row r="104" spans="1:2" ht="15" customHeight="1" x14ac:dyDescent="0.25">
      <c r="A104" t="s">
        <v>477</v>
      </c>
      <c r="B104" s="32"/>
    </row>
    <row r="105" spans="1:2" ht="15" customHeight="1" x14ac:dyDescent="0.25">
      <c r="A105" t="s">
        <v>478</v>
      </c>
      <c r="B105" s="32"/>
    </row>
    <row r="106" spans="1:2" ht="15" customHeight="1" x14ac:dyDescent="0.25">
      <c r="A106" t="s">
        <v>478</v>
      </c>
      <c r="B106" s="32"/>
    </row>
    <row r="107" spans="1:2" ht="15" customHeight="1" x14ac:dyDescent="0.25">
      <c r="A107" t="s">
        <v>479</v>
      </c>
      <c r="B107" s="32"/>
    </row>
    <row r="108" spans="1:2" ht="15" customHeight="1" x14ac:dyDescent="0.25">
      <c r="A108" t="s">
        <v>645</v>
      </c>
      <c r="B108" s="32"/>
    </row>
    <row r="109" spans="1:2" ht="15" customHeight="1" x14ac:dyDescent="0.25">
      <c r="A109" t="s">
        <v>646</v>
      </c>
      <c r="B109" s="32"/>
    </row>
    <row r="110" spans="1:2" ht="15" customHeight="1" x14ac:dyDescent="0.25">
      <c r="A110" t="s">
        <v>646</v>
      </c>
      <c r="B110" s="32"/>
    </row>
    <row r="111" spans="1:2" ht="15" customHeight="1" x14ac:dyDescent="0.25">
      <c r="A111" t="s">
        <v>647</v>
      </c>
      <c r="B111" s="32"/>
    </row>
    <row r="112" spans="1:2" ht="15" customHeight="1" x14ac:dyDescent="0.25">
      <c r="A112" t="s">
        <v>648</v>
      </c>
      <c r="B112" s="32"/>
    </row>
    <row r="113" spans="1:2" ht="15" customHeight="1" x14ac:dyDescent="0.25">
      <c r="A113" t="s">
        <v>648</v>
      </c>
      <c r="B113" s="32"/>
    </row>
    <row r="114" spans="1:2" ht="15" customHeight="1" x14ac:dyDescent="0.25">
      <c r="A114" t="s">
        <v>649</v>
      </c>
      <c r="B114" s="32"/>
    </row>
    <row r="115" spans="1:2" ht="15" customHeight="1" x14ac:dyDescent="0.25">
      <c r="A115" t="s">
        <v>632</v>
      </c>
      <c r="B115" s="32"/>
    </row>
    <row r="116" spans="1:2" ht="15" customHeight="1" x14ac:dyDescent="0.25">
      <c r="A116" t="s">
        <v>632</v>
      </c>
      <c r="B116" s="32"/>
    </row>
    <row r="117" spans="1:2" ht="15" customHeight="1" x14ac:dyDescent="0.25">
      <c r="A117" t="s">
        <v>632</v>
      </c>
      <c r="B117" s="32"/>
    </row>
    <row r="118" spans="1:2" ht="15" customHeight="1" x14ac:dyDescent="0.25">
      <c r="A118" t="s">
        <v>632</v>
      </c>
      <c r="B118" s="32"/>
    </row>
    <row r="119" spans="1:2" ht="15" customHeight="1" x14ac:dyDescent="0.25">
      <c r="A119" t="s">
        <v>650</v>
      </c>
      <c r="B119" s="32"/>
    </row>
    <row r="120" spans="1:2" ht="15" customHeight="1" x14ac:dyDescent="0.25">
      <c r="A120" t="s">
        <v>650</v>
      </c>
      <c r="B120" s="32"/>
    </row>
    <row r="121" spans="1:2" ht="15" customHeight="1" x14ac:dyDescent="0.25">
      <c r="A121" t="s">
        <v>480</v>
      </c>
      <c r="B121" s="32"/>
    </row>
    <row r="122" spans="1:2" ht="15" customHeight="1" x14ac:dyDescent="0.25">
      <c r="A122" t="s">
        <v>193</v>
      </c>
      <c r="B122" s="32"/>
    </row>
    <row r="123" spans="1:2" ht="15" customHeight="1" x14ac:dyDescent="0.25">
      <c r="A123" t="s">
        <v>194</v>
      </c>
      <c r="B123" s="32"/>
    </row>
    <row r="124" spans="1:2" ht="15" customHeight="1" x14ac:dyDescent="0.25">
      <c r="A124" t="s">
        <v>194</v>
      </c>
      <c r="B124" s="32"/>
    </row>
    <row r="125" spans="1:2" ht="15" customHeight="1" x14ac:dyDescent="0.25">
      <c r="A125" t="s">
        <v>651</v>
      </c>
      <c r="B125" s="32"/>
    </row>
    <row r="126" spans="1:2" ht="15" customHeight="1" x14ac:dyDescent="0.25">
      <c r="A126" t="s">
        <v>651</v>
      </c>
      <c r="B126" s="32"/>
    </row>
    <row r="127" spans="1:2" ht="15" customHeight="1" x14ac:dyDescent="0.25">
      <c r="A127" t="s">
        <v>195</v>
      </c>
      <c r="B127" s="32"/>
    </row>
    <row r="128" spans="1:2" ht="15" customHeight="1" x14ac:dyDescent="0.25">
      <c r="A128" t="s">
        <v>652</v>
      </c>
      <c r="B128" s="32"/>
    </row>
    <row r="129" spans="1:2" ht="15" customHeight="1" x14ac:dyDescent="0.25">
      <c r="A129" t="s">
        <v>653</v>
      </c>
      <c r="B129" s="32"/>
    </row>
    <row r="130" spans="1:2" ht="15" customHeight="1" x14ac:dyDescent="0.25">
      <c r="A130" t="s">
        <v>653</v>
      </c>
      <c r="B130" s="32"/>
    </row>
    <row r="131" spans="1:2" ht="15" customHeight="1" x14ac:dyDescent="0.25">
      <c r="A131" t="s">
        <v>654</v>
      </c>
      <c r="B131" s="32"/>
    </row>
    <row r="132" spans="1:2" ht="15" customHeight="1" x14ac:dyDescent="0.25">
      <c r="A132" t="s">
        <v>654</v>
      </c>
      <c r="B132" s="32"/>
    </row>
    <row r="133" spans="1:2" ht="15" customHeight="1" x14ac:dyDescent="0.25">
      <c r="A133" t="s">
        <v>655</v>
      </c>
      <c r="B133" s="32"/>
    </row>
    <row r="134" spans="1:2" ht="15" customHeight="1" x14ac:dyDescent="0.25">
      <c r="A134" t="s">
        <v>656</v>
      </c>
      <c r="B134" s="32"/>
    </row>
    <row r="135" spans="1:2" ht="15" customHeight="1" x14ac:dyDescent="0.25">
      <c r="A135" t="s">
        <v>657</v>
      </c>
      <c r="B135" s="32"/>
    </row>
    <row r="136" spans="1:2" ht="15" customHeight="1" x14ac:dyDescent="0.25">
      <c r="A136" t="s">
        <v>657</v>
      </c>
      <c r="B136" s="32"/>
    </row>
    <row r="137" spans="1:2" ht="15" customHeight="1" x14ac:dyDescent="0.25">
      <c r="A137" t="s">
        <v>196</v>
      </c>
      <c r="B137" s="32"/>
    </row>
    <row r="138" spans="1:2" ht="15" customHeight="1" x14ac:dyDescent="0.25">
      <c r="A138" t="s">
        <v>658</v>
      </c>
      <c r="B138" s="32"/>
    </row>
    <row r="139" spans="1:2" ht="15" customHeight="1" x14ac:dyDescent="0.25">
      <c r="A139" t="s">
        <v>197</v>
      </c>
      <c r="B139" s="32"/>
    </row>
    <row r="140" spans="1:2" ht="15" customHeight="1" x14ac:dyDescent="0.25">
      <c r="A140" t="s">
        <v>659</v>
      </c>
      <c r="B140" s="32"/>
    </row>
    <row r="141" spans="1:2" ht="15" customHeight="1" x14ac:dyDescent="0.25">
      <c r="A141" t="s">
        <v>660</v>
      </c>
      <c r="B141" s="32"/>
    </row>
    <row r="142" spans="1:2" ht="15" customHeight="1" x14ac:dyDescent="0.25">
      <c r="A142" t="s">
        <v>660</v>
      </c>
      <c r="B142" s="32"/>
    </row>
    <row r="143" spans="1:2" ht="15" customHeight="1" x14ac:dyDescent="0.25">
      <c r="A143" t="s">
        <v>661</v>
      </c>
      <c r="B143" s="32"/>
    </row>
    <row r="144" spans="1:2" ht="15" customHeight="1" x14ac:dyDescent="0.25">
      <c r="A144" t="s">
        <v>661</v>
      </c>
      <c r="B144" s="32"/>
    </row>
    <row r="145" spans="1:2" ht="15" customHeight="1" x14ac:dyDescent="0.25">
      <c r="A145" t="s">
        <v>555</v>
      </c>
      <c r="B145" s="32"/>
    </row>
    <row r="146" spans="1:2" ht="15" customHeight="1" x14ac:dyDescent="0.25">
      <c r="A146" t="s">
        <v>555</v>
      </c>
      <c r="B146" s="32"/>
    </row>
    <row r="147" spans="1:2" ht="15" customHeight="1" x14ac:dyDescent="0.25">
      <c r="A147" t="s">
        <v>198</v>
      </c>
      <c r="B147" s="32"/>
    </row>
    <row r="148" spans="1:2" ht="15" customHeight="1" x14ac:dyDescent="0.25">
      <c r="A148" t="s">
        <v>198</v>
      </c>
      <c r="B148" s="32"/>
    </row>
    <row r="149" spans="1:2" ht="15" customHeight="1" x14ac:dyDescent="0.25">
      <c r="A149" t="s">
        <v>662</v>
      </c>
      <c r="B149" s="32"/>
    </row>
    <row r="150" spans="1:2" ht="15" customHeight="1" x14ac:dyDescent="0.25">
      <c r="A150" t="s">
        <v>663</v>
      </c>
      <c r="B150" s="32"/>
    </row>
    <row r="151" spans="1:2" ht="15" customHeight="1" x14ac:dyDescent="0.25">
      <c r="A151" t="s">
        <v>663</v>
      </c>
      <c r="B151" s="32"/>
    </row>
    <row r="152" spans="1:2" ht="15" customHeight="1" x14ac:dyDescent="0.25">
      <c r="A152" t="s">
        <v>199</v>
      </c>
      <c r="B152" s="32"/>
    </row>
    <row r="153" spans="1:2" ht="15" customHeight="1" x14ac:dyDescent="0.25">
      <c r="A153" t="s">
        <v>199</v>
      </c>
      <c r="B153" s="32"/>
    </row>
    <row r="154" spans="1:2" ht="15" customHeight="1" x14ac:dyDescent="0.25">
      <c r="A154" t="s">
        <v>664</v>
      </c>
      <c r="B154" s="32"/>
    </row>
    <row r="155" spans="1:2" ht="15" customHeight="1" x14ac:dyDescent="0.25">
      <c r="B155" s="32"/>
    </row>
    <row r="156" spans="1:2" ht="15" customHeight="1" x14ac:dyDescent="0.25">
      <c r="A156" t="s">
        <v>200</v>
      </c>
      <c r="B156" s="32"/>
    </row>
    <row r="157" spans="1:2" ht="15" customHeight="1" x14ac:dyDescent="0.25">
      <c r="A157" t="s">
        <v>200</v>
      </c>
      <c r="B157" s="32"/>
    </row>
    <row r="158" spans="1:2" ht="15" customHeight="1" x14ac:dyDescent="0.25">
      <c r="A158" t="s">
        <v>481</v>
      </c>
      <c r="B158" s="32"/>
    </row>
    <row r="159" spans="1:2" ht="15" customHeight="1" x14ac:dyDescent="0.25">
      <c r="A159" t="s">
        <v>665</v>
      </c>
      <c r="B159" s="32"/>
    </row>
    <row r="160" spans="1:2" ht="15" customHeight="1" x14ac:dyDescent="0.25">
      <c r="A160" t="s">
        <v>666</v>
      </c>
      <c r="B160" s="32"/>
    </row>
    <row r="161" spans="1:2" ht="15" customHeight="1" x14ac:dyDescent="0.25">
      <c r="A161" t="s">
        <v>667</v>
      </c>
      <c r="B161" s="32"/>
    </row>
    <row r="162" spans="1:2" ht="15" customHeight="1" x14ac:dyDescent="0.25">
      <c r="A162" t="s">
        <v>668</v>
      </c>
      <c r="B162" s="32"/>
    </row>
    <row r="163" spans="1:2" ht="15" customHeight="1" x14ac:dyDescent="0.25">
      <c r="A163" t="s">
        <v>668</v>
      </c>
      <c r="B163" s="32"/>
    </row>
    <row r="164" spans="1:2" ht="15" customHeight="1" x14ac:dyDescent="0.25">
      <c r="A164" t="s">
        <v>669</v>
      </c>
      <c r="B164" s="32"/>
    </row>
    <row r="165" spans="1:2" ht="15" customHeight="1" x14ac:dyDescent="0.25">
      <c r="A165" t="s">
        <v>669</v>
      </c>
      <c r="B165" s="32"/>
    </row>
    <row r="166" spans="1:2" ht="15" customHeight="1" x14ac:dyDescent="0.25">
      <c r="A166" t="s">
        <v>670</v>
      </c>
      <c r="B166" s="32"/>
    </row>
    <row r="167" spans="1:2" ht="15" customHeight="1" x14ac:dyDescent="0.25">
      <c r="A167" t="s">
        <v>671</v>
      </c>
      <c r="B167" s="32"/>
    </row>
    <row r="168" spans="1:2" ht="15" customHeight="1" x14ac:dyDescent="0.25">
      <c r="A168" t="s">
        <v>201</v>
      </c>
      <c r="B168" s="32"/>
    </row>
    <row r="169" spans="1:2" ht="15" customHeight="1" x14ac:dyDescent="0.25">
      <c r="A169" t="s">
        <v>202</v>
      </c>
      <c r="B169" s="32"/>
    </row>
    <row r="170" spans="1:2" ht="15" customHeight="1" x14ac:dyDescent="0.25">
      <c r="A170" t="s">
        <v>556</v>
      </c>
      <c r="B170" s="32"/>
    </row>
    <row r="171" spans="1:2" ht="15" customHeight="1" x14ac:dyDescent="0.25">
      <c r="A171" t="s">
        <v>556</v>
      </c>
      <c r="B171" s="32"/>
    </row>
    <row r="172" spans="1:2" ht="15" customHeight="1" x14ac:dyDescent="0.25">
      <c r="A172" t="s">
        <v>672</v>
      </c>
      <c r="B172" s="32"/>
    </row>
    <row r="173" spans="1:2" ht="15" customHeight="1" x14ac:dyDescent="0.25">
      <c r="A173" t="s">
        <v>673</v>
      </c>
      <c r="B173" s="32"/>
    </row>
    <row r="174" spans="1:2" ht="15" customHeight="1" x14ac:dyDescent="0.25">
      <c r="A174" t="s">
        <v>674</v>
      </c>
      <c r="B174" s="32"/>
    </row>
    <row r="175" spans="1:2" ht="15" customHeight="1" x14ac:dyDescent="0.25">
      <c r="A175" t="s">
        <v>675</v>
      </c>
      <c r="B175" s="32"/>
    </row>
    <row r="176" spans="1:2" ht="15" customHeight="1" x14ac:dyDescent="0.25">
      <c r="A176" t="s">
        <v>676</v>
      </c>
      <c r="B176" s="32"/>
    </row>
    <row r="177" spans="1:2" ht="15" customHeight="1" x14ac:dyDescent="0.25">
      <c r="A177" t="s">
        <v>676</v>
      </c>
      <c r="B177" s="32"/>
    </row>
    <row r="178" spans="1:2" ht="15" customHeight="1" x14ac:dyDescent="0.25">
      <c r="A178" t="s">
        <v>677</v>
      </c>
      <c r="B178" s="32"/>
    </row>
    <row r="179" spans="1:2" ht="15" customHeight="1" x14ac:dyDescent="0.25">
      <c r="A179" t="s">
        <v>678</v>
      </c>
      <c r="B179" s="32"/>
    </row>
    <row r="180" spans="1:2" ht="15" customHeight="1" x14ac:dyDescent="0.25">
      <c r="A180" t="s">
        <v>482</v>
      </c>
      <c r="B180" s="32"/>
    </row>
    <row r="181" spans="1:2" ht="15" customHeight="1" x14ac:dyDescent="0.25">
      <c r="A181" t="s">
        <v>679</v>
      </c>
      <c r="B181" s="32"/>
    </row>
    <row r="182" spans="1:2" ht="15" customHeight="1" x14ac:dyDescent="0.25">
      <c r="A182" t="s">
        <v>679</v>
      </c>
      <c r="B182" s="32"/>
    </row>
    <row r="183" spans="1:2" ht="15" customHeight="1" x14ac:dyDescent="0.25">
      <c r="A183" t="s">
        <v>680</v>
      </c>
      <c r="B183" s="32"/>
    </row>
    <row r="184" spans="1:2" ht="15" customHeight="1" x14ac:dyDescent="0.25">
      <c r="A184" t="s">
        <v>680</v>
      </c>
      <c r="B184" s="32"/>
    </row>
    <row r="185" spans="1:2" ht="15" customHeight="1" x14ac:dyDescent="0.25">
      <c r="A185" t="s">
        <v>681</v>
      </c>
      <c r="B185" s="32"/>
    </row>
    <row r="186" spans="1:2" ht="15" customHeight="1" x14ac:dyDescent="0.25">
      <c r="A186" t="s">
        <v>680</v>
      </c>
      <c r="B186" s="32"/>
    </row>
    <row r="187" spans="1:2" ht="15" customHeight="1" x14ac:dyDescent="0.25">
      <c r="A187" t="s">
        <v>682</v>
      </c>
      <c r="B187" s="32"/>
    </row>
    <row r="188" spans="1:2" ht="15" customHeight="1" x14ac:dyDescent="0.25">
      <c r="A188" t="s">
        <v>203</v>
      </c>
      <c r="B188" s="32"/>
    </row>
    <row r="189" spans="1:2" ht="15" customHeight="1" x14ac:dyDescent="0.25">
      <c r="A189" t="s">
        <v>203</v>
      </c>
      <c r="B189" s="32">
        <f t="shared" ref="B189:B198" ca="1" si="0">TODAY()-150</f>
        <v>44450</v>
      </c>
    </row>
    <row r="190" spans="1:2" ht="15" customHeight="1" x14ac:dyDescent="0.25">
      <c r="A190" t="s">
        <v>204</v>
      </c>
      <c r="B190" s="32">
        <f t="shared" ca="1" si="0"/>
        <v>44450</v>
      </c>
    </row>
    <row r="191" spans="1:2" ht="15" customHeight="1" x14ac:dyDescent="0.25">
      <c r="A191" t="s">
        <v>204</v>
      </c>
      <c r="B191" s="32">
        <f t="shared" ca="1" si="0"/>
        <v>44450</v>
      </c>
    </row>
    <row r="192" spans="1:2" ht="15" customHeight="1" x14ac:dyDescent="0.25">
      <c r="A192" t="s">
        <v>546</v>
      </c>
      <c r="B192" s="32">
        <f t="shared" ca="1" si="0"/>
        <v>44450</v>
      </c>
    </row>
    <row r="193" spans="1:2" ht="15" customHeight="1" x14ac:dyDescent="0.25">
      <c r="A193" t="s">
        <v>546</v>
      </c>
      <c r="B193" s="32">
        <f t="shared" ca="1" si="0"/>
        <v>44450</v>
      </c>
    </row>
    <row r="194" spans="1:2" ht="15" customHeight="1" x14ac:dyDescent="0.25">
      <c r="A194" t="s">
        <v>205</v>
      </c>
      <c r="B194" s="32">
        <f t="shared" ca="1" si="0"/>
        <v>44450</v>
      </c>
    </row>
    <row r="195" spans="1:2" ht="15" customHeight="1" x14ac:dyDescent="0.25">
      <c r="A195" t="s">
        <v>205</v>
      </c>
      <c r="B195" s="32">
        <f t="shared" ca="1" si="0"/>
        <v>44450</v>
      </c>
    </row>
    <row r="196" spans="1:2" ht="15" customHeight="1" x14ac:dyDescent="0.25">
      <c r="A196" t="s">
        <v>683</v>
      </c>
      <c r="B196" s="32">
        <f t="shared" ca="1" si="0"/>
        <v>44450</v>
      </c>
    </row>
    <row r="197" spans="1:2" ht="15" customHeight="1" x14ac:dyDescent="0.25">
      <c r="A197" t="s">
        <v>206</v>
      </c>
      <c r="B197" s="32">
        <f t="shared" ca="1" si="0"/>
        <v>44450</v>
      </c>
    </row>
    <row r="198" spans="1:2" ht="15" customHeight="1" x14ac:dyDescent="0.25">
      <c r="A198" t="s">
        <v>206</v>
      </c>
      <c r="B198" s="32">
        <f t="shared" ca="1" si="0"/>
        <v>44450</v>
      </c>
    </row>
    <row r="199" spans="1:2" ht="15" customHeight="1" x14ac:dyDescent="0.25">
      <c r="A199" t="s">
        <v>684</v>
      </c>
      <c r="B199" s="32">
        <f t="shared" ref="B199:B262" ca="1" si="1">TODAY()-150</f>
        <v>44450</v>
      </c>
    </row>
    <row r="200" spans="1:2" ht="15" customHeight="1" x14ac:dyDescent="0.25">
      <c r="A200" t="s">
        <v>207</v>
      </c>
      <c r="B200" s="32">
        <f t="shared" ca="1" si="1"/>
        <v>44450</v>
      </c>
    </row>
    <row r="201" spans="1:2" ht="15" customHeight="1" x14ac:dyDescent="0.25">
      <c r="A201" t="s">
        <v>685</v>
      </c>
      <c r="B201" s="32">
        <f t="shared" ca="1" si="1"/>
        <v>44450</v>
      </c>
    </row>
    <row r="202" spans="1:2" ht="15" customHeight="1" x14ac:dyDescent="0.25">
      <c r="A202" t="s">
        <v>686</v>
      </c>
      <c r="B202" s="32">
        <f t="shared" ca="1" si="1"/>
        <v>44450</v>
      </c>
    </row>
    <row r="203" spans="1:2" ht="15" customHeight="1" x14ac:dyDescent="0.25">
      <c r="A203" t="s">
        <v>686</v>
      </c>
      <c r="B203" s="32">
        <f t="shared" ca="1" si="1"/>
        <v>44450</v>
      </c>
    </row>
    <row r="204" spans="1:2" ht="15" customHeight="1" x14ac:dyDescent="0.25">
      <c r="A204" t="s">
        <v>687</v>
      </c>
      <c r="B204" s="32">
        <f t="shared" ca="1" si="1"/>
        <v>44450</v>
      </c>
    </row>
    <row r="205" spans="1:2" ht="15" customHeight="1" x14ac:dyDescent="0.25">
      <c r="A205" t="s">
        <v>483</v>
      </c>
      <c r="B205" s="32">
        <f t="shared" ca="1" si="1"/>
        <v>44450</v>
      </c>
    </row>
    <row r="206" spans="1:2" ht="15" customHeight="1" x14ac:dyDescent="0.25">
      <c r="A206" t="s">
        <v>483</v>
      </c>
      <c r="B206" s="32">
        <f t="shared" ca="1" si="1"/>
        <v>44450</v>
      </c>
    </row>
    <row r="207" spans="1:2" ht="15" customHeight="1" x14ac:dyDescent="0.25">
      <c r="A207" t="s">
        <v>688</v>
      </c>
      <c r="B207" s="32">
        <f t="shared" ca="1" si="1"/>
        <v>44450</v>
      </c>
    </row>
    <row r="208" spans="1:2" ht="15" customHeight="1" x14ac:dyDescent="0.25">
      <c r="A208" t="s">
        <v>688</v>
      </c>
      <c r="B208" s="32">
        <f t="shared" ca="1" si="1"/>
        <v>44450</v>
      </c>
    </row>
    <row r="209" spans="1:2" ht="15" customHeight="1" x14ac:dyDescent="0.25">
      <c r="A209" t="s">
        <v>689</v>
      </c>
      <c r="B209" s="32">
        <f t="shared" ca="1" si="1"/>
        <v>44450</v>
      </c>
    </row>
    <row r="210" spans="1:2" ht="15" customHeight="1" x14ac:dyDescent="0.25">
      <c r="A210" t="s">
        <v>689</v>
      </c>
      <c r="B210" s="32">
        <f t="shared" ca="1" si="1"/>
        <v>44450</v>
      </c>
    </row>
    <row r="211" spans="1:2" ht="15" customHeight="1" x14ac:dyDescent="0.25">
      <c r="A211" t="s">
        <v>680</v>
      </c>
      <c r="B211" s="32">
        <f t="shared" ca="1" si="1"/>
        <v>44450</v>
      </c>
    </row>
    <row r="212" spans="1:2" ht="15" customHeight="1" x14ac:dyDescent="0.25">
      <c r="B212" s="32">
        <f t="shared" ca="1" si="1"/>
        <v>44450</v>
      </c>
    </row>
    <row r="213" spans="1:2" ht="15" customHeight="1" x14ac:dyDescent="0.25">
      <c r="A213" t="s">
        <v>690</v>
      </c>
      <c r="B213" s="32">
        <f t="shared" ca="1" si="1"/>
        <v>44450</v>
      </c>
    </row>
    <row r="214" spans="1:2" ht="15" customHeight="1" x14ac:dyDescent="0.25">
      <c r="A214" t="s">
        <v>690</v>
      </c>
      <c r="B214" s="32">
        <f t="shared" ca="1" si="1"/>
        <v>44450</v>
      </c>
    </row>
    <row r="215" spans="1:2" ht="15" customHeight="1" x14ac:dyDescent="0.25">
      <c r="A215" t="s">
        <v>691</v>
      </c>
      <c r="B215" s="32">
        <f t="shared" ca="1" si="1"/>
        <v>44450</v>
      </c>
    </row>
    <row r="216" spans="1:2" ht="15" customHeight="1" x14ac:dyDescent="0.25">
      <c r="A216" t="s">
        <v>692</v>
      </c>
      <c r="B216" s="32">
        <f t="shared" ca="1" si="1"/>
        <v>44450</v>
      </c>
    </row>
    <row r="217" spans="1:2" ht="15" customHeight="1" x14ac:dyDescent="0.25">
      <c r="A217" t="s">
        <v>692</v>
      </c>
      <c r="B217" s="32">
        <f t="shared" ca="1" si="1"/>
        <v>44450</v>
      </c>
    </row>
    <row r="218" spans="1:2" ht="15" customHeight="1" x14ac:dyDescent="0.25">
      <c r="A218" t="s">
        <v>208</v>
      </c>
      <c r="B218" s="32">
        <f t="shared" ca="1" si="1"/>
        <v>44450</v>
      </c>
    </row>
    <row r="219" spans="1:2" ht="15" customHeight="1" x14ac:dyDescent="0.25">
      <c r="A219" t="s">
        <v>693</v>
      </c>
      <c r="B219" s="32">
        <f t="shared" ca="1" si="1"/>
        <v>44450</v>
      </c>
    </row>
    <row r="220" spans="1:2" ht="15" customHeight="1" x14ac:dyDescent="0.25">
      <c r="A220" t="s">
        <v>693</v>
      </c>
      <c r="B220" s="32">
        <f t="shared" ca="1" si="1"/>
        <v>44450</v>
      </c>
    </row>
    <row r="221" spans="1:2" ht="15" customHeight="1" x14ac:dyDescent="0.25">
      <c r="B221" s="32">
        <f t="shared" ca="1" si="1"/>
        <v>44450</v>
      </c>
    </row>
    <row r="222" spans="1:2" ht="15" customHeight="1" x14ac:dyDescent="0.25">
      <c r="A222" t="s">
        <v>680</v>
      </c>
      <c r="B222" s="32">
        <f t="shared" ca="1" si="1"/>
        <v>44450</v>
      </c>
    </row>
    <row r="223" spans="1:2" ht="15" customHeight="1" x14ac:dyDescent="0.25">
      <c r="A223" t="s">
        <v>694</v>
      </c>
      <c r="B223" s="32">
        <f t="shared" ca="1" si="1"/>
        <v>44450</v>
      </c>
    </row>
    <row r="224" spans="1:2" ht="15" customHeight="1" x14ac:dyDescent="0.25">
      <c r="A224" t="s">
        <v>694</v>
      </c>
      <c r="B224" s="32">
        <f t="shared" ca="1" si="1"/>
        <v>44450</v>
      </c>
    </row>
    <row r="225" spans="1:2" ht="15" customHeight="1" x14ac:dyDescent="0.25">
      <c r="A225" t="s">
        <v>695</v>
      </c>
      <c r="B225" s="32">
        <f t="shared" ca="1" si="1"/>
        <v>44450</v>
      </c>
    </row>
    <row r="226" spans="1:2" ht="15" customHeight="1" x14ac:dyDescent="0.25">
      <c r="A226" t="s">
        <v>696</v>
      </c>
      <c r="B226" s="32">
        <f t="shared" ca="1" si="1"/>
        <v>44450</v>
      </c>
    </row>
    <row r="227" spans="1:2" ht="15" customHeight="1" x14ac:dyDescent="0.25">
      <c r="A227" t="s">
        <v>697</v>
      </c>
      <c r="B227" s="32">
        <f t="shared" ca="1" si="1"/>
        <v>44450</v>
      </c>
    </row>
    <row r="228" spans="1:2" ht="15" customHeight="1" x14ac:dyDescent="0.25">
      <c r="A228" t="s">
        <v>697</v>
      </c>
      <c r="B228" s="32">
        <f t="shared" ca="1" si="1"/>
        <v>44450</v>
      </c>
    </row>
    <row r="229" spans="1:2" ht="15" customHeight="1" x14ac:dyDescent="0.25">
      <c r="A229" t="s">
        <v>484</v>
      </c>
      <c r="B229" s="32">
        <f t="shared" ca="1" si="1"/>
        <v>44450</v>
      </c>
    </row>
    <row r="230" spans="1:2" ht="15" customHeight="1" x14ac:dyDescent="0.25">
      <c r="A230" t="s">
        <v>484</v>
      </c>
      <c r="B230" s="32">
        <f t="shared" ca="1" si="1"/>
        <v>44450</v>
      </c>
    </row>
    <row r="231" spans="1:2" ht="15" customHeight="1" x14ac:dyDescent="0.25">
      <c r="A231" t="s">
        <v>698</v>
      </c>
      <c r="B231" s="32">
        <f t="shared" ca="1" si="1"/>
        <v>44450</v>
      </c>
    </row>
    <row r="232" spans="1:2" ht="15" customHeight="1" x14ac:dyDescent="0.25">
      <c r="A232" t="s">
        <v>209</v>
      </c>
      <c r="B232" s="32">
        <f t="shared" ca="1" si="1"/>
        <v>44450</v>
      </c>
    </row>
    <row r="233" spans="1:2" ht="15" customHeight="1" x14ac:dyDescent="0.25">
      <c r="A233" t="s">
        <v>699</v>
      </c>
      <c r="B233" s="32">
        <f t="shared" ca="1" si="1"/>
        <v>44450</v>
      </c>
    </row>
    <row r="234" spans="1:2" ht="15" customHeight="1" x14ac:dyDescent="0.25">
      <c r="A234" t="s">
        <v>700</v>
      </c>
      <c r="B234" s="32">
        <f t="shared" ca="1" si="1"/>
        <v>44450</v>
      </c>
    </row>
    <row r="235" spans="1:2" ht="15" customHeight="1" x14ac:dyDescent="0.25">
      <c r="A235" t="s">
        <v>701</v>
      </c>
      <c r="B235" s="32">
        <f t="shared" ca="1" si="1"/>
        <v>44450</v>
      </c>
    </row>
    <row r="236" spans="1:2" ht="15" customHeight="1" x14ac:dyDescent="0.25">
      <c r="A236" t="s">
        <v>702</v>
      </c>
      <c r="B236" s="32">
        <f t="shared" ca="1" si="1"/>
        <v>44450</v>
      </c>
    </row>
    <row r="237" spans="1:2" ht="15" customHeight="1" x14ac:dyDescent="0.25">
      <c r="A237" t="s">
        <v>702</v>
      </c>
      <c r="B237" s="32">
        <f t="shared" ca="1" si="1"/>
        <v>44450</v>
      </c>
    </row>
    <row r="238" spans="1:2" ht="15" customHeight="1" x14ac:dyDescent="0.25">
      <c r="A238" t="s">
        <v>703</v>
      </c>
      <c r="B238" s="32">
        <f t="shared" ca="1" si="1"/>
        <v>44450</v>
      </c>
    </row>
    <row r="239" spans="1:2" ht="15" customHeight="1" x14ac:dyDescent="0.25">
      <c r="A239" t="s">
        <v>703</v>
      </c>
      <c r="B239" s="32">
        <f t="shared" ca="1" si="1"/>
        <v>44450</v>
      </c>
    </row>
    <row r="240" spans="1:2" ht="15" customHeight="1" x14ac:dyDescent="0.25">
      <c r="A240" t="s">
        <v>543</v>
      </c>
      <c r="B240" s="32">
        <f t="shared" ca="1" si="1"/>
        <v>44450</v>
      </c>
    </row>
    <row r="241" spans="1:2" ht="15" customHeight="1" x14ac:dyDescent="0.25">
      <c r="A241" t="s">
        <v>210</v>
      </c>
      <c r="B241" s="32">
        <f t="shared" ca="1" si="1"/>
        <v>44450</v>
      </c>
    </row>
    <row r="242" spans="1:2" ht="15" customHeight="1" x14ac:dyDescent="0.25">
      <c r="A242" t="s">
        <v>704</v>
      </c>
      <c r="B242" s="32">
        <f t="shared" ca="1" si="1"/>
        <v>44450</v>
      </c>
    </row>
    <row r="243" spans="1:2" ht="15" customHeight="1" x14ac:dyDescent="0.25">
      <c r="B243" s="32">
        <f t="shared" ca="1" si="1"/>
        <v>44450</v>
      </c>
    </row>
    <row r="244" spans="1:2" ht="15" customHeight="1" x14ac:dyDescent="0.25">
      <c r="B244" s="32">
        <f t="shared" ca="1" si="1"/>
        <v>44450</v>
      </c>
    </row>
    <row r="245" spans="1:2" ht="15" customHeight="1" x14ac:dyDescent="0.25">
      <c r="A245" t="s">
        <v>705</v>
      </c>
      <c r="B245" s="32">
        <f t="shared" ca="1" si="1"/>
        <v>44450</v>
      </c>
    </row>
    <row r="246" spans="1:2" ht="15" customHeight="1" x14ac:dyDescent="0.25">
      <c r="A246" t="s">
        <v>706</v>
      </c>
      <c r="B246" s="32">
        <f t="shared" ca="1" si="1"/>
        <v>44450</v>
      </c>
    </row>
    <row r="247" spans="1:2" ht="15" customHeight="1" x14ac:dyDescent="0.25">
      <c r="A247" t="s">
        <v>707</v>
      </c>
      <c r="B247" s="32">
        <f t="shared" ca="1" si="1"/>
        <v>44450</v>
      </c>
    </row>
    <row r="248" spans="1:2" ht="15" customHeight="1" x14ac:dyDescent="0.25">
      <c r="A248" t="s">
        <v>708</v>
      </c>
      <c r="B248" s="32">
        <f t="shared" ca="1" si="1"/>
        <v>44450</v>
      </c>
    </row>
    <row r="249" spans="1:2" ht="15" customHeight="1" x14ac:dyDescent="0.25">
      <c r="A249" t="s">
        <v>709</v>
      </c>
      <c r="B249" s="32">
        <f t="shared" ca="1" si="1"/>
        <v>44450</v>
      </c>
    </row>
    <row r="250" spans="1:2" ht="15" customHeight="1" x14ac:dyDescent="0.25">
      <c r="A250" t="s">
        <v>710</v>
      </c>
      <c r="B250" s="32">
        <f t="shared" ca="1" si="1"/>
        <v>44450</v>
      </c>
    </row>
    <row r="251" spans="1:2" ht="15" customHeight="1" x14ac:dyDescent="0.25">
      <c r="A251" t="s">
        <v>711</v>
      </c>
      <c r="B251" s="32">
        <f t="shared" ca="1" si="1"/>
        <v>44450</v>
      </c>
    </row>
    <row r="252" spans="1:2" ht="15" customHeight="1" x14ac:dyDescent="0.25">
      <c r="B252" s="32">
        <f t="shared" ca="1" si="1"/>
        <v>44450</v>
      </c>
    </row>
    <row r="253" spans="1:2" ht="15" customHeight="1" x14ac:dyDescent="0.25">
      <c r="A253" t="s">
        <v>712</v>
      </c>
      <c r="B253" s="32">
        <f t="shared" ca="1" si="1"/>
        <v>44450</v>
      </c>
    </row>
    <row r="254" spans="1:2" ht="15" customHeight="1" x14ac:dyDescent="0.25">
      <c r="A254" t="s">
        <v>713</v>
      </c>
      <c r="B254" s="32">
        <f t="shared" ca="1" si="1"/>
        <v>44450</v>
      </c>
    </row>
    <row r="255" spans="1:2" ht="15" customHeight="1" x14ac:dyDescent="0.25">
      <c r="A255" t="s">
        <v>714</v>
      </c>
      <c r="B255" s="32">
        <f t="shared" ca="1" si="1"/>
        <v>44450</v>
      </c>
    </row>
    <row r="256" spans="1:2" ht="15" customHeight="1" x14ac:dyDescent="0.25">
      <c r="A256" t="s">
        <v>715</v>
      </c>
      <c r="B256" s="32">
        <f t="shared" ca="1" si="1"/>
        <v>44450</v>
      </c>
    </row>
    <row r="257" spans="1:2" ht="15" customHeight="1" x14ac:dyDescent="0.25">
      <c r="A257" t="s">
        <v>211</v>
      </c>
      <c r="B257" s="32">
        <f t="shared" ca="1" si="1"/>
        <v>44450</v>
      </c>
    </row>
    <row r="258" spans="1:2" ht="15" customHeight="1" x14ac:dyDescent="0.25">
      <c r="A258" t="s">
        <v>212</v>
      </c>
      <c r="B258" s="32">
        <f t="shared" ca="1" si="1"/>
        <v>44450</v>
      </c>
    </row>
    <row r="259" spans="1:2" ht="15" customHeight="1" x14ac:dyDescent="0.25">
      <c r="A259" t="s">
        <v>212</v>
      </c>
      <c r="B259" s="32">
        <f t="shared" ca="1" si="1"/>
        <v>44450</v>
      </c>
    </row>
    <row r="260" spans="1:2" ht="15" customHeight="1" x14ac:dyDescent="0.25">
      <c r="A260" t="s">
        <v>213</v>
      </c>
      <c r="B260" s="32">
        <f t="shared" ca="1" si="1"/>
        <v>44450</v>
      </c>
    </row>
    <row r="261" spans="1:2" ht="15" customHeight="1" x14ac:dyDescent="0.25">
      <c r="A261" t="s">
        <v>213</v>
      </c>
      <c r="B261" s="32">
        <f t="shared" ca="1" si="1"/>
        <v>44450</v>
      </c>
    </row>
    <row r="262" spans="1:2" ht="15" customHeight="1" x14ac:dyDescent="0.25">
      <c r="A262" t="s">
        <v>214</v>
      </c>
      <c r="B262" s="32">
        <f t="shared" ca="1" si="1"/>
        <v>44450</v>
      </c>
    </row>
    <row r="263" spans="1:2" ht="15" customHeight="1" x14ac:dyDescent="0.25">
      <c r="A263" t="s">
        <v>716</v>
      </c>
      <c r="B263" s="32">
        <f t="shared" ref="B263:B326" ca="1" si="2">TODAY()-150</f>
        <v>44450</v>
      </c>
    </row>
    <row r="264" spans="1:2" ht="15" customHeight="1" x14ac:dyDescent="0.25">
      <c r="A264" t="s">
        <v>215</v>
      </c>
      <c r="B264" s="32">
        <f t="shared" ca="1" si="2"/>
        <v>44450</v>
      </c>
    </row>
    <row r="265" spans="1:2" ht="15" customHeight="1" x14ac:dyDescent="0.25">
      <c r="A265" t="s">
        <v>216</v>
      </c>
      <c r="B265" s="32">
        <f t="shared" ca="1" si="2"/>
        <v>44450</v>
      </c>
    </row>
    <row r="266" spans="1:2" ht="15" customHeight="1" x14ac:dyDescent="0.25">
      <c r="A266" t="s">
        <v>216</v>
      </c>
      <c r="B266" s="32">
        <f t="shared" ca="1" si="2"/>
        <v>44450</v>
      </c>
    </row>
    <row r="267" spans="1:2" ht="15" customHeight="1" x14ac:dyDescent="0.25">
      <c r="A267" t="s">
        <v>717</v>
      </c>
      <c r="B267" s="32">
        <f t="shared" ca="1" si="2"/>
        <v>44450</v>
      </c>
    </row>
    <row r="268" spans="1:2" ht="15" customHeight="1" x14ac:dyDescent="0.25">
      <c r="A268" t="s">
        <v>718</v>
      </c>
      <c r="B268" s="32">
        <f t="shared" ca="1" si="2"/>
        <v>44450</v>
      </c>
    </row>
    <row r="269" spans="1:2" ht="15" customHeight="1" x14ac:dyDescent="0.25">
      <c r="A269" t="s">
        <v>217</v>
      </c>
      <c r="B269" s="32">
        <f t="shared" ca="1" si="2"/>
        <v>44450</v>
      </c>
    </row>
    <row r="270" spans="1:2" ht="15" customHeight="1" x14ac:dyDescent="0.25">
      <c r="A270" t="s">
        <v>719</v>
      </c>
      <c r="B270" s="32">
        <f t="shared" ca="1" si="2"/>
        <v>44450</v>
      </c>
    </row>
    <row r="271" spans="1:2" ht="15" customHeight="1" x14ac:dyDescent="0.25">
      <c r="A271" t="s">
        <v>218</v>
      </c>
      <c r="B271" s="32">
        <f t="shared" ca="1" si="2"/>
        <v>44450</v>
      </c>
    </row>
    <row r="272" spans="1:2" ht="15" customHeight="1" x14ac:dyDescent="0.25">
      <c r="A272" t="s">
        <v>219</v>
      </c>
      <c r="B272" s="32">
        <f t="shared" ca="1" si="2"/>
        <v>44450</v>
      </c>
    </row>
    <row r="273" spans="1:2" ht="15" customHeight="1" x14ac:dyDescent="0.25">
      <c r="A273" t="s">
        <v>220</v>
      </c>
      <c r="B273" s="32">
        <f t="shared" ca="1" si="2"/>
        <v>44450</v>
      </c>
    </row>
    <row r="274" spans="1:2" ht="15" customHeight="1" x14ac:dyDescent="0.25">
      <c r="A274" t="s">
        <v>221</v>
      </c>
      <c r="B274" s="32">
        <f t="shared" ca="1" si="2"/>
        <v>44450</v>
      </c>
    </row>
    <row r="275" spans="1:2" ht="15" customHeight="1" x14ac:dyDescent="0.25">
      <c r="A275" t="s">
        <v>222</v>
      </c>
      <c r="B275" s="32">
        <f t="shared" ca="1" si="2"/>
        <v>44450</v>
      </c>
    </row>
    <row r="276" spans="1:2" ht="15" customHeight="1" x14ac:dyDescent="0.25">
      <c r="A276" t="s">
        <v>720</v>
      </c>
      <c r="B276" s="32">
        <f t="shared" ca="1" si="2"/>
        <v>44450</v>
      </c>
    </row>
    <row r="277" spans="1:2" ht="15" customHeight="1" x14ac:dyDescent="0.25">
      <c r="A277" t="s">
        <v>720</v>
      </c>
      <c r="B277" s="32">
        <f t="shared" ca="1" si="2"/>
        <v>44450</v>
      </c>
    </row>
    <row r="278" spans="1:2" ht="15" customHeight="1" x14ac:dyDescent="0.25">
      <c r="A278" t="s">
        <v>721</v>
      </c>
      <c r="B278" s="32">
        <f t="shared" ca="1" si="2"/>
        <v>44450</v>
      </c>
    </row>
    <row r="279" spans="1:2" ht="15" customHeight="1" x14ac:dyDescent="0.25">
      <c r="A279" t="s">
        <v>223</v>
      </c>
      <c r="B279" s="32">
        <f t="shared" ca="1" si="2"/>
        <v>44450</v>
      </c>
    </row>
    <row r="280" spans="1:2" ht="15" customHeight="1" x14ac:dyDescent="0.25">
      <c r="A280" t="s">
        <v>722</v>
      </c>
      <c r="B280" s="32">
        <f t="shared" ca="1" si="2"/>
        <v>44450</v>
      </c>
    </row>
    <row r="281" spans="1:2" ht="15" customHeight="1" x14ac:dyDescent="0.25">
      <c r="A281" t="s">
        <v>723</v>
      </c>
      <c r="B281" s="32">
        <f t="shared" ca="1" si="2"/>
        <v>44450</v>
      </c>
    </row>
    <row r="282" spans="1:2" ht="15" customHeight="1" x14ac:dyDescent="0.25">
      <c r="A282" t="s">
        <v>724</v>
      </c>
      <c r="B282" s="32">
        <f t="shared" ca="1" si="2"/>
        <v>44450</v>
      </c>
    </row>
    <row r="283" spans="1:2" ht="15" customHeight="1" x14ac:dyDescent="0.25">
      <c r="A283" t="s">
        <v>724</v>
      </c>
      <c r="B283" s="32">
        <f t="shared" ca="1" si="2"/>
        <v>44450</v>
      </c>
    </row>
    <row r="284" spans="1:2" ht="15" customHeight="1" x14ac:dyDescent="0.25">
      <c r="A284" t="s">
        <v>724</v>
      </c>
      <c r="B284" s="32">
        <f t="shared" ca="1" si="2"/>
        <v>44450</v>
      </c>
    </row>
    <row r="285" spans="1:2" ht="15" customHeight="1" x14ac:dyDescent="0.25">
      <c r="A285" t="s">
        <v>724</v>
      </c>
      <c r="B285" s="32">
        <f t="shared" ca="1" si="2"/>
        <v>44450</v>
      </c>
    </row>
    <row r="286" spans="1:2" ht="15" customHeight="1" x14ac:dyDescent="0.25">
      <c r="A286" t="s">
        <v>724</v>
      </c>
      <c r="B286" s="32">
        <f t="shared" ca="1" si="2"/>
        <v>44450</v>
      </c>
    </row>
    <row r="287" spans="1:2" ht="15" customHeight="1" x14ac:dyDescent="0.25">
      <c r="A287" t="s">
        <v>724</v>
      </c>
      <c r="B287" s="32">
        <f t="shared" ca="1" si="2"/>
        <v>44450</v>
      </c>
    </row>
    <row r="288" spans="1:2" ht="15" customHeight="1" x14ac:dyDescent="0.25">
      <c r="A288" t="s">
        <v>224</v>
      </c>
      <c r="B288" s="32">
        <f t="shared" ca="1" si="2"/>
        <v>44450</v>
      </c>
    </row>
    <row r="289" spans="1:2" ht="15" customHeight="1" x14ac:dyDescent="0.25">
      <c r="A289" t="s">
        <v>224</v>
      </c>
      <c r="B289" s="32">
        <f t="shared" ca="1" si="2"/>
        <v>44450</v>
      </c>
    </row>
    <row r="290" spans="1:2" ht="15" customHeight="1" x14ac:dyDescent="0.25">
      <c r="A290" t="s">
        <v>225</v>
      </c>
      <c r="B290" s="32">
        <f t="shared" ca="1" si="2"/>
        <v>44450</v>
      </c>
    </row>
    <row r="291" spans="1:2" ht="15" customHeight="1" x14ac:dyDescent="0.25">
      <c r="A291" t="s">
        <v>226</v>
      </c>
      <c r="B291" s="32">
        <f t="shared" ca="1" si="2"/>
        <v>44450</v>
      </c>
    </row>
    <row r="292" spans="1:2" ht="15" customHeight="1" x14ac:dyDescent="0.25">
      <c r="A292" t="s">
        <v>227</v>
      </c>
      <c r="B292" s="32">
        <f t="shared" ca="1" si="2"/>
        <v>44450</v>
      </c>
    </row>
    <row r="293" spans="1:2" ht="15" customHeight="1" x14ac:dyDescent="0.25">
      <c r="A293" t="s">
        <v>725</v>
      </c>
      <c r="B293" s="32">
        <f t="shared" ca="1" si="2"/>
        <v>44450</v>
      </c>
    </row>
    <row r="294" spans="1:2" ht="15" customHeight="1" x14ac:dyDescent="0.25">
      <c r="A294" t="s">
        <v>725</v>
      </c>
      <c r="B294" s="32">
        <f t="shared" ca="1" si="2"/>
        <v>44450</v>
      </c>
    </row>
    <row r="295" spans="1:2" ht="15" customHeight="1" x14ac:dyDescent="0.25">
      <c r="A295" t="s">
        <v>725</v>
      </c>
      <c r="B295" s="32">
        <f t="shared" ca="1" si="2"/>
        <v>44450</v>
      </c>
    </row>
    <row r="296" spans="1:2" ht="15" customHeight="1" x14ac:dyDescent="0.25">
      <c r="A296" t="s">
        <v>725</v>
      </c>
      <c r="B296" s="32">
        <f t="shared" ca="1" si="2"/>
        <v>44450</v>
      </c>
    </row>
    <row r="297" spans="1:2" ht="15" customHeight="1" x14ac:dyDescent="0.25">
      <c r="A297" t="s">
        <v>726</v>
      </c>
      <c r="B297" s="32">
        <f t="shared" ca="1" si="2"/>
        <v>44450</v>
      </c>
    </row>
    <row r="298" spans="1:2" ht="15" customHeight="1" x14ac:dyDescent="0.25">
      <c r="A298" t="s">
        <v>726</v>
      </c>
      <c r="B298" s="32">
        <f t="shared" ca="1" si="2"/>
        <v>44450</v>
      </c>
    </row>
    <row r="299" spans="1:2" ht="15" customHeight="1" x14ac:dyDescent="0.25">
      <c r="A299" t="s">
        <v>726</v>
      </c>
      <c r="B299" s="32">
        <f t="shared" ca="1" si="2"/>
        <v>44450</v>
      </c>
    </row>
    <row r="300" spans="1:2" ht="15" customHeight="1" x14ac:dyDescent="0.25">
      <c r="A300" t="s">
        <v>726</v>
      </c>
      <c r="B300" s="32">
        <f t="shared" ca="1" si="2"/>
        <v>44450</v>
      </c>
    </row>
    <row r="301" spans="1:2" ht="15" customHeight="1" x14ac:dyDescent="0.25">
      <c r="A301" t="s">
        <v>726</v>
      </c>
      <c r="B301" s="32">
        <f t="shared" ca="1" si="2"/>
        <v>44450</v>
      </c>
    </row>
    <row r="302" spans="1:2" ht="15" customHeight="1" x14ac:dyDescent="0.25">
      <c r="A302" t="s">
        <v>727</v>
      </c>
      <c r="B302" s="32">
        <f t="shared" ca="1" si="2"/>
        <v>44450</v>
      </c>
    </row>
    <row r="303" spans="1:2" ht="15" customHeight="1" x14ac:dyDescent="0.25">
      <c r="A303" t="s">
        <v>727</v>
      </c>
      <c r="B303" s="32">
        <f t="shared" ca="1" si="2"/>
        <v>44450</v>
      </c>
    </row>
    <row r="304" spans="1:2" ht="15" customHeight="1" x14ac:dyDescent="0.25">
      <c r="A304" t="s">
        <v>728</v>
      </c>
      <c r="B304" s="32">
        <f t="shared" ca="1" si="2"/>
        <v>44450</v>
      </c>
    </row>
    <row r="305" spans="1:2" ht="15" customHeight="1" x14ac:dyDescent="0.25">
      <c r="A305" t="s">
        <v>729</v>
      </c>
      <c r="B305" s="32">
        <f t="shared" ca="1" si="2"/>
        <v>44450</v>
      </c>
    </row>
    <row r="306" spans="1:2" ht="15" customHeight="1" x14ac:dyDescent="0.25">
      <c r="A306" t="s">
        <v>729</v>
      </c>
      <c r="B306" s="32">
        <f t="shared" ca="1" si="2"/>
        <v>44450</v>
      </c>
    </row>
    <row r="307" spans="1:2" ht="15" customHeight="1" x14ac:dyDescent="0.25">
      <c r="A307" t="s">
        <v>730</v>
      </c>
      <c r="B307" s="32">
        <f t="shared" ca="1" si="2"/>
        <v>44450</v>
      </c>
    </row>
    <row r="308" spans="1:2" ht="15" customHeight="1" x14ac:dyDescent="0.25">
      <c r="A308" t="s">
        <v>722</v>
      </c>
      <c r="B308" s="32">
        <f t="shared" ca="1" si="2"/>
        <v>44450</v>
      </c>
    </row>
    <row r="309" spans="1:2" ht="15" customHeight="1" x14ac:dyDescent="0.25">
      <c r="A309" t="s">
        <v>722</v>
      </c>
      <c r="B309" s="32">
        <f t="shared" ca="1" si="2"/>
        <v>44450</v>
      </c>
    </row>
    <row r="310" spans="1:2" ht="15" customHeight="1" x14ac:dyDescent="0.25">
      <c r="A310" t="s">
        <v>722</v>
      </c>
      <c r="B310" s="32">
        <f t="shared" ca="1" si="2"/>
        <v>44450</v>
      </c>
    </row>
    <row r="311" spans="1:2" ht="15" customHeight="1" x14ac:dyDescent="0.25">
      <c r="A311" t="s">
        <v>722</v>
      </c>
      <c r="B311" s="32">
        <f t="shared" ca="1" si="2"/>
        <v>44450</v>
      </c>
    </row>
    <row r="312" spans="1:2" ht="15" customHeight="1" x14ac:dyDescent="0.25">
      <c r="A312" t="s">
        <v>722</v>
      </c>
      <c r="B312" s="32">
        <f t="shared" ca="1" si="2"/>
        <v>44450</v>
      </c>
    </row>
    <row r="313" spans="1:2" ht="15" customHeight="1" x14ac:dyDescent="0.25">
      <c r="A313" t="s">
        <v>730</v>
      </c>
      <c r="B313" s="32">
        <f t="shared" ca="1" si="2"/>
        <v>44450</v>
      </c>
    </row>
    <row r="314" spans="1:2" ht="15" customHeight="1" x14ac:dyDescent="0.25">
      <c r="A314" t="s">
        <v>730</v>
      </c>
      <c r="B314" s="32">
        <f t="shared" ca="1" si="2"/>
        <v>44450</v>
      </c>
    </row>
    <row r="315" spans="1:2" ht="15" customHeight="1" x14ac:dyDescent="0.25">
      <c r="A315" t="s">
        <v>730</v>
      </c>
      <c r="B315" s="32">
        <f t="shared" ca="1" si="2"/>
        <v>44450</v>
      </c>
    </row>
    <row r="316" spans="1:2" ht="15" customHeight="1" x14ac:dyDescent="0.25">
      <c r="A316" t="s">
        <v>730</v>
      </c>
      <c r="B316" s="32">
        <f t="shared" ca="1" si="2"/>
        <v>44450</v>
      </c>
    </row>
    <row r="317" spans="1:2" ht="15" customHeight="1" x14ac:dyDescent="0.25">
      <c r="A317" t="s">
        <v>730</v>
      </c>
      <c r="B317" s="32">
        <f t="shared" ca="1" si="2"/>
        <v>44450</v>
      </c>
    </row>
    <row r="318" spans="1:2" ht="15" customHeight="1" x14ac:dyDescent="0.25">
      <c r="A318" t="s">
        <v>731</v>
      </c>
      <c r="B318" s="32">
        <f t="shared" ca="1" si="2"/>
        <v>44450</v>
      </c>
    </row>
    <row r="319" spans="1:2" ht="15" customHeight="1" x14ac:dyDescent="0.25">
      <c r="A319" t="s">
        <v>732</v>
      </c>
      <c r="B319" s="32">
        <f t="shared" ca="1" si="2"/>
        <v>44450</v>
      </c>
    </row>
    <row r="320" spans="1:2" ht="15" customHeight="1" x14ac:dyDescent="0.25">
      <c r="A320" t="s">
        <v>733</v>
      </c>
      <c r="B320" s="32">
        <f t="shared" ca="1" si="2"/>
        <v>44450</v>
      </c>
    </row>
    <row r="321" spans="1:2" ht="15" customHeight="1" x14ac:dyDescent="0.25">
      <c r="A321" t="s">
        <v>733</v>
      </c>
      <c r="B321" s="32">
        <f t="shared" ca="1" si="2"/>
        <v>44450</v>
      </c>
    </row>
    <row r="322" spans="1:2" ht="15" customHeight="1" x14ac:dyDescent="0.25">
      <c r="A322" t="s">
        <v>733</v>
      </c>
      <c r="B322" s="32">
        <f t="shared" ca="1" si="2"/>
        <v>44450</v>
      </c>
    </row>
    <row r="323" spans="1:2" ht="15" customHeight="1" x14ac:dyDescent="0.25">
      <c r="A323" t="s">
        <v>733</v>
      </c>
      <c r="B323" s="32">
        <f t="shared" ca="1" si="2"/>
        <v>44450</v>
      </c>
    </row>
    <row r="324" spans="1:2" ht="15" customHeight="1" x14ac:dyDescent="0.25">
      <c r="A324" t="s">
        <v>733</v>
      </c>
      <c r="B324" s="32">
        <f t="shared" ca="1" si="2"/>
        <v>44450</v>
      </c>
    </row>
    <row r="325" spans="1:2" ht="15" customHeight="1" x14ac:dyDescent="0.25">
      <c r="A325" t="s">
        <v>733</v>
      </c>
      <c r="B325" s="32">
        <f t="shared" ca="1" si="2"/>
        <v>44450</v>
      </c>
    </row>
    <row r="326" spans="1:2" ht="15" customHeight="1" x14ac:dyDescent="0.25">
      <c r="A326" t="s">
        <v>734</v>
      </c>
      <c r="B326" s="32">
        <f t="shared" ca="1" si="2"/>
        <v>44450</v>
      </c>
    </row>
    <row r="327" spans="1:2" ht="15" customHeight="1" x14ac:dyDescent="0.25">
      <c r="A327" t="s">
        <v>734</v>
      </c>
      <c r="B327" s="32">
        <f t="shared" ref="B327:B390" ca="1" si="3">TODAY()-150</f>
        <v>44450</v>
      </c>
    </row>
    <row r="328" spans="1:2" ht="15" customHeight="1" x14ac:dyDescent="0.25">
      <c r="A328" t="s">
        <v>734</v>
      </c>
      <c r="B328" s="32">
        <f t="shared" ca="1" si="3"/>
        <v>44450</v>
      </c>
    </row>
    <row r="329" spans="1:2" ht="15" customHeight="1" x14ac:dyDescent="0.25">
      <c r="A329" t="s">
        <v>734</v>
      </c>
      <c r="B329" s="32">
        <f t="shared" ca="1" si="3"/>
        <v>44450</v>
      </c>
    </row>
    <row r="330" spans="1:2" ht="15" customHeight="1" x14ac:dyDescent="0.25">
      <c r="A330" t="s">
        <v>228</v>
      </c>
      <c r="B330" s="32">
        <f t="shared" ca="1" si="3"/>
        <v>44450</v>
      </c>
    </row>
    <row r="331" spans="1:2" ht="15" customHeight="1" x14ac:dyDescent="0.25">
      <c r="A331" t="s">
        <v>228</v>
      </c>
      <c r="B331" s="32">
        <f t="shared" ca="1" si="3"/>
        <v>44450</v>
      </c>
    </row>
    <row r="332" spans="1:2" ht="15" customHeight="1" x14ac:dyDescent="0.25">
      <c r="A332" t="s">
        <v>228</v>
      </c>
      <c r="B332" s="32">
        <f t="shared" ca="1" si="3"/>
        <v>44450</v>
      </c>
    </row>
    <row r="333" spans="1:2" ht="15" customHeight="1" x14ac:dyDescent="0.25">
      <c r="A333" t="s">
        <v>229</v>
      </c>
      <c r="B333" s="32">
        <f t="shared" ca="1" si="3"/>
        <v>44450</v>
      </c>
    </row>
    <row r="334" spans="1:2" ht="15" customHeight="1" x14ac:dyDescent="0.25">
      <c r="A334" t="s">
        <v>229</v>
      </c>
      <c r="B334" s="32">
        <f t="shared" ca="1" si="3"/>
        <v>44450</v>
      </c>
    </row>
    <row r="335" spans="1:2" ht="15" customHeight="1" x14ac:dyDescent="0.25">
      <c r="A335" t="s">
        <v>230</v>
      </c>
      <c r="B335" s="32">
        <f t="shared" ca="1" si="3"/>
        <v>44450</v>
      </c>
    </row>
    <row r="336" spans="1:2" ht="15" customHeight="1" x14ac:dyDescent="0.25">
      <c r="A336" t="s">
        <v>230</v>
      </c>
      <c r="B336" s="32">
        <f t="shared" ca="1" si="3"/>
        <v>44450</v>
      </c>
    </row>
    <row r="337" spans="1:2" ht="15" customHeight="1" x14ac:dyDescent="0.25">
      <c r="A337" t="s">
        <v>735</v>
      </c>
      <c r="B337" s="32">
        <f t="shared" ca="1" si="3"/>
        <v>44450</v>
      </c>
    </row>
    <row r="338" spans="1:2" ht="15" customHeight="1" x14ac:dyDescent="0.25">
      <c r="A338" t="s">
        <v>735</v>
      </c>
      <c r="B338" s="32">
        <f t="shared" ca="1" si="3"/>
        <v>44450</v>
      </c>
    </row>
    <row r="339" spans="1:2" ht="15" customHeight="1" x14ac:dyDescent="0.25">
      <c r="A339" t="s">
        <v>735</v>
      </c>
      <c r="B339" s="32">
        <f t="shared" ca="1" si="3"/>
        <v>44450</v>
      </c>
    </row>
    <row r="340" spans="1:2" ht="15" customHeight="1" x14ac:dyDescent="0.25">
      <c r="A340" t="s">
        <v>735</v>
      </c>
      <c r="B340" s="32">
        <f t="shared" ca="1" si="3"/>
        <v>44450</v>
      </c>
    </row>
    <row r="341" spans="1:2" ht="15" customHeight="1" x14ac:dyDescent="0.25">
      <c r="A341" t="s">
        <v>735</v>
      </c>
      <c r="B341" s="32">
        <f t="shared" ca="1" si="3"/>
        <v>44450</v>
      </c>
    </row>
    <row r="342" spans="1:2" ht="15" customHeight="1" x14ac:dyDescent="0.25">
      <c r="A342" t="s">
        <v>735</v>
      </c>
      <c r="B342" s="32">
        <f t="shared" ca="1" si="3"/>
        <v>44450</v>
      </c>
    </row>
    <row r="343" spans="1:2" ht="15" customHeight="1" x14ac:dyDescent="0.25">
      <c r="A343" t="s">
        <v>736</v>
      </c>
      <c r="B343" s="32">
        <f t="shared" ca="1" si="3"/>
        <v>44450</v>
      </c>
    </row>
    <row r="344" spans="1:2" ht="15" customHeight="1" x14ac:dyDescent="0.25">
      <c r="A344" t="s">
        <v>737</v>
      </c>
      <c r="B344" s="32">
        <f t="shared" ca="1" si="3"/>
        <v>44450</v>
      </c>
    </row>
    <row r="345" spans="1:2" ht="15" customHeight="1" x14ac:dyDescent="0.25">
      <c r="A345" t="s">
        <v>738</v>
      </c>
      <c r="B345" s="32">
        <f t="shared" ca="1" si="3"/>
        <v>44450</v>
      </c>
    </row>
    <row r="346" spans="1:2" ht="15" customHeight="1" x14ac:dyDescent="0.25">
      <c r="A346" t="s">
        <v>729</v>
      </c>
      <c r="B346" s="32">
        <f t="shared" ca="1" si="3"/>
        <v>44450</v>
      </c>
    </row>
    <row r="347" spans="1:2" ht="15" customHeight="1" x14ac:dyDescent="0.25">
      <c r="A347" t="s">
        <v>729</v>
      </c>
      <c r="B347" s="32">
        <f t="shared" ca="1" si="3"/>
        <v>44450</v>
      </c>
    </row>
    <row r="348" spans="1:2" ht="15" customHeight="1" x14ac:dyDescent="0.25">
      <c r="A348" t="s">
        <v>729</v>
      </c>
      <c r="B348" s="32">
        <f t="shared" ca="1" si="3"/>
        <v>44450</v>
      </c>
    </row>
    <row r="349" spans="1:2" ht="15" customHeight="1" x14ac:dyDescent="0.25">
      <c r="A349" t="s">
        <v>729</v>
      </c>
      <c r="B349" s="32">
        <f t="shared" ca="1" si="3"/>
        <v>44450</v>
      </c>
    </row>
    <row r="350" spans="1:2" ht="15" customHeight="1" x14ac:dyDescent="0.25">
      <c r="A350" t="s">
        <v>739</v>
      </c>
      <c r="B350" s="32">
        <f t="shared" ca="1" si="3"/>
        <v>44450</v>
      </c>
    </row>
    <row r="351" spans="1:2" ht="15" customHeight="1" x14ac:dyDescent="0.25">
      <c r="A351" t="s">
        <v>739</v>
      </c>
      <c r="B351" s="32">
        <f t="shared" ca="1" si="3"/>
        <v>44450</v>
      </c>
    </row>
    <row r="352" spans="1:2" ht="15" customHeight="1" x14ac:dyDescent="0.25">
      <c r="A352" t="s">
        <v>739</v>
      </c>
      <c r="B352" s="32">
        <f t="shared" ca="1" si="3"/>
        <v>44450</v>
      </c>
    </row>
    <row r="353" spans="1:2" ht="15" customHeight="1" x14ac:dyDescent="0.25">
      <c r="A353" t="s">
        <v>739</v>
      </c>
      <c r="B353" s="32">
        <f t="shared" ca="1" si="3"/>
        <v>44450</v>
      </c>
    </row>
    <row r="354" spans="1:2" ht="15" customHeight="1" x14ac:dyDescent="0.25">
      <c r="A354" t="s">
        <v>740</v>
      </c>
      <c r="B354" s="32">
        <f t="shared" ca="1" si="3"/>
        <v>44450</v>
      </c>
    </row>
    <row r="355" spans="1:2" ht="15" customHeight="1" x14ac:dyDescent="0.25">
      <c r="A355" t="s">
        <v>740</v>
      </c>
      <c r="B355" s="32">
        <f t="shared" ca="1" si="3"/>
        <v>44450</v>
      </c>
    </row>
    <row r="356" spans="1:2" ht="15" customHeight="1" x14ac:dyDescent="0.25">
      <c r="A356" t="s">
        <v>740</v>
      </c>
      <c r="B356" s="32">
        <f t="shared" ca="1" si="3"/>
        <v>44450</v>
      </c>
    </row>
    <row r="357" spans="1:2" ht="15" customHeight="1" x14ac:dyDescent="0.25">
      <c r="A357" t="s">
        <v>740</v>
      </c>
      <c r="B357" s="32">
        <f t="shared" ca="1" si="3"/>
        <v>44450</v>
      </c>
    </row>
    <row r="358" spans="1:2" ht="15" customHeight="1" x14ac:dyDescent="0.25">
      <c r="A358" t="s">
        <v>741</v>
      </c>
      <c r="B358" s="32">
        <f t="shared" ca="1" si="3"/>
        <v>44450</v>
      </c>
    </row>
    <row r="359" spans="1:2" ht="15" customHeight="1" x14ac:dyDescent="0.25">
      <c r="A359" t="s">
        <v>729</v>
      </c>
      <c r="B359" s="32">
        <f t="shared" ca="1" si="3"/>
        <v>44450</v>
      </c>
    </row>
    <row r="360" spans="1:2" ht="15" customHeight="1" x14ac:dyDescent="0.25">
      <c r="A360" t="s">
        <v>729</v>
      </c>
      <c r="B360" s="32">
        <f t="shared" ca="1" si="3"/>
        <v>44450</v>
      </c>
    </row>
    <row r="361" spans="1:2" ht="15" customHeight="1" x14ac:dyDescent="0.25">
      <c r="A361" t="s">
        <v>729</v>
      </c>
      <c r="B361" s="32">
        <f t="shared" ca="1" si="3"/>
        <v>44450</v>
      </c>
    </row>
    <row r="362" spans="1:2" ht="15" customHeight="1" x14ac:dyDescent="0.25">
      <c r="A362" t="s">
        <v>742</v>
      </c>
      <c r="B362" s="32">
        <f t="shared" ca="1" si="3"/>
        <v>44450</v>
      </c>
    </row>
    <row r="363" spans="1:2" ht="15" customHeight="1" x14ac:dyDescent="0.25">
      <c r="A363" t="s">
        <v>743</v>
      </c>
      <c r="B363" s="32">
        <f t="shared" ca="1" si="3"/>
        <v>44450</v>
      </c>
    </row>
    <row r="364" spans="1:2" ht="15" customHeight="1" x14ac:dyDescent="0.25">
      <c r="A364" t="s">
        <v>744</v>
      </c>
      <c r="B364" s="32">
        <f t="shared" ca="1" si="3"/>
        <v>44450</v>
      </c>
    </row>
    <row r="365" spans="1:2" ht="15" customHeight="1" x14ac:dyDescent="0.25">
      <c r="A365" t="s">
        <v>744</v>
      </c>
      <c r="B365" s="32">
        <f t="shared" ca="1" si="3"/>
        <v>44450</v>
      </c>
    </row>
    <row r="366" spans="1:2" ht="15" customHeight="1" x14ac:dyDescent="0.25">
      <c r="A366" t="s">
        <v>744</v>
      </c>
      <c r="B366" s="32">
        <f t="shared" ca="1" si="3"/>
        <v>44450</v>
      </c>
    </row>
    <row r="367" spans="1:2" ht="15" customHeight="1" x14ac:dyDescent="0.25">
      <c r="A367" t="s">
        <v>744</v>
      </c>
      <c r="B367" s="32">
        <f t="shared" ca="1" si="3"/>
        <v>44450</v>
      </c>
    </row>
    <row r="368" spans="1:2" ht="15" customHeight="1" x14ac:dyDescent="0.25">
      <c r="A368" t="s">
        <v>745</v>
      </c>
      <c r="B368" s="32">
        <f t="shared" ca="1" si="3"/>
        <v>44450</v>
      </c>
    </row>
    <row r="369" spans="1:2" ht="15" customHeight="1" x14ac:dyDescent="0.25">
      <c r="A369" t="s">
        <v>745</v>
      </c>
      <c r="B369" s="32">
        <f t="shared" ca="1" si="3"/>
        <v>44450</v>
      </c>
    </row>
    <row r="370" spans="1:2" ht="15" customHeight="1" x14ac:dyDescent="0.25">
      <c r="A370" t="s">
        <v>745</v>
      </c>
      <c r="B370" s="32">
        <f t="shared" ca="1" si="3"/>
        <v>44450</v>
      </c>
    </row>
    <row r="371" spans="1:2" ht="15" customHeight="1" x14ac:dyDescent="0.25">
      <c r="A371" t="s">
        <v>746</v>
      </c>
      <c r="B371" s="32">
        <f t="shared" ca="1" si="3"/>
        <v>44450</v>
      </c>
    </row>
    <row r="372" spans="1:2" ht="15" customHeight="1" x14ac:dyDescent="0.25">
      <c r="A372" t="s">
        <v>746</v>
      </c>
      <c r="B372" s="32">
        <f t="shared" ca="1" si="3"/>
        <v>44450</v>
      </c>
    </row>
    <row r="373" spans="1:2" ht="15" customHeight="1" x14ac:dyDescent="0.25">
      <c r="A373" t="s">
        <v>746</v>
      </c>
      <c r="B373" s="32">
        <f t="shared" ca="1" si="3"/>
        <v>44450</v>
      </c>
    </row>
    <row r="374" spans="1:2" ht="15" customHeight="1" x14ac:dyDescent="0.25">
      <c r="A374" t="s">
        <v>746</v>
      </c>
      <c r="B374" s="32">
        <f t="shared" ca="1" si="3"/>
        <v>44450</v>
      </c>
    </row>
    <row r="375" spans="1:2" ht="15" customHeight="1" x14ac:dyDescent="0.25">
      <c r="A375" t="s">
        <v>747</v>
      </c>
      <c r="B375" s="32">
        <f t="shared" ca="1" si="3"/>
        <v>44450</v>
      </c>
    </row>
    <row r="376" spans="1:2" ht="15" customHeight="1" x14ac:dyDescent="0.25">
      <c r="A376" t="s">
        <v>747</v>
      </c>
      <c r="B376" s="32">
        <f t="shared" ca="1" si="3"/>
        <v>44450</v>
      </c>
    </row>
    <row r="377" spans="1:2" ht="15" customHeight="1" x14ac:dyDescent="0.25">
      <c r="A377" t="s">
        <v>747</v>
      </c>
      <c r="B377" s="32">
        <f t="shared" ca="1" si="3"/>
        <v>44450</v>
      </c>
    </row>
    <row r="378" spans="1:2" ht="15" customHeight="1" x14ac:dyDescent="0.25">
      <c r="A378" t="s">
        <v>747</v>
      </c>
      <c r="B378" s="32">
        <f t="shared" ca="1" si="3"/>
        <v>44450</v>
      </c>
    </row>
    <row r="379" spans="1:2" ht="15" customHeight="1" x14ac:dyDescent="0.25">
      <c r="A379" t="s">
        <v>747</v>
      </c>
      <c r="B379" s="32">
        <f t="shared" ca="1" si="3"/>
        <v>44450</v>
      </c>
    </row>
    <row r="380" spans="1:2" ht="15" customHeight="1" x14ac:dyDescent="0.25">
      <c r="A380" t="s">
        <v>747</v>
      </c>
      <c r="B380" s="32">
        <f t="shared" ca="1" si="3"/>
        <v>44450</v>
      </c>
    </row>
    <row r="381" spans="1:2" ht="15" customHeight="1" x14ac:dyDescent="0.25">
      <c r="A381" t="s">
        <v>231</v>
      </c>
      <c r="B381" s="32">
        <f t="shared" ca="1" si="3"/>
        <v>44450</v>
      </c>
    </row>
    <row r="382" spans="1:2" ht="15" customHeight="1" x14ac:dyDescent="0.25">
      <c r="A382" t="s">
        <v>232</v>
      </c>
      <c r="B382" s="32">
        <f t="shared" ca="1" si="3"/>
        <v>44450</v>
      </c>
    </row>
    <row r="383" spans="1:2" ht="15" customHeight="1" x14ac:dyDescent="0.25">
      <c r="A383" t="s">
        <v>233</v>
      </c>
      <c r="B383" s="32">
        <f t="shared" ca="1" si="3"/>
        <v>44450</v>
      </c>
    </row>
    <row r="384" spans="1:2" ht="15" customHeight="1" x14ac:dyDescent="0.25">
      <c r="A384" t="s">
        <v>234</v>
      </c>
      <c r="B384" s="32">
        <f t="shared" ca="1" si="3"/>
        <v>44450</v>
      </c>
    </row>
    <row r="385" spans="1:2" ht="15" customHeight="1" x14ac:dyDescent="0.25">
      <c r="A385" t="s">
        <v>748</v>
      </c>
      <c r="B385" s="32">
        <f t="shared" ca="1" si="3"/>
        <v>44450</v>
      </c>
    </row>
    <row r="386" spans="1:2" ht="15" customHeight="1" x14ac:dyDescent="0.25">
      <c r="A386" t="s">
        <v>748</v>
      </c>
      <c r="B386" s="32">
        <f t="shared" ca="1" si="3"/>
        <v>44450</v>
      </c>
    </row>
    <row r="387" spans="1:2" ht="15" customHeight="1" x14ac:dyDescent="0.25">
      <c r="A387" t="s">
        <v>748</v>
      </c>
      <c r="B387" s="32">
        <f t="shared" ca="1" si="3"/>
        <v>44450</v>
      </c>
    </row>
    <row r="388" spans="1:2" ht="15" customHeight="1" x14ac:dyDescent="0.25">
      <c r="A388" t="s">
        <v>748</v>
      </c>
      <c r="B388" s="32">
        <f t="shared" ca="1" si="3"/>
        <v>44450</v>
      </c>
    </row>
    <row r="389" spans="1:2" ht="15" customHeight="1" x14ac:dyDescent="0.25">
      <c r="A389" t="s">
        <v>748</v>
      </c>
      <c r="B389" s="32">
        <f t="shared" ca="1" si="3"/>
        <v>44450</v>
      </c>
    </row>
    <row r="390" spans="1:2" ht="15" customHeight="1" x14ac:dyDescent="0.25">
      <c r="A390" t="s">
        <v>748</v>
      </c>
      <c r="B390" s="32">
        <f t="shared" ca="1" si="3"/>
        <v>44450</v>
      </c>
    </row>
    <row r="391" spans="1:2" ht="15" customHeight="1" x14ac:dyDescent="0.25">
      <c r="A391" t="s">
        <v>749</v>
      </c>
      <c r="B391" s="32">
        <f t="shared" ref="B391:B454" ca="1" si="4">TODAY()-150</f>
        <v>44450</v>
      </c>
    </row>
    <row r="392" spans="1:2" ht="15" customHeight="1" x14ac:dyDescent="0.25">
      <c r="A392" t="s">
        <v>749</v>
      </c>
      <c r="B392" s="32">
        <f t="shared" ca="1" si="4"/>
        <v>44450</v>
      </c>
    </row>
    <row r="393" spans="1:2" ht="15" customHeight="1" x14ac:dyDescent="0.25">
      <c r="A393" t="s">
        <v>749</v>
      </c>
      <c r="B393" s="32">
        <f t="shared" ca="1" si="4"/>
        <v>44450</v>
      </c>
    </row>
    <row r="394" spans="1:2" ht="15" customHeight="1" x14ac:dyDescent="0.25">
      <c r="A394" t="s">
        <v>749</v>
      </c>
      <c r="B394" s="32">
        <f t="shared" ca="1" si="4"/>
        <v>44450</v>
      </c>
    </row>
    <row r="395" spans="1:2" ht="15" customHeight="1" x14ac:dyDescent="0.25">
      <c r="A395" t="s">
        <v>749</v>
      </c>
      <c r="B395" s="32">
        <f t="shared" ca="1" si="4"/>
        <v>44450</v>
      </c>
    </row>
    <row r="396" spans="1:2" ht="15" customHeight="1" x14ac:dyDescent="0.25">
      <c r="A396" t="s">
        <v>749</v>
      </c>
      <c r="B396" s="32">
        <f t="shared" ca="1" si="4"/>
        <v>44450</v>
      </c>
    </row>
    <row r="397" spans="1:2" ht="15" customHeight="1" x14ac:dyDescent="0.25">
      <c r="A397" t="s">
        <v>750</v>
      </c>
      <c r="B397" s="32">
        <f t="shared" ca="1" si="4"/>
        <v>44450</v>
      </c>
    </row>
    <row r="398" spans="1:2" ht="15" customHeight="1" x14ac:dyDescent="0.25">
      <c r="A398" t="s">
        <v>750</v>
      </c>
      <c r="B398" s="32">
        <f t="shared" ca="1" si="4"/>
        <v>44450</v>
      </c>
    </row>
    <row r="399" spans="1:2" ht="15" customHeight="1" x14ac:dyDescent="0.25">
      <c r="A399" t="s">
        <v>750</v>
      </c>
      <c r="B399" s="32">
        <f t="shared" ca="1" si="4"/>
        <v>44450</v>
      </c>
    </row>
    <row r="400" spans="1:2" ht="15" customHeight="1" x14ac:dyDescent="0.25">
      <c r="A400" t="s">
        <v>750</v>
      </c>
      <c r="B400" s="32">
        <f t="shared" ca="1" si="4"/>
        <v>44450</v>
      </c>
    </row>
    <row r="401" spans="1:2" ht="15" customHeight="1" x14ac:dyDescent="0.25">
      <c r="A401" t="s">
        <v>750</v>
      </c>
      <c r="B401" s="32">
        <f t="shared" ca="1" si="4"/>
        <v>44450</v>
      </c>
    </row>
    <row r="402" spans="1:2" ht="15" customHeight="1" x14ac:dyDescent="0.25">
      <c r="A402" t="s">
        <v>750</v>
      </c>
      <c r="B402" s="32">
        <f t="shared" ca="1" si="4"/>
        <v>44450</v>
      </c>
    </row>
    <row r="403" spans="1:2" ht="15" customHeight="1" x14ac:dyDescent="0.25">
      <c r="A403" t="s">
        <v>235</v>
      </c>
      <c r="B403" s="32">
        <f t="shared" ca="1" si="4"/>
        <v>44450</v>
      </c>
    </row>
    <row r="404" spans="1:2" ht="15" customHeight="1" x14ac:dyDescent="0.25">
      <c r="A404" t="s">
        <v>236</v>
      </c>
      <c r="B404" s="32">
        <f t="shared" ca="1" si="4"/>
        <v>44450</v>
      </c>
    </row>
    <row r="405" spans="1:2" ht="15" customHeight="1" x14ac:dyDescent="0.25">
      <c r="A405" t="s">
        <v>237</v>
      </c>
      <c r="B405" s="32">
        <f t="shared" ca="1" si="4"/>
        <v>44450</v>
      </c>
    </row>
    <row r="406" spans="1:2" ht="15" customHeight="1" x14ac:dyDescent="0.25">
      <c r="A406" t="s">
        <v>238</v>
      </c>
      <c r="B406" s="32">
        <f t="shared" ca="1" si="4"/>
        <v>44450</v>
      </c>
    </row>
    <row r="407" spans="1:2" ht="15" customHeight="1" x14ac:dyDescent="0.25">
      <c r="A407" t="s">
        <v>239</v>
      </c>
      <c r="B407" s="32">
        <f t="shared" ca="1" si="4"/>
        <v>44450</v>
      </c>
    </row>
    <row r="408" spans="1:2" ht="15" customHeight="1" x14ac:dyDescent="0.25">
      <c r="A408" t="s">
        <v>751</v>
      </c>
      <c r="B408" s="32">
        <f t="shared" ca="1" si="4"/>
        <v>44450</v>
      </c>
    </row>
    <row r="409" spans="1:2" ht="15" customHeight="1" x14ac:dyDescent="0.25">
      <c r="A409" t="s">
        <v>752</v>
      </c>
      <c r="B409" s="32">
        <f t="shared" ca="1" si="4"/>
        <v>44450</v>
      </c>
    </row>
    <row r="410" spans="1:2" ht="15" customHeight="1" x14ac:dyDescent="0.25">
      <c r="A410" t="s">
        <v>752</v>
      </c>
      <c r="B410" s="32">
        <f t="shared" ca="1" si="4"/>
        <v>44450</v>
      </c>
    </row>
    <row r="411" spans="1:2" ht="15" customHeight="1" x14ac:dyDescent="0.25">
      <c r="A411" t="s">
        <v>753</v>
      </c>
      <c r="B411" s="32">
        <f t="shared" ca="1" si="4"/>
        <v>44450</v>
      </c>
    </row>
    <row r="412" spans="1:2" ht="15" customHeight="1" x14ac:dyDescent="0.25">
      <c r="A412" t="s">
        <v>753</v>
      </c>
      <c r="B412" s="32">
        <f t="shared" ca="1" si="4"/>
        <v>44450</v>
      </c>
    </row>
    <row r="413" spans="1:2" ht="15" customHeight="1" x14ac:dyDescent="0.25">
      <c r="A413" t="s">
        <v>240</v>
      </c>
      <c r="B413" s="32">
        <f t="shared" ca="1" si="4"/>
        <v>44450</v>
      </c>
    </row>
    <row r="414" spans="1:2" ht="15" customHeight="1" x14ac:dyDescent="0.25">
      <c r="A414" t="s">
        <v>241</v>
      </c>
      <c r="B414" s="32">
        <f t="shared" ca="1" si="4"/>
        <v>44450</v>
      </c>
    </row>
    <row r="415" spans="1:2" ht="15" customHeight="1" x14ac:dyDescent="0.25">
      <c r="A415" t="s">
        <v>242</v>
      </c>
      <c r="B415" s="32">
        <f t="shared" ca="1" si="4"/>
        <v>44450</v>
      </c>
    </row>
    <row r="416" spans="1:2" ht="15" customHeight="1" x14ac:dyDescent="0.25">
      <c r="A416" t="s">
        <v>243</v>
      </c>
      <c r="B416" s="32">
        <f t="shared" ca="1" si="4"/>
        <v>44450</v>
      </c>
    </row>
    <row r="417" spans="1:2" ht="15" customHeight="1" x14ac:dyDescent="0.25">
      <c r="A417" t="s">
        <v>754</v>
      </c>
      <c r="B417" s="32">
        <f t="shared" ca="1" si="4"/>
        <v>44450</v>
      </c>
    </row>
    <row r="418" spans="1:2" ht="15" customHeight="1" x14ac:dyDescent="0.25">
      <c r="A418" t="s">
        <v>754</v>
      </c>
      <c r="B418" s="32">
        <f t="shared" ca="1" si="4"/>
        <v>44450</v>
      </c>
    </row>
    <row r="419" spans="1:2" ht="15" customHeight="1" x14ac:dyDescent="0.25">
      <c r="A419" t="s">
        <v>754</v>
      </c>
      <c r="B419" s="32">
        <f t="shared" ca="1" si="4"/>
        <v>44450</v>
      </c>
    </row>
    <row r="420" spans="1:2" ht="15" customHeight="1" x14ac:dyDescent="0.25">
      <c r="A420" t="s">
        <v>754</v>
      </c>
      <c r="B420" s="32">
        <f t="shared" ca="1" si="4"/>
        <v>44450</v>
      </c>
    </row>
    <row r="421" spans="1:2" ht="15" customHeight="1" x14ac:dyDescent="0.25">
      <c r="A421" t="s">
        <v>755</v>
      </c>
      <c r="B421" s="32">
        <f t="shared" ca="1" si="4"/>
        <v>44450</v>
      </c>
    </row>
    <row r="422" spans="1:2" ht="15" customHeight="1" x14ac:dyDescent="0.25">
      <c r="A422" t="s">
        <v>755</v>
      </c>
      <c r="B422" s="32">
        <f t="shared" ca="1" si="4"/>
        <v>44450</v>
      </c>
    </row>
    <row r="423" spans="1:2" ht="15" customHeight="1" x14ac:dyDescent="0.25">
      <c r="A423" t="s">
        <v>755</v>
      </c>
      <c r="B423" s="32">
        <f t="shared" ca="1" si="4"/>
        <v>44450</v>
      </c>
    </row>
    <row r="424" spans="1:2" ht="15" customHeight="1" x14ac:dyDescent="0.25">
      <c r="A424" t="s">
        <v>755</v>
      </c>
      <c r="B424" s="32">
        <f t="shared" ca="1" si="4"/>
        <v>44450</v>
      </c>
    </row>
    <row r="425" spans="1:2" ht="15" customHeight="1" x14ac:dyDescent="0.25">
      <c r="A425" t="s">
        <v>756</v>
      </c>
      <c r="B425" s="32">
        <f t="shared" ca="1" si="4"/>
        <v>44450</v>
      </c>
    </row>
    <row r="426" spans="1:2" ht="15" customHeight="1" x14ac:dyDescent="0.25">
      <c r="A426" t="s">
        <v>756</v>
      </c>
      <c r="B426" s="32">
        <f t="shared" ca="1" si="4"/>
        <v>44450</v>
      </c>
    </row>
    <row r="427" spans="1:2" ht="15" customHeight="1" x14ac:dyDescent="0.25">
      <c r="A427" t="s">
        <v>756</v>
      </c>
      <c r="B427" s="32">
        <f t="shared" ca="1" si="4"/>
        <v>44450</v>
      </c>
    </row>
    <row r="428" spans="1:2" ht="15" customHeight="1" x14ac:dyDescent="0.25">
      <c r="A428" t="s">
        <v>756</v>
      </c>
      <c r="B428" s="32">
        <f t="shared" ca="1" si="4"/>
        <v>44450</v>
      </c>
    </row>
    <row r="429" spans="1:2" ht="15" customHeight="1" x14ac:dyDescent="0.25">
      <c r="A429" t="s">
        <v>756</v>
      </c>
      <c r="B429" s="32">
        <f t="shared" ca="1" si="4"/>
        <v>44450</v>
      </c>
    </row>
    <row r="430" spans="1:2" ht="15" customHeight="1" x14ac:dyDescent="0.25">
      <c r="A430" t="s">
        <v>756</v>
      </c>
      <c r="B430" s="32">
        <f t="shared" ca="1" si="4"/>
        <v>44450</v>
      </c>
    </row>
    <row r="431" spans="1:2" ht="15" customHeight="1" x14ac:dyDescent="0.25">
      <c r="A431" t="s">
        <v>757</v>
      </c>
      <c r="B431" s="32">
        <f t="shared" ca="1" si="4"/>
        <v>44450</v>
      </c>
    </row>
    <row r="432" spans="1:2" ht="15" customHeight="1" x14ac:dyDescent="0.25">
      <c r="A432" t="s">
        <v>758</v>
      </c>
      <c r="B432" s="32">
        <f t="shared" ca="1" si="4"/>
        <v>44450</v>
      </c>
    </row>
    <row r="433" spans="1:2" ht="15" customHeight="1" x14ac:dyDescent="0.25">
      <c r="A433" t="s">
        <v>758</v>
      </c>
      <c r="B433" s="32">
        <f t="shared" ca="1" si="4"/>
        <v>44450</v>
      </c>
    </row>
    <row r="434" spans="1:2" ht="15" customHeight="1" x14ac:dyDescent="0.25">
      <c r="A434" t="s">
        <v>759</v>
      </c>
      <c r="B434" s="32">
        <f t="shared" ca="1" si="4"/>
        <v>44450</v>
      </c>
    </row>
    <row r="435" spans="1:2" ht="15" customHeight="1" x14ac:dyDescent="0.25">
      <c r="A435" t="s">
        <v>759</v>
      </c>
      <c r="B435" s="32">
        <f t="shared" ca="1" si="4"/>
        <v>44450</v>
      </c>
    </row>
    <row r="436" spans="1:2" ht="15" customHeight="1" x14ac:dyDescent="0.25">
      <c r="A436" t="s">
        <v>760</v>
      </c>
      <c r="B436" s="32">
        <f t="shared" ca="1" si="4"/>
        <v>44450</v>
      </c>
    </row>
    <row r="437" spans="1:2" ht="15" customHeight="1" x14ac:dyDescent="0.25">
      <c r="A437" t="s">
        <v>760</v>
      </c>
      <c r="B437" s="32">
        <f t="shared" ca="1" si="4"/>
        <v>44450</v>
      </c>
    </row>
    <row r="438" spans="1:2" ht="15" customHeight="1" x14ac:dyDescent="0.25">
      <c r="A438" t="s">
        <v>760</v>
      </c>
      <c r="B438" s="32">
        <f t="shared" ca="1" si="4"/>
        <v>44450</v>
      </c>
    </row>
    <row r="439" spans="1:2" ht="15" customHeight="1" x14ac:dyDescent="0.25">
      <c r="A439" t="s">
        <v>760</v>
      </c>
      <c r="B439" s="32">
        <f t="shared" ca="1" si="4"/>
        <v>44450</v>
      </c>
    </row>
    <row r="440" spans="1:2" ht="15" customHeight="1" x14ac:dyDescent="0.25">
      <c r="A440" t="s">
        <v>760</v>
      </c>
      <c r="B440" s="32">
        <f t="shared" ca="1" si="4"/>
        <v>44450</v>
      </c>
    </row>
    <row r="441" spans="1:2" ht="15" customHeight="1" x14ac:dyDescent="0.25">
      <c r="A441" t="s">
        <v>760</v>
      </c>
      <c r="B441" s="32">
        <f t="shared" ca="1" si="4"/>
        <v>44450</v>
      </c>
    </row>
    <row r="442" spans="1:2" ht="15" customHeight="1" x14ac:dyDescent="0.25">
      <c r="A442" t="s">
        <v>244</v>
      </c>
      <c r="B442" s="32">
        <f t="shared" ca="1" si="4"/>
        <v>44450</v>
      </c>
    </row>
    <row r="443" spans="1:2" ht="15" customHeight="1" x14ac:dyDescent="0.25">
      <c r="A443" t="s">
        <v>244</v>
      </c>
      <c r="B443" s="32">
        <f t="shared" ca="1" si="4"/>
        <v>44450</v>
      </c>
    </row>
    <row r="444" spans="1:2" ht="15" customHeight="1" x14ac:dyDescent="0.25">
      <c r="A444" t="s">
        <v>244</v>
      </c>
      <c r="B444" s="32">
        <f t="shared" ca="1" si="4"/>
        <v>44450</v>
      </c>
    </row>
    <row r="445" spans="1:2" ht="15" customHeight="1" x14ac:dyDescent="0.25">
      <c r="A445" t="s">
        <v>245</v>
      </c>
      <c r="B445" s="32">
        <f t="shared" ca="1" si="4"/>
        <v>44450</v>
      </c>
    </row>
    <row r="446" spans="1:2" ht="15" customHeight="1" x14ac:dyDescent="0.25">
      <c r="A446" t="s">
        <v>246</v>
      </c>
      <c r="B446" s="32">
        <f t="shared" ca="1" si="4"/>
        <v>44450</v>
      </c>
    </row>
    <row r="447" spans="1:2" ht="15" customHeight="1" x14ac:dyDescent="0.25">
      <c r="A447" t="s">
        <v>246</v>
      </c>
      <c r="B447" s="32">
        <f t="shared" ca="1" si="4"/>
        <v>44450</v>
      </c>
    </row>
    <row r="448" spans="1:2" ht="15" customHeight="1" x14ac:dyDescent="0.25">
      <c r="A448" t="s">
        <v>246</v>
      </c>
      <c r="B448" s="32">
        <f t="shared" ca="1" si="4"/>
        <v>44450</v>
      </c>
    </row>
    <row r="449" spans="1:2" ht="15" customHeight="1" x14ac:dyDescent="0.25">
      <c r="A449" t="s">
        <v>761</v>
      </c>
      <c r="B449" s="32">
        <f t="shared" ca="1" si="4"/>
        <v>44450</v>
      </c>
    </row>
    <row r="450" spans="1:2" ht="15" customHeight="1" x14ac:dyDescent="0.25">
      <c r="A450" t="s">
        <v>247</v>
      </c>
      <c r="B450" s="32">
        <f t="shared" ca="1" si="4"/>
        <v>44450</v>
      </c>
    </row>
    <row r="451" spans="1:2" ht="15" customHeight="1" x14ac:dyDescent="0.25">
      <c r="A451" t="s">
        <v>248</v>
      </c>
      <c r="B451" s="32">
        <f t="shared" ca="1" si="4"/>
        <v>44450</v>
      </c>
    </row>
    <row r="452" spans="1:2" ht="15" customHeight="1" x14ac:dyDescent="0.25">
      <c r="A452" t="s">
        <v>248</v>
      </c>
      <c r="B452" s="32">
        <f t="shared" ca="1" si="4"/>
        <v>44450</v>
      </c>
    </row>
    <row r="453" spans="1:2" ht="15" customHeight="1" x14ac:dyDescent="0.25">
      <c r="A453" t="s">
        <v>249</v>
      </c>
      <c r="B453" s="32">
        <f t="shared" ca="1" si="4"/>
        <v>44450</v>
      </c>
    </row>
    <row r="454" spans="1:2" ht="15" customHeight="1" x14ac:dyDescent="0.25">
      <c r="A454" t="s">
        <v>762</v>
      </c>
      <c r="B454" s="32">
        <f t="shared" ca="1" si="4"/>
        <v>44450</v>
      </c>
    </row>
    <row r="455" spans="1:2" ht="15" customHeight="1" x14ac:dyDescent="0.25">
      <c r="A455" t="s">
        <v>250</v>
      </c>
      <c r="B455" s="32">
        <f t="shared" ref="B455:B518" ca="1" si="5">TODAY()-150</f>
        <v>44450</v>
      </c>
    </row>
    <row r="456" spans="1:2" ht="15" customHeight="1" x14ac:dyDescent="0.25">
      <c r="A456" t="s">
        <v>763</v>
      </c>
      <c r="B456" s="32">
        <f t="shared" ca="1" si="5"/>
        <v>44450</v>
      </c>
    </row>
    <row r="457" spans="1:2" ht="15" customHeight="1" x14ac:dyDescent="0.25">
      <c r="A457" t="s">
        <v>763</v>
      </c>
      <c r="B457" s="32">
        <f t="shared" ca="1" si="5"/>
        <v>44450</v>
      </c>
    </row>
    <row r="458" spans="1:2" ht="15" customHeight="1" x14ac:dyDescent="0.25">
      <c r="A458" t="s">
        <v>763</v>
      </c>
      <c r="B458" s="32">
        <f t="shared" ca="1" si="5"/>
        <v>44450</v>
      </c>
    </row>
    <row r="459" spans="1:2" ht="15" customHeight="1" x14ac:dyDescent="0.25">
      <c r="A459" t="s">
        <v>763</v>
      </c>
      <c r="B459" s="32">
        <f t="shared" ca="1" si="5"/>
        <v>44450</v>
      </c>
    </row>
    <row r="460" spans="1:2" ht="15" customHeight="1" x14ac:dyDescent="0.25">
      <c r="A460" t="s">
        <v>251</v>
      </c>
      <c r="B460" s="32">
        <f t="shared" ca="1" si="5"/>
        <v>44450</v>
      </c>
    </row>
    <row r="461" spans="1:2" ht="15" customHeight="1" x14ac:dyDescent="0.25">
      <c r="A461" t="s">
        <v>251</v>
      </c>
      <c r="B461" s="32">
        <f t="shared" ca="1" si="5"/>
        <v>44450</v>
      </c>
    </row>
    <row r="462" spans="1:2" ht="15" customHeight="1" x14ac:dyDescent="0.25">
      <c r="A462" t="s">
        <v>252</v>
      </c>
      <c r="B462" s="32">
        <f t="shared" ca="1" si="5"/>
        <v>44450</v>
      </c>
    </row>
    <row r="463" spans="1:2" ht="15" customHeight="1" x14ac:dyDescent="0.25">
      <c r="A463" t="s">
        <v>252</v>
      </c>
      <c r="B463" s="32">
        <f t="shared" ca="1" si="5"/>
        <v>44450</v>
      </c>
    </row>
    <row r="464" spans="1:2" ht="15" customHeight="1" x14ac:dyDescent="0.25">
      <c r="A464" t="s">
        <v>252</v>
      </c>
      <c r="B464" s="32">
        <f t="shared" ca="1" si="5"/>
        <v>44450</v>
      </c>
    </row>
    <row r="465" spans="1:2" ht="15" customHeight="1" x14ac:dyDescent="0.25">
      <c r="A465" t="s">
        <v>764</v>
      </c>
      <c r="B465" s="32">
        <f t="shared" ca="1" si="5"/>
        <v>44450</v>
      </c>
    </row>
    <row r="466" spans="1:2" ht="15" customHeight="1" x14ac:dyDescent="0.25">
      <c r="A466" t="s">
        <v>764</v>
      </c>
      <c r="B466" s="32">
        <f t="shared" ca="1" si="5"/>
        <v>44450</v>
      </c>
    </row>
    <row r="467" spans="1:2" ht="15" customHeight="1" x14ac:dyDescent="0.25">
      <c r="A467" t="s">
        <v>764</v>
      </c>
      <c r="B467" s="32">
        <f t="shared" ca="1" si="5"/>
        <v>44450</v>
      </c>
    </row>
    <row r="468" spans="1:2" ht="15" customHeight="1" x14ac:dyDescent="0.25">
      <c r="A468" t="s">
        <v>253</v>
      </c>
      <c r="B468" s="32">
        <f t="shared" ca="1" si="5"/>
        <v>44450</v>
      </c>
    </row>
    <row r="469" spans="1:2" ht="15" customHeight="1" x14ac:dyDescent="0.25">
      <c r="A469" t="s">
        <v>254</v>
      </c>
      <c r="B469" s="32">
        <f t="shared" ca="1" si="5"/>
        <v>44450</v>
      </c>
    </row>
    <row r="470" spans="1:2" ht="15" customHeight="1" x14ac:dyDescent="0.25">
      <c r="A470" t="s">
        <v>254</v>
      </c>
      <c r="B470" s="32">
        <f t="shared" ca="1" si="5"/>
        <v>44450</v>
      </c>
    </row>
    <row r="471" spans="1:2" ht="15" customHeight="1" x14ac:dyDescent="0.25">
      <c r="A471" t="s">
        <v>254</v>
      </c>
      <c r="B471" s="32">
        <f t="shared" ca="1" si="5"/>
        <v>44450</v>
      </c>
    </row>
    <row r="472" spans="1:2" ht="15" customHeight="1" x14ac:dyDescent="0.25">
      <c r="A472" t="s">
        <v>255</v>
      </c>
      <c r="B472" s="32">
        <f t="shared" ca="1" si="5"/>
        <v>44450</v>
      </c>
    </row>
    <row r="473" spans="1:2" ht="15" customHeight="1" x14ac:dyDescent="0.25">
      <c r="A473" t="s">
        <v>557</v>
      </c>
      <c r="B473" s="32">
        <f t="shared" ca="1" si="5"/>
        <v>44450</v>
      </c>
    </row>
    <row r="474" spans="1:2" ht="15" customHeight="1" x14ac:dyDescent="0.25">
      <c r="A474" t="s">
        <v>558</v>
      </c>
      <c r="B474" s="32">
        <f t="shared" ca="1" si="5"/>
        <v>44450</v>
      </c>
    </row>
    <row r="475" spans="1:2" ht="15" customHeight="1" x14ac:dyDescent="0.25">
      <c r="A475" t="s">
        <v>765</v>
      </c>
      <c r="B475" s="32">
        <f t="shared" ca="1" si="5"/>
        <v>44450</v>
      </c>
    </row>
    <row r="476" spans="1:2" ht="15" customHeight="1" x14ac:dyDescent="0.25">
      <c r="A476" t="s">
        <v>765</v>
      </c>
      <c r="B476" s="32">
        <f t="shared" ca="1" si="5"/>
        <v>44450</v>
      </c>
    </row>
    <row r="477" spans="1:2" ht="15" customHeight="1" x14ac:dyDescent="0.25">
      <c r="A477" t="s">
        <v>256</v>
      </c>
      <c r="B477" s="32">
        <f t="shared" ca="1" si="5"/>
        <v>44450</v>
      </c>
    </row>
    <row r="478" spans="1:2" ht="15" customHeight="1" x14ac:dyDescent="0.25">
      <c r="A478" t="s">
        <v>766</v>
      </c>
      <c r="B478" s="32">
        <f t="shared" ca="1" si="5"/>
        <v>44450</v>
      </c>
    </row>
    <row r="479" spans="1:2" ht="15" customHeight="1" x14ac:dyDescent="0.25">
      <c r="A479" t="s">
        <v>767</v>
      </c>
      <c r="B479" s="32">
        <f t="shared" ca="1" si="5"/>
        <v>44450</v>
      </c>
    </row>
    <row r="480" spans="1:2" ht="15" customHeight="1" x14ac:dyDescent="0.25">
      <c r="A480" t="s">
        <v>767</v>
      </c>
      <c r="B480" s="32">
        <f t="shared" ca="1" si="5"/>
        <v>44450</v>
      </c>
    </row>
    <row r="481" spans="1:2" ht="15" customHeight="1" x14ac:dyDescent="0.25">
      <c r="A481" t="s">
        <v>768</v>
      </c>
      <c r="B481" s="32">
        <f t="shared" ca="1" si="5"/>
        <v>44450</v>
      </c>
    </row>
    <row r="482" spans="1:2" ht="15" customHeight="1" x14ac:dyDescent="0.25">
      <c r="A482" t="s">
        <v>768</v>
      </c>
      <c r="B482" s="32">
        <f t="shared" ca="1" si="5"/>
        <v>44450</v>
      </c>
    </row>
    <row r="483" spans="1:2" ht="15" customHeight="1" x14ac:dyDescent="0.25">
      <c r="A483" t="s">
        <v>769</v>
      </c>
      <c r="B483" s="32">
        <f t="shared" ca="1" si="5"/>
        <v>44450</v>
      </c>
    </row>
    <row r="484" spans="1:2" ht="15" customHeight="1" x14ac:dyDescent="0.25">
      <c r="A484" t="s">
        <v>769</v>
      </c>
      <c r="B484" s="32">
        <f t="shared" ca="1" si="5"/>
        <v>44450</v>
      </c>
    </row>
    <row r="485" spans="1:2" ht="15" customHeight="1" x14ac:dyDescent="0.25">
      <c r="A485" t="s">
        <v>770</v>
      </c>
      <c r="B485" s="32">
        <f t="shared" ca="1" si="5"/>
        <v>44450</v>
      </c>
    </row>
    <row r="486" spans="1:2" ht="15" customHeight="1" x14ac:dyDescent="0.25">
      <c r="A486" t="s">
        <v>771</v>
      </c>
      <c r="B486" s="32">
        <f t="shared" ca="1" si="5"/>
        <v>44450</v>
      </c>
    </row>
    <row r="487" spans="1:2" ht="15" customHeight="1" x14ac:dyDescent="0.25">
      <c r="A487" t="s">
        <v>771</v>
      </c>
      <c r="B487" s="32">
        <f t="shared" ca="1" si="5"/>
        <v>44450</v>
      </c>
    </row>
    <row r="488" spans="1:2" ht="15" customHeight="1" x14ac:dyDescent="0.25">
      <c r="A488" t="s">
        <v>771</v>
      </c>
      <c r="B488" s="32">
        <f t="shared" ca="1" si="5"/>
        <v>44450</v>
      </c>
    </row>
    <row r="489" spans="1:2" ht="15" customHeight="1" x14ac:dyDescent="0.25">
      <c r="A489" t="s">
        <v>771</v>
      </c>
      <c r="B489" s="32">
        <f t="shared" ca="1" si="5"/>
        <v>44450</v>
      </c>
    </row>
    <row r="490" spans="1:2" ht="15" customHeight="1" x14ac:dyDescent="0.25">
      <c r="A490" t="s">
        <v>771</v>
      </c>
      <c r="B490" s="32">
        <f t="shared" ca="1" si="5"/>
        <v>44450</v>
      </c>
    </row>
    <row r="491" spans="1:2" ht="15" customHeight="1" x14ac:dyDescent="0.25">
      <c r="A491" t="s">
        <v>771</v>
      </c>
      <c r="B491" s="32">
        <f t="shared" ca="1" si="5"/>
        <v>44450</v>
      </c>
    </row>
    <row r="492" spans="1:2" ht="15" customHeight="1" x14ac:dyDescent="0.25">
      <c r="A492" t="s">
        <v>771</v>
      </c>
      <c r="B492" s="32">
        <f t="shared" ca="1" si="5"/>
        <v>44450</v>
      </c>
    </row>
    <row r="493" spans="1:2" ht="15" customHeight="1" x14ac:dyDescent="0.25">
      <c r="A493" t="s">
        <v>559</v>
      </c>
      <c r="B493" s="32">
        <f t="shared" ca="1" si="5"/>
        <v>44450</v>
      </c>
    </row>
    <row r="494" spans="1:2" ht="15" customHeight="1" x14ac:dyDescent="0.25">
      <c r="A494" t="s">
        <v>560</v>
      </c>
      <c r="B494" s="32">
        <f t="shared" ca="1" si="5"/>
        <v>44450</v>
      </c>
    </row>
    <row r="495" spans="1:2" ht="15" customHeight="1" x14ac:dyDescent="0.25">
      <c r="A495" t="s">
        <v>561</v>
      </c>
      <c r="B495" s="32">
        <f t="shared" ca="1" si="5"/>
        <v>44450</v>
      </c>
    </row>
    <row r="496" spans="1:2" ht="15" customHeight="1" x14ac:dyDescent="0.25">
      <c r="A496" t="s">
        <v>562</v>
      </c>
      <c r="B496" s="32">
        <f t="shared" ca="1" si="5"/>
        <v>44450</v>
      </c>
    </row>
    <row r="497" spans="1:2" ht="15" customHeight="1" x14ac:dyDescent="0.25">
      <c r="A497" t="s">
        <v>772</v>
      </c>
      <c r="B497" s="32">
        <f t="shared" ca="1" si="5"/>
        <v>44450</v>
      </c>
    </row>
    <row r="498" spans="1:2" ht="15" customHeight="1" x14ac:dyDescent="0.25">
      <c r="A498" t="s">
        <v>773</v>
      </c>
      <c r="B498" s="32">
        <f t="shared" ca="1" si="5"/>
        <v>44450</v>
      </c>
    </row>
    <row r="499" spans="1:2" ht="15" customHeight="1" x14ac:dyDescent="0.25">
      <c r="A499" t="s">
        <v>773</v>
      </c>
      <c r="B499" s="32">
        <f t="shared" ca="1" si="5"/>
        <v>44450</v>
      </c>
    </row>
    <row r="500" spans="1:2" ht="15" customHeight="1" x14ac:dyDescent="0.25">
      <c r="A500" t="s">
        <v>773</v>
      </c>
      <c r="B500" s="32">
        <f t="shared" ca="1" si="5"/>
        <v>44450</v>
      </c>
    </row>
    <row r="501" spans="1:2" ht="15" customHeight="1" x14ac:dyDescent="0.25">
      <c r="A501" t="s">
        <v>773</v>
      </c>
      <c r="B501" s="32">
        <f t="shared" ca="1" si="5"/>
        <v>44450</v>
      </c>
    </row>
    <row r="502" spans="1:2" ht="15" customHeight="1" x14ac:dyDescent="0.25">
      <c r="A502" t="s">
        <v>773</v>
      </c>
      <c r="B502" s="32">
        <f t="shared" ca="1" si="5"/>
        <v>44450</v>
      </c>
    </row>
    <row r="503" spans="1:2" ht="15" customHeight="1" x14ac:dyDescent="0.25">
      <c r="A503" t="s">
        <v>773</v>
      </c>
      <c r="B503" s="32">
        <f t="shared" ca="1" si="5"/>
        <v>44450</v>
      </c>
    </row>
    <row r="504" spans="1:2" ht="15" customHeight="1" x14ac:dyDescent="0.25">
      <c r="A504" t="s">
        <v>773</v>
      </c>
      <c r="B504" s="32">
        <f t="shared" ca="1" si="5"/>
        <v>44450</v>
      </c>
    </row>
    <row r="505" spans="1:2" ht="15" customHeight="1" x14ac:dyDescent="0.25">
      <c r="A505" t="s">
        <v>774</v>
      </c>
      <c r="B505" s="32">
        <f t="shared" ca="1" si="5"/>
        <v>44450</v>
      </c>
    </row>
    <row r="506" spans="1:2" ht="15" customHeight="1" x14ac:dyDescent="0.25">
      <c r="A506" t="s">
        <v>563</v>
      </c>
      <c r="B506" s="32">
        <f t="shared" ca="1" si="5"/>
        <v>44450</v>
      </c>
    </row>
    <row r="507" spans="1:2" ht="15" customHeight="1" x14ac:dyDescent="0.25">
      <c r="A507" t="s">
        <v>564</v>
      </c>
      <c r="B507" s="32">
        <f t="shared" ca="1" si="5"/>
        <v>44450</v>
      </c>
    </row>
    <row r="508" spans="1:2" ht="15" customHeight="1" x14ac:dyDescent="0.25">
      <c r="A508" t="s">
        <v>565</v>
      </c>
      <c r="B508" s="32">
        <f t="shared" ca="1" si="5"/>
        <v>44450</v>
      </c>
    </row>
    <row r="509" spans="1:2" ht="15" customHeight="1" x14ac:dyDescent="0.25">
      <c r="A509" t="s">
        <v>566</v>
      </c>
      <c r="B509" s="32">
        <f t="shared" ca="1" si="5"/>
        <v>44450</v>
      </c>
    </row>
    <row r="510" spans="1:2" ht="15" customHeight="1" x14ac:dyDescent="0.25">
      <c r="A510" t="s">
        <v>567</v>
      </c>
      <c r="B510" s="32">
        <f t="shared" ca="1" si="5"/>
        <v>44450</v>
      </c>
    </row>
    <row r="511" spans="1:2" ht="15" customHeight="1" x14ac:dyDescent="0.25">
      <c r="A511" t="s">
        <v>568</v>
      </c>
      <c r="B511" s="32">
        <f t="shared" ca="1" si="5"/>
        <v>44450</v>
      </c>
    </row>
    <row r="512" spans="1:2" ht="15" customHeight="1" x14ac:dyDescent="0.25">
      <c r="A512" t="s">
        <v>775</v>
      </c>
      <c r="B512" s="32">
        <f t="shared" ca="1" si="5"/>
        <v>44450</v>
      </c>
    </row>
    <row r="513" spans="1:2" ht="15" customHeight="1" x14ac:dyDescent="0.25">
      <c r="A513" t="s">
        <v>775</v>
      </c>
      <c r="B513" s="32">
        <f t="shared" ca="1" si="5"/>
        <v>44450</v>
      </c>
    </row>
    <row r="514" spans="1:2" ht="15" customHeight="1" x14ac:dyDescent="0.25">
      <c r="A514" t="s">
        <v>569</v>
      </c>
      <c r="B514" s="32">
        <f t="shared" ca="1" si="5"/>
        <v>44450</v>
      </c>
    </row>
    <row r="515" spans="1:2" ht="15" customHeight="1" x14ac:dyDescent="0.25">
      <c r="A515" t="s">
        <v>570</v>
      </c>
      <c r="B515" s="32">
        <f t="shared" ca="1" si="5"/>
        <v>44450</v>
      </c>
    </row>
    <row r="516" spans="1:2" ht="15" customHeight="1" x14ac:dyDescent="0.25">
      <c r="A516" t="s">
        <v>571</v>
      </c>
      <c r="B516" s="32">
        <f t="shared" ca="1" si="5"/>
        <v>44450</v>
      </c>
    </row>
    <row r="517" spans="1:2" ht="15" customHeight="1" x14ac:dyDescent="0.25">
      <c r="A517" t="s">
        <v>571</v>
      </c>
      <c r="B517" s="32">
        <f t="shared" ca="1" si="5"/>
        <v>44450</v>
      </c>
    </row>
    <row r="518" spans="1:2" ht="15" customHeight="1" x14ac:dyDescent="0.25">
      <c r="A518" t="s">
        <v>572</v>
      </c>
      <c r="B518" s="32">
        <f t="shared" ca="1" si="5"/>
        <v>44450</v>
      </c>
    </row>
    <row r="519" spans="1:2" ht="15" customHeight="1" x14ac:dyDescent="0.25">
      <c r="A519" t="s">
        <v>573</v>
      </c>
      <c r="B519" s="32">
        <f t="shared" ref="B519:B582" ca="1" si="6">TODAY()-150</f>
        <v>44450</v>
      </c>
    </row>
    <row r="520" spans="1:2" ht="15" customHeight="1" x14ac:dyDescent="0.25">
      <c r="A520" t="s">
        <v>574</v>
      </c>
      <c r="B520" s="32">
        <f t="shared" ca="1" si="6"/>
        <v>44450</v>
      </c>
    </row>
    <row r="521" spans="1:2" ht="15" customHeight="1" x14ac:dyDescent="0.25">
      <c r="A521" t="s">
        <v>776</v>
      </c>
      <c r="B521" s="32">
        <f t="shared" ca="1" si="6"/>
        <v>44450</v>
      </c>
    </row>
    <row r="522" spans="1:2" ht="15" customHeight="1" x14ac:dyDescent="0.25">
      <c r="A522" t="s">
        <v>776</v>
      </c>
      <c r="B522" s="32">
        <f t="shared" ca="1" si="6"/>
        <v>44450</v>
      </c>
    </row>
    <row r="523" spans="1:2" ht="15" customHeight="1" x14ac:dyDescent="0.25">
      <c r="A523" t="s">
        <v>776</v>
      </c>
      <c r="B523" s="32">
        <f t="shared" ca="1" si="6"/>
        <v>44450</v>
      </c>
    </row>
    <row r="524" spans="1:2" ht="15" customHeight="1" x14ac:dyDescent="0.25">
      <c r="A524" t="s">
        <v>776</v>
      </c>
      <c r="B524" s="32">
        <f t="shared" ca="1" si="6"/>
        <v>44450</v>
      </c>
    </row>
    <row r="525" spans="1:2" ht="15" customHeight="1" x14ac:dyDescent="0.25">
      <c r="A525" t="s">
        <v>776</v>
      </c>
      <c r="B525" s="32">
        <f t="shared" ca="1" si="6"/>
        <v>44450</v>
      </c>
    </row>
    <row r="526" spans="1:2" ht="15" customHeight="1" x14ac:dyDescent="0.25">
      <c r="A526" t="s">
        <v>776</v>
      </c>
      <c r="B526" s="32">
        <f t="shared" ca="1" si="6"/>
        <v>44450</v>
      </c>
    </row>
    <row r="527" spans="1:2" ht="15" customHeight="1" x14ac:dyDescent="0.25">
      <c r="A527" t="s">
        <v>776</v>
      </c>
      <c r="B527" s="32">
        <f t="shared" ca="1" si="6"/>
        <v>44450</v>
      </c>
    </row>
    <row r="528" spans="1:2" ht="15" customHeight="1" x14ac:dyDescent="0.25">
      <c r="A528" t="s">
        <v>776</v>
      </c>
      <c r="B528" s="32">
        <f t="shared" ca="1" si="6"/>
        <v>44450</v>
      </c>
    </row>
    <row r="529" spans="1:2" ht="15" customHeight="1" x14ac:dyDescent="0.25">
      <c r="A529" t="s">
        <v>776</v>
      </c>
      <c r="B529" s="32">
        <f t="shared" ca="1" si="6"/>
        <v>44450</v>
      </c>
    </row>
    <row r="530" spans="1:2" ht="15" customHeight="1" x14ac:dyDescent="0.25">
      <c r="A530" t="s">
        <v>776</v>
      </c>
      <c r="B530" s="32">
        <f t="shared" ca="1" si="6"/>
        <v>44450</v>
      </c>
    </row>
    <row r="531" spans="1:2" ht="15" customHeight="1" x14ac:dyDescent="0.25">
      <c r="A531" t="s">
        <v>776</v>
      </c>
      <c r="B531" s="32">
        <f t="shared" ca="1" si="6"/>
        <v>44450</v>
      </c>
    </row>
    <row r="532" spans="1:2" ht="15" customHeight="1" x14ac:dyDescent="0.25">
      <c r="A532" t="s">
        <v>777</v>
      </c>
      <c r="B532" s="32">
        <f t="shared" ca="1" si="6"/>
        <v>44450</v>
      </c>
    </row>
    <row r="533" spans="1:2" ht="15" customHeight="1" x14ac:dyDescent="0.25">
      <c r="A533" t="s">
        <v>777</v>
      </c>
      <c r="B533" s="32">
        <f t="shared" ca="1" si="6"/>
        <v>44450</v>
      </c>
    </row>
    <row r="534" spans="1:2" ht="15" customHeight="1" x14ac:dyDescent="0.25">
      <c r="A534" t="s">
        <v>777</v>
      </c>
      <c r="B534" s="32">
        <f t="shared" ca="1" si="6"/>
        <v>44450</v>
      </c>
    </row>
    <row r="535" spans="1:2" ht="15" customHeight="1" x14ac:dyDescent="0.25">
      <c r="A535" t="s">
        <v>777</v>
      </c>
      <c r="B535" s="32">
        <f t="shared" ca="1" si="6"/>
        <v>44450</v>
      </c>
    </row>
    <row r="536" spans="1:2" ht="15" customHeight="1" x14ac:dyDescent="0.25">
      <c r="A536" t="s">
        <v>777</v>
      </c>
      <c r="B536" s="32">
        <f t="shared" ca="1" si="6"/>
        <v>44450</v>
      </c>
    </row>
    <row r="537" spans="1:2" ht="15" customHeight="1" x14ac:dyDescent="0.25">
      <c r="A537" t="s">
        <v>777</v>
      </c>
      <c r="B537" s="32">
        <f t="shared" ca="1" si="6"/>
        <v>44450</v>
      </c>
    </row>
    <row r="538" spans="1:2" ht="15" customHeight="1" x14ac:dyDescent="0.25">
      <c r="A538" t="s">
        <v>778</v>
      </c>
      <c r="B538" s="32">
        <f t="shared" ca="1" si="6"/>
        <v>44450</v>
      </c>
    </row>
    <row r="539" spans="1:2" ht="15" customHeight="1" x14ac:dyDescent="0.25">
      <c r="A539" t="s">
        <v>779</v>
      </c>
      <c r="B539" s="32">
        <f t="shared" ca="1" si="6"/>
        <v>44450</v>
      </c>
    </row>
    <row r="540" spans="1:2" ht="15" customHeight="1" x14ac:dyDescent="0.25">
      <c r="A540" t="s">
        <v>780</v>
      </c>
      <c r="B540" s="32">
        <f t="shared" ca="1" si="6"/>
        <v>44450</v>
      </c>
    </row>
    <row r="541" spans="1:2" ht="15" customHeight="1" x14ac:dyDescent="0.25">
      <c r="A541" t="s">
        <v>781</v>
      </c>
      <c r="B541" s="32">
        <f t="shared" ca="1" si="6"/>
        <v>44450</v>
      </c>
    </row>
    <row r="542" spans="1:2" ht="15" customHeight="1" x14ac:dyDescent="0.25">
      <c r="A542" t="s">
        <v>782</v>
      </c>
      <c r="B542" s="32">
        <f t="shared" ca="1" si="6"/>
        <v>44450</v>
      </c>
    </row>
    <row r="543" spans="1:2" ht="15" customHeight="1" x14ac:dyDescent="0.25">
      <c r="A543" t="s">
        <v>782</v>
      </c>
      <c r="B543" s="32">
        <f t="shared" ca="1" si="6"/>
        <v>44450</v>
      </c>
    </row>
    <row r="544" spans="1:2" ht="15" customHeight="1" x14ac:dyDescent="0.25">
      <c r="A544" t="s">
        <v>782</v>
      </c>
      <c r="B544" s="32">
        <f t="shared" ca="1" si="6"/>
        <v>44450</v>
      </c>
    </row>
    <row r="545" spans="1:2" ht="15" customHeight="1" x14ac:dyDescent="0.25">
      <c r="A545" t="s">
        <v>782</v>
      </c>
      <c r="B545" s="32">
        <f t="shared" ca="1" si="6"/>
        <v>44450</v>
      </c>
    </row>
    <row r="546" spans="1:2" ht="15" customHeight="1" x14ac:dyDescent="0.25">
      <c r="A546" t="s">
        <v>779</v>
      </c>
      <c r="B546" s="32">
        <f t="shared" ca="1" si="6"/>
        <v>44450</v>
      </c>
    </row>
    <row r="547" spans="1:2" ht="15" customHeight="1" x14ac:dyDescent="0.25">
      <c r="A547" t="s">
        <v>575</v>
      </c>
      <c r="B547" s="32">
        <f t="shared" ca="1" si="6"/>
        <v>44450</v>
      </c>
    </row>
    <row r="548" spans="1:2" ht="15" customHeight="1" x14ac:dyDescent="0.25">
      <c r="A548" t="s">
        <v>576</v>
      </c>
      <c r="B548" s="32">
        <f t="shared" ca="1" si="6"/>
        <v>44450</v>
      </c>
    </row>
    <row r="549" spans="1:2" ht="15" customHeight="1" x14ac:dyDescent="0.25">
      <c r="A549" t="s">
        <v>577</v>
      </c>
      <c r="B549" s="32">
        <f t="shared" ca="1" si="6"/>
        <v>44450</v>
      </c>
    </row>
    <row r="550" spans="1:2" ht="15" customHeight="1" x14ac:dyDescent="0.25">
      <c r="A550" t="s">
        <v>577</v>
      </c>
      <c r="B550" s="32">
        <f t="shared" ca="1" si="6"/>
        <v>44450</v>
      </c>
    </row>
    <row r="551" spans="1:2" ht="15" customHeight="1" x14ac:dyDescent="0.25">
      <c r="A551" t="s">
        <v>783</v>
      </c>
      <c r="B551" s="32">
        <f t="shared" ca="1" si="6"/>
        <v>44450</v>
      </c>
    </row>
    <row r="552" spans="1:2" ht="15" customHeight="1" x14ac:dyDescent="0.25">
      <c r="A552" t="s">
        <v>783</v>
      </c>
      <c r="B552" s="32">
        <f t="shared" ca="1" si="6"/>
        <v>44450</v>
      </c>
    </row>
    <row r="553" spans="1:2" ht="15" customHeight="1" x14ac:dyDescent="0.25">
      <c r="A553" t="s">
        <v>783</v>
      </c>
      <c r="B553" s="32">
        <f t="shared" ca="1" si="6"/>
        <v>44450</v>
      </c>
    </row>
    <row r="554" spans="1:2" ht="15" customHeight="1" x14ac:dyDescent="0.25">
      <c r="A554" t="s">
        <v>783</v>
      </c>
      <c r="B554" s="32">
        <f t="shared" ca="1" si="6"/>
        <v>44450</v>
      </c>
    </row>
    <row r="555" spans="1:2" ht="15" customHeight="1" x14ac:dyDescent="0.25">
      <c r="A555" t="s">
        <v>783</v>
      </c>
      <c r="B555" s="32">
        <f t="shared" ca="1" si="6"/>
        <v>44450</v>
      </c>
    </row>
    <row r="556" spans="1:2" ht="15" customHeight="1" x14ac:dyDescent="0.25">
      <c r="A556" t="s">
        <v>783</v>
      </c>
      <c r="B556" s="32">
        <f t="shared" ca="1" si="6"/>
        <v>44450</v>
      </c>
    </row>
    <row r="557" spans="1:2" ht="15" customHeight="1" x14ac:dyDescent="0.25">
      <c r="A557" t="s">
        <v>783</v>
      </c>
      <c r="B557" s="32">
        <f t="shared" ca="1" si="6"/>
        <v>44450</v>
      </c>
    </row>
    <row r="558" spans="1:2" ht="15" customHeight="1" x14ac:dyDescent="0.25">
      <c r="A558" t="s">
        <v>783</v>
      </c>
      <c r="B558" s="32">
        <f t="shared" ca="1" si="6"/>
        <v>44450</v>
      </c>
    </row>
    <row r="559" spans="1:2" ht="15" customHeight="1" x14ac:dyDescent="0.25">
      <c r="A559" t="s">
        <v>784</v>
      </c>
      <c r="B559" s="32">
        <f t="shared" ca="1" si="6"/>
        <v>44450</v>
      </c>
    </row>
    <row r="560" spans="1:2" ht="15" customHeight="1" x14ac:dyDescent="0.25">
      <c r="A560" t="s">
        <v>784</v>
      </c>
      <c r="B560" s="32">
        <f t="shared" ca="1" si="6"/>
        <v>44450</v>
      </c>
    </row>
    <row r="561" spans="1:2" ht="15" customHeight="1" x14ac:dyDescent="0.25">
      <c r="A561" t="s">
        <v>784</v>
      </c>
      <c r="B561" s="32">
        <f t="shared" ca="1" si="6"/>
        <v>44450</v>
      </c>
    </row>
    <row r="562" spans="1:2" ht="15" customHeight="1" x14ac:dyDescent="0.25">
      <c r="A562" t="s">
        <v>784</v>
      </c>
      <c r="B562" s="32">
        <f t="shared" ca="1" si="6"/>
        <v>44450</v>
      </c>
    </row>
    <row r="563" spans="1:2" ht="15" customHeight="1" x14ac:dyDescent="0.25">
      <c r="A563" t="s">
        <v>784</v>
      </c>
      <c r="B563" s="32">
        <f t="shared" ca="1" si="6"/>
        <v>44450</v>
      </c>
    </row>
    <row r="564" spans="1:2" ht="15" customHeight="1" x14ac:dyDescent="0.25">
      <c r="A564" t="s">
        <v>785</v>
      </c>
      <c r="B564" s="32">
        <f t="shared" ca="1" si="6"/>
        <v>44450</v>
      </c>
    </row>
    <row r="565" spans="1:2" ht="15" customHeight="1" x14ac:dyDescent="0.25">
      <c r="A565" t="s">
        <v>785</v>
      </c>
      <c r="B565" s="32">
        <f t="shared" ca="1" si="6"/>
        <v>44450</v>
      </c>
    </row>
    <row r="566" spans="1:2" ht="15" customHeight="1" x14ac:dyDescent="0.25">
      <c r="A566" t="s">
        <v>785</v>
      </c>
      <c r="B566" s="32">
        <f t="shared" ca="1" si="6"/>
        <v>44450</v>
      </c>
    </row>
    <row r="567" spans="1:2" ht="15" customHeight="1" x14ac:dyDescent="0.25">
      <c r="A567" t="s">
        <v>785</v>
      </c>
      <c r="B567" s="32">
        <f t="shared" ca="1" si="6"/>
        <v>44450</v>
      </c>
    </row>
    <row r="568" spans="1:2" ht="15" customHeight="1" x14ac:dyDescent="0.25">
      <c r="A568" t="s">
        <v>785</v>
      </c>
      <c r="B568" s="32">
        <f t="shared" ca="1" si="6"/>
        <v>44450</v>
      </c>
    </row>
    <row r="569" spans="1:2" ht="15" customHeight="1" x14ac:dyDescent="0.25">
      <c r="A569" t="s">
        <v>781</v>
      </c>
      <c r="B569" s="32">
        <f t="shared" ca="1" si="6"/>
        <v>44450</v>
      </c>
    </row>
    <row r="570" spans="1:2" ht="15" customHeight="1" x14ac:dyDescent="0.25">
      <c r="A570" t="s">
        <v>781</v>
      </c>
      <c r="B570" s="32">
        <f t="shared" ca="1" si="6"/>
        <v>44450</v>
      </c>
    </row>
    <row r="571" spans="1:2" ht="15" customHeight="1" x14ac:dyDescent="0.25">
      <c r="A571" t="s">
        <v>786</v>
      </c>
      <c r="B571" s="32">
        <f t="shared" ca="1" si="6"/>
        <v>44450</v>
      </c>
    </row>
    <row r="572" spans="1:2" ht="15" customHeight="1" x14ac:dyDescent="0.25">
      <c r="A572" t="s">
        <v>578</v>
      </c>
      <c r="B572" s="32">
        <f t="shared" ca="1" si="6"/>
        <v>44450</v>
      </c>
    </row>
    <row r="573" spans="1:2" ht="15" customHeight="1" x14ac:dyDescent="0.25">
      <c r="A573" t="s">
        <v>579</v>
      </c>
      <c r="B573" s="32">
        <f t="shared" ca="1" si="6"/>
        <v>44450</v>
      </c>
    </row>
    <row r="574" spans="1:2" ht="15" customHeight="1" x14ac:dyDescent="0.25">
      <c r="A574" t="s">
        <v>580</v>
      </c>
      <c r="B574" s="32">
        <f t="shared" ca="1" si="6"/>
        <v>44450</v>
      </c>
    </row>
    <row r="575" spans="1:2" ht="15" customHeight="1" x14ac:dyDescent="0.25">
      <c r="A575" t="s">
        <v>580</v>
      </c>
      <c r="B575" s="32">
        <f t="shared" ca="1" si="6"/>
        <v>44450</v>
      </c>
    </row>
    <row r="576" spans="1:2" ht="15" customHeight="1" x14ac:dyDescent="0.25">
      <c r="A576" t="s">
        <v>581</v>
      </c>
      <c r="B576" s="32">
        <f t="shared" ca="1" si="6"/>
        <v>44450</v>
      </c>
    </row>
    <row r="577" spans="1:2" ht="15" customHeight="1" x14ac:dyDescent="0.25">
      <c r="A577" t="s">
        <v>582</v>
      </c>
      <c r="B577" s="32">
        <f t="shared" ca="1" si="6"/>
        <v>44450</v>
      </c>
    </row>
    <row r="578" spans="1:2" ht="15" customHeight="1" x14ac:dyDescent="0.25">
      <c r="A578" t="s">
        <v>582</v>
      </c>
      <c r="B578" s="32">
        <f t="shared" ca="1" si="6"/>
        <v>44450</v>
      </c>
    </row>
    <row r="579" spans="1:2" ht="15" customHeight="1" x14ac:dyDescent="0.25">
      <c r="A579" t="s">
        <v>583</v>
      </c>
      <c r="B579" s="32">
        <f t="shared" ca="1" si="6"/>
        <v>44450</v>
      </c>
    </row>
    <row r="580" spans="1:2" ht="15" customHeight="1" x14ac:dyDescent="0.25">
      <c r="A580" t="s">
        <v>583</v>
      </c>
      <c r="B580" s="32">
        <f t="shared" ca="1" si="6"/>
        <v>44450</v>
      </c>
    </row>
    <row r="581" spans="1:2" ht="15" customHeight="1" x14ac:dyDescent="0.25">
      <c r="A581" t="s">
        <v>584</v>
      </c>
      <c r="B581" s="32">
        <f t="shared" ca="1" si="6"/>
        <v>44450</v>
      </c>
    </row>
    <row r="582" spans="1:2" ht="15" customHeight="1" x14ac:dyDescent="0.25">
      <c r="A582" t="s">
        <v>584</v>
      </c>
      <c r="B582" s="32">
        <f t="shared" ca="1" si="6"/>
        <v>44450</v>
      </c>
    </row>
    <row r="583" spans="1:2" ht="15" customHeight="1" x14ac:dyDescent="0.25">
      <c r="A583" t="s">
        <v>787</v>
      </c>
      <c r="B583" s="32">
        <f t="shared" ref="B583:B646" ca="1" si="7">TODAY()-150</f>
        <v>44450</v>
      </c>
    </row>
    <row r="584" spans="1:2" ht="15" customHeight="1" x14ac:dyDescent="0.25">
      <c r="A584" t="s">
        <v>787</v>
      </c>
      <c r="B584" s="32">
        <f t="shared" ca="1" si="7"/>
        <v>44450</v>
      </c>
    </row>
    <row r="585" spans="1:2" ht="15" customHeight="1" x14ac:dyDescent="0.25">
      <c r="A585" t="s">
        <v>787</v>
      </c>
      <c r="B585" s="32">
        <f t="shared" ca="1" si="7"/>
        <v>44450</v>
      </c>
    </row>
    <row r="586" spans="1:2" ht="15" customHeight="1" x14ac:dyDescent="0.25">
      <c r="A586" t="s">
        <v>787</v>
      </c>
      <c r="B586" s="32">
        <f t="shared" ca="1" si="7"/>
        <v>44450</v>
      </c>
    </row>
    <row r="587" spans="1:2" ht="15" customHeight="1" x14ac:dyDescent="0.25">
      <c r="A587" t="s">
        <v>787</v>
      </c>
      <c r="B587" s="32">
        <f t="shared" ca="1" si="7"/>
        <v>44450</v>
      </c>
    </row>
    <row r="588" spans="1:2" ht="15" customHeight="1" x14ac:dyDescent="0.25">
      <c r="A588" t="s">
        <v>787</v>
      </c>
      <c r="B588" s="32">
        <f t="shared" ca="1" si="7"/>
        <v>44450</v>
      </c>
    </row>
    <row r="589" spans="1:2" ht="15" customHeight="1" x14ac:dyDescent="0.25">
      <c r="A589" t="s">
        <v>788</v>
      </c>
      <c r="B589" s="32">
        <f t="shared" ca="1" si="7"/>
        <v>44450</v>
      </c>
    </row>
    <row r="590" spans="1:2" ht="15" customHeight="1" x14ac:dyDescent="0.25">
      <c r="A590" t="s">
        <v>788</v>
      </c>
      <c r="B590" s="32">
        <f t="shared" ca="1" si="7"/>
        <v>44450</v>
      </c>
    </row>
    <row r="591" spans="1:2" ht="15" customHeight="1" x14ac:dyDescent="0.25">
      <c r="A591" t="s">
        <v>788</v>
      </c>
      <c r="B591" s="32">
        <f t="shared" ca="1" si="7"/>
        <v>44450</v>
      </c>
    </row>
    <row r="592" spans="1:2" ht="15" customHeight="1" x14ac:dyDescent="0.25">
      <c r="A592" t="s">
        <v>788</v>
      </c>
      <c r="B592" s="32">
        <f t="shared" ca="1" si="7"/>
        <v>44450</v>
      </c>
    </row>
    <row r="593" spans="1:2" ht="15" customHeight="1" x14ac:dyDescent="0.25">
      <c r="A593" t="s">
        <v>788</v>
      </c>
      <c r="B593" s="32">
        <f t="shared" ca="1" si="7"/>
        <v>44450</v>
      </c>
    </row>
    <row r="594" spans="1:2" ht="15" customHeight="1" x14ac:dyDescent="0.25">
      <c r="A594" t="s">
        <v>788</v>
      </c>
      <c r="B594" s="32">
        <f t="shared" ca="1" si="7"/>
        <v>44450</v>
      </c>
    </row>
    <row r="595" spans="1:2" ht="15" customHeight="1" x14ac:dyDescent="0.25">
      <c r="A595" t="s">
        <v>789</v>
      </c>
      <c r="B595" s="32">
        <f t="shared" ca="1" si="7"/>
        <v>44450</v>
      </c>
    </row>
    <row r="596" spans="1:2" ht="15" customHeight="1" x14ac:dyDescent="0.25">
      <c r="A596" t="s">
        <v>789</v>
      </c>
      <c r="B596" s="32">
        <f t="shared" ca="1" si="7"/>
        <v>44450</v>
      </c>
    </row>
    <row r="597" spans="1:2" ht="15" customHeight="1" x14ac:dyDescent="0.25">
      <c r="A597" t="s">
        <v>789</v>
      </c>
      <c r="B597" s="32">
        <f t="shared" ca="1" si="7"/>
        <v>44450</v>
      </c>
    </row>
    <row r="598" spans="1:2" ht="15" customHeight="1" x14ac:dyDescent="0.25">
      <c r="A598" t="s">
        <v>790</v>
      </c>
      <c r="B598" s="32">
        <f t="shared" ca="1" si="7"/>
        <v>44450</v>
      </c>
    </row>
    <row r="599" spans="1:2" ht="15" customHeight="1" x14ac:dyDescent="0.25">
      <c r="A599" t="s">
        <v>790</v>
      </c>
      <c r="B599" s="32">
        <f t="shared" ca="1" si="7"/>
        <v>44450</v>
      </c>
    </row>
    <row r="600" spans="1:2" ht="15" customHeight="1" x14ac:dyDescent="0.25">
      <c r="A600" t="s">
        <v>585</v>
      </c>
      <c r="B600" s="32">
        <f t="shared" ca="1" si="7"/>
        <v>44450</v>
      </c>
    </row>
    <row r="601" spans="1:2" ht="15" customHeight="1" x14ac:dyDescent="0.25">
      <c r="A601" t="s">
        <v>586</v>
      </c>
      <c r="B601" s="32">
        <f t="shared" ca="1" si="7"/>
        <v>44450</v>
      </c>
    </row>
    <row r="602" spans="1:2" ht="15" customHeight="1" x14ac:dyDescent="0.25">
      <c r="A602" t="s">
        <v>587</v>
      </c>
      <c r="B602" s="32">
        <f t="shared" ca="1" si="7"/>
        <v>44450</v>
      </c>
    </row>
    <row r="603" spans="1:2" ht="15" customHeight="1" x14ac:dyDescent="0.25">
      <c r="A603" t="s">
        <v>791</v>
      </c>
      <c r="B603" s="32">
        <f t="shared" ca="1" si="7"/>
        <v>44450</v>
      </c>
    </row>
    <row r="604" spans="1:2" ht="15" customHeight="1" x14ac:dyDescent="0.25">
      <c r="A604" t="s">
        <v>791</v>
      </c>
      <c r="B604" s="32">
        <f t="shared" ca="1" si="7"/>
        <v>44450</v>
      </c>
    </row>
    <row r="605" spans="1:2" ht="15" customHeight="1" x14ac:dyDescent="0.25">
      <c r="A605" t="s">
        <v>791</v>
      </c>
      <c r="B605" s="32">
        <f t="shared" ca="1" si="7"/>
        <v>44450</v>
      </c>
    </row>
    <row r="606" spans="1:2" ht="15" customHeight="1" x14ac:dyDescent="0.25">
      <c r="A606" t="s">
        <v>792</v>
      </c>
      <c r="B606" s="32">
        <f t="shared" ca="1" si="7"/>
        <v>44450</v>
      </c>
    </row>
    <row r="607" spans="1:2" ht="15" customHeight="1" x14ac:dyDescent="0.25">
      <c r="A607" t="s">
        <v>792</v>
      </c>
      <c r="B607" s="32">
        <f t="shared" ca="1" si="7"/>
        <v>44450</v>
      </c>
    </row>
    <row r="608" spans="1:2" ht="15" customHeight="1" x14ac:dyDescent="0.25">
      <c r="A608" t="s">
        <v>792</v>
      </c>
      <c r="B608" s="32">
        <f t="shared" ca="1" si="7"/>
        <v>44450</v>
      </c>
    </row>
    <row r="609" spans="1:2" ht="15" customHeight="1" x14ac:dyDescent="0.25">
      <c r="A609" t="s">
        <v>792</v>
      </c>
      <c r="B609" s="32">
        <f t="shared" ca="1" si="7"/>
        <v>44450</v>
      </c>
    </row>
    <row r="610" spans="1:2" ht="15" customHeight="1" x14ac:dyDescent="0.25">
      <c r="A610" t="s">
        <v>792</v>
      </c>
      <c r="B610" s="32">
        <f t="shared" ca="1" si="7"/>
        <v>44450</v>
      </c>
    </row>
    <row r="611" spans="1:2" ht="15" customHeight="1" x14ac:dyDescent="0.25">
      <c r="A611" t="s">
        <v>793</v>
      </c>
      <c r="B611" s="32">
        <f t="shared" ca="1" si="7"/>
        <v>44450</v>
      </c>
    </row>
    <row r="612" spans="1:2" ht="15" customHeight="1" x14ac:dyDescent="0.25">
      <c r="A612" t="s">
        <v>793</v>
      </c>
      <c r="B612" s="32">
        <f t="shared" ca="1" si="7"/>
        <v>44450</v>
      </c>
    </row>
    <row r="613" spans="1:2" ht="15" customHeight="1" x14ac:dyDescent="0.25">
      <c r="A613" t="s">
        <v>793</v>
      </c>
      <c r="B613" s="32">
        <f t="shared" ca="1" si="7"/>
        <v>44450</v>
      </c>
    </row>
    <row r="614" spans="1:2" ht="15" customHeight="1" x14ac:dyDescent="0.25">
      <c r="A614" t="s">
        <v>793</v>
      </c>
      <c r="B614" s="32">
        <f t="shared" ca="1" si="7"/>
        <v>44450</v>
      </c>
    </row>
    <row r="615" spans="1:2" ht="15" customHeight="1" x14ac:dyDescent="0.25">
      <c r="A615" t="s">
        <v>793</v>
      </c>
      <c r="B615" s="32">
        <f t="shared" ca="1" si="7"/>
        <v>44450</v>
      </c>
    </row>
    <row r="616" spans="1:2" ht="15" customHeight="1" x14ac:dyDescent="0.25">
      <c r="A616" t="s">
        <v>793</v>
      </c>
      <c r="B616" s="32">
        <f t="shared" ca="1" si="7"/>
        <v>44450</v>
      </c>
    </row>
    <row r="617" spans="1:2" ht="15" customHeight="1" x14ac:dyDescent="0.25">
      <c r="A617" t="s">
        <v>793</v>
      </c>
      <c r="B617" s="32">
        <f t="shared" ca="1" si="7"/>
        <v>44450</v>
      </c>
    </row>
    <row r="618" spans="1:2" ht="15" customHeight="1" x14ac:dyDescent="0.25">
      <c r="A618" t="s">
        <v>794</v>
      </c>
      <c r="B618" s="32">
        <f t="shared" ca="1" si="7"/>
        <v>44450</v>
      </c>
    </row>
    <row r="619" spans="1:2" ht="15" customHeight="1" x14ac:dyDescent="0.25">
      <c r="A619" t="s">
        <v>794</v>
      </c>
      <c r="B619" s="32">
        <f t="shared" ca="1" si="7"/>
        <v>44450</v>
      </c>
    </row>
    <row r="620" spans="1:2" ht="15" customHeight="1" x14ac:dyDescent="0.25">
      <c r="A620" t="s">
        <v>794</v>
      </c>
      <c r="B620" s="32">
        <f t="shared" ca="1" si="7"/>
        <v>44450</v>
      </c>
    </row>
    <row r="621" spans="1:2" ht="15" customHeight="1" x14ac:dyDescent="0.25">
      <c r="A621" t="s">
        <v>794</v>
      </c>
      <c r="B621" s="32">
        <f t="shared" ca="1" si="7"/>
        <v>44450</v>
      </c>
    </row>
    <row r="622" spans="1:2" ht="15" customHeight="1" x14ac:dyDescent="0.25">
      <c r="A622" t="s">
        <v>794</v>
      </c>
      <c r="B622" s="32">
        <f t="shared" ca="1" si="7"/>
        <v>44450</v>
      </c>
    </row>
    <row r="623" spans="1:2" ht="15" customHeight="1" x14ac:dyDescent="0.25">
      <c r="A623" t="s">
        <v>588</v>
      </c>
      <c r="B623" s="32">
        <f t="shared" ca="1" si="7"/>
        <v>44450</v>
      </c>
    </row>
    <row r="624" spans="1:2" ht="15" customHeight="1" x14ac:dyDescent="0.25">
      <c r="A624" t="s">
        <v>781</v>
      </c>
      <c r="B624" s="32">
        <f t="shared" ca="1" si="7"/>
        <v>44450</v>
      </c>
    </row>
    <row r="625" spans="1:2" ht="15" customHeight="1" x14ac:dyDescent="0.25">
      <c r="A625" t="s">
        <v>795</v>
      </c>
      <c r="B625" s="32">
        <f t="shared" ca="1" si="7"/>
        <v>44450</v>
      </c>
    </row>
    <row r="626" spans="1:2" ht="15" customHeight="1" x14ac:dyDescent="0.25">
      <c r="A626" t="s">
        <v>795</v>
      </c>
      <c r="B626" s="32">
        <f t="shared" ca="1" si="7"/>
        <v>44450</v>
      </c>
    </row>
    <row r="627" spans="1:2" ht="15" customHeight="1" x14ac:dyDescent="0.25">
      <c r="A627" t="s">
        <v>796</v>
      </c>
      <c r="B627" s="32">
        <f t="shared" ca="1" si="7"/>
        <v>44450</v>
      </c>
    </row>
    <row r="628" spans="1:2" ht="15" customHeight="1" x14ac:dyDescent="0.25">
      <c r="A628" t="s">
        <v>797</v>
      </c>
      <c r="B628" s="32">
        <f t="shared" ca="1" si="7"/>
        <v>44450</v>
      </c>
    </row>
    <row r="629" spans="1:2" ht="15" customHeight="1" x14ac:dyDescent="0.25">
      <c r="A629" t="s">
        <v>797</v>
      </c>
      <c r="B629" s="32">
        <f t="shared" ca="1" si="7"/>
        <v>44450</v>
      </c>
    </row>
    <row r="630" spans="1:2" ht="15" customHeight="1" x14ac:dyDescent="0.25">
      <c r="A630" t="s">
        <v>797</v>
      </c>
      <c r="B630" s="32">
        <f t="shared" ca="1" si="7"/>
        <v>44450</v>
      </c>
    </row>
    <row r="631" spans="1:2" ht="15" customHeight="1" x14ac:dyDescent="0.25">
      <c r="A631" t="s">
        <v>797</v>
      </c>
      <c r="B631" s="32">
        <f t="shared" ca="1" si="7"/>
        <v>44450</v>
      </c>
    </row>
    <row r="632" spans="1:2" ht="15" customHeight="1" x14ac:dyDescent="0.25">
      <c r="A632" t="s">
        <v>797</v>
      </c>
      <c r="B632" s="32">
        <f t="shared" ca="1" si="7"/>
        <v>44450</v>
      </c>
    </row>
    <row r="633" spans="1:2" ht="15" customHeight="1" x14ac:dyDescent="0.25">
      <c r="A633" t="s">
        <v>797</v>
      </c>
      <c r="B633" s="32">
        <f t="shared" ca="1" si="7"/>
        <v>44450</v>
      </c>
    </row>
    <row r="634" spans="1:2" ht="15" customHeight="1" x14ac:dyDescent="0.25">
      <c r="A634" t="s">
        <v>798</v>
      </c>
      <c r="B634" s="32">
        <f t="shared" ca="1" si="7"/>
        <v>44450</v>
      </c>
    </row>
    <row r="635" spans="1:2" ht="15" customHeight="1" x14ac:dyDescent="0.25">
      <c r="A635" t="s">
        <v>798</v>
      </c>
      <c r="B635" s="32">
        <f t="shared" ca="1" si="7"/>
        <v>44450</v>
      </c>
    </row>
    <row r="636" spans="1:2" ht="15" customHeight="1" x14ac:dyDescent="0.25">
      <c r="A636" t="s">
        <v>798</v>
      </c>
      <c r="B636" s="32">
        <f t="shared" ca="1" si="7"/>
        <v>44450</v>
      </c>
    </row>
    <row r="637" spans="1:2" ht="15" customHeight="1" x14ac:dyDescent="0.25">
      <c r="A637" t="s">
        <v>781</v>
      </c>
      <c r="B637" s="32">
        <f t="shared" ca="1" si="7"/>
        <v>44450</v>
      </c>
    </row>
    <row r="638" spans="1:2" ht="15" customHeight="1" x14ac:dyDescent="0.25">
      <c r="A638" t="s">
        <v>772</v>
      </c>
      <c r="B638" s="32">
        <f t="shared" ca="1" si="7"/>
        <v>44450</v>
      </c>
    </row>
    <row r="639" spans="1:2" ht="15" customHeight="1" x14ac:dyDescent="0.25">
      <c r="A639" t="s">
        <v>772</v>
      </c>
      <c r="B639" s="32">
        <f t="shared" ca="1" si="7"/>
        <v>44450</v>
      </c>
    </row>
    <row r="640" spans="1:2" ht="15" customHeight="1" x14ac:dyDescent="0.25">
      <c r="A640" t="s">
        <v>772</v>
      </c>
      <c r="B640" s="32">
        <f t="shared" ca="1" si="7"/>
        <v>44450</v>
      </c>
    </row>
    <row r="641" spans="1:2" ht="15" customHeight="1" x14ac:dyDescent="0.25">
      <c r="A641" t="s">
        <v>772</v>
      </c>
      <c r="B641" s="32">
        <f t="shared" ca="1" si="7"/>
        <v>44450</v>
      </c>
    </row>
    <row r="642" spans="1:2" ht="15" customHeight="1" x14ac:dyDescent="0.25">
      <c r="A642" t="s">
        <v>799</v>
      </c>
      <c r="B642" s="32">
        <f t="shared" ca="1" si="7"/>
        <v>44450</v>
      </c>
    </row>
    <row r="643" spans="1:2" ht="15" customHeight="1" x14ac:dyDescent="0.25">
      <c r="A643" t="s">
        <v>799</v>
      </c>
      <c r="B643" s="32">
        <f t="shared" ca="1" si="7"/>
        <v>44450</v>
      </c>
    </row>
    <row r="644" spans="1:2" ht="15" customHeight="1" x14ac:dyDescent="0.25">
      <c r="A644" t="s">
        <v>799</v>
      </c>
      <c r="B644" s="32">
        <f t="shared" ca="1" si="7"/>
        <v>44450</v>
      </c>
    </row>
    <row r="645" spans="1:2" ht="15" customHeight="1" x14ac:dyDescent="0.25">
      <c r="A645" t="s">
        <v>799</v>
      </c>
      <c r="B645" s="32">
        <f t="shared" ca="1" si="7"/>
        <v>44450</v>
      </c>
    </row>
    <row r="646" spans="1:2" ht="15" customHeight="1" x14ac:dyDescent="0.25">
      <c r="A646" t="s">
        <v>799</v>
      </c>
      <c r="B646" s="32">
        <f t="shared" ca="1" si="7"/>
        <v>44450</v>
      </c>
    </row>
    <row r="647" spans="1:2" ht="15" customHeight="1" x14ac:dyDescent="0.25">
      <c r="A647" t="s">
        <v>800</v>
      </c>
      <c r="B647" s="32">
        <f t="shared" ref="B647:B710" ca="1" si="8">TODAY()-150</f>
        <v>44450</v>
      </c>
    </row>
    <row r="648" spans="1:2" ht="15" customHeight="1" x14ac:dyDescent="0.25">
      <c r="A648" t="s">
        <v>800</v>
      </c>
      <c r="B648" s="32">
        <f t="shared" ca="1" si="8"/>
        <v>44450</v>
      </c>
    </row>
    <row r="649" spans="1:2" ht="15" customHeight="1" x14ac:dyDescent="0.25">
      <c r="A649" t="s">
        <v>801</v>
      </c>
      <c r="B649" s="32">
        <f t="shared" ca="1" si="8"/>
        <v>44450</v>
      </c>
    </row>
    <row r="650" spans="1:2" ht="15" customHeight="1" x14ac:dyDescent="0.25">
      <c r="A650" t="s">
        <v>801</v>
      </c>
      <c r="B650" s="32">
        <f t="shared" ca="1" si="8"/>
        <v>44450</v>
      </c>
    </row>
    <row r="651" spans="1:2" ht="15" customHeight="1" x14ac:dyDescent="0.25">
      <c r="A651" t="s">
        <v>801</v>
      </c>
      <c r="B651" s="32">
        <f t="shared" ca="1" si="8"/>
        <v>44450</v>
      </c>
    </row>
    <row r="652" spans="1:2" ht="15" customHeight="1" x14ac:dyDescent="0.25">
      <c r="A652" t="s">
        <v>801</v>
      </c>
      <c r="B652" s="32">
        <f t="shared" ca="1" si="8"/>
        <v>44450</v>
      </c>
    </row>
    <row r="653" spans="1:2" ht="15" customHeight="1" x14ac:dyDescent="0.25">
      <c r="A653" t="s">
        <v>801</v>
      </c>
      <c r="B653" s="32">
        <f t="shared" ca="1" si="8"/>
        <v>44450</v>
      </c>
    </row>
    <row r="654" spans="1:2" ht="15" customHeight="1" x14ac:dyDescent="0.25">
      <c r="A654" t="s">
        <v>801</v>
      </c>
      <c r="B654" s="32">
        <f t="shared" ca="1" si="8"/>
        <v>44450</v>
      </c>
    </row>
    <row r="655" spans="1:2" ht="15" customHeight="1" x14ac:dyDescent="0.25">
      <c r="A655" t="s">
        <v>801</v>
      </c>
      <c r="B655" s="32">
        <f t="shared" ca="1" si="8"/>
        <v>44450</v>
      </c>
    </row>
    <row r="656" spans="1:2" ht="15" customHeight="1" x14ac:dyDescent="0.25">
      <c r="A656" t="s">
        <v>802</v>
      </c>
      <c r="B656" s="32">
        <f t="shared" ca="1" si="8"/>
        <v>44450</v>
      </c>
    </row>
    <row r="657" spans="1:2" ht="15" customHeight="1" x14ac:dyDescent="0.25">
      <c r="A657" t="s">
        <v>802</v>
      </c>
      <c r="B657" s="32">
        <f t="shared" ca="1" si="8"/>
        <v>44450</v>
      </c>
    </row>
    <row r="658" spans="1:2" ht="15" customHeight="1" x14ac:dyDescent="0.25">
      <c r="A658" t="s">
        <v>802</v>
      </c>
      <c r="B658" s="32">
        <f t="shared" ca="1" si="8"/>
        <v>44450</v>
      </c>
    </row>
    <row r="659" spans="1:2" ht="15" customHeight="1" x14ac:dyDescent="0.25">
      <c r="A659" t="s">
        <v>802</v>
      </c>
      <c r="B659" s="32">
        <f t="shared" ca="1" si="8"/>
        <v>44450</v>
      </c>
    </row>
    <row r="660" spans="1:2" ht="15" customHeight="1" x14ac:dyDescent="0.25">
      <c r="A660" t="s">
        <v>803</v>
      </c>
      <c r="B660" s="32">
        <f t="shared" ca="1" si="8"/>
        <v>44450</v>
      </c>
    </row>
    <row r="661" spans="1:2" ht="15" customHeight="1" x14ac:dyDescent="0.25">
      <c r="A661" t="s">
        <v>803</v>
      </c>
      <c r="B661" s="32">
        <f t="shared" ca="1" si="8"/>
        <v>44450</v>
      </c>
    </row>
    <row r="662" spans="1:2" ht="15" customHeight="1" x14ac:dyDescent="0.25">
      <c r="A662" t="s">
        <v>804</v>
      </c>
      <c r="B662" s="32">
        <f t="shared" ca="1" si="8"/>
        <v>44450</v>
      </c>
    </row>
    <row r="663" spans="1:2" ht="15" customHeight="1" x14ac:dyDescent="0.25">
      <c r="A663" t="s">
        <v>804</v>
      </c>
      <c r="B663" s="32">
        <f t="shared" ca="1" si="8"/>
        <v>44450</v>
      </c>
    </row>
    <row r="664" spans="1:2" ht="15" customHeight="1" x14ac:dyDescent="0.25">
      <c r="A664" t="s">
        <v>804</v>
      </c>
      <c r="B664" s="32">
        <f t="shared" ca="1" si="8"/>
        <v>44450</v>
      </c>
    </row>
    <row r="665" spans="1:2" ht="15" customHeight="1" x14ac:dyDescent="0.25">
      <c r="A665" t="s">
        <v>804</v>
      </c>
      <c r="B665" s="32">
        <f t="shared" ca="1" si="8"/>
        <v>44450</v>
      </c>
    </row>
    <row r="666" spans="1:2" ht="15" customHeight="1" x14ac:dyDescent="0.25">
      <c r="A666" t="s">
        <v>804</v>
      </c>
      <c r="B666" s="32">
        <f t="shared" ca="1" si="8"/>
        <v>44450</v>
      </c>
    </row>
    <row r="667" spans="1:2" ht="15" customHeight="1" x14ac:dyDescent="0.25">
      <c r="A667" t="s">
        <v>804</v>
      </c>
      <c r="B667" s="32">
        <f t="shared" ca="1" si="8"/>
        <v>44450</v>
      </c>
    </row>
    <row r="668" spans="1:2" ht="15" customHeight="1" x14ac:dyDescent="0.25">
      <c r="A668" t="s">
        <v>257</v>
      </c>
      <c r="B668" s="32">
        <f t="shared" ca="1" si="8"/>
        <v>44450</v>
      </c>
    </row>
    <row r="669" spans="1:2" ht="15" customHeight="1" x14ac:dyDescent="0.25">
      <c r="A669" t="s">
        <v>258</v>
      </c>
      <c r="B669" s="32">
        <f t="shared" ca="1" si="8"/>
        <v>44450</v>
      </c>
    </row>
    <row r="670" spans="1:2" ht="15" customHeight="1" x14ac:dyDescent="0.25">
      <c r="A670" t="s">
        <v>259</v>
      </c>
      <c r="B670" s="32">
        <f t="shared" ca="1" si="8"/>
        <v>44450</v>
      </c>
    </row>
    <row r="671" spans="1:2" ht="15" customHeight="1" x14ac:dyDescent="0.25">
      <c r="A671" t="s">
        <v>260</v>
      </c>
      <c r="B671" s="32">
        <f t="shared" ca="1" si="8"/>
        <v>44450</v>
      </c>
    </row>
    <row r="672" spans="1:2" ht="15" customHeight="1" x14ac:dyDescent="0.25">
      <c r="A672" t="s">
        <v>260</v>
      </c>
      <c r="B672" s="32">
        <f t="shared" ca="1" si="8"/>
        <v>44450</v>
      </c>
    </row>
    <row r="673" spans="1:2" ht="15" customHeight="1" x14ac:dyDescent="0.25">
      <c r="A673" t="s">
        <v>261</v>
      </c>
      <c r="B673" s="32">
        <f t="shared" ca="1" si="8"/>
        <v>44450</v>
      </c>
    </row>
    <row r="674" spans="1:2" ht="15" customHeight="1" x14ac:dyDescent="0.25">
      <c r="A674" t="s">
        <v>262</v>
      </c>
      <c r="B674" s="32">
        <f t="shared" ca="1" si="8"/>
        <v>44450</v>
      </c>
    </row>
    <row r="675" spans="1:2" ht="15" customHeight="1" x14ac:dyDescent="0.25">
      <c r="A675" t="s">
        <v>485</v>
      </c>
      <c r="B675" s="32">
        <f t="shared" ca="1" si="8"/>
        <v>44450</v>
      </c>
    </row>
    <row r="676" spans="1:2" ht="15" customHeight="1" x14ac:dyDescent="0.25">
      <c r="A676" t="s">
        <v>486</v>
      </c>
      <c r="B676" s="32">
        <f t="shared" ca="1" si="8"/>
        <v>44450</v>
      </c>
    </row>
    <row r="677" spans="1:2" ht="15" customHeight="1" x14ac:dyDescent="0.25">
      <c r="A677" t="s">
        <v>487</v>
      </c>
      <c r="B677" s="32">
        <f t="shared" ca="1" si="8"/>
        <v>44450</v>
      </c>
    </row>
    <row r="678" spans="1:2" ht="15" customHeight="1" x14ac:dyDescent="0.25">
      <c r="A678" t="s">
        <v>488</v>
      </c>
      <c r="B678" s="32">
        <f t="shared" ca="1" si="8"/>
        <v>44450</v>
      </c>
    </row>
    <row r="679" spans="1:2" ht="15" customHeight="1" x14ac:dyDescent="0.25">
      <c r="A679" t="s">
        <v>489</v>
      </c>
      <c r="B679" s="32">
        <f t="shared" ca="1" si="8"/>
        <v>44450</v>
      </c>
    </row>
    <row r="680" spans="1:2" ht="15" customHeight="1" x14ac:dyDescent="0.25">
      <c r="A680" t="s">
        <v>490</v>
      </c>
      <c r="B680" s="32">
        <f t="shared" ca="1" si="8"/>
        <v>44450</v>
      </c>
    </row>
    <row r="681" spans="1:2" ht="15" customHeight="1" x14ac:dyDescent="0.25">
      <c r="A681" t="s">
        <v>491</v>
      </c>
      <c r="B681" s="32">
        <f t="shared" ca="1" si="8"/>
        <v>44450</v>
      </c>
    </row>
    <row r="682" spans="1:2" ht="15" customHeight="1" x14ac:dyDescent="0.25">
      <c r="A682" t="s">
        <v>492</v>
      </c>
      <c r="B682" s="32">
        <f t="shared" ca="1" si="8"/>
        <v>44450</v>
      </c>
    </row>
    <row r="683" spans="1:2" ht="15" customHeight="1" x14ac:dyDescent="0.25">
      <c r="A683" t="s">
        <v>493</v>
      </c>
      <c r="B683" s="32">
        <f t="shared" ca="1" si="8"/>
        <v>44450</v>
      </c>
    </row>
    <row r="684" spans="1:2" ht="15" customHeight="1" x14ac:dyDescent="0.25">
      <c r="A684" t="s">
        <v>493</v>
      </c>
      <c r="B684" s="32">
        <f t="shared" ca="1" si="8"/>
        <v>44450</v>
      </c>
    </row>
    <row r="685" spans="1:2" ht="15" customHeight="1" x14ac:dyDescent="0.25">
      <c r="A685" t="s">
        <v>494</v>
      </c>
      <c r="B685" s="32">
        <f t="shared" ca="1" si="8"/>
        <v>44450</v>
      </c>
    </row>
    <row r="686" spans="1:2" ht="15" customHeight="1" x14ac:dyDescent="0.25">
      <c r="A686" t="s">
        <v>494</v>
      </c>
      <c r="B686" s="32">
        <f t="shared" ca="1" si="8"/>
        <v>44450</v>
      </c>
    </row>
    <row r="687" spans="1:2" ht="15" customHeight="1" x14ac:dyDescent="0.25">
      <c r="A687" t="s">
        <v>495</v>
      </c>
      <c r="B687" s="32">
        <f t="shared" ca="1" si="8"/>
        <v>44450</v>
      </c>
    </row>
    <row r="688" spans="1:2" ht="15" customHeight="1" x14ac:dyDescent="0.25">
      <c r="A688" t="s">
        <v>496</v>
      </c>
      <c r="B688" s="32">
        <f t="shared" ca="1" si="8"/>
        <v>44450</v>
      </c>
    </row>
    <row r="689" spans="1:2" ht="15" customHeight="1" x14ac:dyDescent="0.25">
      <c r="A689" t="s">
        <v>805</v>
      </c>
      <c r="B689" s="32">
        <f t="shared" ca="1" si="8"/>
        <v>44450</v>
      </c>
    </row>
    <row r="690" spans="1:2" ht="15" customHeight="1" x14ac:dyDescent="0.25">
      <c r="A690" t="s">
        <v>805</v>
      </c>
      <c r="B690" s="32">
        <f t="shared" ca="1" si="8"/>
        <v>44450</v>
      </c>
    </row>
    <row r="691" spans="1:2" ht="15" customHeight="1" x14ac:dyDescent="0.25">
      <c r="A691" t="s">
        <v>805</v>
      </c>
      <c r="B691" s="32">
        <f t="shared" ca="1" si="8"/>
        <v>44450</v>
      </c>
    </row>
    <row r="692" spans="1:2" ht="15" customHeight="1" x14ac:dyDescent="0.25">
      <c r="A692" t="s">
        <v>805</v>
      </c>
      <c r="B692" s="32">
        <f t="shared" ca="1" si="8"/>
        <v>44450</v>
      </c>
    </row>
    <row r="693" spans="1:2" ht="15" customHeight="1" x14ac:dyDescent="0.25">
      <c r="A693" t="s">
        <v>805</v>
      </c>
      <c r="B693" s="32">
        <f t="shared" ca="1" si="8"/>
        <v>44450</v>
      </c>
    </row>
    <row r="694" spans="1:2" ht="15" customHeight="1" x14ac:dyDescent="0.25">
      <c r="A694" t="s">
        <v>805</v>
      </c>
      <c r="B694" s="32">
        <f t="shared" ca="1" si="8"/>
        <v>44450</v>
      </c>
    </row>
    <row r="695" spans="1:2" ht="15" customHeight="1" x14ac:dyDescent="0.25">
      <c r="A695" t="s">
        <v>805</v>
      </c>
      <c r="B695" s="32">
        <f t="shared" ca="1" si="8"/>
        <v>44450</v>
      </c>
    </row>
    <row r="696" spans="1:2" ht="15" customHeight="1" x14ac:dyDescent="0.25">
      <c r="A696" t="s">
        <v>805</v>
      </c>
      <c r="B696" s="32">
        <f t="shared" ca="1" si="8"/>
        <v>44450</v>
      </c>
    </row>
    <row r="697" spans="1:2" ht="15" customHeight="1" x14ac:dyDescent="0.25">
      <c r="A697" t="s">
        <v>805</v>
      </c>
      <c r="B697" s="32">
        <f t="shared" ca="1" si="8"/>
        <v>44450</v>
      </c>
    </row>
    <row r="698" spans="1:2" ht="15" customHeight="1" x14ac:dyDescent="0.25">
      <c r="A698" t="s">
        <v>497</v>
      </c>
      <c r="B698" s="32">
        <f t="shared" ca="1" si="8"/>
        <v>44450</v>
      </c>
    </row>
    <row r="699" spans="1:2" ht="15" customHeight="1" x14ac:dyDescent="0.25">
      <c r="A699" t="s">
        <v>498</v>
      </c>
      <c r="B699" s="32">
        <f t="shared" ca="1" si="8"/>
        <v>44450</v>
      </c>
    </row>
    <row r="700" spans="1:2" ht="15" customHeight="1" x14ac:dyDescent="0.25">
      <c r="A700" t="s">
        <v>499</v>
      </c>
      <c r="B700" s="32">
        <f t="shared" ca="1" si="8"/>
        <v>44450</v>
      </c>
    </row>
    <row r="701" spans="1:2" ht="15" customHeight="1" x14ac:dyDescent="0.25">
      <c r="A701" t="s">
        <v>500</v>
      </c>
      <c r="B701" s="32">
        <f t="shared" ca="1" si="8"/>
        <v>44450</v>
      </c>
    </row>
    <row r="702" spans="1:2" ht="15" customHeight="1" x14ac:dyDescent="0.25">
      <c r="A702" t="s">
        <v>501</v>
      </c>
      <c r="B702" s="32">
        <f t="shared" ca="1" si="8"/>
        <v>44450</v>
      </c>
    </row>
    <row r="703" spans="1:2" ht="15" customHeight="1" x14ac:dyDescent="0.25">
      <c r="A703" t="s">
        <v>502</v>
      </c>
      <c r="B703" s="32">
        <f t="shared" ca="1" si="8"/>
        <v>44450</v>
      </c>
    </row>
    <row r="704" spans="1:2" ht="15" customHeight="1" x14ac:dyDescent="0.25">
      <c r="A704" t="s">
        <v>503</v>
      </c>
      <c r="B704" s="32">
        <f t="shared" ca="1" si="8"/>
        <v>44450</v>
      </c>
    </row>
    <row r="705" spans="1:2" ht="15" customHeight="1" x14ac:dyDescent="0.25">
      <c r="A705" t="s">
        <v>504</v>
      </c>
      <c r="B705" s="32">
        <f t="shared" ca="1" si="8"/>
        <v>44450</v>
      </c>
    </row>
    <row r="706" spans="1:2" ht="15" customHeight="1" x14ac:dyDescent="0.25">
      <c r="A706" t="s">
        <v>505</v>
      </c>
      <c r="B706" s="32">
        <f t="shared" ca="1" si="8"/>
        <v>44450</v>
      </c>
    </row>
    <row r="707" spans="1:2" ht="15" customHeight="1" x14ac:dyDescent="0.25">
      <c r="A707" t="s">
        <v>506</v>
      </c>
      <c r="B707" s="32">
        <f t="shared" ca="1" si="8"/>
        <v>44450</v>
      </c>
    </row>
    <row r="708" spans="1:2" ht="15" customHeight="1" x14ac:dyDescent="0.25">
      <c r="A708" t="s">
        <v>507</v>
      </c>
      <c r="B708" s="32">
        <f t="shared" ca="1" si="8"/>
        <v>44450</v>
      </c>
    </row>
    <row r="709" spans="1:2" ht="15" customHeight="1" x14ac:dyDescent="0.25">
      <c r="A709" t="s">
        <v>508</v>
      </c>
      <c r="B709" s="32">
        <f t="shared" ca="1" si="8"/>
        <v>44450</v>
      </c>
    </row>
    <row r="710" spans="1:2" ht="15" customHeight="1" x14ac:dyDescent="0.25">
      <c r="A710" t="s">
        <v>263</v>
      </c>
      <c r="B710" s="32">
        <f t="shared" ca="1" si="8"/>
        <v>44450</v>
      </c>
    </row>
    <row r="711" spans="1:2" ht="15" customHeight="1" x14ac:dyDescent="0.25">
      <c r="A711" t="s">
        <v>509</v>
      </c>
      <c r="B711" s="32">
        <f t="shared" ref="B711:B774" ca="1" si="9">TODAY()-150</f>
        <v>44450</v>
      </c>
    </row>
    <row r="712" spans="1:2" ht="15" customHeight="1" x14ac:dyDescent="0.25">
      <c r="A712" t="s">
        <v>510</v>
      </c>
      <c r="B712" s="32">
        <f t="shared" ca="1" si="9"/>
        <v>44450</v>
      </c>
    </row>
    <row r="713" spans="1:2" ht="15" customHeight="1" x14ac:dyDescent="0.25">
      <c r="A713" t="s">
        <v>511</v>
      </c>
      <c r="B713" s="32">
        <f t="shared" ca="1" si="9"/>
        <v>44450</v>
      </c>
    </row>
    <row r="714" spans="1:2" ht="15" customHeight="1" x14ac:dyDescent="0.25">
      <c r="A714" t="s">
        <v>512</v>
      </c>
      <c r="B714" s="32">
        <f t="shared" ca="1" si="9"/>
        <v>44450</v>
      </c>
    </row>
    <row r="715" spans="1:2" ht="15" customHeight="1" x14ac:dyDescent="0.25">
      <c r="A715" t="s">
        <v>513</v>
      </c>
      <c r="B715" s="32">
        <f t="shared" ca="1" si="9"/>
        <v>44450</v>
      </c>
    </row>
    <row r="716" spans="1:2" ht="15" customHeight="1" x14ac:dyDescent="0.25">
      <c r="A716" t="s">
        <v>514</v>
      </c>
      <c r="B716" s="32">
        <f t="shared" ca="1" si="9"/>
        <v>44450</v>
      </c>
    </row>
    <row r="717" spans="1:2" ht="15" customHeight="1" x14ac:dyDescent="0.25">
      <c r="A717" t="s">
        <v>515</v>
      </c>
      <c r="B717" s="32">
        <f t="shared" ca="1" si="9"/>
        <v>44450</v>
      </c>
    </row>
    <row r="718" spans="1:2" ht="15" customHeight="1" x14ac:dyDescent="0.25">
      <c r="A718" t="s">
        <v>516</v>
      </c>
      <c r="B718" s="32">
        <f t="shared" ca="1" si="9"/>
        <v>44450</v>
      </c>
    </row>
    <row r="719" spans="1:2" ht="15" customHeight="1" x14ac:dyDescent="0.25">
      <c r="A719" t="s">
        <v>517</v>
      </c>
      <c r="B719" s="32">
        <f t="shared" ca="1" si="9"/>
        <v>44450</v>
      </c>
    </row>
    <row r="720" spans="1:2" ht="15" customHeight="1" x14ac:dyDescent="0.25">
      <c r="A720" t="s">
        <v>518</v>
      </c>
      <c r="B720" s="32">
        <f t="shared" ca="1" si="9"/>
        <v>44450</v>
      </c>
    </row>
    <row r="721" spans="1:2" ht="15" customHeight="1" x14ac:dyDescent="0.25">
      <c r="A721" t="s">
        <v>519</v>
      </c>
      <c r="B721" s="32">
        <f t="shared" ca="1" si="9"/>
        <v>44450</v>
      </c>
    </row>
    <row r="722" spans="1:2" ht="15" customHeight="1" x14ac:dyDescent="0.25">
      <c r="A722" t="s">
        <v>520</v>
      </c>
      <c r="B722" s="32">
        <f t="shared" ca="1" si="9"/>
        <v>44450</v>
      </c>
    </row>
    <row r="723" spans="1:2" ht="15" customHeight="1" x14ac:dyDescent="0.25">
      <c r="A723" t="s">
        <v>521</v>
      </c>
      <c r="B723" s="32">
        <f t="shared" ca="1" si="9"/>
        <v>44450</v>
      </c>
    </row>
    <row r="724" spans="1:2" ht="15" customHeight="1" x14ac:dyDescent="0.25">
      <c r="A724" t="s">
        <v>522</v>
      </c>
      <c r="B724" s="32">
        <f t="shared" ca="1" si="9"/>
        <v>44450</v>
      </c>
    </row>
    <row r="725" spans="1:2" ht="15" customHeight="1" x14ac:dyDescent="0.25">
      <c r="A725" t="s">
        <v>523</v>
      </c>
      <c r="B725" s="32">
        <f t="shared" ca="1" si="9"/>
        <v>44450</v>
      </c>
    </row>
    <row r="726" spans="1:2" ht="15" customHeight="1" x14ac:dyDescent="0.25">
      <c r="A726" t="s">
        <v>524</v>
      </c>
      <c r="B726" s="32">
        <f t="shared" ca="1" si="9"/>
        <v>44450</v>
      </c>
    </row>
    <row r="727" spans="1:2" ht="15" customHeight="1" x14ac:dyDescent="0.25">
      <c r="A727" t="s">
        <v>525</v>
      </c>
      <c r="B727" s="32">
        <f t="shared" ca="1" si="9"/>
        <v>44450</v>
      </c>
    </row>
    <row r="728" spans="1:2" ht="15" customHeight="1" x14ac:dyDescent="0.25">
      <c r="A728" t="s">
        <v>806</v>
      </c>
      <c r="B728" s="32">
        <f t="shared" ca="1" si="9"/>
        <v>44450</v>
      </c>
    </row>
    <row r="729" spans="1:2" ht="15" customHeight="1" x14ac:dyDescent="0.25">
      <c r="A729" t="s">
        <v>806</v>
      </c>
      <c r="B729" s="32">
        <f t="shared" ca="1" si="9"/>
        <v>44450</v>
      </c>
    </row>
    <row r="730" spans="1:2" ht="15" customHeight="1" x14ac:dyDescent="0.25">
      <c r="A730" t="s">
        <v>806</v>
      </c>
      <c r="B730" s="32">
        <f t="shared" ca="1" si="9"/>
        <v>44450</v>
      </c>
    </row>
    <row r="731" spans="1:2" ht="15" customHeight="1" x14ac:dyDescent="0.25">
      <c r="A731" t="s">
        <v>806</v>
      </c>
      <c r="B731" s="32">
        <f t="shared" ca="1" si="9"/>
        <v>44450</v>
      </c>
    </row>
    <row r="732" spans="1:2" ht="15" customHeight="1" x14ac:dyDescent="0.25">
      <c r="A732" t="s">
        <v>806</v>
      </c>
      <c r="B732" s="32">
        <f t="shared" ca="1" si="9"/>
        <v>44450</v>
      </c>
    </row>
    <row r="733" spans="1:2" ht="15" customHeight="1" x14ac:dyDescent="0.25">
      <c r="A733" t="s">
        <v>806</v>
      </c>
      <c r="B733" s="32">
        <f t="shared" ca="1" si="9"/>
        <v>44450</v>
      </c>
    </row>
    <row r="734" spans="1:2" ht="15" customHeight="1" x14ac:dyDescent="0.25">
      <c r="A734" t="s">
        <v>807</v>
      </c>
      <c r="B734" s="32">
        <f t="shared" ca="1" si="9"/>
        <v>44450</v>
      </c>
    </row>
    <row r="735" spans="1:2" ht="15" customHeight="1" x14ac:dyDescent="0.25">
      <c r="A735" t="s">
        <v>807</v>
      </c>
      <c r="B735" s="32">
        <f t="shared" ca="1" si="9"/>
        <v>44450</v>
      </c>
    </row>
    <row r="736" spans="1:2" ht="15" customHeight="1" x14ac:dyDescent="0.25">
      <c r="A736" t="s">
        <v>808</v>
      </c>
      <c r="B736" s="32">
        <f t="shared" ca="1" si="9"/>
        <v>44450</v>
      </c>
    </row>
    <row r="737" spans="1:2" ht="15" customHeight="1" x14ac:dyDescent="0.25">
      <c r="A737" t="s">
        <v>808</v>
      </c>
      <c r="B737" s="32">
        <f t="shared" ca="1" si="9"/>
        <v>44450</v>
      </c>
    </row>
    <row r="738" spans="1:2" ht="15" customHeight="1" x14ac:dyDescent="0.25">
      <c r="A738" t="s">
        <v>809</v>
      </c>
      <c r="B738" s="32">
        <f t="shared" ca="1" si="9"/>
        <v>44450</v>
      </c>
    </row>
    <row r="739" spans="1:2" ht="15" customHeight="1" x14ac:dyDescent="0.25">
      <c r="A739" t="s">
        <v>809</v>
      </c>
      <c r="B739" s="32">
        <f t="shared" ca="1" si="9"/>
        <v>44450</v>
      </c>
    </row>
    <row r="740" spans="1:2" ht="15" customHeight="1" x14ac:dyDescent="0.25">
      <c r="A740" t="s">
        <v>810</v>
      </c>
      <c r="B740" s="32">
        <f t="shared" ca="1" si="9"/>
        <v>44450</v>
      </c>
    </row>
    <row r="741" spans="1:2" ht="15" customHeight="1" x14ac:dyDescent="0.25">
      <c r="A741" t="s">
        <v>810</v>
      </c>
      <c r="B741" s="32">
        <f t="shared" ca="1" si="9"/>
        <v>44450</v>
      </c>
    </row>
    <row r="742" spans="1:2" ht="15" customHeight="1" x14ac:dyDescent="0.25">
      <c r="A742" t="s">
        <v>810</v>
      </c>
      <c r="B742" s="32">
        <f t="shared" ca="1" si="9"/>
        <v>44450</v>
      </c>
    </row>
    <row r="743" spans="1:2" ht="15" customHeight="1" x14ac:dyDescent="0.25">
      <c r="A743" t="s">
        <v>810</v>
      </c>
      <c r="B743" s="32">
        <f t="shared" ca="1" si="9"/>
        <v>44450</v>
      </c>
    </row>
    <row r="744" spans="1:2" ht="15" customHeight="1" x14ac:dyDescent="0.25">
      <c r="A744" t="s">
        <v>810</v>
      </c>
      <c r="B744" s="32">
        <f t="shared" ca="1" si="9"/>
        <v>44450</v>
      </c>
    </row>
    <row r="745" spans="1:2" ht="15" customHeight="1" x14ac:dyDescent="0.25">
      <c r="A745" t="s">
        <v>810</v>
      </c>
      <c r="B745" s="32">
        <f t="shared" ca="1" si="9"/>
        <v>44450</v>
      </c>
    </row>
    <row r="746" spans="1:2" ht="15" customHeight="1" x14ac:dyDescent="0.25">
      <c r="A746" t="s">
        <v>264</v>
      </c>
      <c r="B746" s="32">
        <f t="shared" ca="1" si="9"/>
        <v>44450</v>
      </c>
    </row>
    <row r="747" spans="1:2" ht="15" customHeight="1" x14ac:dyDescent="0.25">
      <c r="A747" t="s">
        <v>265</v>
      </c>
      <c r="B747" s="32">
        <f t="shared" ca="1" si="9"/>
        <v>44450</v>
      </c>
    </row>
    <row r="748" spans="1:2" ht="15" customHeight="1" x14ac:dyDescent="0.25">
      <c r="A748" t="s">
        <v>266</v>
      </c>
      <c r="B748" s="32">
        <f t="shared" ca="1" si="9"/>
        <v>44450</v>
      </c>
    </row>
    <row r="749" spans="1:2" ht="15" customHeight="1" x14ac:dyDescent="0.25">
      <c r="A749" t="s">
        <v>267</v>
      </c>
      <c r="B749" s="32">
        <f t="shared" ca="1" si="9"/>
        <v>44450</v>
      </c>
    </row>
    <row r="750" spans="1:2" ht="15" customHeight="1" x14ac:dyDescent="0.25">
      <c r="A750" t="s">
        <v>268</v>
      </c>
      <c r="B750" s="32">
        <f t="shared" ca="1" si="9"/>
        <v>44450</v>
      </c>
    </row>
    <row r="751" spans="1:2" ht="15" customHeight="1" x14ac:dyDescent="0.25">
      <c r="A751" t="s">
        <v>269</v>
      </c>
      <c r="B751" s="32">
        <f t="shared" ca="1" si="9"/>
        <v>44450</v>
      </c>
    </row>
    <row r="752" spans="1:2" ht="15" customHeight="1" x14ac:dyDescent="0.25">
      <c r="A752" t="s">
        <v>811</v>
      </c>
      <c r="B752" s="32">
        <f t="shared" ca="1" si="9"/>
        <v>44450</v>
      </c>
    </row>
    <row r="753" spans="1:2" ht="15" customHeight="1" x14ac:dyDescent="0.25">
      <c r="A753" t="s">
        <v>811</v>
      </c>
      <c r="B753" s="32">
        <f t="shared" ca="1" si="9"/>
        <v>44450</v>
      </c>
    </row>
    <row r="754" spans="1:2" ht="15" customHeight="1" x14ac:dyDescent="0.25">
      <c r="A754" t="s">
        <v>811</v>
      </c>
      <c r="B754" s="32">
        <f t="shared" ca="1" si="9"/>
        <v>44450</v>
      </c>
    </row>
    <row r="755" spans="1:2" ht="15" customHeight="1" x14ac:dyDescent="0.25">
      <c r="A755" t="s">
        <v>811</v>
      </c>
      <c r="B755" s="32">
        <f t="shared" ca="1" si="9"/>
        <v>44450</v>
      </c>
    </row>
    <row r="756" spans="1:2" ht="15" customHeight="1" x14ac:dyDescent="0.25">
      <c r="A756" t="s">
        <v>812</v>
      </c>
      <c r="B756" s="32">
        <f t="shared" ca="1" si="9"/>
        <v>44450</v>
      </c>
    </row>
    <row r="757" spans="1:2" ht="15" customHeight="1" x14ac:dyDescent="0.25">
      <c r="A757" t="s">
        <v>812</v>
      </c>
      <c r="B757" s="32">
        <f t="shared" ca="1" si="9"/>
        <v>44450</v>
      </c>
    </row>
    <row r="758" spans="1:2" ht="15" customHeight="1" x14ac:dyDescent="0.25">
      <c r="A758" t="s">
        <v>812</v>
      </c>
      <c r="B758" s="32">
        <f t="shared" ca="1" si="9"/>
        <v>44450</v>
      </c>
    </row>
    <row r="759" spans="1:2" ht="15" customHeight="1" x14ac:dyDescent="0.25">
      <c r="A759" t="s">
        <v>813</v>
      </c>
      <c r="B759" s="32">
        <f t="shared" ca="1" si="9"/>
        <v>44450</v>
      </c>
    </row>
    <row r="760" spans="1:2" ht="15" customHeight="1" x14ac:dyDescent="0.25">
      <c r="A760" t="s">
        <v>814</v>
      </c>
      <c r="B760" s="32">
        <f t="shared" ca="1" si="9"/>
        <v>44450</v>
      </c>
    </row>
    <row r="761" spans="1:2" ht="15" customHeight="1" x14ac:dyDescent="0.25">
      <c r="A761" t="s">
        <v>814</v>
      </c>
      <c r="B761" s="32">
        <f t="shared" ca="1" si="9"/>
        <v>44450</v>
      </c>
    </row>
    <row r="762" spans="1:2" ht="15" customHeight="1" x14ac:dyDescent="0.25">
      <c r="A762" t="s">
        <v>814</v>
      </c>
      <c r="B762" s="32">
        <f t="shared" ca="1" si="9"/>
        <v>44450</v>
      </c>
    </row>
    <row r="763" spans="1:2" ht="15" customHeight="1" x14ac:dyDescent="0.25">
      <c r="A763" t="s">
        <v>814</v>
      </c>
      <c r="B763" s="32">
        <f t="shared" ca="1" si="9"/>
        <v>44450</v>
      </c>
    </row>
    <row r="764" spans="1:2" ht="15" customHeight="1" x14ac:dyDescent="0.25">
      <c r="A764" t="s">
        <v>814</v>
      </c>
      <c r="B764" s="32">
        <f t="shared" ca="1" si="9"/>
        <v>44450</v>
      </c>
    </row>
    <row r="765" spans="1:2" ht="15" customHeight="1" x14ac:dyDescent="0.25">
      <c r="A765" t="s">
        <v>815</v>
      </c>
      <c r="B765" s="32">
        <f t="shared" ca="1" si="9"/>
        <v>44450</v>
      </c>
    </row>
    <row r="766" spans="1:2" ht="15" customHeight="1" x14ac:dyDescent="0.25">
      <c r="A766" t="s">
        <v>816</v>
      </c>
      <c r="B766" s="32">
        <f t="shared" ca="1" si="9"/>
        <v>44450</v>
      </c>
    </row>
    <row r="767" spans="1:2" ht="15" customHeight="1" x14ac:dyDescent="0.25">
      <c r="A767" t="s">
        <v>817</v>
      </c>
      <c r="B767" s="32">
        <f t="shared" ca="1" si="9"/>
        <v>44450</v>
      </c>
    </row>
    <row r="768" spans="1:2" ht="15" customHeight="1" x14ac:dyDescent="0.25">
      <c r="A768" t="s">
        <v>817</v>
      </c>
      <c r="B768" s="32">
        <f t="shared" ca="1" si="9"/>
        <v>44450</v>
      </c>
    </row>
    <row r="769" spans="1:2" ht="15" customHeight="1" x14ac:dyDescent="0.25">
      <c r="A769" t="s">
        <v>817</v>
      </c>
      <c r="B769" s="32">
        <f t="shared" ca="1" si="9"/>
        <v>44450</v>
      </c>
    </row>
    <row r="770" spans="1:2" ht="15" customHeight="1" x14ac:dyDescent="0.25">
      <c r="A770" t="s">
        <v>817</v>
      </c>
      <c r="B770" s="32">
        <f t="shared" ca="1" si="9"/>
        <v>44450</v>
      </c>
    </row>
    <row r="771" spans="1:2" ht="15" customHeight="1" x14ac:dyDescent="0.25">
      <c r="A771" t="s">
        <v>818</v>
      </c>
      <c r="B771" s="32">
        <f t="shared" ca="1" si="9"/>
        <v>44450</v>
      </c>
    </row>
    <row r="772" spans="1:2" ht="15" customHeight="1" x14ac:dyDescent="0.25">
      <c r="A772" t="s">
        <v>818</v>
      </c>
      <c r="B772" s="32">
        <f t="shared" ca="1" si="9"/>
        <v>44450</v>
      </c>
    </row>
    <row r="773" spans="1:2" ht="15" customHeight="1" x14ac:dyDescent="0.25">
      <c r="A773" t="s">
        <v>818</v>
      </c>
      <c r="B773" s="32">
        <f t="shared" ca="1" si="9"/>
        <v>44450</v>
      </c>
    </row>
    <row r="774" spans="1:2" ht="15" customHeight="1" x14ac:dyDescent="0.25">
      <c r="A774" t="s">
        <v>818</v>
      </c>
      <c r="B774" s="32">
        <f t="shared" ca="1" si="9"/>
        <v>44450</v>
      </c>
    </row>
    <row r="775" spans="1:2" ht="15" customHeight="1" x14ac:dyDescent="0.25">
      <c r="A775" t="s">
        <v>818</v>
      </c>
      <c r="B775" s="32">
        <f t="shared" ref="B775:B838" ca="1" si="10">TODAY()-150</f>
        <v>44450</v>
      </c>
    </row>
    <row r="776" spans="1:2" ht="15" customHeight="1" x14ac:dyDescent="0.25">
      <c r="A776" t="s">
        <v>819</v>
      </c>
      <c r="B776" s="32">
        <f t="shared" ca="1" si="10"/>
        <v>44450</v>
      </c>
    </row>
    <row r="777" spans="1:2" ht="15" customHeight="1" x14ac:dyDescent="0.25">
      <c r="A777" t="s">
        <v>818</v>
      </c>
      <c r="B777" s="32">
        <f t="shared" ca="1" si="10"/>
        <v>44450</v>
      </c>
    </row>
    <row r="778" spans="1:2" ht="15" customHeight="1" x14ac:dyDescent="0.25">
      <c r="A778" t="s">
        <v>820</v>
      </c>
      <c r="B778" s="32">
        <f t="shared" ca="1" si="10"/>
        <v>44450</v>
      </c>
    </row>
    <row r="779" spans="1:2" ht="15" customHeight="1" x14ac:dyDescent="0.25">
      <c r="A779" t="s">
        <v>821</v>
      </c>
      <c r="B779" s="32">
        <f t="shared" ca="1" si="10"/>
        <v>44450</v>
      </c>
    </row>
    <row r="780" spans="1:2" ht="15" customHeight="1" x14ac:dyDescent="0.25">
      <c r="A780" t="s">
        <v>822</v>
      </c>
      <c r="B780" s="32">
        <f t="shared" ca="1" si="10"/>
        <v>44450</v>
      </c>
    </row>
    <row r="781" spans="1:2" ht="15" customHeight="1" x14ac:dyDescent="0.25">
      <c r="A781" t="s">
        <v>822</v>
      </c>
      <c r="B781" s="32">
        <f t="shared" ca="1" si="10"/>
        <v>44450</v>
      </c>
    </row>
    <row r="782" spans="1:2" ht="15" customHeight="1" x14ac:dyDescent="0.25">
      <c r="A782" t="s">
        <v>822</v>
      </c>
      <c r="B782" s="32">
        <f t="shared" ca="1" si="10"/>
        <v>44450</v>
      </c>
    </row>
    <row r="783" spans="1:2" ht="15" customHeight="1" x14ac:dyDescent="0.25">
      <c r="A783" t="s">
        <v>822</v>
      </c>
      <c r="B783" s="32">
        <f t="shared" ca="1" si="10"/>
        <v>44450</v>
      </c>
    </row>
    <row r="784" spans="1:2" ht="15" customHeight="1" x14ac:dyDescent="0.25">
      <c r="A784" t="s">
        <v>822</v>
      </c>
      <c r="B784" s="32">
        <f t="shared" ca="1" si="10"/>
        <v>44450</v>
      </c>
    </row>
    <row r="785" spans="1:2" ht="15" customHeight="1" x14ac:dyDescent="0.25">
      <c r="A785" t="s">
        <v>822</v>
      </c>
      <c r="B785" s="32">
        <f t="shared" ca="1" si="10"/>
        <v>44450</v>
      </c>
    </row>
    <row r="786" spans="1:2" ht="15" customHeight="1" x14ac:dyDescent="0.25">
      <c r="A786" t="s">
        <v>822</v>
      </c>
      <c r="B786" s="32">
        <f t="shared" ca="1" si="10"/>
        <v>44450</v>
      </c>
    </row>
    <row r="787" spans="1:2" ht="15" customHeight="1" x14ac:dyDescent="0.25">
      <c r="A787" t="s">
        <v>822</v>
      </c>
      <c r="B787" s="32">
        <f t="shared" ca="1" si="10"/>
        <v>44450</v>
      </c>
    </row>
    <row r="788" spans="1:2" ht="15" customHeight="1" x14ac:dyDescent="0.25">
      <c r="A788" t="s">
        <v>822</v>
      </c>
      <c r="B788" s="32">
        <f t="shared" ca="1" si="10"/>
        <v>44450</v>
      </c>
    </row>
    <row r="789" spans="1:2" ht="15" customHeight="1" x14ac:dyDescent="0.25">
      <c r="A789" t="s">
        <v>822</v>
      </c>
      <c r="B789" s="32">
        <f t="shared" ca="1" si="10"/>
        <v>44450</v>
      </c>
    </row>
    <row r="790" spans="1:2" ht="15" customHeight="1" x14ac:dyDescent="0.25">
      <c r="A790" t="s">
        <v>822</v>
      </c>
      <c r="B790" s="32">
        <f t="shared" ca="1" si="10"/>
        <v>44450</v>
      </c>
    </row>
    <row r="791" spans="1:2" ht="15" customHeight="1" x14ac:dyDescent="0.25">
      <c r="A791" t="s">
        <v>270</v>
      </c>
      <c r="B791" s="32">
        <f t="shared" ca="1" si="10"/>
        <v>44450</v>
      </c>
    </row>
    <row r="792" spans="1:2" ht="15" customHeight="1" x14ac:dyDescent="0.25">
      <c r="A792" t="s">
        <v>271</v>
      </c>
      <c r="B792" s="32">
        <f t="shared" ca="1" si="10"/>
        <v>44450</v>
      </c>
    </row>
    <row r="793" spans="1:2" ht="15" customHeight="1" x14ac:dyDescent="0.25">
      <c r="A793" t="s">
        <v>272</v>
      </c>
      <c r="B793" s="32">
        <f t="shared" ca="1" si="10"/>
        <v>44450</v>
      </c>
    </row>
    <row r="794" spans="1:2" ht="15" customHeight="1" x14ac:dyDescent="0.25">
      <c r="A794" t="s">
        <v>273</v>
      </c>
      <c r="B794" s="32">
        <f t="shared" ca="1" si="10"/>
        <v>44450</v>
      </c>
    </row>
    <row r="795" spans="1:2" ht="15" customHeight="1" x14ac:dyDescent="0.25">
      <c r="A795" t="s">
        <v>274</v>
      </c>
      <c r="B795" s="32">
        <f t="shared" ca="1" si="10"/>
        <v>44450</v>
      </c>
    </row>
    <row r="796" spans="1:2" ht="15" customHeight="1" x14ac:dyDescent="0.25">
      <c r="A796" t="s">
        <v>275</v>
      </c>
      <c r="B796" s="32">
        <f t="shared" ca="1" si="10"/>
        <v>44450</v>
      </c>
    </row>
    <row r="797" spans="1:2" ht="15" customHeight="1" x14ac:dyDescent="0.25">
      <c r="A797" t="s">
        <v>276</v>
      </c>
      <c r="B797" s="32">
        <f t="shared" ca="1" si="10"/>
        <v>44450</v>
      </c>
    </row>
    <row r="798" spans="1:2" ht="15" customHeight="1" x14ac:dyDescent="0.25">
      <c r="A798" t="s">
        <v>277</v>
      </c>
      <c r="B798" s="32">
        <f t="shared" ca="1" si="10"/>
        <v>44450</v>
      </c>
    </row>
    <row r="799" spans="1:2" ht="15" customHeight="1" x14ac:dyDescent="0.25">
      <c r="A799" t="s">
        <v>278</v>
      </c>
      <c r="B799" s="32">
        <f t="shared" ca="1" si="10"/>
        <v>44450</v>
      </c>
    </row>
    <row r="800" spans="1:2" ht="15" customHeight="1" x14ac:dyDescent="0.25">
      <c r="A800" t="s">
        <v>279</v>
      </c>
      <c r="B800" s="32">
        <f t="shared" ca="1" si="10"/>
        <v>44450</v>
      </c>
    </row>
    <row r="801" spans="1:2" ht="15" customHeight="1" x14ac:dyDescent="0.25">
      <c r="A801" t="s">
        <v>823</v>
      </c>
      <c r="B801" s="32">
        <f t="shared" ca="1" si="10"/>
        <v>44450</v>
      </c>
    </row>
    <row r="802" spans="1:2" ht="15" customHeight="1" x14ac:dyDescent="0.25">
      <c r="A802" t="s">
        <v>823</v>
      </c>
      <c r="B802" s="32">
        <f t="shared" ca="1" si="10"/>
        <v>44450</v>
      </c>
    </row>
    <row r="803" spans="1:2" ht="15" customHeight="1" x14ac:dyDescent="0.25">
      <c r="A803" t="s">
        <v>824</v>
      </c>
      <c r="B803" s="32">
        <f t="shared" ca="1" si="10"/>
        <v>44450</v>
      </c>
    </row>
    <row r="804" spans="1:2" ht="15" customHeight="1" x14ac:dyDescent="0.25">
      <c r="A804" t="s">
        <v>824</v>
      </c>
      <c r="B804" s="32">
        <f t="shared" ca="1" si="10"/>
        <v>44450</v>
      </c>
    </row>
    <row r="805" spans="1:2" ht="15" customHeight="1" x14ac:dyDescent="0.25">
      <c r="A805" t="s">
        <v>824</v>
      </c>
      <c r="B805" s="32">
        <f t="shared" ca="1" si="10"/>
        <v>44450</v>
      </c>
    </row>
    <row r="806" spans="1:2" ht="15" customHeight="1" x14ac:dyDescent="0.25">
      <c r="A806" t="s">
        <v>825</v>
      </c>
      <c r="B806" s="32">
        <f t="shared" ca="1" si="10"/>
        <v>44450</v>
      </c>
    </row>
    <row r="807" spans="1:2" ht="15" customHeight="1" x14ac:dyDescent="0.25">
      <c r="A807" t="s">
        <v>825</v>
      </c>
      <c r="B807" s="32">
        <f t="shared" ca="1" si="10"/>
        <v>44450</v>
      </c>
    </row>
    <row r="808" spans="1:2" ht="15" customHeight="1" x14ac:dyDescent="0.25">
      <c r="A808" t="s">
        <v>825</v>
      </c>
      <c r="B808" s="32">
        <f t="shared" ca="1" si="10"/>
        <v>44450</v>
      </c>
    </row>
    <row r="809" spans="1:2" ht="15" customHeight="1" x14ac:dyDescent="0.25">
      <c r="A809" t="s">
        <v>825</v>
      </c>
      <c r="B809" s="32">
        <f t="shared" ca="1" si="10"/>
        <v>44450</v>
      </c>
    </row>
    <row r="810" spans="1:2" ht="15" customHeight="1" x14ac:dyDescent="0.25">
      <c r="A810" t="s">
        <v>826</v>
      </c>
      <c r="B810" s="32">
        <f t="shared" ca="1" si="10"/>
        <v>44450</v>
      </c>
    </row>
    <row r="811" spans="1:2" ht="15" customHeight="1" x14ac:dyDescent="0.25">
      <c r="A811" t="s">
        <v>826</v>
      </c>
      <c r="B811" s="32">
        <f t="shared" ca="1" si="10"/>
        <v>44450</v>
      </c>
    </row>
    <row r="812" spans="1:2" ht="15" customHeight="1" x14ac:dyDescent="0.25">
      <c r="A812" t="s">
        <v>826</v>
      </c>
      <c r="B812" s="32">
        <f t="shared" ca="1" si="10"/>
        <v>44450</v>
      </c>
    </row>
    <row r="813" spans="1:2" ht="15" customHeight="1" x14ac:dyDescent="0.25">
      <c r="A813" t="s">
        <v>826</v>
      </c>
      <c r="B813" s="32">
        <f t="shared" ca="1" si="10"/>
        <v>44450</v>
      </c>
    </row>
    <row r="814" spans="1:2" ht="15" customHeight="1" x14ac:dyDescent="0.25">
      <c r="A814" t="s">
        <v>826</v>
      </c>
      <c r="B814" s="32">
        <f t="shared" ca="1" si="10"/>
        <v>44450</v>
      </c>
    </row>
    <row r="815" spans="1:2" ht="15" customHeight="1" x14ac:dyDescent="0.25">
      <c r="A815" t="s">
        <v>827</v>
      </c>
      <c r="B815" s="32">
        <f t="shared" ca="1" si="10"/>
        <v>44450</v>
      </c>
    </row>
    <row r="816" spans="1:2" ht="15" customHeight="1" x14ac:dyDescent="0.25">
      <c r="A816" t="s">
        <v>827</v>
      </c>
      <c r="B816" s="32">
        <f t="shared" ca="1" si="10"/>
        <v>44450</v>
      </c>
    </row>
    <row r="817" spans="1:2" ht="15" customHeight="1" x14ac:dyDescent="0.25">
      <c r="A817" t="s">
        <v>827</v>
      </c>
      <c r="B817" s="32">
        <f t="shared" ca="1" si="10"/>
        <v>44450</v>
      </c>
    </row>
    <row r="818" spans="1:2" ht="15" customHeight="1" x14ac:dyDescent="0.25">
      <c r="A818" t="s">
        <v>827</v>
      </c>
      <c r="B818" s="32">
        <f t="shared" ca="1" si="10"/>
        <v>44450</v>
      </c>
    </row>
    <row r="819" spans="1:2" ht="15" customHeight="1" x14ac:dyDescent="0.25">
      <c r="A819" t="s">
        <v>827</v>
      </c>
      <c r="B819" s="32">
        <f t="shared" ca="1" si="10"/>
        <v>44450</v>
      </c>
    </row>
    <row r="820" spans="1:2" ht="15" customHeight="1" x14ac:dyDescent="0.25">
      <c r="A820" t="s">
        <v>828</v>
      </c>
      <c r="B820" s="32">
        <f t="shared" ca="1" si="10"/>
        <v>44450</v>
      </c>
    </row>
    <row r="821" spans="1:2" ht="15" customHeight="1" x14ac:dyDescent="0.25">
      <c r="A821" t="s">
        <v>828</v>
      </c>
      <c r="B821" s="32">
        <f t="shared" ca="1" si="10"/>
        <v>44450</v>
      </c>
    </row>
    <row r="822" spans="1:2" ht="15" customHeight="1" x14ac:dyDescent="0.25">
      <c r="A822" t="s">
        <v>828</v>
      </c>
      <c r="B822" s="32">
        <f t="shared" ca="1" si="10"/>
        <v>44450</v>
      </c>
    </row>
    <row r="823" spans="1:2" ht="15" customHeight="1" x14ac:dyDescent="0.25">
      <c r="A823" t="s">
        <v>829</v>
      </c>
      <c r="B823" s="32">
        <f t="shared" ca="1" si="10"/>
        <v>44450</v>
      </c>
    </row>
    <row r="824" spans="1:2" ht="15" customHeight="1" x14ac:dyDescent="0.25">
      <c r="A824" t="s">
        <v>829</v>
      </c>
      <c r="B824" s="32">
        <f t="shared" ca="1" si="10"/>
        <v>44450</v>
      </c>
    </row>
    <row r="825" spans="1:2" ht="15" customHeight="1" x14ac:dyDescent="0.25">
      <c r="A825" t="s">
        <v>829</v>
      </c>
      <c r="B825" s="32">
        <f t="shared" ca="1" si="10"/>
        <v>44450</v>
      </c>
    </row>
    <row r="826" spans="1:2" ht="15" customHeight="1" x14ac:dyDescent="0.25">
      <c r="A826" t="s">
        <v>829</v>
      </c>
      <c r="B826" s="32">
        <f t="shared" ca="1" si="10"/>
        <v>44450</v>
      </c>
    </row>
    <row r="827" spans="1:2" ht="15" customHeight="1" x14ac:dyDescent="0.25">
      <c r="A827" t="s">
        <v>830</v>
      </c>
      <c r="B827" s="32">
        <f t="shared" ca="1" si="10"/>
        <v>44450</v>
      </c>
    </row>
    <row r="828" spans="1:2" ht="15" customHeight="1" x14ac:dyDescent="0.25">
      <c r="A828" t="s">
        <v>830</v>
      </c>
      <c r="B828" s="32">
        <f t="shared" ca="1" si="10"/>
        <v>44450</v>
      </c>
    </row>
    <row r="829" spans="1:2" ht="15" customHeight="1" x14ac:dyDescent="0.25">
      <c r="A829" t="s">
        <v>830</v>
      </c>
      <c r="B829" s="32">
        <f t="shared" ca="1" si="10"/>
        <v>44450</v>
      </c>
    </row>
    <row r="830" spans="1:2" ht="15" customHeight="1" x14ac:dyDescent="0.25">
      <c r="A830" t="s">
        <v>830</v>
      </c>
      <c r="B830" s="32">
        <f t="shared" ca="1" si="10"/>
        <v>44450</v>
      </c>
    </row>
    <row r="831" spans="1:2" ht="15" customHeight="1" x14ac:dyDescent="0.25">
      <c r="A831" t="s">
        <v>830</v>
      </c>
      <c r="B831" s="32">
        <f t="shared" ca="1" si="10"/>
        <v>44450</v>
      </c>
    </row>
    <row r="832" spans="1:2" ht="15" customHeight="1" x14ac:dyDescent="0.25">
      <c r="A832" t="s">
        <v>831</v>
      </c>
      <c r="B832" s="32">
        <f t="shared" ca="1" si="10"/>
        <v>44450</v>
      </c>
    </row>
    <row r="833" spans="1:2" ht="15" customHeight="1" x14ac:dyDescent="0.25">
      <c r="A833" t="s">
        <v>831</v>
      </c>
      <c r="B833" s="32">
        <f t="shared" ca="1" si="10"/>
        <v>44450</v>
      </c>
    </row>
    <row r="834" spans="1:2" ht="15" customHeight="1" x14ac:dyDescent="0.25">
      <c r="A834" t="s">
        <v>831</v>
      </c>
      <c r="B834" s="32">
        <f t="shared" ca="1" si="10"/>
        <v>44450</v>
      </c>
    </row>
    <row r="835" spans="1:2" ht="15" customHeight="1" x14ac:dyDescent="0.25">
      <c r="A835" t="s">
        <v>831</v>
      </c>
      <c r="B835" s="32">
        <f t="shared" ca="1" si="10"/>
        <v>44450</v>
      </c>
    </row>
    <row r="836" spans="1:2" ht="15" customHeight="1" x14ac:dyDescent="0.25">
      <c r="A836" t="s">
        <v>831</v>
      </c>
      <c r="B836" s="32">
        <f t="shared" ca="1" si="10"/>
        <v>44450</v>
      </c>
    </row>
    <row r="837" spans="1:2" ht="15" customHeight="1" x14ac:dyDescent="0.25">
      <c r="A837" t="s">
        <v>832</v>
      </c>
      <c r="B837" s="32">
        <f t="shared" ca="1" si="10"/>
        <v>44450</v>
      </c>
    </row>
    <row r="838" spans="1:2" ht="15" customHeight="1" x14ac:dyDescent="0.25">
      <c r="A838" t="s">
        <v>832</v>
      </c>
      <c r="B838" s="32">
        <f t="shared" ca="1" si="10"/>
        <v>44450</v>
      </c>
    </row>
    <row r="839" spans="1:2" ht="15" customHeight="1" x14ac:dyDescent="0.25">
      <c r="A839" t="s">
        <v>833</v>
      </c>
      <c r="B839" s="32">
        <f t="shared" ref="B839:B902" ca="1" si="11">TODAY()-150</f>
        <v>44450</v>
      </c>
    </row>
    <row r="840" spans="1:2" ht="15" customHeight="1" x14ac:dyDescent="0.25">
      <c r="A840" t="s">
        <v>833</v>
      </c>
      <c r="B840" s="32">
        <f t="shared" ca="1" si="11"/>
        <v>44450</v>
      </c>
    </row>
    <row r="841" spans="1:2" ht="15" customHeight="1" x14ac:dyDescent="0.25">
      <c r="A841" t="s">
        <v>833</v>
      </c>
      <c r="B841" s="32">
        <f t="shared" ca="1" si="11"/>
        <v>44450</v>
      </c>
    </row>
    <row r="842" spans="1:2" ht="15" customHeight="1" x14ac:dyDescent="0.25">
      <c r="A842" t="s">
        <v>834</v>
      </c>
      <c r="B842" s="32">
        <f t="shared" ca="1" si="11"/>
        <v>44450</v>
      </c>
    </row>
    <row r="843" spans="1:2" ht="15" customHeight="1" x14ac:dyDescent="0.25">
      <c r="A843" t="s">
        <v>834</v>
      </c>
      <c r="B843" s="32">
        <f t="shared" ca="1" si="11"/>
        <v>44450</v>
      </c>
    </row>
    <row r="844" spans="1:2" ht="15" customHeight="1" x14ac:dyDescent="0.25">
      <c r="A844" t="s">
        <v>834</v>
      </c>
      <c r="B844" s="32">
        <f t="shared" ca="1" si="11"/>
        <v>44450</v>
      </c>
    </row>
    <row r="845" spans="1:2" ht="15" customHeight="1" x14ac:dyDescent="0.25">
      <c r="A845" t="s">
        <v>834</v>
      </c>
      <c r="B845" s="32">
        <f t="shared" ca="1" si="11"/>
        <v>44450</v>
      </c>
    </row>
    <row r="846" spans="1:2" ht="15" customHeight="1" x14ac:dyDescent="0.25">
      <c r="A846" t="s">
        <v>834</v>
      </c>
      <c r="B846" s="32">
        <f t="shared" ca="1" si="11"/>
        <v>44450</v>
      </c>
    </row>
    <row r="847" spans="1:2" ht="15" customHeight="1" x14ac:dyDescent="0.25">
      <c r="A847" t="s">
        <v>835</v>
      </c>
      <c r="B847" s="32">
        <f t="shared" ca="1" si="11"/>
        <v>44450</v>
      </c>
    </row>
    <row r="848" spans="1:2" ht="15" customHeight="1" x14ac:dyDescent="0.25">
      <c r="A848" t="s">
        <v>835</v>
      </c>
      <c r="B848" s="32">
        <f t="shared" ca="1" si="11"/>
        <v>44450</v>
      </c>
    </row>
    <row r="849" spans="1:2" ht="15" customHeight="1" x14ac:dyDescent="0.25">
      <c r="A849" t="s">
        <v>835</v>
      </c>
      <c r="B849" s="32">
        <f t="shared" ca="1" si="11"/>
        <v>44450</v>
      </c>
    </row>
    <row r="850" spans="1:2" ht="15" customHeight="1" x14ac:dyDescent="0.25">
      <c r="A850" t="s">
        <v>835</v>
      </c>
      <c r="B850" s="32">
        <f t="shared" ca="1" si="11"/>
        <v>44450</v>
      </c>
    </row>
    <row r="851" spans="1:2" ht="15" customHeight="1" x14ac:dyDescent="0.25">
      <c r="A851" t="s">
        <v>835</v>
      </c>
      <c r="B851" s="32">
        <f t="shared" ca="1" si="11"/>
        <v>44450</v>
      </c>
    </row>
    <row r="852" spans="1:2" ht="15" customHeight="1" x14ac:dyDescent="0.25">
      <c r="A852" t="s">
        <v>836</v>
      </c>
      <c r="B852" s="32">
        <f t="shared" ca="1" si="11"/>
        <v>44450</v>
      </c>
    </row>
    <row r="853" spans="1:2" ht="15" customHeight="1" x14ac:dyDescent="0.25">
      <c r="A853" t="s">
        <v>280</v>
      </c>
      <c r="B853" s="32">
        <f t="shared" ca="1" si="11"/>
        <v>44450</v>
      </c>
    </row>
    <row r="854" spans="1:2" ht="15" customHeight="1" x14ac:dyDescent="0.25">
      <c r="A854" t="s">
        <v>837</v>
      </c>
      <c r="B854" s="32">
        <f t="shared" ca="1" si="11"/>
        <v>44450</v>
      </c>
    </row>
    <row r="855" spans="1:2" ht="15" customHeight="1" x14ac:dyDescent="0.25">
      <c r="A855" t="s">
        <v>837</v>
      </c>
      <c r="B855" s="32">
        <f t="shared" ca="1" si="11"/>
        <v>44450</v>
      </c>
    </row>
    <row r="856" spans="1:2" ht="15" customHeight="1" x14ac:dyDescent="0.25">
      <c r="A856" t="s">
        <v>837</v>
      </c>
      <c r="B856" s="32">
        <f t="shared" ca="1" si="11"/>
        <v>44450</v>
      </c>
    </row>
    <row r="857" spans="1:2" ht="15" customHeight="1" x14ac:dyDescent="0.25">
      <c r="A857" t="s">
        <v>837</v>
      </c>
      <c r="B857" s="32">
        <f t="shared" ca="1" si="11"/>
        <v>44450</v>
      </c>
    </row>
    <row r="858" spans="1:2" ht="15" customHeight="1" x14ac:dyDescent="0.25">
      <c r="A858" t="s">
        <v>838</v>
      </c>
      <c r="B858" s="32">
        <f t="shared" ca="1" si="11"/>
        <v>44450</v>
      </c>
    </row>
    <row r="859" spans="1:2" ht="15" customHeight="1" x14ac:dyDescent="0.25">
      <c r="A859" t="s">
        <v>838</v>
      </c>
      <c r="B859" s="32">
        <f t="shared" ca="1" si="11"/>
        <v>44450</v>
      </c>
    </row>
    <row r="860" spans="1:2" ht="15" customHeight="1" x14ac:dyDescent="0.25">
      <c r="A860" t="s">
        <v>838</v>
      </c>
      <c r="B860" s="32">
        <f t="shared" ca="1" si="11"/>
        <v>44450</v>
      </c>
    </row>
    <row r="861" spans="1:2" ht="15" customHeight="1" x14ac:dyDescent="0.25">
      <c r="A861" t="s">
        <v>838</v>
      </c>
      <c r="B861" s="32">
        <f t="shared" ca="1" si="11"/>
        <v>44450</v>
      </c>
    </row>
    <row r="862" spans="1:2" ht="15" customHeight="1" x14ac:dyDescent="0.25">
      <c r="A862" t="s">
        <v>838</v>
      </c>
      <c r="B862" s="32">
        <f t="shared" ca="1" si="11"/>
        <v>44450</v>
      </c>
    </row>
    <row r="863" spans="1:2" ht="15" customHeight="1" x14ac:dyDescent="0.25">
      <c r="A863" t="s">
        <v>839</v>
      </c>
      <c r="B863" s="32">
        <f t="shared" ca="1" si="11"/>
        <v>44450</v>
      </c>
    </row>
    <row r="864" spans="1:2" ht="15" customHeight="1" x14ac:dyDescent="0.25">
      <c r="A864" t="s">
        <v>839</v>
      </c>
      <c r="B864" s="32">
        <f t="shared" ca="1" si="11"/>
        <v>44450</v>
      </c>
    </row>
    <row r="865" spans="1:2" ht="15" customHeight="1" x14ac:dyDescent="0.25">
      <c r="A865" t="s">
        <v>839</v>
      </c>
      <c r="B865" s="32">
        <f t="shared" ca="1" si="11"/>
        <v>44450</v>
      </c>
    </row>
    <row r="866" spans="1:2" ht="15" customHeight="1" x14ac:dyDescent="0.25">
      <c r="A866" t="s">
        <v>839</v>
      </c>
      <c r="B866" s="32">
        <f t="shared" ca="1" si="11"/>
        <v>44450</v>
      </c>
    </row>
    <row r="867" spans="1:2" ht="15" customHeight="1" x14ac:dyDescent="0.25">
      <c r="A867" t="s">
        <v>839</v>
      </c>
      <c r="B867" s="32">
        <f t="shared" ca="1" si="11"/>
        <v>44450</v>
      </c>
    </row>
    <row r="868" spans="1:2" ht="15" customHeight="1" x14ac:dyDescent="0.25">
      <c r="A868" t="s">
        <v>839</v>
      </c>
      <c r="B868" s="32">
        <f t="shared" ca="1" si="11"/>
        <v>44450</v>
      </c>
    </row>
    <row r="869" spans="1:2" ht="15" customHeight="1" x14ac:dyDescent="0.25">
      <c r="A869" t="s">
        <v>839</v>
      </c>
      <c r="B869" s="32">
        <f t="shared" ca="1" si="11"/>
        <v>44450</v>
      </c>
    </row>
    <row r="870" spans="1:2" ht="15" customHeight="1" x14ac:dyDescent="0.25">
      <c r="A870" t="s">
        <v>839</v>
      </c>
      <c r="B870" s="32">
        <f t="shared" ca="1" si="11"/>
        <v>44450</v>
      </c>
    </row>
    <row r="871" spans="1:2" ht="15" customHeight="1" x14ac:dyDescent="0.25">
      <c r="A871" t="s">
        <v>840</v>
      </c>
      <c r="B871" s="32">
        <f t="shared" ca="1" si="11"/>
        <v>44450</v>
      </c>
    </row>
    <row r="872" spans="1:2" ht="15" customHeight="1" x14ac:dyDescent="0.25">
      <c r="A872" t="s">
        <v>841</v>
      </c>
      <c r="B872" s="32">
        <f t="shared" ca="1" si="11"/>
        <v>44450</v>
      </c>
    </row>
    <row r="873" spans="1:2" ht="15" customHeight="1" x14ac:dyDescent="0.25">
      <c r="A873" t="s">
        <v>842</v>
      </c>
      <c r="B873" s="32">
        <f t="shared" ca="1" si="11"/>
        <v>44450</v>
      </c>
    </row>
    <row r="874" spans="1:2" ht="15" customHeight="1" x14ac:dyDescent="0.25">
      <c r="A874" t="s">
        <v>842</v>
      </c>
      <c r="B874" s="32">
        <f t="shared" ca="1" si="11"/>
        <v>44450</v>
      </c>
    </row>
    <row r="875" spans="1:2" ht="15" customHeight="1" x14ac:dyDescent="0.25">
      <c r="A875" t="s">
        <v>843</v>
      </c>
      <c r="B875" s="32">
        <f t="shared" ca="1" si="11"/>
        <v>44450</v>
      </c>
    </row>
    <row r="876" spans="1:2" ht="15" customHeight="1" x14ac:dyDescent="0.25">
      <c r="A876" t="s">
        <v>843</v>
      </c>
      <c r="B876" s="32">
        <f t="shared" ca="1" si="11"/>
        <v>44450</v>
      </c>
    </row>
    <row r="877" spans="1:2" ht="15" customHeight="1" x14ac:dyDescent="0.25">
      <c r="A877" t="s">
        <v>843</v>
      </c>
      <c r="B877" s="32">
        <f t="shared" ca="1" si="11"/>
        <v>44450</v>
      </c>
    </row>
    <row r="878" spans="1:2" ht="15" customHeight="1" x14ac:dyDescent="0.25">
      <c r="A878" t="s">
        <v>843</v>
      </c>
      <c r="B878" s="32">
        <f t="shared" ca="1" si="11"/>
        <v>44450</v>
      </c>
    </row>
    <row r="879" spans="1:2" ht="15" customHeight="1" x14ac:dyDescent="0.25">
      <c r="A879" t="s">
        <v>844</v>
      </c>
      <c r="B879" s="32">
        <f t="shared" ca="1" si="11"/>
        <v>44450</v>
      </c>
    </row>
    <row r="880" spans="1:2" ht="15" customHeight="1" x14ac:dyDescent="0.25">
      <c r="A880" t="s">
        <v>844</v>
      </c>
      <c r="B880" s="32">
        <f t="shared" ca="1" si="11"/>
        <v>44450</v>
      </c>
    </row>
    <row r="881" spans="1:2" ht="15" customHeight="1" x14ac:dyDescent="0.25">
      <c r="A881" t="s">
        <v>844</v>
      </c>
      <c r="B881" s="32">
        <f t="shared" ca="1" si="11"/>
        <v>44450</v>
      </c>
    </row>
    <row r="882" spans="1:2" ht="15" customHeight="1" x14ac:dyDescent="0.25">
      <c r="A882" t="s">
        <v>845</v>
      </c>
      <c r="B882" s="32">
        <f t="shared" ca="1" si="11"/>
        <v>44450</v>
      </c>
    </row>
    <row r="883" spans="1:2" ht="15" customHeight="1" x14ac:dyDescent="0.25">
      <c r="A883" t="s">
        <v>845</v>
      </c>
      <c r="B883" s="32">
        <f t="shared" ca="1" si="11"/>
        <v>44450</v>
      </c>
    </row>
    <row r="884" spans="1:2" ht="15" customHeight="1" x14ac:dyDescent="0.25">
      <c r="A884" t="s">
        <v>845</v>
      </c>
      <c r="B884" s="32">
        <f t="shared" ca="1" si="11"/>
        <v>44450</v>
      </c>
    </row>
    <row r="885" spans="1:2" ht="15" customHeight="1" x14ac:dyDescent="0.25">
      <c r="A885" t="s">
        <v>845</v>
      </c>
      <c r="B885" s="32">
        <f t="shared" ca="1" si="11"/>
        <v>44450</v>
      </c>
    </row>
    <row r="886" spans="1:2" ht="15" customHeight="1" x14ac:dyDescent="0.25">
      <c r="A886" t="s">
        <v>845</v>
      </c>
      <c r="B886" s="32">
        <f t="shared" ca="1" si="11"/>
        <v>44450</v>
      </c>
    </row>
    <row r="887" spans="1:2" ht="15" customHeight="1" x14ac:dyDescent="0.25">
      <c r="A887" t="s">
        <v>845</v>
      </c>
      <c r="B887" s="32">
        <f t="shared" ca="1" si="11"/>
        <v>44450</v>
      </c>
    </row>
    <row r="888" spans="1:2" ht="15" customHeight="1" x14ac:dyDescent="0.25">
      <c r="A888" t="s">
        <v>845</v>
      </c>
      <c r="B888" s="32">
        <f t="shared" ca="1" si="11"/>
        <v>44450</v>
      </c>
    </row>
    <row r="889" spans="1:2" ht="15" customHeight="1" x14ac:dyDescent="0.25">
      <c r="A889" t="s">
        <v>845</v>
      </c>
      <c r="B889" s="32">
        <f t="shared" ca="1" si="11"/>
        <v>44450</v>
      </c>
    </row>
    <row r="890" spans="1:2" ht="15" customHeight="1" x14ac:dyDescent="0.25">
      <c r="A890" t="s">
        <v>281</v>
      </c>
      <c r="B890" s="32">
        <f t="shared" ca="1" si="11"/>
        <v>44450</v>
      </c>
    </row>
    <row r="891" spans="1:2" ht="15" customHeight="1" x14ac:dyDescent="0.25">
      <c r="A891" t="s">
        <v>282</v>
      </c>
      <c r="B891" s="32">
        <f t="shared" ca="1" si="11"/>
        <v>44450</v>
      </c>
    </row>
    <row r="892" spans="1:2" ht="15" customHeight="1" x14ac:dyDescent="0.25">
      <c r="A892" t="s">
        <v>283</v>
      </c>
      <c r="B892" s="32">
        <f t="shared" ca="1" si="11"/>
        <v>44450</v>
      </c>
    </row>
    <row r="893" spans="1:2" ht="15" customHeight="1" x14ac:dyDescent="0.25">
      <c r="A893" t="s">
        <v>284</v>
      </c>
      <c r="B893" s="32">
        <f t="shared" ca="1" si="11"/>
        <v>44450</v>
      </c>
    </row>
    <row r="894" spans="1:2" ht="15" customHeight="1" x14ac:dyDescent="0.25">
      <c r="A894" t="s">
        <v>846</v>
      </c>
      <c r="B894" s="32">
        <f t="shared" ca="1" si="11"/>
        <v>44450</v>
      </c>
    </row>
    <row r="895" spans="1:2" ht="15" customHeight="1" x14ac:dyDescent="0.25">
      <c r="A895" t="s">
        <v>846</v>
      </c>
      <c r="B895" s="32">
        <f t="shared" ca="1" si="11"/>
        <v>44450</v>
      </c>
    </row>
    <row r="896" spans="1:2" ht="15" customHeight="1" x14ac:dyDescent="0.25">
      <c r="A896" t="s">
        <v>846</v>
      </c>
      <c r="B896" s="32">
        <f t="shared" ca="1" si="11"/>
        <v>44450</v>
      </c>
    </row>
    <row r="897" spans="1:2" ht="15" customHeight="1" x14ac:dyDescent="0.25">
      <c r="A897" t="s">
        <v>846</v>
      </c>
      <c r="B897" s="32">
        <f t="shared" ca="1" si="11"/>
        <v>44450</v>
      </c>
    </row>
    <row r="898" spans="1:2" ht="15" customHeight="1" x14ac:dyDescent="0.25">
      <c r="A898" t="s">
        <v>846</v>
      </c>
      <c r="B898" s="32">
        <f t="shared" ca="1" si="11"/>
        <v>44450</v>
      </c>
    </row>
    <row r="899" spans="1:2" ht="15" customHeight="1" x14ac:dyDescent="0.25">
      <c r="A899" t="s">
        <v>285</v>
      </c>
      <c r="B899" s="32">
        <f t="shared" ca="1" si="11"/>
        <v>44450</v>
      </c>
    </row>
    <row r="900" spans="1:2" ht="15" customHeight="1" x14ac:dyDescent="0.25">
      <c r="A900" t="s">
        <v>286</v>
      </c>
      <c r="B900" s="32">
        <f t="shared" ca="1" si="11"/>
        <v>44450</v>
      </c>
    </row>
    <row r="901" spans="1:2" ht="15" customHeight="1" x14ac:dyDescent="0.25">
      <c r="A901" t="s">
        <v>287</v>
      </c>
      <c r="B901" s="32">
        <f t="shared" ca="1" si="11"/>
        <v>44450</v>
      </c>
    </row>
    <row r="902" spans="1:2" ht="15" customHeight="1" x14ac:dyDescent="0.25">
      <c r="A902" t="s">
        <v>288</v>
      </c>
      <c r="B902" s="32">
        <f t="shared" ca="1" si="11"/>
        <v>44450</v>
      </c>
    </row>
    <row r="903" spans="1:2" ht="15" customHeight="1" x14ac:dyDescent="0.25">
      <c r="A903" t="s">
        <v>847</v>
      </c>
      <c r="B903" s="32">
        <f t="shared" ref="B903:B966" ca="1" si="12">TODAY()-150</f>
        <v>44450</v>
      </c>
    </row>
    <row r="904" spans="1:2" ht="15" customHeight="1" x14ac:dyDescent="0.25">
      <c r="A904" t="s">
        <v>847</v>
      </c>
      <c r="B904" s="32">
        <f t="shared" ca="1" si="12"/>
        <v>44450</v>
      </c>
    </row>
    <row r="905" spans="1:2" ht="15" customHeight="1" x14ac:dyDescent="0.25">
      <c r="A905" t="s">
        <v>847</v>
      </c>
      <c r="B905" s="32">
        <f t="shared" ca="1" si="12"/>
        <v>44450</v>
      </c>
    </row>
    <row r="906" spans="1:2" ht="15" customHeight="1" x14ac:dyDescent="0.25">
      <c r="A906" t="s">
        <v>847</v>
      </c>
      <c r="B906" s="32">
        <f t="shared" ca="1" si="12"/>
        <v>44450</v>
      </c>
    </row>
    <row r="907" spans="1:2" ht="15" customHeight="1" x14ac:dyDescent="0.25">
      <c r="A907" t="s">
        <v>848</v>
      </c>
      <c r="B907" s="32">
        <f t="shared" ca="1" si="12"/>
        <v>44450</v>
      </c>
    </row>
    <row r="908" spans="1:2" ht="15" customHeight="1" x14ac:dyDescent="0.25">
      <c r="A908" t="s">
        <v>848</v>
      </c>
      <c r="B908" s="32">
        <f t="shared" ca="1" si="12"/>
        <v>44450</v>
      </c>
    </row>
    <row r="909" spans="1:2" ht="15" customHeight="1" x14ac:dyDescent="0.25">
      <c r="A909" t="s">
        <v>848</v>
      </c>
      <c r="B909" s="32">
        <f t="shared" ca="1" si="12"/>
        <v>44450</v>
      </c>
    </row>
    <row r="910" spans="1:2" ht="15" customHeight="1" x14ac:dyDescent="0.25">
      <c r="A910" t="s">
        <v>848</v>
      </c>
      <c r="B910" s="32">
        <f t="shared" ca="1" si="12"/>
        <v>44450</v>
      </c>
    </row>
    <row r="911" spans="1:2" ht="15" customHeight="1" x14ac:dyDescent="0.25">
      <c r="A911" t="s">
        <v>844</v>
      </c>
      <c r="B911" s="32">
        <f t="shared" ca="1" si="12"/>
        <v>44450</v>
      </c>
    </row>
    <row r="912" spans="1:2" ht="15" customHeight="1" x14ac:dyDescent="0.25">
      <c r="A912" t="s">
        <v>849</v>
      </c>
      <c r="B912" s="32">
        <f t="shared" ca="1" si="12"/>
        <v>44450</v>
      </c>
    </row>
    <row r="913" spans="1:2" ht="15" customHeight="1" x14ac:dyDescent="0.25">
      <c r="A913" t="s">
        <v>289</v>
      </c>
      <c r="B913" s="32">
        <f t="shared" ca="1" si="12"/>
        <v>44450</v>
      </c>
    </row>
    <row r="914" spans="1:2" ht="15" customHeight="1" x14ac:dyDescent="0.25">
      <c r="A914" t="s">
        <v>290</v>
      </c>
      <c r="B914" s="32">
        <f t="shared" ca="1" si="12"/>
        <v>44450</v>
      </c>
    </row>
    <row r="915" spans="1:2" ht="15" customHeight="1" x14ac:dyDescent="0.25">
      <c r="A915" t="s">
        <v>291</v>
      </c>
      <c r="B915" s="32">
        <f t="shared" ca="1" si="12"/>
        <v>44450</v>
      </c>
    </row>
    <row r="916" spans="1:2" ht="15" customHeight="1" x14ac:dyDescent="0.25">
      <c r="A916" t="s">
        <v>292</v>
      </c>
      <c r="B916" s="32">
        <f t="shared" ca="1" si="12"/>
        <v>44450</v>
      </c>
    </row>
    <row r="917" spans="1:2" ht="15" customHeight="1" x14ac:dyDescent="0.25">
      <c r="A917" t="s">
        <v>293</v>
      </c>
      <c r="B917" s="32">
        <f t="shared" ca="1" si="12"/>
        <v>44450</v>
      </c>
    </row>
    <row r="918" spans="1:2" ht="15" customHeight="1" x14ac:dyDescent="0.25">
      <c r="A918" t="s">
        <v>294</v>
      </c>
      <c r="B918" s="32">
        <f t="shared" ca="1" si="12"/>
        <v>44450</v>
      </c>
    </row>
    <row r="919" spans="1:2" ht="15" customHeight="1" x14ac:dyDescent="0.25">
      <c r="A919" t="s">
        <v>850</v>
      </c>
      <c r="B919" s="32">
        <f t="shared" ca="1" si="12"/>
        <v>44450</v>
      </c>
    </row>
    <row r="920" spans="1:2" ht="15" customHeight="1" x14ac:dyDescent="0.25">
      <c r="A920" t="s">
        <v>851</v>
      </c>
      <c r="B920" s="32">
        <f t="shared" ca="1" si="12"/>
        <v>44450</v>
      </c>
    </row>
    <row r="921" spans="1:2" ht="15" customHeight="1" x14ac:dyDescent="0.25">
      <c r="A921" t="s">
        <v>851</v>
      </c>
      <c r="B921" s="32">
        <f t="shared" ca="1" si="12"/>
        <v>44450</v>
      </c>
    </row>
    <row r="922" spans="1:2" ht="15" customHeight="1" x14ac:dyDescent="0.25">
      <c r="A922" t="s">
        <v>851</v>
      </c>
      <c r="B922" s="32">
        <f t="shared" ca="1" si="12"/>
        <v>44450</v>
      </c>
    </row>
    <row r="923" spans="1:2" ht="15" customHeight="1" x14ac:dyDescent="0.25">
      <c r="A923" t="s">
        <v>851</v>
      </c>
      <c r="B923" s="32">
        <f t="shared" ca="1" si="12"/>
        <v>44450</v>
      </c>
    </row>
    <row r="924" spans="1:2" ht="15" customHeight="1" x14ac:dyDescent="0.25">
      <c r="A924" t="s">
        <v>851</v>
      </c>
      <c r="B924" s="32">
        <f t="shared" ca="1" si="12"/>
        <v>44450</v>
      </c>
    </row>
    <row r="925" spans="1:2" ht="15" customHeight="1" x14ac:dyDescent="0.25">
      <c r="A925" t="s">
        <v>851</v>
      </c>
      <c r="B925" s="32">
        <f t="shared" ca="1" si="12"/>
        <v>44450</v>
      </c>
    </row>
    <row r="926" spans="1:2" ht="15" customHeight="1" x14ac:dyDescent="0.25">
      <c r="A926" t="s">
        <v>851</v>
      </c>
      <c r="B926" s="32">
        <f t="shared" ca="1" si="12"/>
        <v>44450</v>
      </c>
    </row>
    <row r="927" spans="1:2" ht="15" customHeight="1" x14ac:dyDescent="0.25">
      <c r="A927" t="s">
        <v>851</v>
      </c>
      <c r="B927" s="32">
        <f t="shared" ca="1" si="12"/>
        <v>44450</v>
      </c>
    </row>
    <row r="928" spans="1:2" ht="15" customHeight="1" x14ac:dyDescent="0.25">
      <c r="A928" t="s">
        <v>295</v>
      </c>
      <c r="B928" s="32">
        <f t="shared" ca="1" si="12"/>
        <v>44450</v>
      </c>
    </row>
    <row r="929" spans="1:2" ht="15" customHeight="1" x14ac:dyDescent="0.25">
      <c r="A929" t="s">
        <v>295</v>
      </c>
      <c r="B929" s="32">
        <f t="shared" ca="1" si="12"/>
        <v>44450</v>
      </c>
    </row>
    <row r="930" spans="1:2" ht="15" customHeight="1" x14ac:dyDescent="0.25">
      <c r="A930" t="s">
        <v>296</v>
      </c>
      <c r="B930" s="32">
        <f t="shared" ca="1" si="12"/>
        <v>44450</v>
      </c>
    </row>
    <row r="931" spans="1:2" ht="15" customHeight="1" x14ac:dyDescent="0.25">
      <c r="A931" t="s">
        <v>297</v>
      </c>
      <c r="B931" s="32">
        <f t="shared" ca="1" si="12"/>
        <v>44450</v>
      </c>
    </row>
    <row r="932" spans="1:2" ht="15" customHeight="1" x14ac:dyDescent="0.25">
      <c r="A932" t="s">
        <v>297</v>
      </c>
      <c r="B932" s="32">
        <f t="shared" ca="1" si="12"/>
        <v>44450</v>
      </c>
    </row>
    <row r="933" spans="1:2" ht="15" customHeight="1" x14ac:dyDescent="0.25">
      <c r="A933" t="s">
        <v>297</v>
      </c>
      <c r="B933" s="32">
        <f t="shared" ca="1" si="12"/>
        <v>44450</v>
      </c>
    </row>
    <row r="934" spans="1:2" ht="15" customHeight="1" x14ac:dyDescent="0.25">
      <c r="A934" t="s">
        <v>298</v>
      </c>
      <c r="B934" s="32">
        <f t="shared" ca="1" si="12"/>
        <v>44450</v>
      </c>
    </row>
    <row r="935" spans="1:2" ht="15" customHeight="1" x14ac:dyDescent="0.25">
      <c r="A935" t="s">
        <v>298</v>
      </c>
      <c r="B935" s="32">
        <f t="shared" ca="1" si="12"/>
        <v>44450</v>
      </c>
    </row>
    <row r="936" spans="1:2" ht="15" customHeight="1" x14ac:dyDescent="0.25">
      <c r="A936" t="s">
        <v>299</v>
      </c>
      <c r="B936" s="32">
        <f t="shared" ca="1" si="12"/>
        <v>44450</v>
      </c>
    </row>
    <row r="937" spans="1:2" ht="15" customHeight="1" x14ac:dyDescent="0.25">
      <c r="A937" t="s">
        <v>852</v>
      </c>
      <c r="B937" s="32">
        <f t="shared" ca="1" si="12"/>
        <v>44450</v>
      </c>
    </row>
    <row r="938" spans="1:2" ht="15" customHeight="1" x14ac:dyDescent="0.25">
      <c r="A938" t="s">
        <v>300</v>
      </c>
      <c r="B938" s="32">
        <f t="shared" ca="1" si="12"/>
        <v>44450</v>
      </c>
    </row>
    <row r="939" spans="1:2" ht="15" customHeight="1" x14ac:dyDescent="0.25">
      <c r="A939" t="s">
        <v>301</v>
      </c>
      <c r="B939" s="32">
        <f t="shared" ca="1" si="12"/>
        <v>44450</v>
      </c>
    </row>
    <row r="940" spans="1:2" ht="15" customHeight="1" x14ac:dyDescent="0.25">
      <c r="A940" t="s">
        <v>302</v>
      </c>
      <c r="B940" s="32">
        <f t="shared" ca="1" si="12"/>
        <v>44450</v>
      </c>
    </row>
    <row r="941" spans="1:2" ht="15" customHeight="1" x14ac:dyDescent="0.25">
      <c r="A941" t="s">
        <v>303</v>
      </c>
      <c r="B941" s="32">
        <f t="shared" ca="1" si="12"/>
        <v>44450</v>
      </c>
    </row>
    <row r="942" spans="1:2" ht="15" customHeight="1" x14ac:dyDescent="0.25">
      <c r="A942" t="s">
        <v>303</v>
      </c>
      <c r="B942" s="32">
        <f t="shared" ca="1" si="12"/>
        <v>44450</v>
      </c>
    </row>
    <row r="943" spans="1:2" ht="15" customHeight="1" x14ac:dyDescent="0.25">
      <c r="A943" t="s">
        <v>304</v>
      </c>
      <c r="B943" s="32">
        <f t="shared" ca="1" si="12"/>
        <v>44450</v>
      </c>
    </row>
    <row r="944" spans="1:2" ht="15" customHeight="1" x14ac:dyDescent="0.25">
      <c r="A944" t="s">
        <v>305</v>
      </c>
      <c r="B944" s="32">
        <f t="shared" ca="1" si="12"/>
        <v>44450</v>
      </c>
    </row>
    <row r="945" spans="1:2" ht="15" customHeight="1" x14ac:dyDescent="0.25">
      <c r="A945" t="s">
        <v>306</v>
      </c>
      <c r="B945" s="32">
        <f t="shared" ca="1" si="12"/>
        <v>44450</v>
      </c>
    </row>
    <row r="946" spans="1:2" ht="15" customHeight="1" x14ac:dyDescent="0.25">
      <c r="A946" t="s">
        <v>307</v>
      </c>
      <c r="B946" s="32">
        <f t="shared" ca="1" si="12"/>
        <v>44450</v>
      </c>
    </row>
    <row r="947" spans="1:2" ht="15" customHeight="1" x14ac:dyDescent="0.25">
      <c r="A947" t="s">
        <v>307</v>
      </c>
      <c r="B947" s="32">
        <f t="shared" ca="1" si="12"/>
        <v>44450</v>
      </c>
    </row>
    <row r="948" spans="1:2" ht="15" customHeight="1" x14ac:dyDescent="0.25">
      <c r="A948" t="s">
        <v>308</v>
      </c>
      <c r="B948" s="32">
        <f t="shared" ca="1" si="12"/>
        <v>44450</v>
      </c>
    </row>
    <row r="949" spans="1:2" ht="15" customHeight="1" x14ac:dyDescent="0.25">
      <c r="A949" t="s">
        <v>309</v>
      </c>
      <c r="B949" s="32">
        <f t="shared" ca="1" si="12"/>
        <v>44450</v>
      </c>
    </row>
    <row r="950" spans="1:2" ht="15" customHeight="1" x14ac:dyDescent="0.25">
      <c r="A950" t="s">
        <v>853</v>
      </c>
      <c r="B950" s="32">
        <f t="shared" ca="1" si="12"/>
        <v>44450</v>
      </c>
    </row>
    <row r="951" spans="1:2" ht="15" customHeight="1" x14ac:dyDescent="0.25">
      <c r="A951" t="s">
        <v>853</v>
      </c>
      <c r="B951" s="32">
        <f t="shared" ca="1" si="12"/>
        <v>44450</v>
      </c>
    </row>
    <row r="952" spans="1:2" ht="15" customHeight="1" x14ac:dyDescent="0.25">
      <c r="A952" t="s">
        <v>853</v>
      </c>
      <c r="B952" s="32">
        <f t="shared" ca="1" si="12"/>
        <v>44450</v>
      </c>
    </row>
    <row r="953" spans="1:2" ht="15" customHeight="1" x14ac:dyDescent="0.25">
      <c r="A953" t="s">
        <v>853</v>
      </c>
      <c r="B953" s="32">
        <f t="shared" ca="1" si="12"/>
        <v>44450</v>
      </c>
    </row>
    <row r="954" spans="1:2" ht="15" customHeight="1" x14ac:dyDescent="0.25">
      <c r="A954" t="s">
        <v>853</v>
      </c>
      <c r="B954" s="32">
        <f t="shared" ca="1" si="12"/>
        <v>44450</v>
      </c>
    </row>
    <row r="955" spans="1:2" ht="15" customHeight="1" x14ac:dyDescent="0.25">
      <c r="A955" t="s">
        <v>854</v>
      </c>
      <c r="B955" s="32">
        <f t="shared" ca="1" si="12"/>
        <v>44450</v>
      </c>
    </row>
    <row r="956" spans="1:2" ht="15" customHeight="1" x14ac:dyDescent="0.25">
      <c r="A956" t="s">
        <v>854</v>
      </c>
      <c r="B956" s="32">
        <f t="shared" ca="1" si="12"/>
        <v>44450</v>
      </c>
    </row>
    <row r="957" spans="1:2" ht="15" customHeight="1" x14ac:dyDescent="0.25">
      <c r="A957" t="s">
        <v>854</v>
      </c>
      <c r="B957" s="32">
        <f t="shared" ca="1" si="12"/>
        <v>44450</v>
      </c>
    </row>
    <row r="958" spans="1:2" ht="15" customHeight="1" x14ac:dyDescent="0.25">
      <c r="A958" t="s">
        <v>854</v>
      </c>
      <c r="B958" s="32">
        <f t="shared" ca="1" si="12"/>
        <v>44450</v>
      </c>
    </row>
    <row r="959" spans="1:2" ht="15" customHeight="1" x14ac:dyDescent="0.25">
      <c r="A959" t="s">
        <v>854</v>
      </c>
      <c r="B959" s="32">
        <f t="shared" ca="1" si="12"/>
        <v>44450</v>
      </c>
    </row>
    <row r="960" spans="1:2" ht="15" customHeight="1" x14ac:dyDescent="0.25">
      <c r="A960" t="s">
        <v>854</v>
      </c>
      <c r="B960" s="32">
        <f t="shared" ca="1" si="12"/>
        <v>44450</v>
      </c>
    </row>
    <row r="961" spans="1:2" ht="15" customHeight="1" x14ac:dyDescent="0.25">
      <c r="A961" t="s">
        <v>854</v>
      </c>
      <c r="B961" s="32">
        <f t="shared" ca="1" si="12"/>
        <v>44450</v>
      </c>
    </row>
    <row r="962" spans="1:2" ht="15" customHeight="1" x14ac:dyDescent="0.25">
      <c r="A962" t="s">
        <v>855</v>
      </c>
      <c r="B962" s="32">
        <f t="shared" ca="1" si="12"/>
        <v>44450</v>
      </c>
    </row>
    <row r="963" spans="1:2" ht="15" customHeight="1" x14ac:dyDescent="0.25">
      <c r="A963" t="s">
        <v>855</v>
      </c>
      <c r="B963" s="32">
        <f t="shared" ca="1" si="12"/>
        <v>44450</v>
      </c>
    </row>
    <row r="964" spans="1:2" ht="15" customHeight="1" x14ac:dyDescent="0.25">
      <c r="A964" t="s">
        <v>855</v>
      </c>
      <c r="B964" s="32">
        <f t="shared" ca="1" si="12"/>
        <v>44450</v>
      </c>
    </row>
    <row r="965" spans="1:2" ht="15" customHeight="1" x14ac:dyDescent="0.25">
      <c r="A965" t="s">
        <v>855</v>
      </c>
      <c r="B965" s="32">
        <f t="shared" ca="1" si="12"/>
        <v>44450</v>
      </c>
    </row>
    <row r="966" spans="1:2" ht="15" customHeight="1" x14ac:dyDescent="0.25">
      <c r="A966" t="s">
        <v>856</v>
      </c>
      <c r="B966" s="32">
        <f t="shared" ca="1" si="12"/>
        <v>44450</v>
      </c>
    </row>
    <row r="967" spans="1:2" ht="15" customHeight="1" x14ac:dyDescent="0.25">
      <c r="A967" t="s">
        <v>856</v>
      </c>
      <c r="B967" s="32">
        <f t="shared" ref="B967:B1030" ca="1" si="13">TODAY()-150</f>
        <v>44450</v>
      </c>
    </row>
    <row r="968" spans="1:2" ht="15" customHeight="1" x14ac:dyDescent="0.25">
      <c r="A968" t="s">
        <v>856</v>
      </c>
      <c r="B968" s="32">
        <f t="shared" ca="1" si="13"/>
        <v>44450</v>
      </c>
    </row>
    <row r="969" spans="1:2" ht="15" customHeight="1" x14ac:dyDescent="0.25">
      <c r="A969" t="s">
        <v>856</v>
      </c>
      <c r="B969" s="32">
        <f t="shared" ca="1" si="13"/>
        <v>44450</v>
      </c>
    </row>
    <row r="970" spans="1:2" ht="15" customHeight="1" x14ac:dyDescent="0.25">
      <c r="A970" t="s">
        <v>856</v>
      </c>
      <c r="B970" s="32">
        <f t="shared" ca="1" si="13"/>
        <v>44450</v>
      </c>
    </row>
    <row r="971" spans="1:2" ht="15" customHeight="1" x14ac:dyDescent="0.25">
      <c r="A971" t="s">
        <v>857</v>
      </c>
      <c r="B971" s="32">
        <f t="shared" ca="1" si="13"/>
        <v>44450</v>
      </c>
    </row>
    <row r="972" spans="1:2" ht="15" customHeight="1" x14ac:dyDescent="0.25">
      <c r="A972" t="s">
        <v>857</v>
      </c>
      <c r="B972" s="32">
        <f t="shared" ca="1" si="13"/>
        <v>44450</v>
      </c>
    </row>
    <row r="973" spans="1:2" ht="15" customHeight="1" x14ac:dyDescent="0.25">
      <c r="A973" t="s">
        <v>857</v>
      </c>
      <c r="B973" s="32">
        <f t="shared" ca="1" si="13"/>
        <v>44450</v>
      </c>
    </row>
    <row r="974" spans="1:2" ht="15" customHeight="1" x14ac:dyDescent="0.25">
      <c r="A974" t="s">
        <v>857</v>
      </c>
      <c r="B974" s="32">
        <f t="shared" ca="1" si="13"/>
        <v>44450</v>
      </c>
    </row>
    <row r="975" spans="1:2" ht="15" customHeight="1" x14ac:dyDescent="0.25">
      <c r="A975" t="s">
        <v>857</v>
      </c>
      <c r="B975" s="32">
        <f t="shared" ca="1" si="13"/>
        <v>44450</v>
      </c>
    </row>
    <row r="976" spans="1:2" ht="15" customHeight="1" x14ac:dyDescent="0.25">
      <c r="A976" t="s">
        <v>857</v>
      </c>
      <c r="B976" s="32">
        <f t="shared" ca="1" si="13"/>
        <v>44450</v>
      </c>
    </row>
    <row r="977" spans="1:2" ht="15" customHeight="1" x14ac:dyDescent="0.25">
      <c r="A977" t="s">
        <v>310</v>
      </c>
      <c r="B977" s="32">
        <f t="shared" ca="1" si="13"/>
        <v>44450</v>
      </c>
    </row>
    <row r="978" spans="1:2" ht="15" customHeight="1" x14ac:dyDescent="0.25">
      <c r="A978" t="s">
        <v>311</v>
      </c>
      <c r="B978" s="32">
        <f t="shared" ca="1" si="13"/>
        <v>44450</v>
      </c>
    </row>
    <row r="979" spans="1:2" ht="15" customHeight="1" x14ac:dyDescent="0.25">
      <c r="A979" t="s">
        <v>312</v>
      </c>
      <c r="B979" s="32">
        <f t="shared" ca="1" si="13"/>
        <v>44450</v>
      </c>
    </row>
    <row r="980" spans="1:2" ht="15" customHeight="1" x14ac:dyDescent="0.25">
      <c r="A980" t="s">
        <v>312</v>
      </c>
      <c r="B980" s="32">
        <f t="shared" ca="1" si="13"/>
        <v>44450</v>
      </c>
    </row>
    <row r="981" spans="1:2" ht="15" customHeight="1" x14ac:dyDescent="0.25">
      <c r="A981" t="s">
        <v>313</v>
      </c>
      <c r="B981" s="32">
        <f t="shared" ca="1" si="13"/>
        <v>44450</v>
      </c>
    </row>
    <row r="982" spans="1:2" ht="15" customHeight="1" x14ac:dyDescent="0.25">
      <c r="A982" t="s">
        <v>858</v>
      </c>
      <c r="B982" s="32">
        <f t="shared" ca="1" si="13"/>
        <v>44450</v>
      </c>
    </row>
    <row r="983" spans="1:2" ht="15" customHeight="1" x14ac:dyDescent="0.25">
      <c r="A983" t="s">
        <v>858</v>
      </c>
      <c r="B983" s="32">
        <f t="shared" ca="1" si="13"/>
        <v>44450</v>
      </c>
    </row>
    <row r="984" spans="1:2" ht="15" customHeight="1" x14ac:dyDescent="0.25">
      <c r="A984" t="s">
        <v>858</v>
      </c>
      <c r="B984" s="32">
        <f t="shared" ca="1" si="13"/>
        <v>44450</v>
      </c>
    </row>
    <row r="985" spans="1:2" ht="15" customHeight="1" x14ac:dyDescent="0.25">
      <c r="A985" t="s">
        <v>858</v>
      </c>
      <c r="B985" s="32">
        <f t="shared" ca="1" si="13"/>
        <v>44450</v>
      </c>
    </row>
    <row r="986" spans="1:2" ht="15" customHeight="1" x14ac:dyDescent="0.25">
      <c r="A986" t="s">
        <v>859</v>
      </c>
      <c r="B986" s="32">
        <f t="shared" ca="1" si="13"/>
        <v>44450</v>
      </c>
    </row>
    <row r="987" spans="1:2" ht="15" customHeight="1" x14ac:dyDescent="0.25">
      <c r="A987" t="s">
        <v>859</v>
      </c>
      <c r="B987" s="32">
        <f t="shared" ca="1" si="13"/>
        <v>44450</v>
      </c>
    </row>
    <row r="988" spans="1:2" ht="15" customHeight="1" x14ac:dyDescent="0.25">
      <c r="A988" t="s">
        <v>859</v>
      </c>
      <c r="B988" s="32">
        <f t="shared" ca="1" si="13"/>
        <v>44450</v>
      </c>
    </row>
    <row r="989" spans="1:2" ht="15" customHeight="1" x14ac:dyDescent="0.25">
      <c r="A989" t="s">
        <v>859</v>
      </c>
      <c r="B989" s="32">
        <f t="shared" ca="1" si="13"/>
        <v>44450</v>
      </c>
    </row>
    <row r="990" spans="1:2" ht="15" customHeight="1" x14ac:dyDescent="0.25">
      <c r="A990" t="s">
        <v>860</v>
      </c>
      <c r="B990" s="32">
        <f t="shared" ca="1" si="13"/>
        <v>44450</v>
      </c>
    </row>
    <row r="991" spans="1:2" ht="15" customHeight="1" x14ac:dyDescent="0.25">
      <c r="A991" t="s">
        <v>860</v>
      </c>
      <c r="B991" s="32">
        <f t="shared" ca="1" si="13"/>
        <v>44450</v>
      </c>
    </row>
    <row r="992" spans="1:2" ht="15" customHeight="1" x14ac:dyDescent="0.25">
      <c r="A992" t="s">
        <v>860</v>
      </c>
      <c r="B992" s="32">
        <f t="shared" ca="1" si="13"/>
        <v>44450</v>
      </c>
    </row>
    <row r="993" spans="1:2" ht="15" customHeight="1" x14ac:dyDescent="0.25">
      <c r="A993" t="s">
        <v>860</v>
      </c>
      <c r="B993" s="32">
        <f t="shared" ca="1" si="13"/>
        <v>44450</v>
      </c>
    </row>
    <row r="994" spans="1:2" ht="15" customHeight="1" x14ac:dyDescent="0.25">
      <c r="A994" t="s">
        <v>861</v>
      </c>
      <c r="B994" s="32">
        <f t="shared" ca="1" si="13"/>
        <v>44450</v>
      </c>
    </row>
    <row r="995" spans="1:2" ht="15" customHeight="1" x14ac:dyDescent="0.25">
      <c r="A995" t="s">
        <v>861</v>
      </c>
      <c r="B995" s="32">
        <f t="shared" ca="1" si="13"/>
        <v>44450</v>
      </c>
    </row>
    <row r="996" spans="1:2" ht="15" customHeight="1" x14ac:dyDescent="0.25">
      <c r="A996" t="s">
        <v>861</v>
      </c>
      <c r="B996" s="32">
        <f t="shared" ca="1" si="13"/>
        <v>44450</v>
      </c>
    </row>
    <row r="997" spans="1:2" ht="15" customHeight="1" x14ac:dyDescent="0.25">
      <c r="A997" t="s">
        <v>861</v>
      </c>
      <c r="B997" s="32">
        <f t="shared" ca="1" si="13"/>
        <v>44450</v>
      </c>
    </row>
    <row r="998" spans="1:2" ht="15" customHeight="1" x14ac:dyDescent="0.25">
      <c r="A998" t="s">
        <v>861</v>
      </c>
      <c r="B998" s="32">
        <f t="shared" ca="1" si="13"/>
        <v>44450</v>
      </c>
    </row>
    <row r="999" spans="1:2" ht="15" customHeight="1" x14ac:dyDescent="0.25">
      <c r="A999" t="s">
        <v>861</v>
      </c>
      <c r="B999" s="32">
        <f t="shared" ca="1" si="13"/>
        <v>44450</v>
      </c>
    </row>
    <row r="1000" spans="1:2" ht="15" customHeight="1" x14ac:dyDescent="0.25">
      <c r="A1000" t="s">
        <v>589</v>
      </c>
      <c r="B1000" s="32">
        <f t="shared" ca="1" si="13"/>
        <v>44450</v>
      </c>
    </row>
    <row r="1001" spans="1:2" ht="15" customHeight="1" x14ac:dyDescent="0.25">
      <c r="A1001" t="s">
        <v>590</v>
      </c>
      <c r="B1001" s="32">
        <f t="shared" ca="1" si="13"/>
        <v>44450</v>
      </c>
    </row>
    <row r="1002" spans="1:2" ht="15" customHeight="1" x14ac:dyDescent="0.25">
      <c r="A1002" t="s">
        <v>591</v>
      </c>
      <c r="B1002" s="32">
        <f t="shared" ca="1" si="13"/>
        <v>44450</v>
      </c>
    </row>
    <row r="1003" spans="1:2" ht="15" customHeight="1" x14ac:dyDescent="0.25">
      <c r="A1003" t="s">
        <v>591</v>
      </c>
      <c r="B1003" s="32">
        <f t="shared" ca="1" si="13"/>
        <v>44450</v>
      </c>
    </row>
    <row r="1004" spans="1:2" ht="15" customHeight="1" x14ac:dyDescent="0.25">
      <c r="A1004" t="s">
        <v>592</v>
      </c>
      <c r="B1004" s="32">
        <f t="shared" ca="1" si="13"/>
        <v>44450</v>
      </c>
    </row>
    <row r="1005" spans="1:2" ht="15" customHeight="1" x14ac:dyDescent="0.25">
      <c r="A1005" t="s">
        <v>593</v>
      </c>
      <c r="B1005" s="32">
        <f t="shared" ca="1" si="13"/>
        <v>44450</v>
      </c>
    </row>
    <row r="1006" spans="1:2" ht="15" customHeight="1" x14ac:dyDescent="0.25">
      <c r="A1006" t="s">
        <v>862</v>
      </c>
      <c r="B1006" s="32">
        <f t="shared" ca="1" si="13"/>
        <v>44450</v>
      </c>
    </row>
    <row r="1007" spans="1:2" ht="15" customHeight="1" x14ac:dyDescent="0.25">
      <c r="A1007" t="s">
        <v>862</v>
      </c>
      <c r="B1007" s="32">
        <f t="shared" ca="1" si="13"/>
        <v>44450</v>
      </c>
    </row>
    <row r="1008" spans="1:2" ht="15" customHeight="1" x14ac:dyDescent="0.25">
      <c r="A1008" t="s">
        <v>862</v>
      </c>
      <c r="B1008" s="32">
        <f t="shared" ca="1" si="13"/>
        <v>44450</v>
      </c>
    </row>
    <row r="1009" spans="1:2" ht="15" customHeight="1" x14ac:dyDescent="0.25">
      <c r="A1009" t="s">
        <v>862</v>
      </c>
      <c r="B1009" s="32">
        <f t="shared" ca="1" si="13"/>
        <v>44450</v>
      </c>
    </row>
    <row r="1010" spans="1:2" ht="15" customHeight="1" x14ac:dyDescent="0.25">
      <c r="A1010" t="s">
        <v>862</v>
      </c>
      <c r="B1010" s="32">
        <f t="shared" ca="1" si="13"/>
        <v>44450</v>
      </c>
    </row>
    <row r="1011" spans="1:2" ht="15" customHeight="1" x14ac:dyDescent="0.25">
      <c r="A1011" t="s">
        <v>862</v>
      </c>
      <c r="B1011" s="32">
        <f t="shared" ca="1" si="13"/>
        <v>44450</v>
      </c>
    </row>
    <row r="1012" spans="1:2" ht="15" customHeight="1" x14ac:dyDescent="0.25">
      <c r="A1012" t="s">
        <v>863</v>
      </c>
      <c r="B1012" s="32">
        <f t="shared" ca="1" si="13"/>
        <v>44450</v>
      </c>
    </row>
    <row r="1013" spans="1:2" ht="15" customHeight="1" x14ac:dyDescent="0.25">
      <c r="A1013" t="s">
        <v>864</v>
      </c>
      <c r="B1013" s="32">
        <f t="shared" ca="1" si="13"/>
        <v>44450</v>
      </c>
    </row>
    <row r="1014" spans="1:2" ht="15" customHeight="1" x14ac:dyDescent="0.25">
      <c r="A1014" t="s">
        <v>864</v>
      </c>
      <c r="B1014" s="32">
        <f t="shared" ca="1" si="13"/>
        <v>44450</v>
      </c>
    </row>
    <row r="1015" spans="1:2" ht="15" customHeight="1" x14ac:dyDescent="0.25">
      <c r="A1015" t="s">
        <v>864</v>
      </c>
      <c r="B1015" s="32">
        <f t="shared" ca="1" si="13"/>
        <v>44450</v>
      </c>
    </row>
    <row r="1016" spans="1:2" ht="15" customHeight="1" x14ac:dyDescent="0.25">
      <c r="A1016" t="s">
        <v>864</v>
      </c>
      <c r="B1016" s="32">
        <f t="shared" ca="1" si="13"/>
        <v>44450</v>
      </c>
    </row>
    <row r="1017" spans="1:2" ht="15" customHeight="1" x14ac:dyDescent="0.25">
      <c r="A1017" t="s">
        <v>865</v>
      </c>
      <c r="B1017" s="32">
        <f t="shared" ca="1" si="13"/>
        <v>44450</v>
      </c>
    </row>
    <row r="1018" spans="1:2" ht="15" customHeight="1" x14ac:dyDescent="0.25">
      <c r="A1018" t="s">
        <v>865</v>
      </c>
      <c r="B1018" s="32">
        <f t="shared" ca="1" si="13"/>
        <v>44450</v>
      </c>
    </row>
    <row r="1019" spans="1:2" ht="15" customHeight="1" x14ac:dyDescent="0.25">
      <c r="A1019" t="s">
        <v>865</v>
      </c>
      <c r="B1019" s="32">
        <f t="shared" ca="1" si="13"/>
        <v>44450</v>
      </c>
    </row>
    <row r="1020" spans="1:2" ht="15" customHeight="1" x14ac:dyDescent="0.25">
      <c r="A1020" t="s">
        <v>865</v>
      </c>
      <c r="B1020" s="32">
        <f t="shared" ca="1" si="13"/>
        <v>44450</v>
      </c>
    </row>
    <row r="1021" spans="1:2" ht="15" customHeight="1" x14ac:dyDescent="0.25">
      <c r="A1021" t="s">
        <v>865</v>
      </c>
      <c r="B1021" s="32">
        <f t="shared" ca="1" si="13"/>
        <v>44450</v>
      </c>
    </row>
    <row r="1022" spans="1:2" ht="15" customHeight="1" x14ac:dyDescent="0.25">
      <c r="A1022" t="s">
        <v>865</v>
      </c>
      <c r="B1022" s="32">
        <f t="shared" ca="1" si="13"/>
        <v>44450</v>
      </c>
    </row>
    <row r="1023" spans="1:2" ht="15" customHeight="1" x14ac:dyDescent="0.25">
      <c r="A1023" t="s">
        <v>865</v>
      </c>
      <c r="B1023" s="32">
        <f t="shared" ca="1" si="13"/>
        <v>44450</v>
      </c>
    </row>
    <row r="1024" spans="1:2" ht="15" customHeight="1" x14ac:dyDescent="0.25">
      <c r="A1024" t="s">
        <v>842</v>
      </c>
      <c r="B1024" s="32">
        <f t="shared" ca="1" si="13"/>
        <v>44450</v>
      </c>
    </row>
    <row r="1025" spans="1:2" ht="15" customHeight="1" x14ac:dyDescent="0.25">
      <c r="A1025" t="s">
        <v>842</v>
      </c>
      <c r="B1025" s="32">
        <f t="shared" ca="1" si="13"/>
        <v>44450</v>
      </c>
    </row>
    <row r="1026" spans="1:2" ht="15" customHeight="1" x14ac:dyDescent="0.25">
      <c r="A1026" t="s">
        <v>842</v>
      </c>
      <c r="B1026" s="32">
        <f t="shared" ca="1" si="13"/>
        <v>44450</v>
      </c>
    </row>
    <row r="1027" spans="1:2" ht="15" customHeight="1" x14ac:dyDescent="0.25">
      <c r="A1027" t="s">
        <v>866</v>
      </c>
      <c r="B1027" s="32">
        <f t="shared" ca="1" si="13"/>
        <v>44450</v>
      </c>
    </row>
    <row r="1028" spans="1:2" ht="15" customHeight="1" x14ac:dyDescent="0.25">
      <c r="A1028" t="s">
        <v>866</v>
      </c>
      <c r="B1028" s="32">
        <f t="shared" ca="1" si="13"/>
        <v>44450</v>
      </c>
    </row>
    <row r="1029" spans="1:2" ht="15" customHeight="1" x14ac:dyDescent="0.25">
      <c r="A1029" t="s">
        <v>866</v>
      </c>
      <c r="B1029" s="32">
        <f t="shared" ca="1" si="13"/>
        <v>44450</v>
      </c>
    </row>
    <row r="1030" spans="1:2" ht="15" customHeight="1" x14ac:dyDescent="0.25">
      <c r="A1030" t="s">
        <v>866</v>
      </c>
      <c r="B1030" s="32">
        <f t="shared" ca="1" si="13"/>
        <v>44450</v>
      </c>
    </row>
    <row r="1031" spans="1:2" ht="15" customHeight="1" x14ac:dyDescent="0.25">
      <c r="A1031" t="s">
        <v>866</v>
      </c>
      <c r="B1031" s="32">
        <f t="shared" ref="B1031:B1094" ca="1" si="14">TODAY()-150</f>
        <v>44450</v>
      </c>
    </row>
    <row r="1032" spans="1:2" ht="15" customHeight="1" x14ac:dyDescent="0.25">
      <c r="A1032" t="s">
        <v>867</v>
      </c>
      <c r="B1032" s="32">
        <f t="shared" ca="1" si="14"/>
        <v>44450</v>
      </c>
    </row>
    <row r="1033" spans="1:2" ht="15" customHeight="1" x14ac:dyDescent="0.25">
      <c r="A1033" t="s">
        <v>867</v>
      </c>
      <c r="B1033" s="32">
        <f t="shared" ca="1" si="14"/>
        <v>44450</v>
      </c>
    </row>
    <row r="1034" spans="1:2" ht="15" customHeight="1" x14ac:dyDescent="0.25">
      <c r="A1034" t="s">
        <v>867</v>
      </c>
      <c r="B1034" s="32">
        <f t="shared" ca="1" si="14"/>
        <v>44450</v>
      </c>
    </row>
    <row r="1035" spans="1:2" ht="15" customHeight="1" x14ac:dyDescent="0.25">
      <c r="A1035" t="s">
        <v>867</v>
      </c>
      <c r="B1035" s="32">
        <f t="shared" ca="1" si="14"/>
        <v>44450</v>
      </c>
    </row>
    <row r="1036" spans="1:2" ht="15" customHeight="1" x14ac:dyDescent="0.25">
      <c r="A1036" t="s">
        <v>867</v>
      </c>
      <c r="B1036" s="32">
        <f t="shared" ca="1" si="14"/>
        <v>44450</v>
      </c>
    </row>
    <row r="1037" spans="1:2" ht="15" customHeight="1" x14ac:dyDescent="0.25">
      <c r="A1037" t="s">
        <v>314</v>
      </c>
      <c r="B1037" s="32">
        <f t="shared" ca="1" si="14"/>
        <v>44450</v>
      </c>
    </row>
    <row r="1038" spans="1:2" ht="15" customHeight="1" x14ac:dyDescent="0.25">
      <c r="A1038" t="s">
        <v>868</v>
      </c>
      <c r="B1038" s="32">
        <f t="shared" ca="1" si="14"/>
        <v>44450</v>
      </c>
    </row>
    <row r="1039" spans="1:2" ht="15" customHeight="1" x14ac:dyDescent="0.25">
      <c r="A1039" t="s">
        <v>868</v>
      </c>
      <c r="B1039" s="32">
        <f t="shared" ca="1" si="14"/>
        <v>44450</v>
      </c>
    </row>
    <row r="1040" spans="1:2" ht="15" customHeight="1" x14ac:dyDescent="0.25">
      <c r="A1040" t="s">
        <v>868</v>
      </c>
      <c r="B1040" s="32">
        <f t="shared" ca="1" si="14"/>
        <v>44450</v>
      </c>
    </row>
    <row r="1041" spans="1:2" ht="15" customHeight="1" x14ac:dyDescent="0.25">
      <c r="A1041" t="s">
        <v>868</v>
      </c>
      <c r="B1041" s="32">
        <f t="shared" ca="1" si="14"/>
        <v>44450</v>
      </c>
    </row>
    <row r="1042" spans="1:2" ht="15" customHeight="1" x14ac:dyDescent="0.25">
      <c r="A1042" t="s">
        <v>868</v>
      </c>
      <c r="B1042" s="32">
        <f t="shared" ca="1" si="14"/>
        <v>44450</v>
      </c>
    </row>
    <row r="1043" spans="1:2" ht="15" customHeight="1" x14ac:dyDescent="0.25">
      <c r="A1043" t="s">
        <v>869</v>
      </c>
      <c r="B1043" s="32">
        <f t="shared" ca="1" si="14"/>
        <v>44450</v>
      </c>
    </row>
    <row r="1044" spans="1:2" ht="15" customHeight="1" x14ac:dyDescent="0.25">
      <c r="A1044" t="s">
        <v>869</v>
      </c>
      <c r="B1044" s="32">
        <f t="shared" ca="1" si="14"/>
        <v>44450</v>
      </c>
    </row>
    <row r="1045" spans="1:2" ht="15" customHeight="1" x14ac:dyDescent="0.25">
      <c r="A1045" t="s">
        <v>869</v>
      </c>
      <c r="B1045" s="32">
        <f t="shared" ca="1" si="14"/>
        <v>44450</v>
      </c>
    </row>
    <row r="1046" spans="1:2" ht="15" customHeight="1" x14ac:dyDescent="0.25">
      <c r="A1046" t="s">
        <v>869</v>
      </c>
      <c r="B1046" s="32">
        <f t="shared" ca="1" si="14"/>
        <v>44450</v>
      </c>
    </row>
    <row r="1047" spans="1:2" ht="15" customHeight="1" x14ac:dyDescent="0.25">
      <c r="A1047" t="s">
        <v>869</v>
      </c>
      <c r="B1047" s="32">
        <f t="shared" ca="1" si="14"/>
        <v>44450</v>
      </c>
    </row>
    <row r="1048" spans="1:2" ht="15" customHeight="1" x14ac:dyDescent="0.25">
      <c r="A1048" t="s">
        <v>870</v>
      </c>
      <c r="B1048" s="32">
        <f t="shared" ca="1" si="14"/>
        <v>44450</v>
      </c>
    </row>
    <row r="1049" spans="1:2" ht="15" customHeight="1" x14ac:dyDescent="0.25">
      <c r="A1049" t="s">
        <v>870</v>
      </c>
      <c r="B1049" s="32">
        <f t="shared" ca="1" si="14"/>
        <v>44450</v>
      </c>
    </row>
    <row r="1050" spans="1:2" ht="15" customHeight="1" x14ac:dyDescent="0.25">
      <c r="A1050" t="s">
        <v>870</v>
      </c>
      <c r="B1050" s="32">
        <f t="shared" ca="1" si="14"/>
        <v>44450</v>
      </c>
    </row>
    <row r="1051" spans="1:2" ht="15" customHeight="1" x14ac:dyDescent="0.25">
      <c r="A1051" t="s">
        <v>870</v>
      </c>
      <c r="B1051" s="32">
        <f t="shared" ca="1" si="14"/>
        <v>44450</v>
      </c>
    </row>
    <row r="1052" spans="1:2" ht="15" customHeight="1" x14ac:dyDescent="0.25">
      <c r="A1052" t="s">
        <v>870</v>
      </c>
      <c r="B1052" s="32">
        <f t="shared" ca="1" si="14"/>
        <v>44450</v>
      </c>
    </row>
    <row r="1053" spans="1:2" ht="15" customHeight="1" x14ac:dyDescent="0.25">
      <c r="A1053" t="s">
        <v>871</v>
      </c>
      <c r="B1053" s="32">
        <f t="shared" ca="1" si="14"/>
        <v>44450</v>
      </c>
    </row>
    <row r="1054" spans="1:2" ht="15" customHeight="1" x14ac:dyDescent="0.25">
      <c r="A1054" t="s">
        <v>871</v>
      </c>
      <c r="B1054" s="32">
        <f t="shared" ca="1" si="14"/>
        <v>44450</v>
      </c>
    </row>
    <row r="1055" spans="1:2" ht="15" customHeight="1" x14ac:dyDescent="0.25">
      <c r="A1055" t="s">
        <v>871</v>
      </c>
      <c r="B1055" s="32">
        <f t="shared" ca="1" si="14"/>
        <v>44450</v>
      </c>
    </row>
    <row r="1056" spans="1:2" ht="15" customHeight="1" x14ac:dyDescent="0.25">
      <c r="A1056" t="s">
        <v>869</v>
      </c>
      <c r="B1056" s="32">
        <f t="shared" ca="1" si="14"/>
        <v>44450</v>
      </c>
    </row>
    <row r="1057" spans="1:2" ht="15" customHeight="1" x14ac:dyDescent="0.25">
      <c r="A1057" t="s">
        <v>869</v>
      </c>
      <c r="B1057" s="32">
        <f t="shared" ca="1" si="14"/>
        <v>44450</v>
      </c>
    </row>
    <row r="1058" spans="1:2" ht="15" customHeight="1" x14ac:dyDescent="0.25">
      <c r="A1058" t="s">
        <v>869</v>
      </c>
      <c r="B1058" s="32">
        <f t="shared" ca="1" si="14"/>
        <v>44450</v>
      </c>
    </row>
    <row r="1059" spans="1:2" ht="15" customHeight="1" x14ac:dyDescent="0.25">
      <c r="A1059" t="s">
        <v>315</v>
      </c>
      <c r="B1059" s="32">
        <f t="shared" ca="1" si="14"/>
        <v>44450</v>
      </c>
    </row>
    <row r="1060" spans="1:2" ht="15" customHeight="1" x14ac:dyDescent="0.25">
      <c r="A1060" t="s">
        <v>872</v>
      </c>
      <c r="B1060" s="32">
        <f t="shared" ca="1" si="14"/>
        <v>44450</v>
      </c>
    </row>
    <row r="1061" spans="1:2" ht="15" customHeight="1" x14ac:dyDescent="0.25">
      <c r="A1061" t="s">
        <v>872</v>
      </c>
      <c r="B1061" s="32">
        <f t="shared" ca="1" si="14"/>
        <v>44450</v>
      </c>
    </row>
    <row r="1062" spans="1:2" ht="15" customHeight="1" x14ac:dyDescent="0.25">
      <c r="A1062" t="s">
        <v>872</v>
      </c>
      <c r="B1062" s="32">
        <f t="shared" ca="1" si="14"/>
        <v>44450</v>
      </c>
    </row>
    <row r="1063" spans="1:2" ht="15" customHeight="1" x14ac:dyDescent="0.25">
      <c r="A1063" t="s">
        <v>872</v>
      </c>
      <c r="B1063" s="32">
        <f t="shared" ca="1" si="14"/>
        <v>44450</v>
      </c>
    </row>
    <row r="1064" spans="1:2" ht="15" customHeight="1" x14ac:dyDescent="0.25">
      <c r="A1064" t="s">
        <v>872</v>
      </c>
      <c r="B1064" s="32">
        <f t="shared" ca="1" si="14"/>
        <v>44450</v>
      </c>
    </row>
    <row r="1065" spans="1:2" ht="15" customHeight="1" x14ac:dyDescent="0.25">
      <c r="A1065" t="s">
        <v>316</v>
      </c>
      <c r="B1065" s="32">
        <f t="shared" ca="1" si="14"/>
        <v>44450</v>
      </c>
    </row>
    <row r="1066" spans="1:2" ht="15" customHeight="1" x14ac:dyDescent="0.25">
      <c r="A1066" t="s">
        <v>317</v>
      </c>
      <c r="B1066" s="32">
        <f t="shared" ca="1" si="14"/>
        <v>44450</v>
      </c>
    </row>
    <row r="1067" spans="1:2" ht="15" customHeight="1" x14ac:dyDescent="0.25">
      <c r="A1067" t="s">
        <v>318</v>
      </c>
      <c r="B1067" s="32">
        <f t="shared" ca="1" si="14"/>
        <v>44450</v>
      </c>
    </row>
    <row r="1068" spans="1:2" ht="15" customHeight="1" x14ac:dyDescent="0.25">
      <c r="A1068" t="s">
        <v>319</v>
      </c>
      <c r="B1068" s="32">
        <f t="shared" ca="1" si="14"/>
        <v>44450</v>
      </c>
    </row>
    <row r="1069" spans="1:2" ht="15" customHeight="1" x14ac:dyDescent="0.25">
      <c r="A1069" t="s">
        <v>320</v>
      </c>
      <c r="B1069" s="32">
        <f t="shared" ca="1" si="14"/>
        <v>44450</v>
      </c>
    </row>
    <row r="1070" spans="1:2" ht="15" customHeight="1" x14ac:dyDescent="0.25">
      <c r="A1070" t="s">
        <v>873</v>
      </c>
      <c r="B1070" s="32">
        <f t="shared" ca="1" si="14"/>
        <v>44450</v>
      </c>
    </row>
    <row r="1071" spans="1:2" ht="15" customHeight="1" x14ac:dyDescent="0.25">
      <c r="A1071" t="s">
        <v>873</v>
      </c>
      <c r="B1071" s="32">
        <f t="shared" ca="1" si="14"/>
        <v>44450</v>
      </c>
    </row>
    <row r="1072" spans="1:2" ht="15" customHeight="1" x14ac:dyDescent="0.25">
      <c r="A1072" t="s">
        <v>873</v>
      </c>
      <c r="B1072" s="32">
        <f t="shared" ca="1" si="14"/>
        <v>44450</v>
      </c>
    </row>
    <row r="1073" spans="1:2" ht="15" customHeight="1" x14ac:dyDescent="0.25">
      <c r="A1073" t="s">
        <v>873</v>
      </c>
      <c r="B1073" s="32">
        <f t="shared" ca="1" si="14"/>
        <v>44450</v>
      </c>
    </row>
    <row r="1074" spans="1:2" ht="15" customHeight="1" x14ac:dyDescent="0.25">
      <c r="A1074" t="s">
        <v>321</v>
      </c>
      <c r="B1074" s="32">
        <f t="shared" ca="1" si="14"/>
        <v>44450</v>
      </c>
    </row>
    <row r="1075" spans="1:2" ht="15" customHeight="1" x14ac:dyDescent="0.25">
      <c r="A1075" t="s">
        <v>322</v>
      </c>
      <c r="B1075" s="32">
        <f t="shared" ca="1" si="14"/>
        <v>44450</v>
      </c>
    </row>
    <row r="1076" spans="1:2" ht="15" customHeight="1" x14ac:dyDescent="0.25">
      <c r="A1076" t="s">
        <v>323</v>
      </c>
      <c r="B1076" s="32">
        <f t="shared" ca="1" si="14"/>
        <v>44450</v>
      </c>
    </row>
    <row r="1077" spans="1:2" ht="15" customHeight="1" x14ac:dyDescent="0.25">
      <c r="A1077" t="s">
        <v>323</v>
      </c>
      <c r="B1077" s="32">
        <f t="shared" ca="1" si="14"/>
        <v>44450</v>
      </c>
    </row>
    <row r="1078" spans="1:2" ht="15" customHeight="1" x14ac:dyDescent="0.25">
      <c r="A1078" t="s">
        <v>324</v>
      </c>
      <c r="B1078" s="32">
        <f t="shared" ca="1" si="14"/>
        <v>44450</v>
      </c>
    </row>
    <row r="1079" spans="1:2" ht="15" customHeight="1" x14ac:dyDescent="0.25">
      <c r="A1079" t="s">
        <v>874</v>
      </c>
      <c r="B1079" s="32">
        <f t="shared" ca="1" si="14"/>
        <v>44450</v>
      </c>
    </row>
    <row r="1080" spans="1:2" ht="15" customHeight="1" x14ac:dyDescent="0.25">
      <c r="A1080" t="s">
        <v>874</v>
      </c>
      <c r="B1080" s="32">
        <f t="shared" ca="1" si="14"/>
        <v>44450</v>
      </c>
    </row>
    <row r="1081" spans="1:2" ht="15" customHeight="1" x14ac:dyDescent="0.25">
      <c r="A1081" t="s">
        <v>874</v>
      </c>
      <c r="B1081" s="32">
        <f t="shared" ca="1" si="14"/>
        <v>44450</v>
      </c>
    </row>
    <row r="1082" spans="1:2" ht="15" customHeight="1" x14ac:dyDescent="0.25">
      <c r="A1082" t="s">
        <v>874</v>
      </c>
      <c r="B1082" s="32">
        <f t="shared" ca="1" si="14"/>
        <v>44450</v>
      </c>
    </row>
    <row r="1083" spans="1:2" ht="15" customHeight="1" x14ac:dyDescent="0.25">
      <c r="A1083" t="s">
        <v>875</v>
      </c>
      <c r="B1083" s="32">
        <f t="shared" ca="1" si="14"/>
        <v>44450</v>
      </c>
    </row>
    <row r="1084" spans="1:2" ht="15" customHeight="1" x14ac:dyDescent="0.25">
      <c r="A1084" t="s">
        <v>875</v>
      </c>
      <c r="B1084" s="32">
        <f t="shared" ca="1" si="14"/>
        <v>44450</v>
      </c>
    </row>
    <row r="1085" spans="1:2" ht="15" customHeight="1" x14ac:dyDescent="0.25">
      <c r="A1085" t="s">
        <v>876</v>
      </c>
      <c r="B1085" s="32">
        <f t="shared" ca="1" si="14"/>
        <v>44450</v>
      </c>
    </row>
    <row r="1086" spans="1:2" ht="15" customHeight="1" x14ac:dyDescent="0.25">
      <c r="A1086" t="s">
        <v>876</v>
      </c>
      <c r="B1086" s="32">
        <f t="shared" ca="1" si="14"/>
        <v>44450</v>
      </c>
    </row>
    <row r="1087" spans="1:2" ht="15" customHeight="1" x14ac:dyDescent="0.25">
      <c r="A1087" t="s">
        <v>876</v>
      </c>
      <c r="B1087" s="32">
        <f t="shared" ca="1" si="14"/>
        <v>44450</v>
      </c>
    </row>
    <row r="1088" spans="1:2" ht="15" customHeight="1" x14ac:dyDescent="0.25">
      <c r="A1088" t="s">
        <v>877</v>
      </c>
      <c r="B1088" s="32">
        <f t="shared" ca="1" si="14"/>
        <v>44450</v>
      </c>
    </row>
    <row r="1089" spans="1:2" ht="15" customHeight="1" x14ac:dyDescent="0.25">
      <c r="A1089" t="s">
        <v>877</v>
      </c>
      <c r="B1089" s="32">
        <f t="shared" ca="1" si="14"/>
        <v>44450</v>
      </c>
    </row>
    <row r="1090" spans="1:2" ht="15" customHeight="1" x14ac:dyDescent="0.25">
      <c r="A1090" t="s">
        <v>877</v>
      </c>
      <c r="B1090" s="32">
        <f t="shared" ca="1" si="14"/>
        <v>44450</v>
      </c>
    </row>
    <row r="1091" spans="1:2" ht="15" customHeight="1" x14ac:dyDescent="0.25">
      <c r="A1091" t="s">
        <v>877</v>
      </c>
      <c r="B1091" s="32">
        <f t="shared" ca="1" si="14"/>
        <v>44450</v>
      </c>
    </row>
    <row r="1092" spans="1:2" ht="15" customHeight="1" x14ac:dyDescent="0.25">
      <c r="A1092" t="s">
        <v>877</v>
      </c>
      <c r="B1092" s="32">
        <f t="shared" ca="1" si="14"/>
        <v>44450</v>
      </c>
    </row>
    <row r="1093" spans="1:2" ht="15" customHeight="1" x14ac:dyDescent="0.25">
      <c r="A1093" t="s">
        <v>877</v>
      </c>
      <c r="B1093" s="32">
        <f t="shared" ca="1" si="14"/>
        <v>44450</v>
      </c>
    </row>
    <row r="1094" spans="1:2" ht="15" customHeight="1" x14ac:dyDescent="0.25">
      <c r="A1094" t="s">
        <v>877</v>
      </c>
      <c r="B1094" s="32">
        <f t="shared" ca="1" si="14"/>
        <v>44450</v>
      </c>
    </row>
    <row r="1095" spans="1:2" ht="15" customHeight="1" x14ac:dyDescent="0.25">
      <c r="A1095" t="s">
        <v>878</v>
      </c>
      <c r="B1095" s="32">
        <f t="shared" ref="B1095:B1158" ca="1" si="15">TODAY()-150</f>
        <v>44450</v>
      </c>
    </row>
    <row r="1096" spans="1:2" ht="15" customHeight="1" x14ac:dyDescent="0.25">
      <c r="A1096" t="s">
        <v>878</v>
      </c>
      <c r="B1096" s="32">
        <f t="shared" ca="1" si="15"/>
        <v>44450</v>
      </c>
    </row>
    <row r="1097" spans="1:2" ht="15" customHeight="1" x14ac:dyDescent="0.25">
      <c r="A1097" t="s">
        <v>878</v>
      </c>
      <c r="B1097" s="32">
        <f t="shared" ca="1" si="15"/>
        <v>44450</v>
      </c>
    </row>
    <row r="1098" spans="1:2" ht="15" customHeight="1" x14ac:dyDescent="0.25">
      <c r="A1098" t="s">
        <v>878</v>
      </c>
      <c r="B1098" s="32">
        <f t="shared" ca="1" si="15"/>
        <v>44450</v>
      </c>
    </row>
    <row r="1099" spans="1:2" ht="15" customHeight="1" x14ac:dyDescent="0.25">
      <c r="A1099" t="s">
        <v>878</v>
      </c>
      <c r="B1099" s="32">
        <f t="shared" ca="1" si="15"/>
        <v>44450</v>
      </c>
    </row>
    <row r="1100" spans="1:2" ht="15" customHeight="1" x14ac:dyDescent="0.25">
      <c r="A1100" t="s">
        <v>878</v>
      </c>
      <c r="B1100" s="32">
        <f t="shared" ca="1" si="15"/>
        <v>44450</v>
      </c>
    </row>
    <row r="1101" spans="1:2" ht="15" customHeight="1" x14ac:dyDescent="0.25">
      <c r="A1101" t="s">
        <v>878</v>
      </c>
      <c r="B1101" s="32">
        <f t="shared" ca="1" si="15"/>
        <v>44450</v>
      </c>
    </row>
    <row r="1102" spans="1:2" ht="15" customHeight="1" x14ac:dyDescent="0.25">
      <c r="A1102" t="s">
        <v>878</v>
      </c>
      <c r="B1102" s="32">
        <f t="shared" ca="1" si="15"/>
        <v>44450</v>
      </c>
    </row>
    <row r="1103" spans="1:2" ht="15" customHeight="1" x14ac:dyDescent="0.25">
      <c r="A1103" t="s">
        <v>878</v>
      </c>
      <c r="B1103" s="32">
        <f t="shared" ca="1" si="15"/>
        <v>44450</v>
      </c>
    </row>
    <row r="1104" spans="1:2" ht="15" customHeight="1" x14ac:dyDescent="0.25">
      <c r="A1104" t="s">
        <v>879</v>
      </c>
      <c r="B1104" s="32">
        <f t="shared" ca="1" si="15"/>
        <v>44450</v>
      </c>
    </row>
    <row r="1105" spans="1:2" ht="15" customHeight="1" x14ac:dyDescent="0.25">
      <c r="A1105" t="s">
        <v>879</v>
      </c>
      <c r="B1105" s="32">
        <f t="shared" ca="1" si="15"/>
        <v>44450</v>
      </c>
    </row>
    <row r="1106" spans="1:2" ht="15" customHeight="1" x14ac:dyDescent="0.25">
      <c r="A1106" t="s">
        <v>879</v>
      </c>
      <c r="B1106" s="32">
        <f t="shared" ca="1" si="15"/>
        <v>44450</v>
      </c>
    </row>
    <row r="1107" spans="1:2" ht="15" customHeight="1" x14ac:dyDescent="0.25">
      <c r="A1107" t="s">
        <v>879</v>
      </c>
      <c r="B1107" s="32">
        <f t="shared" ca="1" si="15"/>
        <v>44450</v>
      </c>
    </row>
    <row r="1108" spans="1:2" ht="15" customHeight="1" x14ac:dyDescent="0.25">
      <c r="A1108" t="s">
        <v>879</v>
      </c>
      <c r="B1108" s="32">
        <f t="shared" ca="1" si="15"/>
        <v>44450</v>
      </c>
    </row>
    <row r="1109" spans="1:2" ht="15" customHeight="1" x14ac:dyDescent="0.25">
      <c r="A1109" t="s">
        <v>879</v>
      </c>
      <c r="B1109" s="32">
        <f t="shared" ca="1" si="15"/>
        <v>44450</v>
      </c>
    </row>
    <row r="1110" spans="1:2" ht="15" customHeight="1" x14ac:dyDescent="0.25">
      <c r="A1110" t="s">
        <v>879</v>
      </c>
      <c r="B1110" s="32">
        <f t="shared" ca="1" si="15"/>
        <v>44450</v>
      </c>
    </row>
    <row r="1111" spans="1:2" ht="15" customHeight="1" x14ac:dyDescent="0.25">
      <c r="A1111" t="s">
        <v>325</v>
      </c>
      <c r="B1111" s="32">
        <f t="shared" ca="1" si="15"/>
        <v>44450</v>
      </c>
    </row>
    <row r="1112" spans="1:2" ht="15" customHeight="1" x14ac:dyDescent="0.25">
      <c r="A1112" t="s">
        <v>326</v>
      </c>
      <c r="B1112" s="32">
        <f t="shared" ca="1" si="15"/>
        <v>44450</v>
      </c>
    </row>
    <row r="1113" spans="1:2" ht="15" customHeight="1" x14ac:dyDescent="0.25">
      <c r="A1113" t="s">
        <v>327</v>
      </c>
      <c r="B1113" s="32">
        <f t="shared" ca="1" si="15"/>
        <v>44450</v>
      </c>
    </row>
    <row r="1114" spans="1:2" ht="15" customHeight="1" x14ac:dyDescent="0.25">
      <c r="A1114" t="s">
        <v>328</v>
      </c>
      <c r="B1114" s="32">
        <f t="shared" ca="1" si="15"/>
        <v>44450</v>
      </c>
    </row>
    <row r="1115" spans="1:2" ht="15" customHeight="1" x14ac:dyDescent="0.25">
      <c r="A1115" t="s">
        <v>880</v>
      </c>
      <c r="B1115" s="32">
        <f t="shared" ca="1" si="15"/>
        <v>44450</v>
      </c>
    </row>
    <row r="1116" spans="1:2" ht="15" customHeight="1" x14ac:dyDescent="0.25">
      <c r="A1116" t="s">
        <v>880</v>
      </c>
      <c r="B1116" s="32">
        <f t="shared" ca="1" si="15"/>
        <v>44450</v>
      </c>
    </row>
    <row r="1117" spans="1:2" ht="15" customHeight="1" x14ac:dyDescent="0.25">
      <c r="A1117" t="s">
        <v>880</v>
      </c>
      <c r="B1117" s="32">
        <f t="shared" ca="1" si="15"/>
        <v>44450</v>
      </c>
    </row>
    <row r="1118" spans="1:2" ht="15" customHeight="1" x14ac:dyDescent="0.25">
      <c r="A1118" t="s">
        <v>880</v>
      </c>
      <c r="B1118" s="32">
        <f t="shared" ca="1" si="15"/>
        <v>44450</v>
      </c>
    </row>
    <row r="1119" spans="1:2" ht="15" customHeight="1" x14ac:dyDescent="0.25">
      <c r="A1119" t="s">
        <v>881</v>
      </c>
      <c r="B1119" s="32">
        <f t="shared" ca="1" si="15"/>
        <v>44450</v>
      </c>
    </row>
    <row r="1120" spans="1:2" ht="15" customHeight="1" x14ac:dyDescent="0.25">
      <c r="A1120" t="s">
        <v>881</v>
      </c>
      <c r="B1120" s="32">
        <f t="shared" ca="1" si="15"/>
        <v>44450</v>
      </c>
    </row>
    <row r="1121" spans="1:2" ht="15" customHeight="1" x14ac:dyDescent="0.25">
      <c r="A1121" t="s">
        <v>882</v>
      </c>
      <c r="B1121" s="32">
        <f t="shared" ca="1" si="15"/>
        <v>44450</v>
      </c>
    </row>
    <row r="1122" spans="1:2" ht="15" customHeight="1" x14ac:dyDescent="0.25">
      <c r="A1122" t="s">
        <v>882</v>
      </c>
      <c r="B1122" s="32">
        <f t="shared" ca="1" si="15"/>
        <v>44450</v>
      </c>
    </row>
    <row r="1123" spans="1:2" ht="15" customHeight="1" x14ac:dyDescent="0.25">
      <c r="A1123" t="s">
        <v>882</v>
      </c>
      <c r="B1123" s="32">
        <f t="shared" ca="1" si="15"/>
        <v>44450</v>
      </c>
    </row>
    <row r="1124" spans="1:2" ht="15" customHeight="1" x14ac:dyDescent="0.25">
      <c r="A1124" t="s">
        <v>882</v>
      </c>
      <c r="B1124" s="32">
        <f t="shared" ca="1" si="15"/>
        <v>44450</v>
      </c>
    </row>
    <row r="1125" spans="1:2" ht="15" customHeight="1" x14ac:dyDescent="0.25">
      <c r="A1125" t="s">
        <v>882</v>
      </c>
      <c r="B1125" s="32">
        <f t="shared" ca="1" si="15"/>
        <v>44450</v>
      </c>
    </row>
    <row r="1126" spans="1:2" ht="15" customHeight="1" x14ac:dyDescent="0.25">
      <c r="A1126" t="s">
        <v>883</v>
      </c>
      <c r="B1126" s="32">
        <f t="shared" ca="1" si="15"/>
        <v>44450</v>
      </c>
    </row>
    <row r="1127" spans="1:2" ht="15" customHeight="1" x14ac:dyDescent="0.25">
      <c r="A1127" t="s">
        <v>883</v>
      </c>
      <c r="B1127" s="32">
        <f t="shared" ca="1" si="15"/>
        <v>44450</v>
      </c>
    </row>
    <row r="1128" spans="1:2" ht="15" customHeight="1" x14ac:dyDescent="0.25">
      <c r="A1128" t="s">
        <v>883</v>
      </c>
      <c r="B1128" s="32">
        <f t="shared" ca="1" si="15"/>
        <v>44450</v>
      </c>
    </row>
    <row r="1129" spans="1:2" ht="15" customHeight="1" x14ac:dyDescent="0.25">
      <c r="A1129" t="s">
        <v>883</v>
      </c>
      <c r="B1129" s="32">
        <f t="shared" ca="1" si="15"/>
        <v>44450</v>
      </c>
    </row>
    <row r="1130" spans="1:2" ht="15" customHeight="1" x14ac:dyDescent="0.25">
      <c r="A1130" t="s">
        <v>883</v>
      </c>
      <c r="B1130" s="32">
        <f t="shared" ca="1" si="15"/>
        <v>44450</v>
      </c>
    </row>
    <row r="1131" spans="1:2" ht="15" customHeight="1" x14ac:dyDescent="0.25">
      <c r="A1131" t="s">
        <v>884</v>
      </c>
      <c r="B1131" s="32">
        <f t="shared" ca="1" si="15"/>
        <v>44450</v>
      </c>
    </row>
    <row r="1132" spans="1:2" ht="15" customHeight="1" x14ac:dyDescent="0.25">
      <c r="A1132" t="s">
        <v>884</v>
      </c>
      <c r="B1132" s="32">
        <f t="shared" ca="1" si="15"/>
        <v>44450</v>
      </c>
    </row>
    <row r="1133" spans="1:2" ht="15" customHeight="1" x14ac:dyDescent="0.25">
      <c r="A1133" t="s">
        <v>884</v>
      </c>
      <c r="B1133" s="32">
        <f t="shared" ca="1" si="15"/>
        <v>44450</v>
      </c>
    </row>
    <row r="1134" spans="1:2" ht="15" customHeight="1" x14ac:dyDescent="0.25">
      <c r="A1134" t="s">
        <v>884</v>
      </c>
      <c r="B1134" s="32">
        <f t="shared" ca="1" si="15"/>
        <v>44450</v>
      </c>
    </row>
    <row r="1135" spans="1:2" ht="15" customHeight="1" x14ac:dyDescent="0.25">
      <c r="A1135" t="s">
        <v>884</v>
      </c>
      <c r="B1135" s="32">
        <f t="shared" ca="1" si="15"/>
        <v>44450</v>
      </c>
    </row>
    <row r="1136" spans="1:2" ht="15" customHeight="1" x14ac:dyDescent="0.25">
      <c r="A1136" t="s">
        <v>885</v>
      </c>
      <c r="B1136" s="32">
        <f t="shared" ca="1" si="15"/>
        <v>44450</v>
      </c>
    </row>
    <row r="1137" spans="1:2" ht="15" customHeight="1" x14ac:dyDescent="0.25">
      <c r="A1137" t="s">
        <v>886</v>
      </c>
      <c r="B1137" s="32">
        <f t="shared" ca="1" si="15"/>
        <v>44450</v>
      </c>
    </row>
    <row r="1138" spans="1:2" ht="15" customHeight="1" x14ac:dyDescent="0.25">
      <c r="A1138" t="s">
        <v>886</v>
      </c>
      <c r="B1138" s="32">
        <f t="shared" ca="1" si="15"/>
        <v>44450</v>
      </c>
    </row>
    <row r="1139" spans="1:2" ht="15" customHeight="1" x14ac:dyDescent="0.25">
      <c r="A1139" t="s">
        <v>886</v>
      </c>
      <c r="B1139" s="32">
        <f t="shared" ca="1" si="15"/>
        <v>44450</v>
      </c>
    </row>
    <row r="1140" spans="1:2" ht="15" customHeight="1" x14ac:dyDescent="0.25">
      <c r="A1140" t="s">
        <v>887</v>
      </c>
      <c r="B1140" s="32">
        <f t="shared" ca="1" si="15"/>
        <v>44450</v>
      </c>
    </row>
    <row r="1141" spans="1:2" ht="15" customHeight="1" x14ac:dyDescent="0.25">
      <c r="A1141" t="s">
        <v>887</v>
      </c>
      <c r="B1141" s="32">
        <f t="shared" ca="1" si="15"/>
        <v>44450</v>
      </c>
    </row>
    <row r="1142" spans="1:2" ht="15" customHeight="1" x14ac:dyDescent="0.25">
      <c r="A1142" t="s">
        <v>887</v>
      </c>
      <c r="B1142" s="32">
        <f t="shared" ca="1" si="15"/>
        <v>44450</v>
      </c>
    </row>
    <row r="1143" spans="1:2" ht="15" customHeight="1" x14ac:dyDescent="0.25">
      <c r="A1143" t="s">
        <v>329</v>
      </c>
      <c r="B1143" s="32">
        <f t="shared" ca="1" si="15"/>
        <v>44450</v>
      </c>
    </row>
    <row r="1144" spans="1:2" ht="15" customHeight="1" x14ac:dyDescent="0.25">
      <c r="A1144" t="s">
        <v>330</v>
      </c>
      <c r="B1144" s="32">
        <f t="shared" ca="1" si="15"/>
        <v>44450</v>
      </c>
    </row>
    <row r="1145" spans="1:2" ht="15" customHeight="1" x14ac:dyDescent="0.25">
      <c r="A1145" t="s">
        <v>331</v>
      </c>
      <c r="B1145" s="32">
        <f t="shared" ca="1" si="15"/>
        <v>44450</v>
      </c>
    </row>
    <row r="1146" spans="1:2" ht="15" customHeight="1" x14ac:dyDescent="0.25">
      <c r="A1146" t="s">
        <v>332</v>
      </c>
      <c r="B1146" s="32">
        <f t="shared" ca="1" si="15"/>
        <v>44450</v>
      </c>
    </row>
    <row r="1147" spans="1:2" ht="15" customHeight="1" x14ac:dyDescent="0.25">
      <c r="A1147" t="s">
        <v>888</v>
      </c>
      <c r="B1147" s="32">
        <f t="shared" ca="1" si="15"/>
        <v>44450</v>
      </c>
    </row>
    <row r="1148" spans="1:2" ht="15" customHeight="1" x14ac:dyDescent="0.25">
      <c r="A1148" t="s">
        <v>888</v>
      </c>
      <c r="B1148" s="32">
        <f t="shared" ca="1" si="15"/>
        <v>44450</v>
      </c>
    </row>
    <row r="1149" spans="1:2" ht="15" customHeight="1" x14ac:dyDescent="0.25">
      <c r="A1149" t="s">
        <v>888</v>
      </c>
      <c r="B1149" s="32">
        <f t="shared" ca="1" si="15"/>
        <v>44450</v>
      </c>
    </row>
    <row r="1150" spans="1:2" ht="15" customHeight="1" x14ac:dyDescent="0.25">
      <c r="A1150" t="s">
        <v>888</v>
      </c>
      <c r="B1150" s="32">
        <f t="shared" ca="1" si="15"/>
        <v>44450</v>
      </c>
    </row>
    <row r="1151" spans="1:2" ht="15" customHeight="1" x14ac:dyDescent="0.25">
      <c r="A1151" t="s">
        <v>333</v>
      </c>
      <c r="B1151" s="32">
        <f t="shared" ca="1" si="15"/>
        <v>44450</v>
      </c>
    </row>
    <row r="1152" spans="1:2" ht="15" customHeight="1" x14ac:dyDescent="0.25">
      <c r="A1152" t="s">
        <v>889</v>
      </c>
      <c r="B1152" s="32">
        <f t="shared" ca="1" si="15"/>
        <v>44450</v>
      </c>
    </row>
    <row r="1153" spans="1:2" ht="15" customHeight="1" x14ac:dyDescent="0.25">
      <c r="A1153" t="s">
        <v>889</v>
      </c>
      <c r="B1153" s="32">
        <f t="shared" ca="1" si="15"/>
        <v>44450</v>
      </c>
    </row>
    <row r="1154" spans="1:2" ht="15" customHeight="1" x14ac:dyDescent="0.25">
      <c r="A1154" t="s">
        <v>889</v>
      </c>
      <c r="B1154" s="32">
        <f t="shared" ca="1" si="15"/>
        <v>44450</v>
      </c>
    </row>
    <row r="1155" spans="1:2" ht="15" customHeight="1" x14ac:dyDescent="0.25">
      <c r="A1155" t="s">
        <v>889</v>
      </c>
      <c r="B1155" s="32">
        <f t="shared" ca="1" si="15"/>
        <v>44450</v>
      </c>
    </row>
    <row r="1156" spans="1:2" ht="15" customHeight="1" x14ac:dyDescent="0.25">
      <c r="A1156" t="s">
        <v>889</v>
      </c>
      <c r="B1156" s="32">
        <f t="shared" ca="1" si="15"/>
        <v>44450</v>
      </c>
    </row>
    <row r="1157" spans="1:2" ht="15" customHeight="1" x14ac:dyDescent="0.25">
      <c r="A1157" t="s">
        <v>889</v>
      </c>
      <c r="B1157" s="32">
        <f t="shared" ca="1" si="15"/>
        <v>44450</v>
      </c>
    </row>
    <row r="1158" spans="1:2" ht="15" customHeight="1" x14ac:dyDescent="0.25">
      <c r="A1158" t="s">
        <v>889</v>
      </c>
      <c r="B1158" s="32">
        <f t="shared" ca="1" si="15"/>
        <v>44450</v>
      </c>
    </row>
    <row r="1159" spans="1:2" ht="15" customHeight="1" x14ac:dyDescent="0.25">
      <c r="A1159" t="s">
        <v>890</v>
      </c>
      <c r="B1159" s="32">
        <f t="shared" ref="B1159:B1222" ca="1" si="16">TODAY()-150</f>
        <v>44450</v>
      </c>
    </row>
    <row r="1160" spans="1:2" ht="15" customHeight="1" x14ac:dyDescent="0.25">
      <c r="A1160" t="s">
        <v>890</v>
      </c>
      <c r="B1160" s="32">
        <f t="shared" ca="1" si="16"/>
        <v>44450</v>
      </c>
    </row>
    <row r="1161" spans="1:2" ht="15" customHeight="1" x14ac:dyDescent="0.25">
      <c r="A1161" t="s">
        <v>890</v>
      </c>
      <c r="B1161" s="32">
        <f t="shared" ca="1" si="16"/>
        <v>44450</v>
      </c>
    </row>
    <row r="1162" spans="1:2" ht="15" customHeight="1" x14ac:dyDescent="0.25">
      <c r="A1162" t="s">
        <v>890</v>
      </c>
      <c r="B1162" s="32">
        <f t="shared" ca="1" si="16"/>
        <v>44450</v>
      </c>
    </row>
    <row r="1163" spans="1:2" ht="15" customHeight="1" x14ac:dyDescent="0.25">
      <c r="A1163" t="s">
        <v>891</v>
      </c>
      <c r="B1163" s="32">
        <f t="shared" ca="1" si="16"/>
        <v>44450</v>
      </c>
    </row>
    <row r="1164" spans="1:2" ht="15" customHeight="1" x14ac:dyDescent="0.25">
      <c r="A1164" t="s">
        <v>891</v>
      </c>
      <c r="B1164" s="32">
        <f t="shared" ca="1" si="16"/>
        <v>44450</v>
      </c>
    </row>
    <row r="1165" spans="1:2" ht="15" customHeight="1" x14ac:dyDescent="0.25">
      <c r="A1165" t="s">
        <v>891</v>
      </c>
      <c r="B1165" s="32">
        <f t="shared" ca="1" si="16"/>
        <v>44450</v>
      </c>
    </row>
    <row r="1166" spans="1:2" ht="15" customHeight="1" x14ac:dyDescent="0.25">
      <c r="A1166" t="s">
        <v>891</v>
      </c>
      <c r="B1166" s="32">
        <f t="shared" ca="1" si="16"/>
        <v>44450</v>
      </c>
    </row>
    <row r="1167" spans="1:2" ht="15" customHeight="1" x14ac:dyDescent="0.25">
      <c r="A1167" t="s">
        <v>334</v>
      </c>
      <c r="B1167" s="32">
        <f t="shared" ca="1" si="16"/>
        <v>44450</v>
      </c>
    </row>
    <row r="1168" spans="1:2" ht="15" customHeight="1" x14ac:dyDescent="0.25">
      <c r="A1168" t="s">
        <v>334</v>
      </c>
      <c r="B1168" s="32">
        <f t="shared" ca="1" si="16"/>
        <v>44450</v>
      </c>
    </row>
    <row r="1169" spans="1:2" ht="15" customHeight="1" x14ac:dyDescent="0.25">
      <c r="A1169" t="s">
        <v>335</v>
      </c>
      <c r="B1169" s="32">
        <f t="shared" ca="1" si="16"/>
        <v>44450</v>
      </c>
    </row>
    <row r="1170" spans="1:2" ht="15" customHeight="1" x14ac:dyDescent="0.25">
      <c r="A1170" t="s">
        <v>336</v>
      </c>
      <c r="B1170" s="32">
        <f t="shared" ca="1" si="16"/>
        <v>44450</v>
      </c>
    </row>
    <row r="1171" spans="1:2" ht="15" customHeight="1" x14ac:dyDescent="0.25">
      <c r="A1171" t="s">
        <v>336</v>
      </c>
      <c r="B1171" s="32">
        <f t="shared" ca="1" si="16"/>
        <v>44450</v>
      </c>
    </row>
    <row r="1172" spans="1:2" ht="15" customHeight="1" x14ac:dyDescent="0.25">
      <c r="A1172" t="s">
        <v>337</v>
      </c>
      <c r="B1172" s="32">
        <f t="shared" ca="1" si="16"/>
        <v>44450</v>
      </c>
    </row>
    <row r="1173" spans="1:2" ht="15" customHeight="1" x14ac:dyDescent="0.25">
      <c r="A1173" t="s">
        <v>338</v>
      </c>
      <c r="B1173" s="32">
        <f t="shared" ca="1" si="16"/>
        <v>44450</v>
      </c>
    </row>
    <row r="1174" spans="1:2" ht="15" customHeight="1" x14ac:dyDescent="0.25">
      <c r="A1174" t="s">
        <v>339</v>
      </c>
      <c r="B1174" s="32">
        <f t="shared" ca="1" si="16"/>
        <v>44450</v>
      </c>
    </row>
    <row r="1175" spans="1:2" ht="15" customHeight="1" x14ac:dyDescent="0.25">
      <c r="A1175" t="s">
        <v>340</v>
      </c>
      <c r="B1175" s="32">
        <f t="shared" ca="1" si="16"/>
        <v>44450</v>
      </c>
    </row>
    <row r="1176" spans="1:2" ht="15" customHeight="1" x14ac:dyDescent="0.25">
      <c r="A1176" t="s">
        <v>341</v>
      </c>
      <c r="B1176" s="32">
        <f t="shared" ca="1" si="16"/>
        <v>44450</v>
      </c>
    </row>
    <row r="1177" spans="1:2" ht="15" customHeight="1" x14ac:dyDescent="0.25">
      <c r="A1177" t="s">
        <v>526</v>
      </c>
      <c r="B1177" s="32">
        <f t="shared" ca="1" si="16"/>
        <v>44450</v>
      </c>
    </row>
    <row r="1178" spans="1:2" ht="15" customHeight="1" x14ac:dyDescent="0.25">
      <c r="A1178" t="s">
        <v>527</v>
      </c>
      <c r="B1178" s="32">
        <f t="shared" ca="1" si="16"/>
        <v>44450</v>
      </c>
    </row>
    <row r="1179" spans="1:2" ht="15" customHeight="1" x14ac:dyDescent="0.25">
      <c r="A1179" t="s">
        <v>528</v>
      </c>
      <c r="B1179" s="32">
        <f t="shared" ca="1" si="16"/>
        <v>44450</v>
      </c>
    </row>
    <row r="1180" spans="1:2" ht="15" customHeight="1" x14ac:dyDescent="0.25">
      <c r="A1180" t="s">
        <v>529</v>
      </c>
      <c r="B1180" s="32">
        <f t="shared" ca="1" si="16"/>
        <v>44450</v>
      </c>
    </row>
    <row r="1181" spans="1:2" ht="15" customHeight="1" x14ac:dyDescent="0.25">
      <c r="A1181" t="s">
        <v>892</v>
      </c>
      <c r="B1181" s="32">
        <f t="shared" ca="1" si="16"/>
        <v>44450</v>
      </c>
    </row>
    <row r="1182" spans="1:2" ht="15" customHeight="1" x14ac:dyDescent="0.25">
      <c r="A1182" t="s">
        <v>892</v>
      </c>
      <c r="B1182" s="32">
        <f t="shared" ca="1" si="16"/>
        <v>44450</v>
      </c>
    </row>
    <row r="1183" spans="1:2" ht="15" customHeight="1" x14ac:dyDescent="0.25">
      <c r="A1183" t="s">
        <v>892</v>
      </c>
      <c r="B1183" s="32">
        <f t="shared" ca="1" si="16"/>
        <v>44450</v>
      </c>
    </row>
    <row r="1184" spans="1:2" ht="15" customHeight="1" x14ac:dyDescent="0.25">
      <c r="A1184" t="s">
        <v>892</v>
      </c>
      <c r="B1184" s="32">
        <f t="shared" ca="1" si="16"/>
        <v>44450</v>
      </c>
    </row>
    <row r="1185" spans="1:2" ht="15" customHeight="1" x14ac:dyDescent="0.25">
      <c r="A1185" t="s">
        <v>893</v>
      </c>
      <c r="B1185" s="32">
        <f t="shared" ca="1" si="16"/>
        <v>44450</v>
      </c>
    </row>
    <row r="1186" spans="1:2" ht="15" customHeight="1" x14ac:dyDescent="0.25">
      <c r="A1186" t="s">
        <v>893</v>
      </c>
      <c r="B1186" s="32">
        <f t="shared" ca="1" si="16"/>
        <v>44450</v>
      </c>
    </row>
    <row r="1187" spans="1:2" ht="15" customHeight="1" x14ac:dyDescent="0.25">
      <c r="A1187" t="s">
        <v>875</v>
      </c>
      <c r="B1187" s="32">
        <f t="shared" ca="1" si="16"/>
        <v>44450</v>
      </c>
    </row>
    <row r="1188" spans="1:2" ht="15" customHeight="1" x14ac:dyDescent="0.25">
      <c r="A1188" t="s">
        <v>875</v>
      </c>
      <c r="B1188" s="32">
        <f t="shared" ca="1" si="16"/>
        <v>44450</v>
      </c>
    </row>
    <row r="1189" spans="1:2" ht="15" customHeight="1" x14ac:dyDescent="0.25">
      <c r="A1189" t="s">
        <v>875</v>
      </c>
      <c r="B1189" s="32">
        <f t="shared" ca="1" si="16"/>
        <v>44450</v>
      </c>
    </row>
    <row r="1190" spans="1:2" ht="15" customHeight="1" x14ac:dyDescent="0.25">
      <c r="A1190" t="s">
        <v>875</v>
      </c>
      <c r="B1190" s="32">
        <f t="shared" ca="1" si="16"/>
        <v>44450</v>
      </c>
    </row>
    <row r="1191" spans="1:2" ht="15" customHeight="1" x14ac:dyDescent="0.25">
      <c r="A1191" t="s">
        <v>875</v>
      </c>
      <c r="B1191" s="32">
        <f t="shared" ca="1" si="16"/>
        <v>44450</v>
      </c>
    </row>
    <row r="1192" spans="1:2" ht="15" customHeight="1" x14ac:dyDescent="0.25">
      <c r="A1192" t="s">
        <v>875</v>
      </c>
      <c r="B1192" s="32">
        <f t="shared" ca="1" si="16"/>
        <v>44450</v>
      </c>
    </row>
    <row r="1193" spans="1:2" ht="15" customHeight="1" x14ac:dyDescent="0.25">
      <c r="A1193" t="s">
        <v>875</v>
      </c>
      <c r="B1193" s="32">
        <f t="shared" ca="1" si="16"/>
        <v>44450</v>
      </c>
    </row>
    <row r="1194" spans="1:2" ht="15" customHeight="1" x14ac:dyDescent="0.25">
      <c r="A1194" t="s">
        <v>894</v>
      </c>
      <c r="B1194" s="32">
        <f t="shared" ca="1" si="16"/>
        <v>44450</v>
      </c>
    </row>
    <row r="1195" spans="1:2" ht="15" customHeight="1" x14ac:dyDescent="0.25">
      <c r="A1195" t="s">
        <v>894</v>
      </c>
      <c r="B1195" s="32">
        <f t="shared" ca="1" si="16"/>
        <v>44450</v>
      </c>
    </row>
    <row r="1196" spans="1:2" ht="15" customHeight="1" x14ac:dyDescent="0.25">
      <c r="A1196" t="s">
        <v>894</v>
      </c>
      <c r="B1196" s="32">
        <f t="shared" ca="1" si="16"/>
        <v>44450</v>
      </c>
    </row>
    <row r="1197" spans="1:2" ht="15" customHeight="1" x14ac:dyDescent="0.25">
      <c r="A1197" t="s">
        <v>894</v>
      </c>
      <c r="B1197" s="32">
        <f t="shared" ca="1" si="16"/>
        <v>44450</v>
      </c>
    </row>
    <row r="1198" spans="1:2" ht="15" customHeight="1" x14ac:dyDescent="0.25">
      <c r="A1198" t="s">
        <v>894</v>
      </c>
      <c r="B1198" s="32">
        <f t="shared" ca="1" si="16"/>
        <v>44450</v>
      </c>
    </row>
    <row r="1199" spans="1:2" ht="15" customHeight="1" x14ac:dyDescent="0.25">
      <c r="A1199" t="s">
        <v>894</v>
      </c>
      <c r="B1199" s="32">
        <f t="shared" ca="1" si="16"/>
        <v>44450</v>
      </c>
    </row>
    <row r="1200" spans="1:2" ht="15" customHeight="1" x14ac:dyDescent="0.25">
      <c r="A1200" t="s">
        <v>894</v>
      </c>
      <c r="B1200" s="32">
        <f t="shared" ca="1" si="16"/>
        <v>44450</v>
      </c>
    </row>
    <row r="1201" spans="1:2" ht="15" customHeight="1" x14ac:dyDescent="0.25">
      <c r="A1201" t="s">
        <v>895</v>
      </c>
      <c r="B1201" s="32">
        <f t="shared" ca="1" si="16"/>
        <v>44450</v>
      </c>
    </row>
    <row r="1202" spans="1:2" ht="15" customHeight="1" x14ac:dyDescent="0.25">
      <c r="A1202" t="s">
        <v>895</v>
      </c>
      <c r="B1202" s="32">
        <f t="shared" ca="1" si="16"/>
        <v>44450</v>
      </c>
    </row>
    <row r="1203" spans="1:2" ht="15" customHeight="1" x14ac:dyDescent="0.25">
      <c r="A1203" t="s">
        <v>895</v>
      </c>
      <c r="B1203" s="32">
        <f t="shared" ca="1" si="16"/>
        <v>44450</v>
      </c>
    </row>
    <row r="1204" spans="1:2" ht="15" customHeight="1" x14ac:dyDescent="0.25">
      <c r="A1204" t="s">
        <v>895</v>
      </c>
      <c r="B1204" s="32">
        <f t="shared" ca="1" si="16"/>
        <v>44450</v>
      </c>
    </row>
    <row r="1205" spans="1:2" ht="15" customHeight="1" x14ac:dyDescent="0.25">
      <c r="A1205" t="s">
        <v>896</v>
      </c>
      <c r="B1205" s="32">
        <f t="shared" ca="1" si="16"/>
        <v>44450</v>
      </c>
    </row>
    <row r="1206" spans="1:2" ht="15" customHeight="1" x14ac:dyDescent="0.25">
      <c r="A1206" t="s">
        <v>896</v>
      </c>
      <c r="B1206" s="32">
        <f t="shared" ca="1" si="16"/>
        <v>44450</v>
      </c>
    </row>
    <row r="1207" spans="1:2" ht="15" customHeight="1" x14ac:dyDescent="0.25">
      <c r="A1207" t="s">
        <v>896</v>
      </c>
      <c r="B1207" s="32">
        <f t="shared" ca="1" si="16"/>
        <v>44450</v>
      </c>
    </row>
    <row r="1208" spans="1:2" ht="15" customHeight="1" x14ac:dyDescent="0.25">
      <c r="A1208" t="s">
        <v>896</v>
      </c>
      <c r="B1208" s="32">
        <f t="shared" ca="1" si="16"/>
        <v>44450</v>
      </c>
    </row>
    <row r="1209" spans="1:2" ht="15" customHeight="1" x14ac:dyDescent="0.25">
      <c r="A1209" t="s">
        <v>896</v>
      </c>
      <c r="B1209" s="32">
        <f t="shared" ca="1" si="16"/>
        <v>44450</v>
      </c>
    </row>
    <row r="1210" spans="1:2" ht="15" customHeight="1" x14ac:dyDescent="0.25">
      <c r="A1210" t="s">
        <v>896</v>
      </c>
      <c r="B1210" s="32">
        <f t="shared" ca="1" si="16"/>
        <v>44450</v>
      </c>
    </row>
    <row r="1211" spans="1:2" ht="15" customHeight="1" x14ac:dyDescent="0.25">
      <c r="A1211" t="s">
        <v>896</v>
      </c>
      <c r="B1211" s="32">
        <f t="shared" ca="1" si="16"/>
        <v>44450</v>
      </c>
    </row>
    <row r="1212" spans="1:2" ht="15" customHeight="1" x14ac:dyDescent="0.25">
      <c r="A1212" t="s">
        <v>897</v>
      </c>
      <c r="B1212" s="32">
        <f t="shared" ca="1" si="16"/>
        <v>44450</v>
      </c>
    </row>
    <row r="1213" spans="1:2" ht="15" customHeight="1" x14ac:dyDescent="0.25">
      <c r="A1213" t="s">
        <v>897</v>
      </c>
      <c r="B1213" s="32">
        <f t="shared" ca="1" si="16"/>
        <v>44450</v>
      </c>
    </row>
    <row r="1214" spans="1:2" ht="15" customHeight="1" x14ac:dyDescent="0.25">
      <c r="A1214" t="s">
        <v>897</v>
      </c>
      <c r="B1214" s="32">
        <f t="shared" ca="1" si="16"/>
        <v>44450</v>
      </c>
    </row>
    <row r="1215" spans="1:2" ht="15" customHeight="1" x14ac:dyDescent="0.25">
      <c r="A1215" t="s">
        <v>897</v>
      </c>
      <c r="B1215" s="32">
        <f t="shared" ca="1" si="16"/>
        <v>44450</v>
      </c>
    </row>
    <row r="1216" spans="1:2" ht="15" customHeight="1" x14ac:dyDescent="0.25">
      <c r="A1216" t="s">
        <v>897</v>
      </c>
      <c r="B1216" s="32">
        <f t="shared" ca="1" si="16"/>
        <v>44450</v>
      </c>
    </row>
    <row r="1217" spans="1:2" ht="15" customHeight="1" x14ac:dyDescent="0.25">
      <c r="A1217" t="s">
        <v>897</v>
      </c>
      <c r="B1217" s="32">
        <f t="shared" ca="1" si="16"/>
        <v>44450</v>
      </c>
    </row>
    <row r="1218" spans="1:2" ht="15" customHeight="1" x14ac:dyDescent="0.25">
      <c r="A1218" t="s">
        <v>897</v>
      </c>
      <c r="B1218" s="32">
        <f t="shared" ca="1" si="16"/>
        <v>44450</v>
      </c>
    </row>
    <row r="1219" spans="1:2" ht="15" customHeight="1" x14ac:dyDescent="0.25">
      <c r="A1219" t="s">
        <v>898</v>
      </c>
      <c r="B1219" s="32">
        <f t="shared" ca="1" si="16"/>
        <v>44450</v>
      </c>
    </row>
    <row r="1220" spans="1:2" ht="15" customHeight="1" x14ac:dyDescent="0.25">
      <c r="A1220" t="s">
        <v>898</v>
      </c>
      <c r="B1220" s="32">
        <f t="shared" ca="1" si="16"/>
        <v>44450</v>
      </c>
    </row>
    <row r="1221" spans="1:2" ht="15" customHeight="1" x14ac:dyDescent="0.25">
      <c r="A1221" t="s">
        <v>898</v>
      </c>
      <c r="B1221" s="32">
        <f t="shared" ca="1" si="16"/>
        <v>44450</v>
      </c>
    </row>
    <row r="1222" spans="1:2" ht="15" customHeight="1" x14ac:dyDescent="0.25">
      <c r="A1222" t="s">
        <v>898</v>
      </c>
      <c r="B1222" s="32">
        <f t="shared" ca="1" si="16"/>
        <v>44450</v>
      </c>
    </row>
    <row r="1223" spans="1:2" ht="15" customHeight="1" x14ac:dyDescent="0.25">
      <c r="A1223" t="s">
        <v>898</v>
      </c>
      <c r="B1223" s="32">
        <f t="shared" ref="B1223:B1286" ca="1" si="17">TODAY()-150</f>
        <v>44450</v>
      </c>
    </row>
    <row r="1224" spans="1:2" ht="15" customHeight="1" x14ac:dyDescent="0.25">
      <c r="A1224" t="s">
        <v>898</v>
      </c>
      <c r="B1224" s="32">
        <f t="shared" ca="1" si="17"/>
        <v>44450</v>
      </c>
    </row>
    <row r="1225" spans="1:2" ht="15" customHeight="1" x14ac:dyDescent="0.25">
      <c r="A1225" t="s">
        <v>342</v>
      </c>
      <c r="B1225" s="32">
        <f t="shared" ca="1" si="17"/>
        <v>44450</v>
      </c>
    </row>
    <row r="1226" spans="1:2" ht="15" customHeight="1" x14ac:dyDescent="0.25">
      <c r="A1226" t="s">
        <v>899</v>
      </c>
      <c r="B1226" s="32">
        <f t="shared" ca="1" si="17"/>
        <v>44450</v>
      </c>
    </row>
    <row r="1227" spans="1:2" ht="15" customHeight="1" x14ac:dyDescent="0.25">
      <c r="A1227" t="s">
        <v>899</v>
      </c>
      <c r="B1227" s="32">
        <f t="shared" ca="1" si="17"/>
        <v>44450</v>
      </c>
    </row>
    <row r="1228" spans="1:2" ht="15" customHeight="1" x14ac:dyDescent="0.25">
      <c r="A1228" t="s">
        <v>899</v>
      </c>
      <c r="B1228" s="32">
        <f t="shared" ca="1" si="17"/>
        <v>44450</v>
      </c>
    </row>
    <row r="1229" spans="1:2" ht="15" customHeight="1" x14ac:dyDescent="0.25">
      <c r="A1229" t="s">
        <v>899</v>
      </c>
      <c r="B1229" s="32">
        <f t="shared" ca="1" si="17"/>
        <v>44450</v>
      </c>
    </row>
    <row r="1230" spans="1:2" ht="15" customHeight="1" x14ac:dyDescent="0.25">
      <c r="A1230" t="s">
        <v>899</v>
      </c>
      <c r="B1230" s="32">
        <f t="shared" ca="1" si="17"/>
        <v>44450</v>
      </c>
    </row>
    <row r="1231" spans="1:2" ht="15" customHeight="1" x14ac:dyDescent="0.25">
      <c r="A1231" t="s">
        <v>899</v>
      </c>
      <c r="B1231" s="32">
        <f t="shared" ca="1" si="17"/>
        <v>44450</v>
      </c>
    </row>
    <row r="1232" spans="1:2" ht="15" customHeight="1" x14ac:dyDescent="0.25">
      <c r="A1232" t="s">
        <v>899</v>
      </c>
      <c r="B1232" s="32">
        <f t="shared" ca="1" si="17"/>
        <v>44450</v>
      </c>
    </row>
    <row r="1233" spans="1:2" ht="15" customHeight="1" x14ac:dyDescent="0.25">
      <c r="A1233" t="s">
        <v>899</v>
      </c>
      <c r="B1233" s="32">
        <f t="shared" ca="1" si="17"/>
        <v>44450</v>
      </c>
    </row>
    <row r="1234" spans="1:2" ht="15" customHeight="1" x14ac:dyDescent="0.25">
      <c r="A1234" t="s">
        <v>900</v>
      </c>
      <c r="B1234" s="32">
        <f t="shared" ca="1" si="17"/>
        <v>44450</v>
      </c>
    </row>
    <row r="1235" spans="1:2" ht="15" customHeight="1" x14ac:dyDescent="0.25">
      <c r="A1235" t="s">
        <v>900</v>
      </c>
      <c r="B1235" s="32">
        <f t="shared" ca="1" si="17"/>
        <v>44450</v>
      </c>
    </row>
    <row r="1236" spans="1:2" ht="15" customHeight="1" x14ac:dyDescent="0.25">
      <c r="A1236" t="s">
        <v>900</v>
      </c>
      <c r="B1236" s="32">
        <f t="shared" ca="1" si="17"/>
        <v>44450</v>
      </c>
    </row>
    <row r="1237" spans="1:2" ht="15" customHeight="1" x14ac:dyDescent="0.25">
      <c r="A1237" t="s">
        <v>900</v>
      </c>
      <c r="B1237" s="32">
        <f t="shared" ca="1" si="17"/>
        <v>44450</v>
      </c>
    </row>
    <row r="1238" spans="1:2" ht="15" customHeight="1" x14ac:dyDescent="0.25">
      <c r="A1238" t="s">
        <v>900</v>
      </c>
      <c r="B1238" s="32">
        <f t="shared" ca="1" si="17"/>
        <v>44450</v>
      </c>
    </row>
    <row r="1239" spans="1:2" ht="15" customHeight="1" x14ac:dyDescent="0.25">
      <c r="A1239" t="s">
        <v>900</v>
      </c>
      <c r="B1239" s="32">
        <f t="shared" ca="1" si="17"/>
        <v>44450</v>
      </c>
    </row>
    <row r="1240" spans="1:2" ht="15" customHeight="1" x14ac:dyDescent="0.25">
      <c r="A1240" t="s">
        <v>900</v>
      </c>
      <c r="B1240" s="32">
        <f t="shared" ca="1" si="17"/>
        <v>44450</v>
      </c>
    </row>
    <row r="1241" spans="1:2" ht="15" customHeight="1" x14ac:dyDescent="0.25">
      <c r="A1241" t="s">
        <v>343</v>
      </c>
      <c r="B1241" s="32">
        <f t="shared" ca="1" si="17"/>
        <v>44450</v>
      </c>
    </row>
    <row r="1242" spans="1:2" ht="15" customHeight="1" x14ac:dyDescent="0.25">
      <c r="A1242" t="s">
        <v>344</v>
      </c>
      <c r="B1242" s="32">
        <f t="shared" ca="1" si="17"/>
        <v>44450</v>
      </c>
    </row>
    <row r="1243" spans="1:2" ht="15" customHeight="1" x14ac:dyDescent="0.25">
      <c r="A1243" t="s">
        <v>345</v>
      </c>
      <c r="B1243" s="32">
        <f t="shared" ca="1" si="17"/>
        <v>44450</v>
      </c>
    </row>
    <row r="1244" spans="1:2" ht="15" customHeight="1" x14ac:dyDescent="0.25">
      <c r="A1244" t="s">
        <v>346</v>
      </c>
      <c r="B1244" s="32">
        <f t="shared" ca="1" si="17"/>
        <v>44450</v>
      </c>
    </row>
    <row r="1245" spans="1:2" ht="15" customHeight="1" x14ac:dyDescent="0.25">
      <c r="A1245" t="s">
        <v>347</v>
      </c>
      <c r="B1245" s="32">
        <f t="shared" ca="1" si="17"/>
        <v>44450</v>
      </c>
    </row>
    <row r="1246" spans="1:2" ht="15" customHeight="1" x14ac:dyDescent="0.25">
      <c r="A1246" t="s">
        <v>348</v>
      </c>
      <c r="B1246" s="32">
        <f t="shared" ca="1" si="17"/>
        <v>44450</v>
      </c>
    </row>
    <row r="1247" spans="1:2" ht="15" customHeight="1" x14ac:dyDescent="0.25">
      <c r="A1247" t="s">
        <v>594</v>
      </c>
      <c r="B1247" s="32">
        <f t="shared" ca="1" si="17"/>
        <v>44450</v>
      </c>
    </row>
    <row r="1248" spans="1:2" ht="15" customHeight="1" x14ac:dyDescent="0.25">
      <c r="A1248" t="s">
        <v>595</v>
      </c>
      <c r="B1248" s="32">
        <f t="shared" ca="1" si="17"/>
        <v>44450</v>
      </c>
    </row>
    <row r="1249" spans="1:2" ht="15" customHeight="1" x14ac:dyDescent="0.25">
      <c r="A1249" t="s">
        <v>901</v>
      </c>
      <c r="B1249" s="32">
        <f t="shared" ca="1" si="17"/>
        <v>44450</v>
      </c>
    </row>
    <row r="1250" spans="1:2" ht="15" customHeight="1" x14ac:dyDescent="0.25">
      <c r="A1250" t="s">
        <v>901</v>
      </c>
      <c r="B1250" s="32">
        <f t="shared" ca="1" si="17"/>
        <v>44450</v>
      </c>
    </row>
    <row r="1251" spans="1:2" ht="15" customHeight="1" x14ac:dyDescent="0.25">
      <c r="A1251" t="s">
        <v>901</v>
      </c>
      <c r="B1251" s="32">
        <f t="shared" ca="1" si="17"/>
        <v>44450</v>
      </c>
    </row>
    <row r="1252" spans="1:2" ht="15" customHeight="1" x14ac:dyDescent="0.25">
      <c r="A1252" t="s">
        <v>902</v>
      </c>
      <c r="B1252" s="32">
        <f t="shared" ca="1" si="17"/>
        <v>44450</v>
      </c>
    </row>
    <row r="1253" spans="1:2" ht="15" customHeight="1" x14ac:dyDescent="0.25">
      <c r="A1253" t="s">
        <v>902</v>
      </c>
      <c r="B1253" s="32">
        <f t="shared" ca="1" si="17"/>
        <v>44450</v>
      </c>
    </row>
    <row r="1254" spans="1:2" ht="15" customHeight="1" x14ac:dyDescent="0.25">
      <c r="A1254" t="s">
        <v>349</v>
      </c>
      <c r="B1254" s="32">
        <f t="shared" ca="1" si="17"/>
        <v>44450</v>
      </c>
    </row>
    <row r="1255" spans="1:2" ht="15" customHeight="1" x14ac:dyDescent="0.25">
      <c r="A1255" t="s">
        <v>350</v>
      </c>
      <c r="B1255" s="32">
        <f t="shared" ca="1" si="17"/>
        <v>44450</v>
      </c>
    </row>
    <row r="1256" spans="1:2" ht="15" customHeight="1" x14ac:dyDescent="0.25">
      <c r="A1256" t="s">
        <v>351</v>
      </c>
      <c r="B1256" s="32">
        <f t="shared" ca="1" si="17"/>
        <v>44450</v>
      </c>
    </row>
    <row r="1257" spans="1:2" ht="15" customHeight="1" x14ac:dyDescent="0.25">
      <c r="A1257" t="s">
        <v>351</v>
      </c>
      <c r="B1257" s="32">
        <f t="shared" ca="1" si="17"/>
        <v>44450</v>
      </c>
    </row>
    <row r="1258" spans="1:2" ht="15" customHeight="1" x14ac:dyDescent="0.25">
      <c r="A1258" t="s">
        <v>352</v>
      </c>
      <c r="B1258" s="32">
        <f t="shared" ca="1" si="17"/>
        <v>44450</v>
      </c>
    </row>
    <row r="1259" spans="1:2" ht="15" customHeight="1" x14ac:dyDescent="0.25">
      <c r="A1259" t="s">
        <v>352</v>
      </c>
      <c r="B1259" s="32">
        <f t="shared" ca="1" si="17"/>
        <v>44450</v>
      </c>
    </row>
    <row r="1260" spans="1:2" ht="15" customHeight="1" x14ac:dyDescent="0.25">
      <c r="A1260" t="s">
        <v>353</v>
      </c>
      <c r="B1260" s="32">
        <f t="shared" ca="1" si="17"/>
        <v>44450</v>
      </c>
    </row>
    <row r="1261" spans="1:2" ht="15" customHeight="1" x14ac:dyDescent="0.25">
      <c r="A1261" t="s">
        <v>353</v>
      </c>
      <c r="B1261" s="32">
        <f t="shared" ca="1" si="17"/>
        <v>44450</v>
      </c>
    </row>
    <row r="1262" spans="1:2" ht="15" customHeight="1" x14ac:dyDescent="0.25">
      <c r="A1262" t="s">
        <v>354</v>
      </c>
      <c r="B1262" s="32">
        <f t="shared" ca="1" si="17"/>
        <v>44450</v>
      </c>
    </row>
    <row r="1263" spans="1:2" ht="15" customHeight="1" x14ac:dyDescent="0.25">
      <c r="A1263" t="s">
        <v>354</v>
      </c>
      <c r="B1263" s="32">
        <f t="shared" ca="1" si="17"/>
        <v>44450</v>
      </c>
    </row>
    <row r="1264" spans="1:2" ht="15" customHeight="1" x14ac:dyDescent="0.25">
      <c r="A1264" t="s">
        <v>355</v>
      </c>
      <c r="B1264" s="32">
        <f t="shared" ca="1" si="17"/>
        <v>44450</v>
      </c>
    </row>
    <row r="1265" spans="1:2" ht="15" customHeight="1" x14ac:dyDescent="0.25">
      <c r="A1265" t="s">
        <v>355</v>
      </c>
      <c r="B1265" s="32">
        <f t="shared" ca="1" si="17"/>
        <v>44450</v>
      </c>
    </row>
    <row r="1266" spans="1:2" ht="15" customHeight="1" x14ac:dyDescent="0.25">
      <c r="A1266" t="s">
        <v>356</v>
      </c>
      <c r="B1266" s="32">
        <f t="shared" ca="1" si="17"/>
        <v>44450</v>
      </c>
    </row>
    <row r="1267" spans="1:2" ht="15" customHeight="1" x14ac:dyDescent="0.25">
      <c r="A1267" t="s">
        <v>356</v>
      </c>
      <c r="B1267" s="32">
        <f t="shared" ca="1" si="17"/>
        <v>44450</v>
      </c>
    </row>
    <row r="1268" spans="1:2" ht="15" customHeight="1" x14ac:dyDescent="0.25">
      <c r="A1268" t="s">
        <v>357</v>
      </c>
      <c r="B1268" s="32">
        <f t="shared" ca="1" si="17"/>
        <v>44450</v>
      </c>
    </row>
    <row r="1269" spans="1:2" ht="15" customHeight="1" x14ac:dyDescent="0.25">
      <c r="A1269" t="s">
        <v>357</v>
      </c>
      <c r="B1269" s="32">
        <f t="shared" ca="1" si="17"/>
        <v>44450</v>
      </c>
    </row>
    <row r="1270" spans="1:2" ht="15" customHeight="1" x14ac:dyDescent="0.25">
      <c r="A1270" t="s">
        <v>358</v>
      </c>
      <c r="B1270" s="32">
        <f t="shared" ca="1" si="17"/>
        <v>44450</v>
      </c>
    </row>
    <row r="1271" spans="1:2" ht="15" customHeight="1" x14ac:dyDescent="0.25">
      <c r="A1271" t="s">
        <v>358</v>
      </c>
      <c r="B1271" s="32">
        <f t="shared" ca="1" si="17"/>
        <v>44450</v>
      </c>
    </row>
    <row r="1272" spans="1:2" ht="15" customHeight="1" x14ac:dyDescent="0.25">
      <c r="A1272" t="s">
        <v>359</v>
      </c>
      <c r="B1272" s="32">
        <f t="shared" ca="1" si="17"/>
        <v>44450</v>
      </c>
    </row>
    <row r="1273" spans="1:2" ht="15" customHeight="1" x14ac:dyDescent="0.25">
      <c r="A1273" t="s">
        <v>359</v>
      </c>
      <c r="B1273" s="32">
        <f t="shared" ca="1" si="17"/>
        <v>44450</v>
      </c>
    </row>
    <row r="1274" spans="1:2" ht="15" customHeight="1" x14ac:dyDescent="0.25">
      <c r="A1274" t="s">
        <v>360</v>
      </c>
      <c r="B1274" s="32">
        <f t="shared" ca="1" si="17"/>
        <v>44450</v>
      </c>
    </row>
    <row r="1275" spans="1:2" ht="15" customHeight="1" x14ac:dyDescent="0.25">
      <c r="A1275" t="s">
        <v>360</v>
      </c>
      <c r="B1275" s="32">
        <f t="shared" ca="1" si="17"/>
        <v>44450</v>
      </c>
    </row>
    <row r="1276" spans="1:2" ht="15" customHeight="1" x14ac:dyDescent="0.25">
      <c r="A1276" t="s">
        <v>361</v>
      </c>
      <c r="B1276" s="32">
        <f t="shared" ca="1" si="17"/>
        <v>44450</v>
      </c>
    </row>
    <row r="1277" spans="1:2" ht="15" customHeight="1" x14ac:dyDescent="0.25">
      <c r="A1277" t="s">
        <v>361</v>
      </c>
      <c r="B1277" s="32">
        <f t="shared" ca="1" si="17"/>
        <v>44450</v>
      </c>
    </row>
    <row r="1278" spans="1:2" ht="15" customHeight="1" x14ac:dyDescent="0.25">
      <c r="A1278" t="s">
        <v>362</v>
      </c>
      <c r="B1278" s="32">
        <f t="shared" ca="1" si="17"/>
        <v>44450</v>
      </c>
    </row>
    <row r="1279" spans="1:2" ht="15" customHeight="1" x14ac:dyDescent="0.25">
      <c r="A1279" t="s">
        <v>903</v>
      </c>
      <c r="B1279" s="32">
        <f t="shared" ca="1" si="17"/>
        <v>44450</v>
      </c>
    </row>
    <row r="1280" spans="1:2" ht="15" customHeight="1" x14ac:dyDescent="0.25">
      <c r="A1280" t="s">
        <v>903</v>
      </c>
      <c r="B1280" s="32">
        <f t="shared" ca="1" si="17"/>
        <v>44450</v>
      </c>
    </row>
    <row r="1281" spans="1:2" ht="15" customHeight="1" x14ac:dyDescent="0.25">
      <c r="A1281" t="s">
        <v>904</v>
      </c>
      <c r="B1281" s="32">
        <f t="shared" ca="1" si="17"/>
        <v>44450</v>
      </c>
    </row>
    <row r="1282" spans="1:2" ht="15" customHeight="1" x14ac:dyDescent="0.25">
      <c r="A1282" t="s">
        <v>363</v>
      </c>
      <c r="B1282" s="32">
        <f t="shared" ca="1" si="17"/>
        <v>44450</v>
      </c>
    </row>
    <row r="1283" spans="1:2" ht="15" customHeight="1" x14ac:dyDescent="0.25">
      <c r="A1283" t="s">
        <v>364</v>
      </c>
      <c r="B1283" s="32">
        <f t="shared" ca="1" si="17"/>
        <v>44450</v>
      </c>
    </row>
    <row r="1284" spans="1:2" ht="15" customHeight="1" x14ac:dyDescent="0.25">
      <c r="A1284" t="s">
        <v>365</v>
      </c>
      <c r="B1284" s="32">
        <f t="shared" ca="1" si="17"/>
        <v>44450</v>
      </c>
    </row>
    <row r="1285" spans="1:2" ht="15" customHeight="1" x14ac:dyDescent="0.25">
      <c r="A1285" t="s">
        <v>905</v>
      </c>
      <c r="B1285" s="32">
        <f t="shared" ca="1" si="17"/>
        <v>44450</v>
      </c>
    </row>
    <row r="1286" spans="1:2" ht="15" customHeight="1" x14ac:dyDescent="0.25">
      <c r="A1286" t="s">
        <v>905</v>
      </c>
      <c r="B1286" s="32">
        <f t="shared" ca="1" si="17"/>
        <v>44450</v>
      </c>
    </row>
    <row r="1287" spans="1:2" ht="15" customHeight="1" x14ac:dyDescent="0.25">
      <c r="A1287" t="s">
        <v>906</v>
      </c>
      <c r="B1287" s="32">
        <f t="shared" ref="B1287:B1350" ca="1" si="18">TODAY()-150</f>
        <v>44450</v>
      </c>
    </row>
    <row r="1288" spans="1:2" ht="15" customHeight="1" x14ac:dyDescent="0.25">
      <c r="A1288" t="s">
        <v>907</v>
      </c>
      <c r="B1288" s="32">
        <f t="shared" ca="1" si="18"/>
        <v>44450</v>
      </c>
    </row>
    <row r="1289" spans="1:2" ht="15" customHeight="1" x14ac:dyDescent="0.25">
      <c r="A1289" t="s">
        <v>907</v>
      </c>
      <c r="B1289" s="32">
        <f t="shared" ca="1" si="18"/>
        <v>44450</v>
      </c>
    </row>
    <row r="1290" spans="1:2" ht="15" customHeight="1" x14ac:dyDescent="0.25">
      <c r="A1290" t="s">
        <v>366</v>
      </c>
      <c r="B1290" s="32">
        <f t="shared" ca="1" si="18"/>
        <v>44450</v>
      </c>
    </row>
    <row r="1291" spans="1:2" ht="15" customHeight="1" x14ac:dyDescent="0.25">
      <c r="A1291" t="s">
        <v>366</v>
      </c>
      <c r="B1291" s="32">
        <f t="shared" ca="1" si="18"/>
        <v>44450</v>
      </c>
    </row>
    <row r="1292" spans="1:2" ht="15" customHeight="1" x14ac:dyDescent="0.25">
      <c r="A1292" t="s">
        <v>366</v>
      </c>
      <c r="B1292" s="32">
        <f t="shared" ca="1" si="18"/>
        <v>44450</v>
      </c>
    </row>
    <row r="1293" spans="1:2" ht="15" customHeight="1" x14ac:dyDescent="0.25">
      <c r="A1293" t="s">
        <v>367</v>
      </c>
      <c r="B1293" s="32">
        <f t="shared" ca="1" si="18"/>
        <v>44450</v>
      </c>
    </row>
    <row r="1294" spans="1:2" ht="15" customHeight="1" x14ac:dyDescent="0.25">
      <c r="A1294" t="s">
        <v>368</v>
      </c>
      <c r="B1294" s="32">
        <f t="shared" ca="1" si="18"/>
        <v>44450</v>
      </c>
    </row>
    <row r="1295" spans="1:2" ht="15" customHeight="1" x14ac:dyDescent="0.25">
      <c r="A1295" t="s">
        <v>368</v>
      </c>
      <c r="B1295" s="32">
        <f t="shared" ca="1" si="18"/>
        <v>44450</v>
      </c>
    </row>
    <row r="1296" spans="1:2" ht="15" customHeight="1" x14ac:dyDescent="0.25">
      <c r="A1296" t="s">
        <v>369</v>
      </c>
      <c r="B1296" s="32">
        <f t="shared" ca="1" si="18"/>
        <v>44450</v>
      </c>
    </row>
    <row r="1297" spans="1:2" ht="15" customHeight="1" x14ac:dyDescent="0.25">
      <c r="A1297" t="s">
        <v>369</v>
      </c>
      <c r="B1297" s="32">
        <f t="shared" ca="1" si="18"/>
        <v>44450</v>
      </c>
    </row>
    <row r="1298" spans="1:2" ht="15" customHeight="1" x14ac:dyDescent="0.25">
      <c r="A1298" t="s">
        <v>370</v>
      </c>
      <c r="B1298" s="32">
        <f t="shared" ca="1" si="18"/>
        <v>44450</v>
      </c>
    </row>
    <row r="1299" spans="1:2" ht="15" customHeight="1" x14ac:dyDescent="0.25">
      <c r="A1299" t="s">
        <v>370</v>
      </c>
      <c r="B1299" s="32">
        <f t="shared" ca="1" si="18"/>
        <v>44450</v>
      </c>
    </row>
    <row r="1300" spans="1:2" ht="15" customHeight="1" x14ac:dyDescent="0.25">
      <c r="A1300" t="s">
        <v>371</v>
      </c>
      <c r="B1300" s="32">
        <f t="shared" ca="1" si="18"/>
        <v>44450</v>
      </c>
    </row>
    <row r="1301" spans="1:2" ht="15" customHeight="1" x14ac:dyDescent="0.25">
      <c r="A1301" t="s">
        <v>371</v>
      </c>
      <c r="B1301" s="32">
        <f t="shared" ca="1" si="18"/>
        <v>44450</v>
      </c>
    </row>
    <row r="1302" spans="1:2" ht="15" customHeight="1" x14ac:dyDescent="0.25">
      <c r="A1302" t="s">
        <v>371</v>
      </c>
      <c r="B1302" s="32">
        <f t="shared" ca="1" si="18"/>
        <v>44450</v>
      </c>
    </row>
    <row r="1303" spans="1:2" ht="15" customHeight="1" x14ac:dyDescent="0.25">
      <c r="A1303" t="s">
        <v>372</v>
      </c>
      <c r="B1303" s="32">
        <f t="shared" ca="1" si="18"/>
        <v>44450</v>
      </c>
    </row>
    <row r="1304" spans="1:2" ht="15" customHeight="1" x14ac:dyDescent="0.25">
      <c r="A1304" t="s">
        <v>372</v>
      </c>
      <c r="B1304" s="32">
        <f t="shared" ca="1" si="18"/>
        <v>44450</v>
      </c>
    </row>
    <row r="1305" spans="1:2" ht="15" customHeight="1" x14ac:dyDescent="0.25">
      <c r="A1305" t="s">
        <v>373</v>
      </c>
      <c r="B1305" s="32">
        <f t="shared" ca="1" si="18"/>
        <v>44450</v>
      </c>
    </row>
    <row r="1306" spans="1:2" ht="15" customHeight="1" x14ac:dyDescent="0.25">
      <c r="A1306" t="s">
        <v>373</v>
      </c>
      <c r="B1306" s="32">
        <f t="shared" ca="1" si="18"/>
        <v>44450</v>
      </c>
    </row>
    <row r="1307" spans="1:2" ht="15" customHeight="1" x14ac:dyDescent="0.25">
      <c r="A1307" t="s">
        <v>908</v>
      </c>
      <c r="B1307" s="32">
        <f t="shared" ca="1" si="18"/>
        <v>44450</v>
      </c>
    </row>
    <row r="1308" spans="1:2" ht="15" customHeight="1" x14ac:dyDescent="0.25">
      <c r="A1308" t="s">
        <v>908</v>
      </c>
      <c r="B1308" s="32">
        <f t="shared" ca="1" si="18"/>
        <v>44450</v>
      </c>
    </row>
    <row r="1309" spans="1:2" ht="15" customHeight="1" x14ac:dyDescent="0.25">
      <c r="A1309" t="s">
        <v>908</v>
      </c>
      <c r="B1309" s="32">
        <f t="shared" ca="1" si="18"/>
        <v>44450</v>
      </c>
    </row>
    <row r="1310" spans="1:2" ht="15" customHeight="1" x14ac:dyDescent="0.25">
      <c r="A1310" t="s">
        <v>908</v>
      </c>
      <c r="B1310" s="32">
        <f t="shared" ca="1" si="18"/>
        <v>44450</v>
      </c>
    </row>
    <row r="1311" spans="1:2" ht="15" customHeight="1" x14ac:dyDescent="0.25">
      <c r="A1311" t="s">
        <v>909</v>
      </c>
      <c r="B1311" s="32">
        <f t="shared" ca="1" si="18"/>
        <v>44450</v>
      </c>
    </row>
    <row r="1312" spans="1:2" ht="15" customHeight="1" x14ac:dyDescent="0.25">
      <c r="A1312" t="s">
        <v>909</v>
      </c>
      <c r="B1312" s="32">
        <f t="shared" ca="1" si="18"/>
        <v>44450</v>
      </c>
    </row>
    <row r="1313" spans="1:2" ht="15" customHeight="1" x14ac:dyDescent="0.25">
      <c r="A1313" t="s">
        <v>909</v>
      </c>
      <c r="B1313" s="32">
        <f t="shared" ca="1" si="18"/>
        <v>44450</v>
      </c>
    </row>
    <row r="1314" spans="1:2" ht="15" customHeight="1" x14ac:dyDescent="0.25">
      <c r="A1314" t="s">
        <v>909</v>
      </c>
      <c r="B1314" s="32">
        <f t="shared" ca="1" si="18"/>
        <v>44450</v>
      </c>
    </row>
    <row r="1315" spans="1:2" ht="15" customHeight="1" x14ac:dyDescent="0.25">
      <c r="A1315" t="s">
        <v>909</v>
      </c>
      <c r="B1315" s="32">
        <f t="shared" ca="1" si="18"/>
        <v>44450</v>
      </c>
    </row>
    <row r="1316" spans="1:2" ht="15" customHeight="1" x14ac:dyDescent="0.25">
      <c r="A1316" t="s">
        <v>909</v>
      </c>
      <c r="B1316" s="32">
        <f t="shared" ca="1" si="18"/>
        <v>44450</v>
      </c>
    </row>
    <row r="1317" spans="1:2" ht="15" customHeight="1" x14ac:dyDescent="0.25">
      <c r="A1317" t="s">
        <v>909</v>
      </c>
      <c r="B1317" s="32">
        <f t="shared" ca="1" si="18"/>
        <v>44450</v>
      </c>
    </row>
    <row r="1318" spans="1:2" ht="15" customHeight="1" x14ac:dyDescent="0.25">
      <c r="A1318" t="s">
        <v>909</v>
      </c>
      <c r="B1318" s="32">
        <f t="shared" ca="1" si="18"/>
        <v>44450</v>
      </c>
    </row>
    <row r="1319" spans="1:2" ht="15" customHeight="1" x14ac:dyDescent="0.25">
      <c r="A1319" t="s">
        <v>374</v>
      </c>
      <c r="B1319" s="32">
        <f t="shared" ca="1" si="18"/>
        <v>44450</v>
      </c>
    </row>
    <row r="1320" spans="1:2" ht="15" customHeight="1" x14ac:dyDescent="0.25">
      <c r="A1320" t="s">
        <v>375</v>
      </c>
      <c r="B1320" s="32">
        <f t="shared" ca="1" si="18"/>
        <v>44450</v>
      </c>
    </row>
    <row r="1321" spans="1:2" ht="15" customHeight="1" x14ac:dyDescent="0.25">
      <c r="A1321" t="s">
        <v>376</v>
      </c>
      <c r="B1321" s="32">
        <f t="shared" ca="1" si="18"/>
        <v>44450</v>
      </c>
    </row>
    <row r="1322" spans="1:2" ht="15" customHeight="1" x14ac:dyDescent="0.25">
      <c r="A1322" t="s">
        <v>377</v>
      </c>
      <c r="B1322" s="32">
        <f t="shared" ca="1" si="18"/>
        <v>44450</v>
      </c>
    </row>
    <row r="1323" spans="1:2" ht="15" customHeight="1" x14ac:dyDescent="0.25">
      <c r="A1323" t="s">
        <v>378</v>
      </c>
      <c r="B1323" s="32">
        <f t="shared" ca="1" si="18"/>
        <v>44450</v>
      </c>
    </row>
    <row r="1324" spans="1:2" ht="15" customHeight="1" x14ac:dyDescent="0.25">
      <c r="A1324" t="s">
        <v>910</v>
      </c>
      <c r="B1324" s="32">
        <f t="shared" ca="1" si="18"/>
        <v>44450</v>
      </c>
    </row>
    <row r="1325" spans="1:2" ht="15" customHeight="1" x14ac:dyDescent="0.25">
      <c r="A1325" t="s">
        <v>379</v>
      </c>
      <c r="B1325" s="32">
        <f t="shared" ca="1" si="18"/>
        <v>44450</v>
      </c>
    </row>
    <row r="1326" spans="1:2" ht="15" customHeight="1" x14ac:dyDescent="0.25">
      <c r="A1326" t="s">
        <v>911</v>
      </c>
      <c r="B1326" s="32">
        <f t="shared" ca="1" si="18"/>
        <v>44450</v>
      </c>
    </row>
    <row r="1327" spans="1:2" ht="15" customHeight="1" x14ac:dyDescent="0.25">
      <c r="A1327" t="s">
        <v>912</v>
      </c>
      <c r="B1327" s="32">
        <f t="shared" ca="1" si="18"/>
        <v>44450</v>
      </c>
    </row>
    <row r="1328" spans="1:2" ht="15" customHeight="1" x14ac:dyDescent="0.25">
      <c r="A1328" t="s">
        <v>912</v>
      </c>
      <c r="B1328" s="32">
        <f t="shared" ca="1" si="18"/>
        <v>44450</v>
      </c>
    </row>
    <row r="1329" spans="1:2" ht="15" customHeight="1" x14ac:dyDescent="0.25">
      <c r="A1329" t="s">
        <v>912</v>
      </c>
      <c r="B1329" s="32">
        <f t="shared" ca="1" si="18"/>
        <v>44450</v>
      </c>
    </row>
    <row r="1330" spans="1:2" ht="15" customHeight="1" x14ac:dyDescent="0.25">
      <c r="A1330" t="s">
        <v>596</v>
      </c>
      <c r="B1330" s="32">
        <f t="shared" ca="1" si="18"/>
        <v>44450</v>
      </c>
    </row>
    <row r="1331" spans="1:2" ht="15" customHeight="1" x14ac:dyDescent="0.25">
      <c r="A1331" t="s">
        <v>597</v>
      </c>
      <c r="B1331" s="32">
        <f t="shared" ca="1" si="18"/>
        <v>44450</v>
      </c>
    </row>
    <row r="1332" spans="1:2" ht="15" customHeight="1" x14ac:dyDescent="0.25">
      <c r="A1332" t="s">
        <v>597</v>
      </c>
      <c r="B1332" s="32">
        <f t="shared" ca="1" si="18"/>
        <v>44450</v>
      </c>
    </row>
    <row r="1333" spans="1:2" ht="15" customHeight="1" x14ac:dyDescent="0.25">
      <c r="A1333" t="s">
        <v>598</v>
      </c>
      <c r="B1333" s="32">
        <f t="shared" ca="1" si="18"/>
        <v>44450</v>
      </c>
    </row>
    <row r="1334" spans="1:2" ht="15" customHeight="1" x14ac:dyDescent="0.25">
      <c r="A1334" t="s">
        <v>913</v>
      </c>
      <c r="B1334" s="32">
        <f t="shared" ca="1" si="18"/>
        <v>44450</v>
      </c>
    </row>
    <row r="1335" spans="1:2" ht="15" customHeight="1" x14ac:dyDescent="0.25">
      <c r="A1335" t="s">
        <v>913</v>
      </c>
      <c r="B1335" s="32">
        <f t="shared" ca="1" si="18"/>
        <v>44450</v>
      </c>
    </row>
    <row r="1336" spans="1:2" ht="15" customHeight="1" x14ac:dyDescent="0.25">
      <c r="A1336" t="s">
        <v>913</v>
      </c>
      <c r="B1336" s="32">
        <f t="shared" ca="1" si="18"/>
        <v>44450</v>
      </c>
    </row>
    <row r="1337" spans="1:2" ht="15" customHeight="1" x14ac:dyDescent="0.25">
      <c r="A1337" t="s">
        <v>914</v>
      </c>
      <c r="B1337" s="32">
        <f t="shared" ca="1" si="18"/>
        <v>44450</v>
      </c>
    </row>
    <row r="1338" spans="1:2" ht="15" customHeight="1" x14ac:dyDescent="0.25">
      <c r="A1338" t="s">
        <v>914</v>
      </c>
      <c r="B1338" s="32">
        <f t="shared" ca="1" si="18"/>
        <v>44450</v>
      </c>
    </row>
    <row r="1339" spans="1:2" ht="15" customHeight="1" x14ac:dyDescent="0.25">
      <c r="A1339" t="s">
        <v>914</v>
      </c>
      <c r="B1339" s="32">
        <f t="shared" ca="1" si="18"/>
        <v>44450</v>
      </c>
    </row>
    <row r="1340" spans="1:2" ht="15" customHeight="1" x14ac:dyDescent="0.25">
      <c r="A1340" t="s">
        <v>914</v>
      </c>
      <c r="B1340" s="32">
        <f t="shared" ca="1" si="18"/>
        <v>44450</v>
      </c>
    </row>
    <row r="1341" spans="1:2" ht="15" customHeight="1" x14ac:dyDescent="0.25">
      <c r="A1341" t="s">
        <v>914</v>
      </c>
      <c r="B1341" s="32">
        <f t="shared" ca="1" si="18"/>
        <v>44450</v>
      </c>
    </row>
    <row r="1342" spans="1:2" ht="15" customHeight="1" x14ac:dyDescent="0.25">
      <c r="A1342" t="s">
        <v>915</v>
      </c>
      <c r="B1342" s="32">
        <f t="shared" ca="1" si="18"/>
        <v>44450</v>
      </c>
    </row>
    <row r="1343" spans="1:2" ht="15" customHeight="1" x14ac:dyDescent="0.25">
      <c r="A1343" t="s">
        <v>915</v>
      </c>
      <c r="B1343" s="32">
        <f t="shared" ca="1" si="18"/>
        <v>44450</v>
      </c>
    </row>
    <row r="1344" spans="1:2" ht="15" customHeight="1" x14ac:dyDescent="0.25">
      <c r="A1344" t="s">
        <v>915</v>
      </c>
      <c r="B1344" s="32">
        <f t="shared" ca="1" si="18"/>
        <v>44450</v>
      </c>
    </row>
    <row r="1345" spans="1:2" ht="15" customHeight="1" x14ac:dyDescent="0.25">
      <c r="A1345" t="s">
        <v>915</v>
      </c>
      <c r="B1345" s="32">
        <f t="shared" ca="1" si="18"/>
        <v>44450</v>
      </c>
    </row>
    <row r="1346" spans="1:2" ht="15" customHeight="1" x14ac:dyDescent="0.25">
      <c r="A1346" t="s">
        <v>915</v>
      </c>
      <c r="B1346" s="32">
        <f t="shared" ca="1" si="18"/>
        <v>44450</v>
      </c>
    </row>
    <row r="1347" spans="1:2" ht="15" customHeight="1" x14ac:dyDescent="0.25">
      <c r="A1347" t="s">
        <v>916</v>
      </c>
      <c r="B1347" s="32">
        <f t="shared" ca="1" si="18"/>
        <v>44450</v>
      </c>
    </row>
    <row r="1348" spans="1:2" ht="15" customHeight="1" x14ac:dyDescent="0.25">
      <c r="A1348" t="s">
        <v>916</v>
      </c>
      <c r="B1348" s="32">
        <f t="shared" ca="1" si="18"/>
        <v>44450</v>
      </c>
    </row>
    <row r="1349" spans="1:2" ht="15" customHeight="1" x14ac:dyDescent="0.25">
      <c r="A1349" t="s">
        <v>916</v>
      </c>
      <c r="B1349" s="32">
        <f t="shared" ca="1" si="18"/>
        <v>44450</v>
      </c>
    </row>
    <row r="1350" spans="1:2" ht="15" customHeight="1" x14ac:dyDescent="0.25">
      <c r="A1350" t="s">
        <v>916</v>
      </c>
      <c r="B1350" s="32">
        <f t="shared" ca="1" si="18"/>
        <v>44450</v>
      </c>
    </row>
    <row r="1351" spans="1:2" ht="15" customHeight="1" x14ac:dyDescent="0.25">
      <c r="A1351" t="s">
        <v>916</v>
      </c>
      <c r="B1351" s="32">
        <f t="shared" ref="B1351:B1414" ca="1" si="19">TODAY()-150</f>
        <v>44450</v>
      </c>
    </row>
    <row r="1352" spans="1:2" ht="15" customHeight="1" x14ac:dyDescent="0.25">
      <c r="A1352" t="s">
        <v>825</v>
      </c>
      <c r="B1352" s="32">
        <f t="shared" ca="1" si="19"/>
        <v>44450</v>
      </c>
    </row>
    <row r="1353" spans="1:2" ht="15" customHeight="1" x14ac:dyDescent="0.25">
      <c r="A1353" t="s">
        <v>917</v>
      </c>
      <c r="B1353" s="32">
        <f t="shared" ca="1" si="19"/>
        <v>44450</v>
      </c>
    </row>
    <row r="1354" spans="1:2" ht="15" customHeight="1" x14ac:dyDescent="0.25">
      <c r="A1354" t="s">
        <v>380</v>
      </c>
      <c r="B1354" s="32">
        <f t="shared" ca="1" si="19"/>
        <v>44450</v>
      </c>
    </row>
    <row r="1355" spans="1:2" ht="15" customHeight="1" x14ac:dyDescent="0.25">
      <c r="A1355" t="s">
        <v>918</v>
      </c>
      <c r="B1355" s="32">
        <f t="shared" ca="1" si="19"/>
        <v>44450</v>
      </c>
    </row>
    <row r="1356" spans="1:2" ht="15" customHeight="1" x14ac:dyDescent="0.25">
      <c r="A1356" t="s">
        <v>918</v>
      </c>
      <c r="B1356" s="32">
        <f t="shared" ca="1" si="19"/>
        <v>44450</v>
      </c>
    </row>
    <row r="1357" spans="1:2" ht="15" customHeight="1" x14ac:dyDescent="0.25">
      <c r="A1357" t="s">
        <v>381</v>
      </c>
      <c r="B1357" s="32">
        <f t="shared" ca="1" si="19"/>
        <v>44450</v>
      </c>
    </row>
    <row r="1358" spans="1:2" ht="15" customHeight="1" x14ac:dyDescent="0.25">
      <c r="A1358" t="s">
        <v>382</v>
      </c>
      <c r="B1358" s="32">
        <f t="shared" ca="1" si="19"/>
        <v>44450</v>
      </c>
    </row>
    <row r="1359" spans="1:2" ht="15" customHeight="1" x14ac:dyDescent="0.25">
      <c r="A1359" t="s">
        <v>383</v>
      </c>
      <c r="B1359" s="32">
        <f t="shared" ca="1" si="19"/>
        <v>44450</v>
      </c>
    </row>
    <row r="1360" spans="1:2" ht="15" customHeight="1" x14ac:dyDescent="0.25">
      <c r="A1360" t="s">
        <v>919</v>
      </c>
      <c r="B1360" s="32">
        <f t="shared" ca="1" si="19"/>
        <v>44450</v>
      </c>
    </row>
    <row r="1361" spans="1:2" ht="15" customHeight="1" x14ac:dyDescent="0.25">
      <c r="A1361" t="s">
        <v>919</v>
      </c>
      <c r="B1361" s="32">
        <f t="shared" ca="1" si="19"/>
        <v>44450</v>
      </c>
    </row>
    <row r="1362" spans="1:2" ht="15" customHeight="1" x14ac:dyDescent="0.25">
      <c r="A1362" t="s">
        <v>919</v>
      </c>
      <c r="B1362" s="32">
        <f t="shared" ca="1" si="19"/>
        <v>44450</v>
      </c>
    </row>
    <row r="1363" spans="1:2" ht="15" customHeight="1" x14ac:dyDescent="0.25">
      <c r="A1363" t="s">
        <v>919</v>
      </c>
      <c r="B1363" s="32">
        <f t="shared" ca="1" si="19"/>
        <v>44450</v>
      </c>
    </row>
    <row r="1364" spans="1:2" ht="15" customHeight="1" x14ac:dyDescent="0.25">
      <c r="A1364" t="s">
        <v>384</v>
      </c>
      <c r="B1364" s="32">
        <f t="shared" ca="1" si="19"/>
        <v>44450</v>
      </c>
    </row>
    <row r="1365" spans="1:2" ht="15" customHeight="1" x14ac:dyDescent="0.25">
      <c r="A1365" t="s">
        <v>385</v>
      </c>
      <c r="B1365" s="32">
        <f t="shared" ca="1" si="19"/>
        <v>44450</v>
      </c>
    </row>
    <row r="1366" spans="1:2" ht="15" customHeight="1" x14ac:dyDescent="0.25">
      <c r="A1366" t="s">
        <v>386</v>
      </c>
      <c r="B1366" s="32">
        <f t="shared" ca="1" si="19"/>
        <v>44450</v>
      </c>
    </row>
    <row r="1367" spans="1:2" ht="15" customHeight="1" x14ac:dyDescent="0.25">
      <c r="A1367" t="s">
        <v>387</v>
      </c>
      <c r="B1367" s="32">
        <f t="shared" ca="1" si="19"/>
        <v>44450</v>
      </c>
    </row>
    <row r="1368" spans="1:2" ht="15" customHeight="1" x14ac:dyDescent="0.25">
      <c r="A1368" t="s">
        <v>920</v>
      </c>
      <c r="B1368" s="32">
        <f t="shared" ca="1" si="19"/>
        <v>44450</v>
      </c>
    </row>
    <row r="1369" spans="1:2" ht="15" customHeight="1" x14ac:dyDescent="0.25">
      <c r="A1369" t="s">
        <v>920</v>
      </c>
      <c r="B1369" s="32">
        <f t="shared" ca="1" si="19"/>
        <v>44450</v>
      </c>
    </row>
    <row r="1370" spans="1:2" ht="15" customHeight="1" x14ac:dyDescent="0.25">
      <c r="A1370" t="s">
        <v>920</v>
      </c>
      <c r="B1370" s="32">
        <f t="shared" ca="1" si="19"/>
        <v>44450</v>
      </c>
    </row>
    <row r="1371" spans="1:2" ht="15" customHeight="1" x14ac:dyDescent="0.25">
      <c r="A1371" t="s">
        <v>920</v>
      </c>
      <c r="B1371" s="32">
        <f t="shared" ca="1" si="19"/>
        <v>44450</v>
      </c>
    </row>
    <row r="1372" spans="1:2" ht="15" customHeight="1" x14ac:dyDescent="0.25">
      <c r="A1372" t="s">
        <v>920</v>
      </c>
      <c r="B1372" s="32">
        <f t="shared" ca="1" si="19"/>
        <v>44450</v>
      </c>
    </row>
    <row r="1373" spans="1:2" ht="15" customHeight="1" x14ac:dyDescent="0.25">
      <c r="A1373" t="s">
        <v>921</v>
      </c>
      <c r="B1373" s="32">
        <f t="shared" ca="1" si="19"/>
        <v>44450</v>
      </c>
    </row>
    <row r="1374" spans="1:2" ht="15" customHeight="1" x14ac:dyDescent="0.25">
      <c r="A1374" t="s">
        <v>921</v>
      </c>
      <c r="B1374" s="32">
        <f t="shared" ca="1" si="19"/>
        <v>44450</v>
      </c>
    </row>
    <row r="1375" spans="1:2" ht="15" customHeight="1" x14ac:dyDescent="0.25">
      <c r="A1375" t="s">
        <v>921</v>
      </c>
      <c r="B1375" s="32">
        <f t="shared" ca="1" si="19"/>
        <v>44450</v>
      </c>
    </row>
    <row r="1376" spans="1:2" ht="15" customHeight="1" x14ac:dyDescent="0.25">
      <c r="A1376" t="s">
        <v>921</v>
      </c>
      <c r="B1376" s="32">
        <f t="shared" ca="1" si="19"/>
        <v>44450</v>
      </c>
    </row>
    <row r="1377" spans="1:2" ht="15" customHeight="1" x14ac:dyDescent="0.25">
      <c r="A1377" t="s">
        <v>921</v>
      </c>
      <c r="B1377" s="32">
        <f t="shared" ca="1" si="19"/>
        <v>44450</v>
      </c>
    </row>
    <row r="1378" spans="1:2" ht="15" customHeight="1" x14ac:dyDescent="0.25">
      <c r="A1378" t="s">
        <v>921</v>
      </c>
      <c r="B1378" s="32">
        <f t="shared" ca="1" si="19"/>
        <v>44450</v>
      </c>
    </row>
    <row r="1379" spans="1:2" ht="15" customHeight="1" x14ac:dyDescent="0.25">
      <c r="A1379" t="s">
        <v>922</v>
      </c>
      <c r="B1379" s="32">
        <f t="shared" ca="1" si="19"/>
        <v>44450</v>
      </c>
    </row>
    <row r="1380" spans="1:2" ht="15" customHeight="1" x14ac:dyDescent="0.25">
      <c r="A1380" t="s">
        <v>922</v>
      </c>
      <c r="B1380" s="32">
        <f t="shared" ca="1" si="19"/>
        <v>44450</v>
      </c>
    </row>
    <row r="1381" spans="1:2" ht="15" customHeight="1" x14ac:dyDescent="0.25">
      <c r="A1381" t="s">
        <v>922</v>
      </c>
      <c r="B1381" s="32">
        <f t="shared" ca="1" si="19"/>
        <v>44450</v>
      </c>
    </row>
    <row r="1382" spans="1:2" ht="15" customHeight="1" x14ac:dyDescent="0.25">
      <c r="A1382" t="s">
        <v>922</v>
      </c>
      <c r="B1382" s="32">
        <f t="shared" ca="1" si="19"/>
        <v>44450</v>
      </c>
    </row>
    <row r="1383" spans="1:2" ht="15" customHeight="1" x14ac:dyDescent="0.25">
      <c r="A1383" t="s">
        <v>530</v>
      </c>
      <c r="B1383" s="32">
        <f t="shared" ca="1" si="19"/>
        <v>44450</v>
      </c>
    </row>
    <row r="1384" spans="1:2" ht="15" customHeight="1" x14ac:dyDescent="0.25">
      <c r="A1384" t="s">
        <v>388</v>
      </c>
      <c r="B1384" s="32">
        <f t="shared" ca="1" si="19"/>
        <v>44450</v>
      </c>
    </row>
    <row r="1385" spans="1:2" ht="15" customHeight="1" x14ac:dyDescent="0.25">
      <c r="A1385" t="s">
        <v>599</v>
      </c>
      <c r="B1385" s="32">
        <f t="shared" ca="1" si="19"/>
        <v>44450</v>
      </c>
    </row>
    <row r="1386" spans="1:2" ht="15" customHeight="1" x14ac:dyDescent="0.25">
      <c r="A1386" t="s">
        <v>553</v>
      </c>
      <c r="B1386" s="32">
        <f t="shared" ca="1" si="19"/>
        <v>44450</v>
      </c>
    </row>
    <row r="1387" spans="1:2" ht="15" customHeight="1" x14ac:dyDescent="0.25">
      <c r="A1387" t="s">
        <v>553</v>
      </c>
      <c r="B1387" s="32">
        <f t="shared" ca="1" si="19"/>
        <v>44450</v>
      </c>
    </row>
    <row r="1388" spans="1:2" ht="15" customHeight="1" x14ac:dyDescent="0.25">
      <c r="A1388" t="s">
        <v>600</v>
      </c>
      <c r="B1388" s="32">
        <f t="shared" ca="1" si="19"/>
        <v>44450</v>
      </c>
    </row>
    <row r="1389" spans="1:2" ht="15" customHeight="1" x14ac:dyDescent="0.25">
      <c r="A1389" t="s">
        <v>600</v>
      </c>
      <c r="B1389" s="32">
        <f t="shared" ca="1" si="19"/>
        <v>44450</v>
      </c>
    </row>
    <row r="1390" spans="1:2" ht="15" customHeight="1" x14ac:dyDescent="0.25">
      <c r="A1390" t="s">
        <v>531</v>
      </c>
      <c r="B1390" s="32">
        <f t="shared" ca="1" si="19"/>
        <v>44450</v>
      </c>
    </row>
    <row r="1391" spans="1:2" ht="15" customHeight="1" x14ac:dyDescent="0.25">
      <c r="A1391" t="s">
        <v>923</v>
      </c>
      <c r="B1391" s="32">
        <f t="shared" ca="1" si="19"/>
        <v>44450</v>
      </c>
    </row>
    <row r="1392" spans="1:2" ht="15" customHeight="1" x14ac:dyDescent="0.25">
      <c r="A1392" t="s">
        <v>924</v>
      </c>
      <c r="B1392" s="32">
        <f t="shared" ca="1" si="19"/>
        <v>44450</v>
      </c>
    </row>
    <row r="1393" spans="1:2" ht="15" customHeight="1" x14ac:dyDescent="0.25">
      <c r="A1393" t="s">
        <v>924</v>
      </c>
      <c r="B1393" s="32">
        <f t="shared" ca="1" si="19"/>
        <v>44450</v>
      </c>
    </row>
    <row r="1394" spans="1:2" ht="15" customHeight="1" x14ac:dyDescent="0.25">
      <c r="A1394" t="s">
        <v>601</v>
      </c>
      <c r="B1394" s="32">
        <f t="shared" ca="1" si="19"/>
        <v>44450</v>
      </c>
    </row>
    <row r="1395" spans="1:2" ht="15" customHeight="1" x14ac:dyDescent="0.25">
      <c r="A1395" t="s">
        <v>389</v>
      </c>
      <c r="B1395" s="32">
        <f t="shared" ca="1" si="19"/>
        <v>44450</v>
      </c>
    </row>
    <row r="1396" spans="1:2" ht="15" customHeight="1" x14ac:dyDescent="0.25">
      <c r="A1396" t="s">
        <v>532</v>
      </c>
      <c r="B1396" s="32">
        <f t="shared" ca="1" si="19"/>
        <v>44450</v>
      </c>
    </row>
    <row r="1397" spans="1:2" ht="15" customHeight="1" x14ac:dyDescent="0.25">
      <c r="A1397" t="s">
        <v>532</v>
      </c>
      <c r="B1397" s="32">
        <f t="shared" ca="1" si="19"/>
        <v>44450</v>
      </c>
    </row>
    <row r="1398" spans="1:2" ht="15" customHeight="1" x14ac:dyDescent="0.25">
      <c r="A1398" t="s">
        <v>925</v>
      </c>
      <c r="B1398" s="32">
        <f t="shared" ca="1" si="19"/>
        <v>44450</v>
      </c>
    </row>
    <row r="1399" spans="1:2" ht="15" customHeight="1" x14ac:dyDescent="0.25">
      <c r="A1399" t="s">
        <v>926</v>
      </c>
      <c r="B1399" s="32">
        <f t="shared" ca="1" si="19"/>
        <v>44450</v>
      </c>
    </row>
    <row r="1400" spans="1:2" ht="15" customHeight="1" x14ac:dyDescent="0.25">
      <c r="A1400" t="s">
        <v>927</v>
      </c>
      <c r="B1400" s="32">
        <f t="shared" ca="1" si="19"/>
        <v>44450</v>
      </c>
    </row>
    <row r="1401" spans="1:2" ht="15" customHeight="1" x14ac:dyDescent="0.25">
      <c r="A1401" t="s">
        <v>928</v>
      </c>
      <c r="B1401" s="32">
        <f t="shared" ca="1" si="19"/>
        <v>44450</v>
      </c>
    </row>
    <row r="1402" spans="1:2" ht="15" customHeight="1" x14ac:dyDescent="0.25">
      <c r="A1402" t="s">
        <v>390</v>
      </c>
      <c r="B1402" s="32">
        <f t="shared" ca="1" si="19"/>
        <v>44450</v>
      </c>
    </row>
    <row r="1403" spans="1:2" ht="15" customHeight="1" x14ac:dyDescent="0.25">
      <c r="A1403" t="s">
        <v>533</v>
      </c>
      <c r="B1403" s="32">
        <f t="shared" ca="1" si="19"/>
        <v>44450</v>
      </c>
    </row>
    <row r="1404" spans="1:2" ht="15" customHeight="1" x14ac:dyDescent="0.25">
      <c r="A1404" t="s">
        <v>534</v>
      </c>
      <c r="B1404" s="32">
        <f t="shared" ca="1" si="19"/>
        <v>44450</v>
      </c>
    </row>
    <row r="1405" spans="1:2" ht="15" customHeight="1" x14ac:dyDescent="0.25">
      <c r="A1405" t="s">
        <v>391</v>
      </c>
      <c r="B1405" s="32">
        <f t="shared" ca="1" si="19"/>
        <v>44450</v>
      </c>
    </row>
    <row r="1406" spans="1:2" ht="15" customHeight="1" x14ac:dyDescent="0.25">
      <c r="A1406" t="s">
        <v>392</v>
      </c>
      <c r="B1406" s="32">
        <f t="shared" ca="1" si="19"/>
        <v>44450</v>
      </c>
    </row>
    <row r="1407" spans="1:2" ht="15" customHeight="1" x14ac:dyDescent="0.25">
      <c r="A1407" t="s">
        <v>393</v>
      </c>
      <c r="B1407" s="32">
        <f t="shared" ca="1" si="19"/>
        <v>44450</v>
      </c>
    </row>
    <row r="1408" spans="1:2" ht="15" customHeight="1" x14ac:dyDescent="0.25">
      <c r="A1408" t="s">
        <v>394</v>
      </c>
      <c r="B1408" s="32">
        <f t="shared" ca="1" si="19"/>
        <v>44450</v>
      </c>
    </row>
    <row r="1409" spans="1:2" ht="15" customHeight="1" x14ac:dyDescent="0.25">
      <c r="A1409" t="s">
        <v>394</v>
      </c>
      <c r="B1409" s="32">
        <f t="shared" ca="1" si="19"/>
        <v>44450</v>
      </c>
    </row>
    <row r="1410" spans="1:2" ht="15" customHeight="1" x14ac:dyDescent="0.25">
      <c r="A1410" t="s">
        <v>395</v>
      </c>
      <c r="B1410" s="32">
        <f t="shared" ca="1" si="19"/>
        <v>44450</v>
      </c>
    </row>
    <row r="1411" spans="1:2" ht="15" customHeight="1" x14ac:dyDescent="0.25">
      <c r="A1411" t="s">
        <v>396</v>
      </c>
      <c r="B1411" s="32">
        <f t="shared" ca="1" si="19"/>
        <v>44450</v>
      </c>
    </row>
    <row r="1412" spans="1:2" ht="15" customHeight="1" x14ac:dyDescent="0.25">
      <c r="A1412" t="s">
        <v>397</v>
      </c>
      <c r="B1412" s="32">
        <f t="shared" ca="1" si="19"/>
        <v>44450</v>
      </c>
    </row>
    <row r="1413" spans="1:2" ht="15" customHeight="1" x14ac:dyDescent="0.25">
      <c r="A1413" t="s">
        <v>398</v>
      </c>
      <c r="B1413" s="32">
        <f t="shared" ca="1" si="19"/>
        <v>44450</v>
      </c>
    </row>
    <row r="1414" spans="1:2" ht="15" customHeight="1" x14ac:dyDescent="0.25">
      <c r="A1414" t="s">
        <v>399</v>
      </c>
      <c r="B1414" s="32">
        <f t="shared" ca="1" si="19"/>
        <v>44450</v>
      </c>
    </row>
    <row r="1415" spans="1:2" ht="15" customHeight="1" x14ac:dyDescent="0.25">
      <c r="A1415" t="s">
        <v>400</v>
      </c>
      <c r="B1415" s="32">
        <f t="shared" ref="B1415:B1478" ca="1" si="20">TODAY()-150</f>
        <v>44450</v>
      </c>
    </row>
    <row r="1416" spans="1:2" ht="15" customHeight="1" x14ac:dyDescent="0.25">
      <c r="A1416" t="s">
        <v>602</v>
      </c>
      <c r="B1416" s="32">
        <f t="shared" ca="1" si="20"/>
        <v>44450</v>
      </c>
    </row>
    <row r="1417" spans="1:2" ht="15" customHeight="1" x14ac:dyDescent="0.25">
      <c r="A1417" t="s">
        <v>602</v>
      </c>
      <c r="B1417" s="32">
        <f t="shared" ca="1" si="20"/>
        <v>44450</v>
      </c>
    </row>
    <row r="1418" spans="1:2" ht="15" customHeight="1" x14ac:dyDescent="0.25">
      <c r="A1418" t="s">
        <v>401</v>
      </c>
      <c r="B1418" s="32">
        <f t="shared" ca="1" si="20"/>
        <v>44450</v>
      </c>
    </row>
    <row r="1419" spans="1:2" ht="15" customHeight="1" x14ac:dyDescent="0.25">
      <c r="A1419" t="s">
        <v>929</v>
      </c>
      <c r="B1419" s="32">
        <f t="shared" ca="1" si="20"/>
        <v>44450</v>
      </c>
    </row>
    <row r="1420" spans="1:2" ht="15" customHeight="1" x14ac:dyDescent="0.25">
      <c r="A1420" t="s">
        <v>929</v>
      </c>
      <c r="B1420" s="32">
        <f t="shared" ca="1" si="20"/>
        <v>44450</v>
      </c>
    </row>
    <row r="1421" spans="1:2" ht="15" customHeight="1" x14ac:dyDescent="0.25">
      <c r="A1421" t="s">
        <v>929</v>
      </c>
      <c r="B1421" s="32">
        <f t="shared" ca="1" si="20"/>
        <v>44450</v>
      </c>
    </row>
    <row r="1422" spans="1:2" ht="15" customHeight="1" x14ac:dyDescent="0.25">
      <c r="A1422" t="s">
        <v>929</v>
      </c>
      <c r="B1422" s="32">
        <f t="shared" ca="1" si="20"/>
        <v>44450</v>
      </c>
    </row>
    <row r="1423" spans="1:2" ht="15" customHeight="1" x14ac:dyDescent="0.25">
      <c r="A1423" t="s">
        <v>402</v>
      </c>
      <c r="B1423" s="32">
        <f t="shared" ca="1" si="20"/>
        <v>44450</v>
      </c>
    </row>
    <row r="1424" spans="1:2" ht="15" customHeight="1" x14ac:dyDescent="0.25">
      <c r="A1424" t="s">
        <v>403</v>
      </c>
      <c r="B1424" s="32">
        <f t="shared" ca="1" si="20"/>
        <v>44450</v>
      </c>
    </row>
    <row r="1425" spans="1:2" ht="15" customHeight="1" x14ac:dyDescent="0.25">
      <c r="A1425" t="s">
        <v>404</v>
      </c>
      <c r="B1425" s="32">
        <f t="shared" ca="1" si="20"/>
        <v>44450</v>
      </c>
    </row>
    <row r="1426" spans="1:2" ht="15" customHeight="1" x14ac:dyDescent="0.25">
      <c r="A1426" t="s">
        <v>405</v>
      </c>
      <c r="B1426" s="32">
        <f t="shared" ca="1" si="20"/>
        <v>44450</v>
      </c>
    </row>
    <row r="1427" spans="1:2" ht="15" customHeight="1" x14ac:dyDescent="0.25">
      <c r="A1427" t="s">
        <v>930</v>
      </c>
      <c r="B1427" s="32">
        <f t="shared" ca="1" si="20"/>
        <v>44450</v>
      </c>
    </row>
    <row r="1428" spans="1:2" ht="15" customHeight="1" x14ac:dyDescent="0.25">
      <c r="A1428" t="s">
        <v>406</v>
      </c>
      <c r="B1428" s="32">
        <f t="shared" ca="1" si="20"/>
        <v>44450</v>
      </c>
    </row>
    <row r="1429" spans="1:2" ht="15" customHeight="1" x14ac:dyDescent="0.25">
      <c r="A1429" t="s">
        <v>407</v>
      </c>
      <c r="B1429" s="32">
        <f t="shared" ca="1" si="20"/>
        <v>44450</v>
      </c>
    </row>
    <row r="1430" spans="1:2" ht="15" customHeight="1" x14ac:dyDescent="0.25">
      <c r="A1430" t="s">
        <v>408</v>
      </c>
      <c r="B1430" s="32">
        <f t="shared" ca="1" si="20"/>
        <v>44450</v>
      </c>
    </row>
    <row r="1431" spans="1:2" ht="15" customHeight="1" x14ac:dyDescent="0.25">
      <c r="A1431" t="s">
        <v>409</v>
      </c>
      <c r="B1431" s="32">
        <f t="shared" ca="1" si="20"/>
        <v>44450</v>
      </c>
    </row>
    <row r="1432" spans="1:2" ht="15" customHeight="1" x14ac:dyDescent="0.25">
      <c r="A1432" t="s">
        <v>931</v>
      </c>
      <c r="B1432" s="32">
        <f t="shared" ca="1" si="20"/>
        <v>44450</v>
      </c>
    </row>
    <row r="1433" spans="1:2" ht="15" customHeight="1" x14ac:dyDescent="0.25">
      <c r="A1433" t="s">
        <v>931</v>
      </c>
      <c r="B1433" s="32">
        <f t="shared" ca="1" si="20"/>
        <v>44450</v>
      </c>
    </row>
    <row r="1434" spans="1:2" ht="15" customHeight="1" x14ac:dyDescent="0.25">
      <c r="A1434" t="s">
        <v>931</v>
      </c>
      <c r="B1434" s="32">
        <f t="shared" ca="1" si="20"/>
        <v>44450</v>
      </c>
    </row>
    <row r="1435" spans="1:2" ht="15" customHeight="1" x14ac:dyDescent="0.25">
      <c r="A1435" t="s">
        <v>931</v>
      </c>
      <c r="B1435" s="32">
        <f t="shared" ca="1" si="20"/>
        <v>44450</v>
      </c>
    </row>
    <row r="1436" spans="1:2" ht="15" customHeight="1" x14ac:dyDescent="0.25">
      <c r="A1436" t="s">
        <v>931</v>
      </c>
      <c r="B1436" s="32">
        <f t="shared" ca="1" si="20"/>
        <v>44450</v>
      </c>
    </row>
    <row r="1437" spans="1:2" ht="15" customHeight="1" x14ac:dyDescent="0.25">
      <c r="A1437" t="s">
        <v>932</v>
      </c>
      <c r="B1437" s="32">
        <f t="shared" ca="1" si="20"/>
        <v>44450</v>
      </c>
    </row>
    <row r="1438" spans="1:2" ht="15" customHeight="1" x14ac:dyDescent="0.25">
      <c r="A1438" t="s">
        <v>933</v>
      </c>
      <c r="B1438" s="32">
        <f t="shared" ca="1" si="20"/>
        <v>44450</v>
      </c>
    </row>
    <row r="1439" spans="1:2" ht="15" customHeight="1" x14ac:dyDescent="0.25">
      <c r="A1439" t="s">
        <v>410</v>
      </c>
      <c r="B1439" s="32">
        <f t="shared" ca="1" si="20"/>
        <v>44450</v>
      </c>
    </row>
    <row r="1440" spans="1:2" ht="15" customHeight="1" x14ac:dyDescent="0.25">
      <c r="A1440" t="s">
        <v>411</v>
      </c>
      <c r="B1440" s="32">
        <f t="shared" ca="1" si="20"/>
        <v>44450</v>
      </c>
    </row>
    <row r="1441" spans="1:2" ht="15" customHeight="1" x14ac:dyDescent="0.25">
      <c r="A1441" t="s">
        <v>412</v>
      </c>
      <c r="B1441" s="32">
        <f t="shared" ca="1" si="20"/>
        <v>44450</v>
      </c>
    </row>
    <row r="1442" spans="1:2" ht="15" customHeight="1" x14ac:dyDescent="0.25">
      <c r="A1442" t="s">
        <v>413</v>
      </c>
      <c r="B1442" s="32">
        <f t="shared" ca="1" si="20"/>
        <v>44450</v>
      </c>
    </row>
    <row r="1443" spans="1:2" ht="15" customHeight="1" x14ac:dyDescent="0.25">
      <c r="A1443" t="s">
        <v>413</v>
      </c>
      <c r="B1443" s="32">
        <f t="shared" ca="1" si="20"/>
        <v>44450</v>
      </c>
    </row>
    <row r="1444" spans="1:2" ht="15" customHeight="1" x14ac:dyDescent="0.25">
      <c r="A1444" t="s">
        <v>414</v>
      </c>
      <c r="B1444" s="32">
        <f t="shared" ca="1" si="20"/>
        <v>44450</v>
      </c>
    </row>
    <row r="1445" spans="1:2" ht="15" customHeight="1" x14ac:dyDescent="0.25">
      <c r="A1445" t="s">
        <v>415</v>
      </c>
      <c r="B1445" s="32">
        <f t="shared" ca="1" si="20"/>
        <v>44450</v>
      </c>
    </row>
    <row r="1446" spans="1:2" ht="15" customHeight="1" x14ac:dyDescent="0.25">
      <c r="A1446" t="s">
        <v>416</v>
      </c>
      <c r="B1446" s="32">
        <f t="shared" ca="1" si="20"/>
        <v>44450</v>
      </c>
    </row>
    <row r="1447" spans="1:2" ht="15" customHeight="1" x14ac:dyDescent="0.25">
      <c r="A1447" t="s">
        <v>417</v>
      </c>
      <c r="B1447" s="32">
        <f t="shared" ca="1" si="20"/>
        <v>44450</v>
      </c>
    </row>
    <row r="1448" spans="1:2" ht="15" customHeight="1" x14ac:dyDescent="0.25">
      <c r="A1448" t="s">
        <v>418</v>
      </c>
      <c r="B1448" s="32">
        <f t="shared" ca="1" si="20"/>
        <v>44450</v>
      </c>
    </row>
    <row r="1449" spans="1:2" ht="15" customHeight="1" x14ac:dyDescent="0.25">
      <c r="A1449" t="s">
        <v>419</v>
      </c>
      <c r="B1449" s="32">
        <f t="shared" ca="1" si="20"/>
        <v>44450</v>
      </c>
    </row>
    <row r="1450" spans="1:2" ht="15" customHeight="1" x14ac:dyDescent="0.25">
      <c r="A1450" t="s">
        <v>420</v>
      </c>
      <c r="B1450" s="32">
        <f t="shared" ca="1" si="20"/>
        <v>44450</v>
      </c>
    </row>
    <row r="1451" spans="1:2" ht="15" customHeight="1" x14ac:dyDescent="0.25">
      <c r="A1451" t="s">
        <v>421</v>
      </c>
      <c r="B1451" s="32">
        <f t="shared" ca="1" si="20"/>
        <v>44450</v>
      </c>
    </row>
    <row r="1452" spans="1:2" ht="15" customHeight="1" x14ac:dyDescent="0.25">
      <c r="A1452" t="s">
        <v>422</v>
      </c>
      <c r="B1452" s="32">
        <f t="shared" ca="1" si="20"/>
        <v>44450</v>
      </c>
    </row>
    <row r="1453" spans="1:2" ht="15" customHeight="1" x14ac:dyDescent="0.25">
      <c r="A1453" t="s">
        <v>423</v>
      </c>
      <c r="B1453" s="32">
        <f t="shared" ca="1" si="20"/>
        <v>44450</v>
      </c>
    </row>
    <row r="1454" spans="1:2" ht="15" customHeight="1" x14ac:dyDescent="0.25">
      <c r="A1454" t="s">
        <v>424</v>
      </c>
      <c r="B1454" s="32">
        <f t="shared" ca="1" si="20"/>
        <v>44450</v>
      </c>
    </row>
    <row r="1455" spans="1:2" ht="15" customHeight="1" x14ac:dyDescent="0.25">
      <c r="A1455" t="s">
        <v>425</v>
      </c>
      <c r="B1455" s="32">
        <f t="shared" ca="1" si="20"/>
        <v>44450</v>
      </c>
    </row>
    <row r="1456" spans="1:2" ht="15" customHeight="1" x14ac:dyDescent="0.25">
      <c r="A1456" t="s">
        <v>425</v>
      </c>
      <c r="B1456" s="32">
        <f t="shared" ca="1" si="20"/>
        <v>44450</v>
      </c>
    </row>
    <row r="1457" spans="1:2" ht="15" customHeight="1" x14ac:dyDescent="0.25">
      <c r="A1457" t="s">
        <v>426</v>
      </c>
      <c r="B1457" s="32">
        <f t="shared" ca="1" si="20"/>
        <v>44450</v>
      </c>
    </row>
    <row r="1458" spans="1:2" ht="15" customHeight="1" x14ac:dyDescent="0.25">
      <c r="A1458" t="s">
        <v>426</v>
      </c>
      <c r="B1458" s="32">
        <f t="shared" ca="1" si="20"/>
        <v>44450</v>
      </c>
    </row>
    <row r="1459" spans="1:2" ht="15" customHeight="1" x14ac:dyDescent="0.25">
      <c r="A1459" t="s">
        <v>427</v>
      </c>
      <c r="B1459" s="32">
        <f t="shared" ca="1" si="20"/>
        <v>44450</v>
      </c>
    </row>
    <row r="1460" spans="1:2" ht="15" customHeight="1" x14ac:dyDescent="0.25">
      <c r="A1460" t="s">
        <v>428</v>
      </c>
      <c r="B1460" s="32">
        <f t="shared" ca="1" si="20"/>
        <v>44450</v>
      </c>
    </row>
    <row r="1461" spans="1:2" ht="15" customHeight="1" x14ac:dyDescent="0.25">
      <c r="A1461" t="s">
        <v>428</v>
      </c>
      <c r="B1461" s="32">
        <f t="shared" ca="1" si="20"/>
        <v>44450</v>
      </c>
    </row>
    <row r="1462" spans="1:2" ht="15" customHeight="1" x14ac:dyDescent="0.25">
      <c r="A1462" t="s">
        <v>429</v>
      </c>
      <c r="B1462" s="32">
        <f t="shared" ca="1" si="20"/>
        <v>44450</v>
      </c>
    </row>
    <row r="1463" spans="1:2" ht="15" customHeight="1" x14ac:dyDescent="0.25">
      <c r="A1463" t="s">
        <v>430</v>
      </c>
      <c r="B1463" s="32">
        <f t="shared" ca="1" si="20"/>
        <v>44450</v>
      </c>
    </row>
    <row r="1464" spans="1:2" ht="15" customHeight="1" x14ac:dyDescent="0.25">
      <c r="A1464" t="s">
        <v>430</v>
      </c>
      <c r="B1464" s="32">
        <f t="shared" ca="1" si="20"/>
        <v>44450</v>
      </c>
    </row>
    <row r="1465" spans="1:2" ht="15" customHeight="1" x14ac:dyDescent="0.25">
      <c r="A1465" t="s">
        <v>431</v>
      </c>
      <c r="B1465" s="32">
        <f t="shared" ca="1" si="20"/>
        <v>44450</v>
      </c>
    </row>
    <row r="1466" spans="1:2" ht="15" customHeight="1" x14ac:dyDescent="0.25">
      <c r="A1466" t="s">
        <v>431</v>
      </c>
      <c r="B1466" s="32">
        <f t="shared" ca="1" si="20"/>
        <v>44450</v>
      </c>
    </row>
    <row r="1467" spans="1:2" ht="15" customHeight="1" x14ac:dyDescent="0.25">
      <c r="A1467" t="s">
        <v>432</v>
      </c>
      <c r="B1467" s="32">
        <f t="shared" ca="1" si="20"/>
        <v>44450</v>
      </c>
    </row>
    <row r="1468" spans="1:2" ht="15" customHeight="1" x14ac:dyDescent="0.25">
      <c r="A1468" t="s">
        <v>603</v>
      </c>
      <c r="B1468" s="32">
        <f t="shared" ca="1" si="20"/>
        <v>44450</v>
      </c>
    </row>
    <row r="1469" spans="1:2" ht="15" customHeight="1" x14ac:dyDescent="0.25">
      <c r="A1469" t="s">
        <v>934</v>
      </c>
      <c r="B1469" s="32">
        <f t="shared" ca="1" si="20"/>
        <v>44450</v>
      </c>
    </row>
    <row r="1470" spans="1:2" ht="15" customHeight="1" x14ac:dyDescent="0.25">
      <c r="A1470" t="s">
        <v>934</v>
      </c>
      <c r="B1470" s="32">
        <f t="shared" ca="1" si="20"/>
        <v>44450</v>
      </c>
    </row>
    <row r="1471" spans="1:2" ht="15" customHeight="1" x14ac:dyDescent="0.25">
      <c r="A1471" t="s">
        <v>934</v>
      </c>
      <c r="B1471" s="32">
        <f t="shared" ca="1" si="20"/>
        <v>44450</v>
      </c>
    </row>
    <row r="1472" spans="1:2" ht="15" customHeight="1" x14ac:dyDescent="0.25">
      <c r="A1472" t="s">
        <v>934</v>
      </c>
      <c r="B1472" s="32">
        <f t="shared" ca="1" si="20"/>
        <v>44450</v>
      </c>
    </row>
    <row r="1473" spans="1:2" ht="15" customHeight="1" x14ac:dyDescent="0.25">
      <c r="A1473" t="s">
        <v>934</v>
      </c>
      <c r="B1473" s="32">
        <f t="shared" ca="1" si="20"/>
        <v>44450</v>
      </c>
    </row>
    <row r="1474" spans="1:2" ht="15" customHeight="1" x14ac:dyDescent="0.25">
      <c r="A1474" t="s">
        <v>934</v>
      </c>
      <c r="B1474" s="32">
        <f t="shared" ca="1" si="20"/>
        <v>44450</v>
      </c>
    </row>
    <row r="1475" spans="1:2" ht="15" customHeight="1" x14ac:dyDescent="0.25">
      <c r="A1475" t="s">
        <v>934</v>
      </c>
      <c r="B1475" s="32">
        <f t="shared" ca="1" si="20"/>
        <v>44450</v>
      </c>
    </row>
    <row r="1476" spans="1:2" ht="15" customHeight="1" x14ac:dyDescent="0.25">
      <c r="A1476" t="s">
        <v>934</v>
      </c>
      <c r="B1476" s="32">
        <f t="shared" ca="1" si="20"/>
        <v>44450</v>
      </c>
    </row>
    <row r="1477" spans="1:2" ht="15" customHeight="1" x14ac:dyDescent="0.25">
      <c r="A1477" t="s">
        <v>934</v>
      </c>
      <c r="B1477" s="32">
        <f t="shared" ca="1" si="20"/>
        <v>44450</v>
      </c>
    </row>
    <row r="1478" spans="1:2" ht="15" customHeight="1" x14ac:dyDescent="0.25">
      <c r="A1478" t="s">
        <v>934</v>
      </c>
      <c r="B1478" s="32">
        <f t="shared" ca="1" si="20"/>
        <v>44450</v>
      </c>
    </row>
    <row r="1479" spans="1:2" ht="15" customHeight="1" x14ac:dyDescent="0.25">
      <c r="A1479" t="s">
        <v>934</v>
      </c>
      <c r="B1479" s="32">
        <f t="shared" ref="B1479:B1542" ca="1" si="21">TODAY()-150</f>
        <v>44450</v>
      </c>
    </row>
    <row r="1480" spans="1:2" ht="15" customHeight="1" x14ac:dyDescent="0.25">
      <c r="A1480" t="s">
        <v>934</v>
      </c>
      <c r="B1480" s="32">
        <f t="shared" ca="1" si="21"/>
        <v>44450</v>
      </c>
    </row>
    <row r="1481" spans="1:2" ht="15" customHeight="1" x14ac:dyDescent="0.25">
      <c r="A1481" t="s">
        <v>934</v>
      </c>
      <c r="B1481" s="32">
        <f t="shared" ca="1" si="21"/>
        <v>44450</v>
      </c>
    </row>
    <row r="1482" spans="1:2" ht="15" customHeight="1" x14ac:dyDescent="0.25">
      <c r="A1482" t="s">
        <v>934</v>
      </c>
      <c r="B1482" s="32">
        <f t="shared" ca="1" si="21"/>
        <v>44450</v>
      </c>
    </row>
    <row r="1483" spans="1:2" ht="15" customHeight="1" x14ac:dyDescent="0.25">
      <c r="A1483" t="s">
        <v>934</v>
      </c>
      <c r="B1483" s="32">
        <f t="shared" ca="1" si="21"/>
        <v>44450</v>
      </c>
    </row>
    <row r="1484" spans="1:2" ht="15" customHeight="1" x14ac:dyDescent="0.25">
      <c r="A1484" t="s">
        <v>935</v>
      </c>
      <c r="B1484" s="32">
        <f t="shared" ca="1" si="21"/>
        <v>44450</v>
      </c>
    </row>
    <row r="1485" spans="1:2" ht="15" customHeight="1" x14ac:dyDescent="0.25">
      <c r="A1485" t="s">
        <v>935</v>
      </c>
      <c r="B1485" s="32">
        <f t="shared" ca="1" si="21"/>
        <v>44450</v>
      </c>
    </row>
    <row r="1486" spans="1:2" ht="15" customHeight="1" x14ac:dyDescent="0.25">
      <c r="A1486" t="s">
        <v>935</v>
      </c>
      <c r="B1486" s="32">
        <f t="shared" ca="1" si="21"/>
        <v>44450</v>
      </c>
    </row>
    <row r="1487" spans="1:2" ht="15" customHeight="1" x14ac:dyDescent="0.25">
      <c r="A1487" t="s">
        <v>935</v>
      </c>
      <c r="B1487" s="32">
        <f t="shared" ca="1" si="21"/>
        <v>44450</v>
      </c>
    </row>
    <row r="1488" spans="1:2" ht="15" customHeight="1" x14ac:dyDescent="0.25">
      <c r="A1488" t="s">
        <v>935</v>
      </c>
      <c r="B1488" s="32">
        <f t="shared" ca="1" si="21"/>
        <v>44450</v>
      </c>
    </row>
    <row r="1489" spans="1:2" ht="15" customHeight="1" x14ac:dyDescent="0.25">
      <c r="A1489" t="s">
        <v>935</v>
      </c>
      <c r="B1489" s="32">
        <f t="shared" ca="1" si="21"/>
        <v>44450</v>
      </c>
    </row>
    <row r="1490" spans="1:2" ht="15" customHeight="1" x14ac:dyDescent="0.25">
      <c r="A1490" t="s">
        <v>935</v>
      </c>
      <c r="B1490" s="32">
        <f t="shared" ca="1" si="21"/>
        <v>44450</v>
      </c>
    </row>
    <row r="1491" spans="1:2" ht="15" customHeight="1" x14ac:dyDescent="0.25">
      <c r="A1491" t="s">
        <v>935</v>
      </c>
      <c r="B1491" s="32">
        <f t="shared" ca="1" si="21"/>
        <v>44450</v>
      </c>
    </row>
    <row r="1492" spans="1:2" ht="15" customHeight="1" x14ac:dyDescent="0.25">
      <c r="A1492" t="s">
        <v>935</v>
      </c>
      <c r="B1492" s="32">
        <f t="shared" ca="1" si="21"/>
        <v>44450</v>
      </c>
    </row>
    <row r="1493" spans="1:2" ht="15" customHeight="1" x14ac:dyDescent="0.25">
      <c r="A1493" t="s">
        <v>935</v>
      </c>
      <c r="B1493" s="32">
        <f t="shared" ca="1" si="21"/>
        <v>44450</v>
      </c>
    </row>
    <row r="1494" spans="1:2" ht="15" customHeight="1" x14ac:dyDescent="0.25">
      <c r="A1494" t="s">
        <v>935</v>
      </c>
      <c r="B1494" s="32">
        <f t="shared" ca="1" si="21"/>
        <v>44450</v>
      </c>
    </row>
    <row r="1495" spans="1:2" ht="15" customHeight="1" x14ac:dyDescent="0.25">
      <c r="A1495" t="s">
        <v>935</v>
      </c>
      <c r="B1495" s="32">
        <f t="shared" ca="1" si="21"/>
        <v>44450</v>
      </c>
    </row>
    <row r="1496" spans="1:2" ht="15" customHeight="1" x14ac:dyDescent="0.25">
      <c r="A1496" t="s">
        <v>935</v>
      </c>
      <c r="B1496" s="32">
        <f t="shared" ca="1" si="21"/>
        <v>44450</v>
      </c>
    </row>
    <row r="1497" spans="1:2" ht="15" customHeight="1" x14ac:dyDescent="0.25">
      <c r="A1497" t="s">
        <v>936</v>
      </c>
      <c r="B1497" s="32">
        <f t="shared" ca="1" si="21"/>
        <v>44450</v>
      </c>
    </row>
    <row r="1498" spans="1:2" ht="15" customHeight="1" x14ac:dyDescent="0.25">
      <c r="A1498" t="s">
        <v>936</v>
      </c>
      <c r="B1498" s="32">
        <f t="shared" ca="1" si="21"/>
        <v>44450</v>
      </c>
    </row>
    <row r="1499" spans="1:2" ht="15" customHeight="1" x14ac:dyDescent="0.25">
      <c r="A1499" t="s">
        <v>936</v>
      </c>
      <c r="B1499" s="32">
        <f t="shared" ca="1" si="21"/>
        <v>44450</v>
      </c>
    </row>
    <row r="1500" spans="1:2" ht="15" customHeight="1" x14ac:dyDescent="0.25">
      <c r="A1500" t="s">
        <v>936</v>
      </c>
      <c r="B1500" s="32">
        <f t="shared" ca="1" si="21"/>
        <v>44450</v>
      </c>
    </row>
    <row r="1501" spans="1:2" ht="15" customHeight="1" x14ac:dyDescent="0.25">
      <c r="A1501" t="s">
        <v>936</v>
      </c>
      <c r="B1501" s="32">
        <f t="shared" ca="1" si="21"/>
        <v>44450</v>
      </c>
    </row>
    <row r="1502" spans="1:2" ht="15" customHeight="1" x14ac:dyDescent="0.25">
      <c r="A1502" t="s">
        <v>936</v>
      </c>
      <c r="B1502" s="32">
        <f t="shared" ca="1" si="21"/>
        <v>44450</v>
      </c>
    </row>
    <row r="1503" spans="1:2" ht="15" customHeight="1" x14ac:dyDescent="0.25">
      <c r="A1503" t="s">
        <v>433</v>
      </c>
      <c r="B1503" s="32">
        <f t="shared" ca="1" si="21"/>
        <v>44450</v>
      </c>
    </row>
    <row r="1504" spans="1:2" ht="15" customHeight="1" x14ac:dyDescent="0.25">
      <c r="A1504" t="s">
        <v>434</v>
      </c>
      <c r="B1504" s="32">
        <f t="shared" ca="1" si="21"/>
        <v>44450</v>
      </c>
    </row>
    <row r="1505" spans="1:2" ht="15" customHeight="1" x14ac:dyDescent="0.25">
      <c r="A1505" t="s">
        <v>434</v>
      </c>
      <c r="B1505" s="32">
        <f t="shared" ca="1" si="21"/>
        <v>44450</v>
      </c>
    </row>
    <row r="1506" spans="1:2" ht="15" customHeight="1" x14ac:dyDescent="0.25">
      <c r="A1506" t="s">
        <v>435</v>
      </c>
      <c r="B1506" s="32">
        <f t="shared" ca="1" si="21"/>
        <v>44450</v>
      </c>
    </row>
    <row r="1507" spans="1:2" ht="15" customHeight="1" x14ac:dyDescent="0.25">
      <c r="A1507" t="s">
        <v>436</v>
      </c>
      <c r="B1507" s="32">
        <f t="shared" ca="1" si="21"/>
        <v>44450</v>
      </c>
    </row>
    <row r="1508" spans="1:2" ht="15" customHeight="1" x14ac:dyDescent="0.25">
      <c r="A1508" t="s">
        <v>437</v>
      </c>
      <c r="B1508" s="32">
        <f t="shared" ca="1" si="21"/>
        <v>44450</v>
      </c>
    </row>
    <row r="1509" spans="1:2" ht="15" customHeight="1" x14ac:dyDescent="0.25">
      <c r="A1509" t="s">
        <v>438</v>
      </c>
      <c r="B1509" s="32">
        <f t="shared" ca="1" si="21"/>
        <v>44450</v>
      </c>
    </row>
    <row r="1510" spans="1:2" ht="15" customHeight="1" x14ac:dyDescent="0.25">
      <c r="A1510" t="s">
        <v>937</v>
      </c>
      <c r="B1510" s="32">
        <f t="shared" ca="1" si="21"/>
        <v>44450</v>
      </c>
    </row>
    <row r="1511" spans="1:2" ht="15" customHeight="1" x14ac:dyDescent="0.25">
      <c r="A1511" t="s">
        <v>937</v>
      </c>
      <c r="B1511" s="32">
        <f t="shared" ca="1" si="21"/>
        <v>44450</v>
      </c>
    </row>
    <row r="1512" spans="1:2" ht="15" customHeight="1" x14ac:dyDescent="0.25">
      <c r="A1512" t="s">
        <v>937</v>
      </c>
      <c r="B1512" s="32">
        <f t="shared" ca="1" si="21"/>
        <v>44450</v>
      </c>
    </row>
    <row r="1513" spans="1:2" ht="15" customHeight="1" x14ac:dyDescent="0.25">
      <c r="A1513" t="s">
        <v>937</v>
      </c>
      <c r="B1513" s="32">
        <f t="shared" ca="1" si="21"/>
        <v>44450</v>
      </c>
    </row>
    <row r="1514" spans="1:2" ht="15" customHeight="1" x14ac:dyDescent="0.25">
      <c r="A1514" t="s">
        <v>937</v>
      </c>
      <c r="B1514" s="32">
        <f t="shared" ca="1" si="21"/>
        <v>44450</v>
      </c>
    </row>
    <row r="1515" spans="1:2" ht="15" customHeight="1" x14ac:dyDescent="0.25">
      <c r="A1515" t="s">
        <v>937</v>
      </c>
      <c r="B1515" s="32">
        <f t="shared" ca="1" si="21"/>
        <v>44450</v>
      </c>
    </row>
    <row r="1516" spans="1:2" ht="15" customHeight="1" x14ac:dyDescent="0.25">
      <c r="A1516" t="s">
        <v>439</v>
      </c>
      <c r="B1516" s="32">
        <f t="shared" ca="1" si="21"/>
        <v>44450</v>
      </c>
    </row>
    <row r="1517" spans="1:2" ht="15" customHeight="1" x14ac:dyDescent="0.25">
      <c r="A1517" t="s">
        <v>440</v>
      </c>
      <c r="B1517" s="32">
        <f t="shared" ca="1" si="21"/>
        <v>44450</v>
      </c>
    </row>
    <row r="1518" spans="1:2" ht="15" customHeight="1" x14ac:dyDescent="0.25">
      <c r="A1518" t="s">
        <v>441</v>
      </c>
      <c r="B1518" s="32">
        <f t="shared" ca="1" si="21"/>
        <v>44450</v>
      </c>
    </row>
    <row r="1519" spans="1:2" ht="15" customHeight="1" x14ac:dyDescent="0.25">
      <c r="A1519" t="s">
        <v>442</v>
      </c>
      <c r="B1519" s="32">
        <f t="shared" ca="1" si="21"/>
        <v>44450</v>
      </c>
    </row>
    <row r="1520" spans="1:2" ht="15" customHeight="1" x14ac:dyDescent="0.25">
      <c r="A1520" t="s">
        <v>443</v>
      </c>
      <c r="B1520" s="32">
        <f t="shared" ca="1" si="21"/>
        <v>44450</v>
      </c>
    </row>
    <row r="1521" spans="1:2" ht="15" customHeight="1" x14ac:dyDescent="0.25">
      <c r="A1521" t="s">
        <v>444</v>
      </c>
      <c r="B1521" s="32">
        <f t="shared" ca="1" si="21"/>
        <v>44450</v>
      </c>
    </row>
    <row r="1522" spans="1:2" ht="15" customHeight="1" x14ac:dyDescent="0.25">
      <c r="A1522" t="s">
        <v>445</v>
      </c>
      <c r="B1522" s="32">
        <f t="shared" ca="1" si="21"/>
        <v>44450</v>
      </c>
    </row>
    <row r="1523" spans="1:2" ht="15" customHeight="1" x14ac:dyDescent="0.25">
      <c r="A1523" t="s">
        <v>446</v>
      </c>
      <c r="B1523" s="32">
        <f t="shared" ca="1" si="21"/>
        <v>44450</v>
      </c>
    </row>
    <row r="1524" spans="1:2" ht="15" customHeight="1" x14ac:dyDescent="0.25">
      <c r="A1524" t="s">
        <v>447</v>
      </c>
      <c r="B1524" s="32">
        <f t="shared" ca="1" si="21"/>
        <v>44450</v>
      </c>
    </row>
    <row r="1525" spans="1:2" ht="15" customHeight="1" x14ac:dyDescent="0.25">
      <c r="A1525" t="s">
        <v>448</v>
      </c>
      <c r="B1525" s="32">
        <f t="shared" ca="1" si="21"/>
        <v>44450</v>
      </c>
    </row>
    <row r="1526" spans="1:2" ht="15" customHeight="1" x14ac:dyDescent="0.25">
      <c r="A1526" t="s">
        <v>449</v>
      </c>
      <c r="B1526" s="32">
        <f t="shared" ca="1" si="21"/>
        <v>44450</v>
      </c>
    </row>
    <row r="1527" spans="1:2" ht="15" customHeight="1" x14ac:dyDescent="0.25">
      <c r="A1527" t="s">
        <v>450</v>
      </c>
      <c r="B1527" s="32">
        <f t="shared" ca="1" si="21"/>
        <v>44450</v>
      </c>
    </row>
    <row r="1528" spans="1:2" ht="15" customHeight="1" x14ac:dyDescent="0.25">
      <c r="A1528" t="s">
        <v>938</v>
      </c>
      <c r="B1528" s="32">
        <f t="shared" ca="1" si="21"/>
        <v>44450</v>
      </c>
    </row>
    <row r="1529" spans="1:2" ht="15" customHeight="1" x14ac:dyDescent="0.25">
      <c r="A1529" t="s">
        <v>938</v>
      </c>
      <c r="B1529" s="32">
        <f t="shared" ca="1" si="21"/>
        <v>44450</v>
      </c>
    </row>
    <row r="1530" spans="1:2" ht="15" customHeight="1" x14ac:dyDescent="0.25">
      <c r="A1530" t="s">
        <v>938</v>
      </c>
      <c r="B1530" s="32">
        <f t="shared" ca="1" si="21"/>
        <v>44450</v>
      </c>
    </row>
    <row r="1531" spans="1:2" ht="15" customHeight="1" x14ac:dyDescent="0.25">
      <c r="A1531" t="s">
        <v>938</v>
      </c>
      <c r="B1531" s="32">
        <f t="shared" ca="1" si="21"/>
        <v>44450</v>
      </c>
    </row>
    <row r="1532" spans="1:2" ht="15" customHeight="1" x14ac:dyDescent="0.25">
      <c r="A1532" t="s">
        <v>938</v>
      </c>
      <c r="B1532" s="32">
        <f t="shared" ca="1" si="21"/>
        <v>44450</v>
      </c>
    </row>
    <row r="1533" spans="1:2" ht="15" customHeight="1" x14ac:dyDescent="0.25">
      <c r="A1533" t="s">
        <v>938</v>
      </c>
      <c r="B1533" s="32">
        <f t="shared" ca="1" si="21"/>
        <v>44450</v>
      </c>
    </row>
    <row r="1534" spans="1:2" ht="15" customHeight="1" x14ac:dyDescent="0.25">
      <c r="A1534" t="s">
        <v>938</v>
      </c>
      <c r="B1534" s="32">
        <f t="shared" ca="1" si="21"/>
        <v>44450</v>
      </c>
    </row>
    <row r="1535" spans="1:2" ht="15" customHeight="1" x14ac:dyDescent="0.25">
      <c r="A1535" t="s">
        <v>939</v>
      </c>
      <c r="B1535" s="32">
        <f t="shared" ca="1" si="21"/>
        <v>44450</v>
      </c>
    </row>
    <row r="1536" spans="1:2" ht="15" customHeight="1" x14ac:dyDescent="0.25">
      <c r="A1536" t="s">
        <v>939</v>
      </c>
      <c r="B1536" s="32">
        <f t="shared" ca="1" si="21"/>
        <v>44450</v>
      </c>
    </row>
    <row r="1537" spans="1:2" ht="15" customHeight="1" x14ac:dyDescent="0.25">
      <c r="A1537" t="s">
        <v>939</v>
      </c>
      <c r="B1537" s="32">
        <f t="shared" ca="1" si="21"/>
        <v>44450</v>
      </c>
    </row>
    <row r="1538" spans="1:2" ht="15" customHeight="1" x14ac:dyDescent="0.25">
      <c r="A1538" t="s">
        <v>939</v>
      </c>
      <c r="B1538" s="32">
        <f t="shared" ca="1" si="21"/>
        <v>44450</v>
      </c>
    </row>
    <row r="1539" spans="1:2" ht="15" customHeight="1" x14ac:dyDescent="0.25">
      <c r="A1539" t="s">
        <v>939</v>
      </c>
      <c r="B1539" s="32">
        <f t="shared" ca="1" si="21"/>
        <v>44450</v>
      </c>
    </row>
    <row r="1540" spans="1:2" ht="15" customHeight="1" x14ac:dyDescent="0.25">
      <c r="A1540" t="s">
        <v>939</v>
      </c>
      <c r="B1540" s="32">
        <f t="shared" ca="1" si="21"/>
        <v>44450</v>
      </c>
    </row>
    <row r="1541" spans="1:2" ht="15" customHeight="1" x14ac:dyDescent="0.25">
      <c r="A1541" t="s">
        <v>547</v>
      </c>
      <c r="B1541" s="32">
        <f t="shared" ca="1" si="21"/>
        <v>44450</v>
      </c>
    </row>
    <row r="1542" spans="1:2" ht="15" customHeight="1" x14ac:dyDescent="0.25">
      <c r="A1542" t="s">
        <v>548</v>
      </c>
      <c r="B1542" s="32">
        <f t="shared" ca="1" si="21"/>
        <v>44450</v>
      </c>
    </row>
    <row r="1543" spans="1:2" ht="15" customHeight="1" x14ac:dyDescent="0.25">
      <c r="A1543" t="s">
        <v>549</v>
      </c>
      <c r="B1543" s="32">
        <f t="shared" ref="B1543:B1606" ca="1" si="22">TODAY()-150</f>
        <v>44450</v>
      </c>
    </row>
    <row r="1544" spans="1:2" ht="15" customHeight="1" x14ac:dyDescent="0.25">
      <c r="A1544" t="s">
        <v>550</v>
      </c>
      <c r="B1544" s="32">
        <f t="shared" ca="1" si="22"/>
        <v>44450</v>
      </c>
    </row>
    <row r="1545" spans="1:2" ht="15" customHeight="1" x14ac:dyDescent="0.25">
      <c r="A1545" t="s">
        <v>551</v>
      </c>
      <c r="B1545" s="32">
        <f t="shared" ca="1" si="22"/>
        <v>44450</v>
      </c>
    </row>
    <row r="1546" spans="1:2" ht="15" customHeight="1" x14ac:dyDescent="0.25">
      <c r="A1546" t="s">
        <v>552</v>
      </c>
      <c r="B1546" s="32">
        <f t="shared" ca="1" si="22"/>
        <v>44450</v>
      </c>
    </row>
    <row r="1547" spans="1:2" ht="15" customHeight="1" x14ac:dyDescent="0.25">
      <c r="A1547" t="s">
        <v>940</v>
      </c>
      <c r="B1547" s="32">
        <f t="shared" ca="1" si="22"/>
        <v>44450</v>
      </c>
    </row>
    <row r="1548" spans="1:2" ht="15" customHeight="1" x14ac:dyDescent="0.25">
      <c r="A1548" t="s">
        <v>940</v>
      </c>
      <c r="B1548" s="32">
        <f t="shared" ca="1" si="22"/>
        <v>44450</v>
      </c>
    </row>
    <row r="1549" spans="1:2" ht="15" customHeight="1" x14ac:dyDescent="0.25">
      <c r="A1549" t="s">
        <v>940</v>
      </c>
      <c r="B1549" s="32">
        <f t="shared" ca="1" si="22"/>
        <v>44450</v>
      </c>
    </row>
    <row r="1550" spans="1:2" ht="15" customHeight="1" x14ac:dyDescent="0.25">
      <c r="A1550" t="s">
        <v>941</v>
      </c>
      <c r="B1550" s="32">
        <f t="shared" ca="1" si="22"/>
        <v>44450</v>
      </c>
    </row>
    <row r="1551" spans="1:2" ht="15" customHeight="1" x14ac:dyDescent="0.25">
      <c r="A1551" t="s">
        <v>941</v>
      </c>
      <c r="B1551" s="32">
        <f t="shared" ca="1" si="22"/>
        <v>44450</v>
      </c>
    </row>
    <row r="1552" spans="1:2" ht="15" customHeight="1" x14ac:dyDescent="0.25">
      <c r="A1552" t="s">
        <v>941</v>
      </c>
      <c r="B1552" s="32">
        <f t="shared" ca="1" si="22"/>
        <v>44450</v>
      </c>
    </row>
    <row r="1553" spans="1:2" ht="15" customHeight="1" x14ac:dyDescent="0.25">
      <c r="A1553" t="s">
        <v>451</v>
      </c>
      <c r="B1553" s="32">
        <f t="shared" ca="1" si="22"/>
        <v>44450</v>
      </c>
    </row>
    <row r="1554" spans="1:2" ht="15" customHeight="1" x14ac:dyDescent="0.25">
      <c r="A1554" t="s">
        <v>452</v>
      </c>
      <c r="B1554" s="32">
        <f t="shared" ca="1" si="22"/>
        <v>44450</v>
      </c>
    </row>
    <row r="1555" spans="1:2" ht="15" customHeight="1" x14ac:dyDescent="0.25">
      <c r="A1555" t="s">
        <v>453</v>
      </c>
      <c r="B1555" s="32">
        <f t="shared" ca="1" si="22"/>
        <v>44450</v>
      </c>
    </row>
    <row r="1556" spans="1:2" ht="15" customHeight="1" x14ac:dyDescent="0.25">
      <c r="A1556" t="s">
        <v>454</v>
      </c>
      <c r="B1556" s="32">
        <f t="shared" ca="1" si="22"/>
        <v>44450</v>
      </c>
    </row>
    <row r="1557" spans="1:2" ht="15" customHeight="1" x14ac:dyDescent="0.25">
      <c r="A1557" t="s">
        <v>942</v>
      </c>
      <c r="B1557" s="32">
        <f t="shared" ca="1" si="22"/>
        <v>44450</v>
      </c>
    </row>
    <row r="1558" spans="1:2" ht="15" customHeight="1" x14ac:dyDescent="0.25">
      <c r="A1558" t="s">
        <v>942</v>
      </c>
      <c r="B1558" s="32">
        <f t="shared" ca="1" si="22"/>
        <v>44450</v>
      </c>
    </row>
    <row r="1559" spans="1:2" ht="15" customHeight="1" x14ac:dyDescent="0.25">
      <c r="A1559" t="s">
        <v>942</v>
      </c>
      <c r="B1559" s="32">
        <f t="shared" ca="1" si="22"/>
        <v>44450</v>
      </c>
    </row>
    <row r="1560" spans="1:2" ht="15" customHeight="1" x14ac:dyDescent="0.25">
      <c r="A1560" t="s">
        <v>942</v>
      </c>
      <c r="B1560" s="32">
        <f t="shared" ca="1" si="22"/>
        <v>44450</v>
      </c>
    </row>
    <row r="1561" spans="1:2" ht="15" customHeight="1" x14ac:dyDescent="0.25">
      <c r="A1561" t="s">
        <v>943</v>
      </c>
      <c r="B1561" s="32">
        <f t="shared" ca="1" si="22"/>
        <v>44450</v>
      </c>
    </row>
    <row r="1562" spans="1:2" ht="15" customHeight="1" x14ac:dyDescent="0.25">
      <c r="A1562" t="s">
        <v>943</v>
      </c>
      <c r="B1562" s="32">
        <f t="shared" ca="1" si="22"/>
        <v>44450</v>
      </c>
    </row>
    <row r="1563" spans="1:2" ht="15" customHeight="1" x14ac:dyDescent="0.25">
      <c r="A1563" t="s">
        <v>455</v>
      </c>
      <c r="B1563" s="32">
        <f t="shared" ca="1" si="22"/>
        <v>44450</v>
      </c>
    </row>
    <row r="1564" spans="1:2" ht="15" customHeight="1" x14ac:dyDescent="0.25">
      <c r="A1564" t="s">
        <v>944</v>
      </c>
      <c r="B1564" s="32">
        <f t="shared" ca="1" si="22"/>
        <v>44450</v>
      </c>
    </row>
    <row r="1565" spans="1:2" ht="15" customHeight="1" x14ac:dyDescent="0.25">
      <c r="A1565" t="s">
        <v>456</v>
      </c>
      <c r="B1565" s="32">
        <f t="shared" ca="1" si="22"/>
        <v>44450</v>
      </c>
    </row>
    <row r="1566" spans="1:2" ht="15" customHeight="1" x14ac:dyDescent="0.25">
      <c r="A1566" t="s">
        <v>456</v>
      </c>
      <c r="B1566" s="32">
        <f t="shared" ca="1" si="22"/>
        <v>44450</v>
      </c>
    </row>
    <row r="1567" spans="1:2" ht="15" customHeight="1" x14ac:dyDescent="0.25">
      <c r="A1567" t="s">
        <v>924</v>
      </c>
      <c r="B1567" s="32">
        <f t="shared" ca="1" si="22"/>
        <v>44450</v>
      </c>
    </row>
    <row r="1568" spans="1:2" ht="15" customHeight="1" x14ac:dyDescent="0.25">
      <c r="A1568" t="s">
        <v>924</v>
      </c>
      <c r="B1568" s="32">
        <f t="shared" ca="1" si="22"/>
        <v>44450</v>
      </c>
    </row>
    <row r="1569" spans="1:2" ht="15" customHeight="1" x14ac:dyDescent="0.25">
      <c r="A1569" t="s">
        <v>924</v>
      </c>
      <c r="B1569" s="32">
        <f t="shared" ca="1" si="22"/>
        <v>44450</v>
      </c>
    </row>
    <row r="1570" spans="1:2" ht="15" customHeight="1" x14ac:dyDescent="0.25">
      <c r="A1570" t="s">
        <v>924</v>
      </c>
      <c r="B1570" s="32">
        <f t="shared" ca="1" si="22"/>
        <v>44450</v>
      </c>
    </row>
    <row r="1571" spans="1:2" ht="15" customHeight="1" x14ac:dyDescent="0.25">
      <c r="A1571" t="s">
        <v>924</v>
      </c>
      <c r="B1571" s="32">
        <f t="shared" ca="1" si="22"/>
        <v>44450</v>
      </c>
    </row>
    <row r="1572" spans="1:2" ht="15" customHeight="1" x14ac:dyDescent="0.25">
      <c r="A1572" t="s">
        <v>924</v>
      </c>
      <c r="B1572" s="32">
        <f t="shared" ca="1" si="22"/>
        <v>44450</v>
      </c>
    </row>
    <row r="1573" spans="1:2" ht="15" customHeight="1" x14ac:dyDescent="0.25">
      <c r="A1573" t="s">
        <v>924</v>
      </c>
      <c r="B1573" s="32">
        <f t="shared" ca="1" si="22"/>
        <v>44450</v>
      </c>
    </row>
    <row r="1574" spans="1:2" ht="15" customHeight="1" x14ac:dyDescent="0.25">
      <c r="A1574" t="s">
        <v>924</v>
      </c>
      <c r="B1574" s="32">
        <f t="shared" ca="1" si="22"/>
        <v>44450</v>
      </c>
    </row>
    <row r="1575" spans="1:2" ht="15" customHeight="1" x14ac:dyDescent="0.25">
      <c r="A1575" t="s">
        <v>924</v>
      </c>
      <c r="B1575" s="32">
        <f t="shared" ca="1" si="22"/>
        <v>44450</v>
      </c>
    </row>
    <row r="1576" spans="1:2" ht="15" customHeight="1" x14ac:dyDescent="0.25">
      <c r="A1576" t="s">
        <v>924</v>
      </c>
      <c r="B1576" s="32">
        <f t="shared" ca="1" si="22"/>
        <v>44450</v>
      </c>
    </row>
    <row r="1577" spans="1:2" ht="15" customHeight="1" x14ac:dyDescent="0.25">
      <c r="A1577" t="s">
        <v>924</v>
      </c>
      <c r="B1577" s="32">
        <f t="shared" ca="1" si="22"/>
        <v>44450</v>
      </c>
    </row>
    <row r="1578" spans="1:2" ht="15" customHeight="1" x14ac:dyDescent="0.25">
      <c r="A1578" t="s">
        <v>924</v>
      </c>
      <c r="B1578" s="32">
        <f t="shared" ca="1" si="22"/>
        <v>44450</v>
      </c>
    </row>
    <row r="1579" spans="1:2" ht="15" customHeight="1" x14ac:dyDescent="0.25">
      <c r="A1579" t="s">
        <v>924</v>
      </c>
      <c r="B1579" s="32">
        <f t="shared" ca="1" si="22"/>
        <v>44450</v>
      </c>
    </row>
    <row r="1580" spans="1:2" ht="15" customHeight="1" x14ac:dyDescent="0.25">
      <c r="A1580" t="s">
        <v>924</v>
      </c>
      <c r="B1580" s="32">
        <f t="shared" ca="1" si="22"/>
        <v>44450</v>
      </c>
    </row>
    <row r="1581" spans="1:2" ht="15" customHeight="1" x14ac:dyDescent="0.25">
      <c r="A1581" t="s">
        <v>924</v>
      </c>
      <c r="B1581" s="32">
        <f t="shared" ca="1" si="22"/>
        <v>44450</v>
      </c>
    </row>
    <row r="1582" spans="1:2" ht="15" customHeight="1" x14ac:dyDescent="0.25">
      <c r="A1582" t="s">
        <v>457</v>
      </c>
      <c r="B1582" s="32">
        <f t="shared" ca="1" si="22"/>
        <v>44450</v>
      </c>
    </row>
    <row r="1583" spans="1:2" ht="15" customHeight="1" x14ac:dyDescent="0.25">
      <c r="A1583" t="s">
        <v>945</v>
      </c>
      <c r="B1583" s="32">
        <f t="shared" ca="1" si="22"/>
        <v>44450</v>
      </c>
    </row>
    <row r="1584" spans="1:2" ht="15" customHeight="1" x14ac:dyDescent="0.25">
      <c r="A1584" t="s">
        <v>458</v>
      </c>
      <c r="B1584" s="32">
        <f t="shared" ca="1" si="22"/>
        <v>44450</v>
      </c>
    </row>
    <row r="1585" spans="1:2" ht="15" customHeight="1" x14ac:dyDescent="0.25">
      <c r="A1585" t="s">
        <v>458</v>
      </c>
      <c r="B1585" s="32">
        <f t="shared" ca="1" si="22"/>
        <v>44450</v>
      </c>
    </row>
    <row r="1586" spans="1:2" ht="15" customHeight="1" x14ac:dyDescent="0.25">
      <c r="A1586" t="s">
        <v>946</v>
      </c>
      <c r="B1586" s="32">
        <f t="shared" ca="1" si="22"/>
        <v>44450</v>
      </c>
    </row>
    <row r="1587" spans="1:2" ht="15" customHeight="1" x14ac:dyDescent="0.25">
      <c r="A1587" t="s">
        <v>946</v>
      </c>
      <c r="B1587" s="32">
        <f t="shared" ca="1" si="22"/>
        <v>44450</v>
      </c>
    </row>
    <row r="1588" spans="1:2" ht="15" customHeight="1" x14ac:dyDescent="0.25">
      <c r="A1588" t="s">
        <v>459</v>
      </c>
      <c r="B1588" s="32">
        <f t="shared" ca="1" si="22"/>
        <v>44450</v>
      </c>
    </row>
    <row r="1589" spans="1:2" ht="15" customHeight="1" x14ac:dyDescent="0.25">
      <c r="A1589" t="s">
        <v>460</v>
      </c>
      <c r="B1589" s="32">
        <f t="shared" ca="1" si="22"/>
        <v>44450</v>
      </c>
    </row>
    <row r="1590" spans="1:2" ht="15" customHeight="1" x14ac:dyDescent="0.25">
      <c r="A1590" t="s">
        <v>461</v>
      </c>
      <c r="B1590" s="32">
        <f t="shared" ca="1" si="22"/>
        <v>44450</v>
      </c>
    </row>
    <row r="1591" spans="1:2" ht="15" customHeight="1" x14ac:dyDescent="0.25">
      <c r="A1591" t="s">
        <v>947</v>
      </c>
      <c r="B1591" s="32">
        <f t="shared" ca="1" si="22"/>
        <v>44450</v>
      </c>
    </row>
    <row r="1592" spans="1:2" ht="15" customHeight="1" x14ac:dyDescent="0.25">
      <c r="A1592" t="s">
        <v>947</v>
      </c>
      <c r="B1592" s="32">
        <f t="shared" ca="1" si="22"/>
        <v>44450</v>
      </c>
    </row>
    <row r="1593" spans="1:2" ht="15" customHeight="1" x14ac:dyDescent="0.25">
      <c r="A1593" t="s">
        <v>947</v>
      </c>
      <c r="B1593" s="32">
        <f t="shared" ca="1" si="22"/>
        <v>44450</v>
      </c>
    </row>
    <row r="1594" spans="1:2" ht="15" customHeight="1" x14ac:dyDescent="0.25">
      <c r="A1594" t="s">
        <v>947</v>
      </c>
      <c r="B1594" s="32">
        <f t="shared" ca="1" si="22"/>
        <v>44450</v>
      </c>
    </row>
    <row r="1595" spans="1:2" ht="15" customHeight="1" x14ac:dyDescent="0.25">
      <c r="A1595" t="s">
        <v>947</v>
      </c>
      <c r="B1595" s="32">
        <f t="shared" ca="1" si="22"/>
        <v>44450</v>
      </c>
    </row>
    <row r="1596" spans="1:2" ht="15" customHeight="1" x14ac:dyDescent="0.25">
      <c r="A1596" t="s">
        <v>948</v>
      </c>
      <c r="B1596" s="32">
        <f t="shared" ca="1" si="22"/>
        <v>44450</v>
      </c>
    </row>
    <row r="1597" spans="1:2" ht="15" customHeight="1" x14ac:dyDescent="0.25">
      <c r="A1597" t="s">
        <v>949</v>
      </c>
      <c r="B1597" s="32">
        <f t="shared" ca="1" si="22"/>
        <v>44450</v>
      </c>
    </row>
    <row r="1598" spans="1:2" ht="15" customHeight="1" x14ac:dyDescent="0.25">
      <c r="A1598" t="s">
        <v>949</v>
      </c>
      <c r="B1598" s="32">
        <f t="shared" ca="1" si="22"/>
        <v>44450</v>
      </c>
    </row>
    <row r="1599" spans="1:2" ht="15" customHeight="1" x14ac:dyDescent="0.25">
      <c r="A1599" t="s">
        <v>949</v>
      </c>
      <c r="B1599" s="32">
        <f t="shared" ca="1" si="22"/>
        <v>44450</v>
      </c>
    </row>
    <row r="1600" spans="1:2" ht="15" customHeight="1" x14ac:dyDescent="0.25">
      <c r="A1600" t="s">
        <v>949</v>
      </c>
      <c r="B1600" s="32">
        <f t="shared" ca="1" si="22"/>
        <v>44450</v>
      </c>
    </row>
    <row r="1601" spans="1:2" ht="15" customHeight="1" x14ac:dyDescent="0.25">
      <c r="A1601" t="s">
        <v>949</v>
      </c>
      <c r="B1601" s="32">
        <f t="shared" ca="1" si="22"/>
        <v>44450</v>
      </c>
    </row>
    <row r="1602" spans="1:2" ht="15" customHeight="1" x14ac:dyDescent="0.25">
      <c r="A1602" t="s">
        <v>949</v>
      </c>
      <c r="B1602" s="32">
        <f t="shared" ca="1" si="22"/>
        <v>44450</v>
      </c>
    </row>
    <row r="1603" spans="1:2" ht="15" customHeight="1" x14ac:dyDescent="0.25">
      <c r="A1603" t="s">
        <v>950</v>
      </c>
      <c r="B1603" s="32">
        <f t="shared" ca="1" si="22"/>
        <v>44450</v>
      </c>
    </row>
    <row r="1604" spans="1:2" ht="15" customHeight="1" x14ac:dyDescent="0.25">
      <c r="A1604" t="s">
        <v>950</v>
      </c>
      <c r="B1604" s="32">
        <f t="shared" ca="1" si="22"/>
        <v>44450</v>
      </c>
    </row>
    <row r="1605" spans="1:2" ht="15" customHeight="1" x14ac:dyDescent="0.25">
      <c r="A1605" t="s">
        <v>950</v>
      </c>
      <c r="B1605" s="32">
        <f t="shared" ca="1" si="22"/>
        <v>44450</v>
      </c>
    </row>
    <row r="1606" spans="1:2" ht="15" customHeight="1" x14ac:dyDescent="0.25">
      <c r="A1606" t="s">
        <v>950</v>
      </c>
      <c r="B1606" s="32">
        <f t="shared" ca="1" si="22"/>
        <v>44450</v>
      </c>
    </row>
    <row r="1607" spans="1:2" ht="15" customHeight="1" x14ac:dyDescent="0.25">
      <c r="A1607" t="s">
        <v>950</v>
      </c>
      <c r="B1607" s="32">
        <f t="shared" ref="B1607:B1670" ca="1" si="23">TODAY()-150</f>
        <v>44450</v>
      </c>
    </row>
    <row r="1608" spans="1:2" ht="15" customHeight="1" x14ac:dyDescent="0.25">
      <c r="A1608" t="s">
        <v>950</v>
      </c>
      <c r="B1608" s="32">
        <f t="shared" ca="1" si="23"/>
        <v>44450</v>
      </c>
    </row>
    <row r="1609" spans="1:2" ht="15" customHeight="1" x14ac:dyDescent="0.25">
      <c r="A1609" t="s">
        <v>950</v>
      </c>
      <c r="B1609" s="32">
        <f t="shared" ca="1" si="23"/>
        <v>44450</v>
      </c>
    </row>
    <row r="1610" spans="1:2" ht="15" customHeight="1" x14ac:dyDescent="0.25">
      <c r="A1610" t="s">
        <v>950</v>
      </c>
      <c r="B1610" s="32">
        <f t="shared" ca="1" si="23"/>
        <v>44450</v>
      </c>
    </row>
    <row r="1611" spans="1:2" ht="15" customHeight="1" x14ac:dyDescent="0.25">
      <c r="A1611" t="s">
        <v>951</v>
      </c>
      <c r="B1611" s="32">
        <f t="shared" ca="1" si="23"/>
        <v>44450</v>
      </c>
    </row>
    <row r="1612" spans="1:2" ht="15" customHeight="1" x14ac:dyDescent="0.25">
      <c r="A1612" t="s">
        <v>951</v>
      </c>
      <c r="B1612" s="32">
        <f t="shared" ca="1" si="23"/>
        <v>44450</v>
      </c>
    </row>
    <row r="1613" spans="1:2" ht="15" customHeight="1" x14ac:dyDescent="0.25">
      <c r="A1613" t="s">
        <v>462</v>
      </c>
      <c r="B1613" s="32">
        <f t="shared" ca="1" si="23"/>
        <v>44450</v>
      </c>
    </row>
    <row r="1614" spans="1:2" ht="15" customHeight="1" x14ac:dyDescent="0.25">
      <c r="A1614" t="s">
        <v>463</v>
      </c>
      <c r="B1614" s="32">
        <f t="shared" ca="1" si="23"/>
        <v>44450</v>
      </c>
    </row>
    <row r="1615" spans="1:2" ht="15" customHeight="1" x14ac:dyDescent="0.25">
      <c r="A1615" t="s">
        <v>464</v>
      </c>
      <c r="B1615" s="32">
        <f t="shared" ca="1" si="23"/>
        <v>44450</v>
      </c>
    </row>
    <row r="1616" spans="1:2" ht="15" customHeight="1" x14ac:dyDescent="0.25">
      <c r="A1616" t="s">
        <v>952</v>
      </c>
      <c r="B1616" s="32">
        <f t="shared" ca="1" si="23"/>
        <v>44450</v>
      </c>
    </row>
    <row r="1617" spans="1:2" ht="15" customHeight="1" x14ac:dyDescent="0.25">
      <c r="A1617" t="s">
        <v>952</v>
      </c>
      <c r="B1617" s="32">
        <f t="shared" ca="1" si="23"/>
        <v>44450</v>
      </c>
    </row>
    <row r="1618" spans="1:2" ht="15" customHeight="1" x14ac:dyDescent="0.25">
      <c r="A1618" t="s">
        <v>953</v>
      </c>
      <c r="B1618" s="32">
        <f t="shared" ca="1" si="23"/>
        <v>44450</v>
      </c>
    </row>
    <row r="1619" spans="1:2" ht="15" customHeight="1" x14ac:dyDescent="0.25">
      <c r="A1619" t="s">
        <v>953</v>
      </c>
      <c r="B1619" s="32">
        <f t="shared" ca="1" si="23"/>
        <v>44450</v>
      </c>
    </row>
    <row r="1620" spans="1:2" ht="15" customHeight="1" x14ac:dyDescent="0.25">
      <c r="A1620" t="s">
        <v>954</v>
      </c>
      <c r="B1620" s="32">
        <f t="shared" ca="1" si="23"/>
        <v>44450</v>
      </c>
    </row>
    <row r="1621" spans="1:2" ht="15" customHeight="1" x14ac:dyDescent="0.25">
      <c r="A1621" t="s">
        <v>954</v>
      </c>
      <c r="B1621" s="32">
        <f t="shared" ca="1" si="23"/>
        <v>44450</v>
      </c>
    </row>
    <row r="1622" spans="1:2" ht="15" customHeight="1" x14ac:dyDescent="0.25">
      <c r="A1622" t="s">
        <v>955</v>
      </c>
      <c r="B1622" s="32">
        <f t="shared" ca="1" si="23"/>
        <v>44450</v>
      </c>
    </row>
    <row r="1623" spans="1:2" ht="15" customHeight="1" x14ac:dyDescent="0.25">
      <c r="A1623" t="s">
        <v>955</v>
      </c>
      <c r="B1623" s="32">
        <f t="shared" ca="1" si="23"/>
        <v>44450</v>
      </c>
    </row>
    <row r="1624" spans="1:2" ht="15" customHeight="1" x14ac:dyDescent="0.25">
      <c r="A1624" t="s">
        <v>955</v>
      </c>
      <c r="B1624" s="32">
        <f t="shared" ca="1" si="23"/>
        <v>44450</v>
      </c>
    </row>
    <row r="1625" spans="1:2" ht="15" customHeight="1" x14ac:dyDescent="0.25">
      <c r="A1625" t="s">
        <v>956</v>
      </c>
      <c r="B1625" s="32">
        <f t="shared" ca="1" si="23"/>
        <v>44450</v>
      </c>
    </row>
    <row r="1626" spans="1:2" ht="15" customHeight="1" x14ac:dyDescent="0.25">
      <c r="A1626" t="s">
        <v>956</v>
      </c>
      <c r="B1626" s="32">
        <f t="shared" ca="1" si="23"/>
        <v>44450</v>
      </c>
    </row>
    <row r="1627" spans="1:2" ht="15" customHeight="1" x14ac:dyDescent="0.25">
      <c r="A1627" t="s">
        <v>957</v>
      </c>
      <c r="B1627" s="32">
        <f t="shared" ca="1" si="23"/>
        <v>44450</v>
      </c>
    </row>
    <row r="1628" spans="1:2" ht="15" customHeight="1" x14ac:dyDescent="0.25">
      <c r="A1628" t="s">
        <v>958</v>
      </c>
      <c r="B1628" s="32">
        <f t="shared" ca="1" si="23"/>
        <v>44450</v>
      </c>
    </row>
    <row r="1629" spans="1:2" ht="15" customHeight="1" x14ac:dyDescent="0.25">
      <c r="A1629" t="s">
        <v>958</v>
      </c>
      <c r="B1629" s="32">
        <f t="shared" ca="1" si="23"/>
        <v>44450</v>
      </c>
    </row>
    <row r="1630" spans="1:2" ht="15" customHeight="1" x14ac:dyDescent="0.25">
      <c r="A1630" t="s">
        <v>959</v>
      </c>
      <c r="B1630" s="32">
        <f t="shared" ca="1" si="23"/>
        <v>44450</v>
      </c>
    </row>
    <row r="1631" spans="1:2" ht="15" customHeight="1" x14ac:dyDescent="0.25">
      <c r="A1631" t="s">
        <v>959</v>
      </c>
      <c r="B1631" s="32">
        <f t="shared" ca="1" si="23"/>
        <v>44450</v>
      </c>
    </row>
    <row r="1632" spans="1:2" ht="15" customHeight="1" x14ac:dyDescent="0.25">
      <c r="A1632" t="s">
        <v>959</v>
      </c>
      <c r="B1632" s="32">
        <f t="shared" ca="1" si="23"/>
        <v>44450</v>
      </c>
    </row>
    <row r="1633" spans="1:2" ht="15" customHeight="1" x14ac:dyDescent="0.25">
      <c r="A1633" t="s">
        <v>959</v>
      </c>
      <c r="B1633" s="32">
        <f t="shared" ca="1" si="23"/>
        <v>44450</v>
      </c>
    </row>
    <row r="1634" spans="1:2" ht="15" customHeight="1" x14ac:dyDescent="0.25">
      <c r="A1634" t="s">
        <v>959</v>
      </c>
      <c r="B1634" s="32">
        <f t="shared" ca="1" si="23"/>
        <v>44450</v>
      </c>
    </row>
    <row r="1635" spans="1:2" ht="15" customHeight="1" x14ac:dyDescent="0.25">
      <c r="A1635" t="s">
        <v>960</v>
      </c>
      <c r="B1635" s="32">
        <f t="shared" ca="1" si="23"/>
        <v>44450</v>
      </c>
    </row>
    <row r="1636" spans="1:2" ht="15" customHeight="1" x14ac:dyDescent="0.25">
      <c r="A1636" t="s">
        <v>960</v>
      </c>
      <c r="B1636" s="32">
        <f t="shared" ca="1" si="23"/>
        <v>44450</v>
      </c>
    </row>
    <row r="1637" spans="1:2" ht="15" customHeight="1" x14ac:dyDescent="0.25">
      <c r="A1637" t="s">
        <v>535</v>
      </c>
      <c r="B1637" s="32">
        <f t="shared" ca="1" si="23"/>
        <v>44450</v>
      </c>
    </row>
    <row r="1638" spans="1:2" ht="15" customHeight="1" x14ac:dyDescent="0.25">
      <c r="A1638" t="s">
        <v>536</v>
      </c>
      <c r="B1638" s="32">
        <f t="shared" ca="1" si="23"/>
        <v>44450</v>
      </c>
    </row>
    <row r="1639" spans="1:2" ht="15" customHeight="1" x14ac:dyDescent="0.25">
      <c r="A1639" t="s">
        <v>537</v>
      </c>
      <c r="B1639" s="32">
        <f t="shared" ca="1" si="23"/>
        <v>44450</v>
      </c>
    </row>
    <row r="1640" spans="1:2" ht="15" customHeight="1" x14ac:dyDescent="0.25">
      <c r="A1640" t="s">
        <v>961</v>
      </c>
      <c r="B1640" s="32">
        <f t="shared" ca="1" si="23"/>
        <v>44450</v>
      </c>
    </row>
    <row r="1641" spans="1:2" ht="15" customHeight="1" x14ac:dyDescent="0.25">
      <c r="A1641" t="s">
        <v>962</v>
      </c>
      <c r="B1641" s="32">
        <f t="shared" ca="1" si="23"/>
        <v>44450</v>
      </c>
    </row>
    <row r="1642" spans="1:2" ht="15" customHeight="1" x14ac:dyDescent="0.25">
      <c r="A1642" t="s">
        <v>962</v>
      </c>
      <c r="B1642" s="32">
        <f t="shared" ca="1" si="23"/>
        <v>44450</v>
      </c>
    </row>
    <row r="1643" spans="1:2" ht="15" customHeight="1" x14ac:dyDescent="0.25">
      <c r="A1643" t="s">
        <v>962</v>
      </c>
      <c r="B1643" s="32">
        <f t="shared" ca="1" si="23"/>
        <v>44450</v>
      </c>
    </row>
    <row r="1644" spans="1:2" ht="15" customHeight="1" x14ac:dyDescent="0.25">
      <c r="A1644" t="s">
        <v>962</v>
      </c>
      <c r="B1644" s="32">
        <f t="shared" ca="1" si="23"/>
        <v>44450</v>
      </c>
    </row>
    <row r="1645" spans="1:2" ht="15" customHeight="1" x14ac:dyDescent="0.25">
      <c r="A1645" t="s">
        <v>962</v>
      </c>
      <c r="B1645" s="32">
        <f t="shared" ca="1" si="23"/>
        <v>44450</v>
      </c>
    </row>
    <row r="1646" spans="1:2" ht="15" customHeight="1" x14ac:dyDescent="0.25">
      <c r="A1646" t="s">
        <v>963</v>
      </c>
      <c r="B1646" s="32">
        <f t="shared" ca="1" si="23"/>
        <v>44450</v>
      </c>
    </row>
    <row r="1647" spans="1:2" ht="15" customHeight="1" x14ac:dyDescent="0.25">
      <c r="A1647" t="s">
        <v>963</v>
      </c>
      <c r="B1647" s="32">
        <f t="shared" ca="1" si="23"/>
        <v>44450</v>
      </c>
    </row>
    <row r="1648" spans="1:2" ht="15" customHeight="1" x14ac:dyDescent="0.25">
      <c r="A1648" t="s">
        <v>962</v>
      </c>
      <c r="B1648" s="32">
        <f t="shared" ca="1" si="23"/>
        <v>44450</v>
      </c>
    </row>
    <row r="1649" spans="1:2" ht="15" customHeight="1" x14ac:dyDescent="0.25">
      <c r="A1649" t="s">
        <v>465</v>
      </c>
      <c r="B1649" s="32">
        <f t="shared" ca="1" si="23"/>
        <v>44450</v>
      </c>
    </row>
    <row r="1650" spans="1:2" ht="15" customHeight="1" x14ac:dyDescent="0.25">
      <c r="A1650" t="s">
        <v>465</v>
      </c>
      <c r="B1650" s="32">
        <f t="shared" ca="1" si="23"/>
        <v>44450</v>
      </c>
    </row>
    <row r="1651" spans="1:2" ht="15" customHeight="1" x14ac:dyDescent="0.25">
      <c r="A1651" t="s">
        <v>466</v>
      </c>
      <c r="B1651" s="32">
        <f t="shared" ca="1" si="23"/>
        <v>44450</v>
      </c>
    </row>
    <row r="1652" spans="1:2" ht="15" customHeight="1" x14ac:dyDescent="0.25">
      <c r="A1652" t="s">
        <v>467</v>
      </c>
      <c r="B1652" s="32">
        <f t="shared" ca="1" si="23"/>
        <v>44450</v>
      </c>
    </row>
    <row r="1653" spans="1:2" ht="15" customHeight="1" x14ac:dyDescent="0.25">
      <c r="A1653" t="s">
        <v>467</v>
      </c>
      <c r="B1653" s="32">
        <f t="shared" ca="1" si="23"/>
        <v>44450</v>
      </c>
    </row>
    <row r="1654" spans="1:2" ht="15" customHeight="1" x14ac:dyDescent="0.25">
      <c r="A1654" t="s">
        <v>468</v>
      </c>
      <c r="B1654" s="32">
        <f t="shared" ca="1" si="23"/>
        <v>44450</v>
      </c>
    </row>
    <row r="1655" spans="1:2" ht="15" customHeight="1" x14ac:dyDescent="0.25">
      <c r="A1655" t="s">
        <v>469</v>
      </c>
      <c r="B1655" s="32">
        <f t="shared" ca="1" si="23"/>
        <v>44450</v>
      </c>
    </row>
    <row r="1656" spans="1:2" ht="15" customHeight="1" x14ac:dyDescent="0.25">
      <c r="A1656" t="s">
        <v>964</v>
      </c>
      <c r="B1656" s="32">
        <f t="shared" ca="1" si="23"/>
        <v>44450</v>
      </c>
    </row>
    <row r="1657" spans="1:2" ht="15" customHeight="1" x14ac:dyDescent="0.25">
      <c r="A1657" t="s">
        <v>964</v>
      </c>
      <c r="B1657" s="32">
        <f t="shared" ca="1" si="23"/>
        <v>44450</v>
      </c>
    </row>
    <row r="1658" spans="1:2" ht="15" customHeight="1" x14ac:dyDescent="0.25">
      <c r="A1658" t="s">
        <v>964</v>
      </c>
      <c r="B1658" s="32">
        <f t="shared" ca="1" si="23"/>
        <v>44450</v>
      </c>
    </row>
    <row r="1659" spans="1:2" ht="15" customHeight="1" x14ac:dyDescent="0.25">
      <c r="A1659" t="s">
        <v>964</v>
      </c>
      <c r="B1659" s="32">
        <f t="shared" ca="1" si="23"/>
        <v>44450</v>
      </c>
    </row>
    <row r="1660" spans="1:2" ht="15" customHeight="1" x14ac:dyDescent="0.25">
      <c r="A1660" t="s">
        <v>964</v>
      </c>
      <c r="B1660" s="32">
        <f t="shared" ca="1" si="23"/>
        <v>44450</v>
      </c>
    </row>
    <row r="1661" spans="1:2" ht="15" customHeight="1" x14ac:dyDescent="0.25">
      <c r="A1661" t="s">
        <v>964</v>
      </c>
      <c r="B1661" s="32">
        <f t="shared" ca="1" si="23"/>
        <v>44450</v>
      </c>
    </row>
    <row r="1662" spans="1:2" ht="15" customHeight="1" x14ac:dyDescent="0.25">
      <c r="A1662" t="s">
        <v>964</v>
      </c>
      <c r="B1662" s="32">
        <f t="shared" ca="1" si="23"/>
        <v>44450</v>
      </c>
    </row>
    <row r="1663" spans="1:2" ht="15" customHeight="1" x14ac:dyDescent="0.25">
      <c r="A1663" t="s">
        <v>964</v>
      </c>
      <c r="B1663" s="32">
        <f t="shared" ca="1" si="23"/>
        <v>44450</v>
      </c>
    </row>
    <row r="1664" spans="1:2" ht="15" customHeight="1" x14ac:dyDescent="0.25">
      <c r="A1664" t="s">
        <v>965</v>
      </c>
      <c r="B1664" s="32">
        <f t="shared" ca="1" si="23"/>
        <v>44450</v>
      </c>
    </row>
    <row r="1665" spans="1:2" ht="15" customHeight="1" x14ac:dyDescent="0.25">
      <c r="A1665" t="s">
        <v>966</v>
      </c>
      <c r="B1665" s="32">
        <f t="shared" ca="1" si="23"/>
        <v>44450</v>
      </c>
    </row>
    <row r="1666" spans="1:2" ht="15" customHeight="1" x14ac:dyDescent="0.25">
      <c r="A1666" t="s">
        <v>966</v>
      </c>
      <c r="B1666" s="32">
        <f t="shared" ca="1" si="23"/>
        <v>44450</v>
      </c>
    </row>
    <row r="1667" spans="1:2" ht="15" customHeight="1" x14ac:dyDescent="0.25">
      <c r="A1667" t="s">
        <v>966</v>
      </c>
      <c r="B1667" s="32">
        <f t="shared" ca="1" si="23"/>
        <v>44450</v>
      </c>
    </row>
    <row r="1668" spans="1:2" ht="15" customHeight="1" x14ac:dyDescent="0.25">
      <c r="A1668" t="s">
        <v>966</v>
      </c>
      <c r="B1668" s="32">
        <f t="shared" ca="1" si="23"/>
        <v>44450</v>
      </c>
    </row>
    <row r="1669" spans="1:2" ht="15" customHeight="1" x14ac:dyDescent="0.25">
      <c r="A1669" t="s">
        <v>966</v>
      </c>
      <c r="B1669" s="32">
        <f t="shared" ca="1" si="23"/>
        <v>44450</v>
      </c>
    </row>
    <row r="1670" spans="1:2" ht="15" customHeight="1" x14ac:dyDescent="0.25">
      <c r="A1670" t="s">
        <v>966</v>
      </c>
      <c r="B1670" s="32">
        <f t="shared" ca="1" si="23"/>
        <v>44450</v>
      </c>
    </row>
    <row r="1671" spans="1:2" ht="15" customHeight="1" x14ac:dyDescent="0.25">
      <c r="A1671" t="s">
        <v>966</v>
      </c>
      <c r="B1671" s="32">
        <f t="shared" ref="B1671:B1734" ca="1" si="24">TODAY()-150</f>
        <v>44450</v>
      </c>
    </row>
    <row r="1672" spans="1:2" ht="15" customHeight="1" x14ac:dyDescent="0.25">
      <c r="A1672" t="s">
        <v>966</v>
      </c>
      <c r="B1672" s="32">
        <f t="shared" ca="1" si="24"/>
        <v>44450</v>
      </c>
    </row>
    <row r="1673" spans="1:2" ht="15" customHeight="1" x14ac:dyDescent="0.25">
      <c r="A1673" t="s">
        <v>538</v>
      </c>
      <c r="B1673" s="32">
        <f t="shared" ca="1" si="24"/>
        <v>44450</v>
      </c>
    </row>
    <row r="1674" spans="1:2" ht="15" customHeight="1" x14ac:dyDescent="0.25">
      <c r="A1674" t="s">
        <v>538</v>
      </c>
      <c r="B1674" s="32">
        <f t="shared" ca="1" si="24"/>
        <v>44450</v>
      </c>
    </row>
    <row r="1675" spans="1:2" ht="15" customHeight="1" x14ac:dyDescent="0.25">
      <c r="A1675" t="s">
        <v>539</v>
      </c>
      <c r="B1675" s="32">
        <f t="shared" ca="1" si="24"/>
        <v>44450</v>
      </c>
    </row>
    <row r="1676" spans="1:2" ht="15" customHeight="1" x14ac:dyDescent="0.25">
      <c r="A1676" t="s">
        <v>540</v>
      </c>
      <c r="B1676" s="32">
        <f t="shared" ca="1" si="24"/>
        <v>44450</v>
      </c>
    </row>
    <row r="1677" spans="1:2" ht="15" customHeight="1" x14ac:dyDescent="0.25">
      <c r="A1677" t="s">
        <v>540</v>
      </c>
      <c r="B1677" s="32">
        <f t="shared" ca="1" si="24"/>
        <v>44450</v>
      </c>
    </row>
    <row r="1678" spans="1:2" ht="15" customHeight="1" x14ac:dyDescent="0.25">
      <c r="A1678" t="s">
        <v>541</v>
      </c>
      <c r="B1678" s="32">
        <f t="shared" ca="1" si="24"/>
        <v>44450</v>
      </c>
    </row>
    <row r="1679" spans="1:2" ht="15" customHeight="1" x14ac:dyDescent="0.25">
      <c r="A1679" t="s">
        <v>541</v>
      </c>
      <c r="B1679" s="32">
        <f t="shared" ca="1" si="24"/>
        <v>44450</v>
      </c>
    </row>
    <row r="1680" spans="1:2" ht="15" customHeight="1" x14ac:dyDescent="0.25">
      <c r="A1680" t="s">
        <v>542</v>
      </c>
      <c r="B1680" s="32">
        <f t="shared" ca="1" si="24"/>
        <v>44450</v>
      </c>
    </row>
    <row r="1681" spans="1:2" ht="15" customHeight="1" x14ac:dyDescent="0.25">
      <c r="A1681" t="s">
        <v>470</v>
      </c>
      <c r="B1681" s="32">
        <f t="shared" ca="1" si="24"/>
        <v>44450</v>
      </c>
    </row>
    <row r="1682" spans="1:2" ht="15" customHeight="1" x14ac:dyDescent="0.25">
      <c r="A1682" t="s">
        <v>470</v>
      </c>
      <c r="B1682" s="32">
        <f t="shared" ca="1" si="24"/>
        <v>44450</v>
      </c>
    </row>
    <row r="1683" spans="1:2" ht="15" customHeight="1" x14ac:dyDescent="0.25">
      <c r="A1683" t="s">
        <v>956</v>
      </c>
      <c r="B1683" s="32">
        <f t="shared" ca="1" si="24"/>
        <v>44450</v>
      </c>
    </row>
    <row r="1684" spans="1:2" ht="15" customHeight="1" x14ac:dyDescent="0.25">
      <c r="A1684" t="s">
        <v>956</v>
      </c>
      <c r="B1684" s="32">
        <f t="shared" ca="1" si="24"/>
        <v>44450</v>
      </c>
    </row>
    <row r="1685" spans="1:2" ht="15" customHeight="1" x14ac:dyDescent="0.25">
      <c r="A1685" t="s">
        <v>471</v>
      </c>
      <c r="B1685" s="32">
        <f t="shared" ca="1" si="24"/>
        <v>44450</v>
      </c>
    </row>
    <row r="1686" spans="1:2" ht="15" customHeight="1" x14ac:dyDescent="0.25">
      <c r="A1686" t="s">
        <v>472</v>
      </c>
      <c r="B1686" s="32">
        <f t="shared" ca="1" si="24"/>
        <v>44450</v>
      </c>
    </row>
    <row r="1687" spans="1:2" ht="15" customHeight="1" x14ac:dyDescent="0.25">
      <c r="A1687" t="s">
        <v>473</v>
      </c>
      <c r="B1687" s="32">
        <f t="shared" ca="1" si="24"/>
        <v>44450</v>
      </c>
    </row>
    <row r="1688" spans="1:2" ht="15" customHeight="1" x14ac:dyDescent="0.25">
      <c r="A1688" t="s">
        <v>967</v>
      </c>
      <c r="B1688" s="32">
        <f t="shared" ca="1" si="24"/>
        <v>44450</v>
      </c>
    </row>
    <row r="1689" spans="1:2" ht="15" customHeight="1" x14ac:dyDescent="0.25">
      <c r="A1689" t="s">
        <v>967</v>
      </c>
      <c r="B1689" s="32">
        <f t="shared" ca="1" si="24"/>
        <v>44450</v>
      </c>
    </row>
    <row r="1690" spans="1:2" ht="15" customHeight="1" x14ac:dyDescent="0.25">
      <c r="A1690" t="s">
        <v>967</v>
      </c>
      <c r="B1690" s="32">
        <f t="shared" ca="1" si="24"/>
        <v>44450</v>
      </c>
    </row>
    <row r="1691" spans="1:2" ht="15" customHeight="1" x14ac:dyDescent="0.25">
      <c r="A1691" t="s">
        <v>554</v>
      </c>
      <c r="B1691" s="32">
        <f t="shared" ca="1" si="24"/>
        <v>44450</v>
      </c>
    </row>
    <row r="1692" spans="1:2" ht="15" customHeight="1" x14ac:dyDescent="0.25">
      <c r="A1692" t="s">
        <v>554</v>
      </c>
      <c r="B1692" s="32">
        <f t="shared" ca="1" si="24"/>
        <v>44450</v>
      </c>
    </row>
    <row r="1693" spans="1:2" ht="15" customHeight="1" x14ac:dyDescent="0.25">
      <c r="A1693" t="s">
        <v>968</v>
      </c>
      <c r="B1693" s="32">
        <f t="shared" ca="1" si="24"/>
        <v>44450</v>
      </c>
    </row>
    <row r="1694" spans="1:2" ht="15" customHeight="1" x14ac:dyDescent="0.25">
      <c r="A1694" t="s">
        <v>969</v>
      </c>
      <c r="B1694" s="32">
        <f t="shared" ca="1" si="24"/>
        <v>44450</v>
      </c>
    </row>
    <row r="1695" spans="1:2" ht="15" customHeight="1" x14ac:dyDescent="0.25">
      <c r="A1695" t="s">
        <v>958</v>
      </c>
      <c r="B1695" s="32">
        <f t="shared" ca="1" si="24"/>
        <v>44450</v>
      </c>
    </row>
    <row r="1696" spans="1:2" ht="15" customHeight="1" x14ac:dyDescent="0.25">
      <c r="A1696" t="s">
        <v>970</v>
      </c>
      <c r="B1696" s="32">
        <f t="shared" ca="1" si="24"/>
        <v>44450</v>
      </c>
    </row>
    <row r="1697" spans="1:2" ht="15" customHeight="1" x14ac:dyDescent="0.25">
      <c r="A1697" t="s">
        <v>970</v>
      </c>
      <c r="B1697" s="32">
        <f t="shared" ca="1" si="24"/>
        <v>44450</v>
      </c>
    </row>
    <row r="1698" spans="1:2" ht="15" customHeight="1" x14ac:dyDescent="0.25">
      <c r="A1698" t="s">
        <v>47</v>
      </c>
      <c r="B1698" s="32">
        <f t="shared" ca="1" si="24"/>
        <v>44450</v>
      </c>
    </row>
    <row r="1699" spans="1:2" ht="15" customHeight="1" x14ac:dyDescent="0.25">
      <c r="A1699" t="s">
        <v>47</v>
      </c>
      <c r="B1699" s="32">
        <f t="shared" ca="1" si="24"/>
        <v>44450</v>
      </c>
    </row>
    <row r="1700" spans="1:2" ht="15" customHeight="1" x14ac:dyDescent="0.25">
      <c r="A1700" t="s">
        <v>47</v>
      </c>
      <c r="B1700" s="32">
        <f t="shared" ca="1" si="24"/>
        <v>44450</v>
      </c>
    </row>
    <row r="1701" spans="1:2" ht="15" customHeight="1" x14ac:dyDescent="0.25">
      <c r="A1701" t="s">
        <v>48</v>
      </c>
      <c r="B1701" s="32">
        <f t="shared" ca="1" si="24"/>
        <v>44450</v>
      </c>
    </row>
    <row r="1702" spans="1:2" ht="15" customHeight="1" x14ac:dyDescent="0.25">
      <c r="A1702" t="s">
        <v>48</v>
      </c>
      <c r="B1702" s="32">
        <f t="shared" ca="1" si="24"/>
        <v>44450</v>
      </c>
    </row>
    <row r="1703" spans="1:2" ht="15" customHeight="1" x14ac:dyDescent="0.25">
      <c r="A1703" t="s">
        <v>48</v>
      </c>
      <c r="B1703" s="32">
        <f t="shared" ca="1" si="24"/>
        <v>44450</v>
      </c>
    </row>
    <row r="1704" spans="1:2" ht="15" customHeight="1" x14ac:dyDescent="0.25">
      <c r="A1704" t="s">
        <v>49</v>
      </c>
      <c r="B1704" s="32">
        <f t="shared" ca="1" si="24"/>
        <v>44450</v>
      </c>
    </row>
    <row r="1705" spans="1:2" ht="15" customHeight="1" x14ac:dyDescent="0.25">
      <c r="A1705" t="s">
        <v>49</v>
      </c>
      <c r="B1705" s="32">
        <f t="shared" ca="1" si="24"/>
        <v>44450</v>
      </c>
    </row>
    <row r="1706" spans="1:2" ht="15" customHeight="1" x14ac:dyDescent="0.25">
      <c r="A1706" t="s">
        <v>49</v>
      </c>
      <c r="B1706" s="32">
        <f t="shared" ca="1" si="24"/>
        <v>44450</v>
      </c>
    </row>
    <row r="1707" spans="1:2" ht="15" customHeight="1" x14ac:dyDescent="0.25">
      <c r="A1707" t="s">
        <v>49</v>
      </c>
      <c r="B1707" s="32">
        <f t="shared" ca="1" si="24"/>
        <v>44450</v>
      </c>
    </row>
    <row r="1708" spans="1:2" ht="15" customHeight="1" x14ac:dyDescent="0.25">
      <c r="A1708" t="s">
        <v>49</v>
      </c>
      <c r="B1708" s="32">
        <f t="shared" ca="1" si="24"/>
        <v>44450</v>
      </c>
    </row>
    <row r="1709" spans="1:2" ht="15" customHeight="1" x14ac:dyDescent="0.25">
      <c r="A1709" t="s">
        <v>50</v>
      </c>
      <c r="B1709" s="32">
        <f t="shared" ca="1" si="24"/>
        <v>44450</v>
      </c>
    </row>
    <row r="1710" spans="1:2" ht="15" customHeight="1" x14ac:dyDescent="0.25">
      <c r="A1710" t="s">
        <v>50</v>
      </c>
      <c r="B1710" s="32">
        <f t="shared" ca="1" si="24"/>
        <v>44450</v>
      </c>
    </row>
    <row r="1711" spans="1:2" ht="15" customHeight="1" x14ac:dyDescent="0.25">
      <c r="A1711" t="s">
        <v>50</v>
      </c>
      <c r="B1711" s="32">
        <f t="shared" ca="1" si="24"/>
        <v>44450</v>
      </c>
    </row>
    <row r="1712" spans="1:2" ht="15" customHeight="1" x14ac:dyDescent="0.25">
      <c r="A1712" t="s">
        <v>51</v>
      </c>
      <c r="B1712" s="32">
        <f t="shared" ca="1" si="24"/>
        <v>44450</v>
      </c>
    </row>
    <row r="1713" spans="1:2" ht="15" customHeight="1" x14ac:dyDescent="0.25">
      <c r="A1713" t="s">
        <v>51</v>
      </c>
      <c r="B1713" s="32">
        <f t="shared" ca="1" si="24"/>
        <v>44450</v>
      </c>
    </row>
    <row r="1714" spans="1:2" ht="15" customHeight="1" x14ac:dyDescent="0.25">
      <c r="A1714" t="s">
        <v>51</v>
      </c>
      <c r="B1714" s="32">
        <f t="shared" ca="1" si="24"/>
        <v>44450</v>
      </c>
    </row>
    <row r="1715" spans="1:2" ht="15" customHeight="1" x14ac:dyDescent="0.25">
      <c r="A1715" t="s">
        <v>51</v>
      </c>
      <c r="B1715" s="32">
        <f t="shared" ca="1" si="24"/>
        <v>44450</v>
      </c>
    </row>
    <row r="1716" spans="1:2" ht="15" customHeight="1" x14ac:dyDescent="0.25">
      <c r="A1716" t="s">
        <v>52</v>
      </c>
      <c r="B1716" s="32">
        <f t="shared" ca="1" si="24"/>
        <v>44450</v>
      </c>
    </row>
    <row r="1717" spans="1:2" ht="15" customHeight="1" x14ac:dyDescent="0.25">
      <c r="A1717" t="s">
        <v>52</v>
      </c>
      <c r="B1717" s="32">
        <f t="shared" ca="1" si="24"/>
        <v>44450</v>
      </c>
    </row>
    <row r="1718" spans="1:2" ht="15" customHeight="1" x14ac:dyDescent="0.25">
      <c r="A1718" t="s">
        <v>52</v>
      </c>
      <c r="B1718" s="32">
        <f t="shared" ca="1" si="24"/>
        <v>44450</v>
      </c>
    </row>
    <row r="1719" spans="1:2" ht="15" customHeight="1" x14ac:dyDescent="0.25">
      <c r="A1719" t="s">
        <v>52</v>
      </c>
      <c r="B1719" s="32">
        <f t="shared" ca="1" si="24"/>
        <v>44450</v>
      </c>
    </row>
    <row r="1720" spans="1:2" ht="15" customHeight="1" x14ac:dyDescent="0.25">
      <c r="A1720" t="s">
        <v>52</v>
      </c>
      <c r="B1720" s="32">
        <f t="shared" ca="1" si="24"/>
        <v>44450</v>
      </c>
    </row>
    <row r="1721" spans="1:2" ht="15" customHeight="1" x14ac:dyDescent="0.25">
      <c r="A1721" t="s">
        <v>53</v>
      </c>
      <c r="B1721" s="32">
        <f t="shared" ca="1" si="24"/>
        <v>44450</v>
      </c>
    </row>
    <row r="1722" spans="1:2" ht="15" customHeight="1" x14ac:dyDescent="0.25">
      <c r="A1722" t="s">
        <v>53</v>
      </c>
      <c r="B1722" s="32">
        <f t="shared" ca="1" si="24"/>
        <v>44450</v>
      </c>
    </row>
    <row r="1723" spans="1:2" ht="15" customHeight="1" x14ac:dyDescent="0.25">
      <c r="A1723" t="s">
        <v>53</v>
      </c>
      <c r="B1723" s="32">
        <f t="shared" ca="1" si="24"/>
        <v>44450</v>
      </c>
    </row>
    <row r="1724" spans="1:2" ht="15" customHeight="1" x14ac:dyDescent="0.25">
      <c r="A1724" t="s">
        <v>53</v>
      </c>
      <c r="B1724" s="32">
        <f t="shared" ca="1" si="24"/>
        <v>44450</v>
      </c>
    </row>
    <row r="1725" spans="1:2" ht="15" customHeight="1" x14ac:dyDescent="0.25">
      <c r="A1725" t="s">
        <v>53</v>
      </c>
      <c r="B1725" s="32">
        <f t="shared" ca="1" si="24"/>
        <v>44450</v>
      </c>
    </row>
    <row r="1726" spans="1:2" ht="15" customHeight="1" x14ac:dyDescent="0.25">
      <c r="A1726" t="s">
        <v>54</v>
      </c>
      <c r="B1726" s="32">
        <f t="shared" ca="1" si="24"/>
        <v>44450</v>
      </c>
    </row>
    <row r="1727" spans="1:2" ht="15" customHeight="1" x14ac:dyDescent="0.25">
      <c r="A1727" t="s">
        <v>54</v>
      </c>
      <c r="B1727" s="32">
        <f t="shared" ca="1" si="24"/>
        <v>44450</v>
      </c>
    </row>
    <row r="1728" spans="1:2" ht="15" customHeight="1" x14ac:dyDescent="0.25">
      <c r="A1728" t="s">
        <v>54</v>
      </c>
      <c r="B1728" s="32">
        <f t="shared" ca="1" si="24"/>
        <v>44450</v>
      </c>
    </row>
    <row r="1729" spans="1:2" ht="15" customHeight="1" x14ac:dyDescent="0.25">
      <c r="A1729" t="s">
        <v>54</v>
      </c>
      <c r="B1729" s="32">
        <f t="shared" ca="1" si="24"/>
        <v>44450</v>
      </c>
    </row>
    <row r="1730" spans="1:2" ht="15" customHeight="1" x14ac:dyDescent="0.25">
      <c r="A1730" t="s">
        <v>54</v>
      </c>
      <c r="B1730" s="32">
        <f t="shared" ca="1" si="24"/>
        <v>44450</v>
      </c>
    </row>
    <row r="1731" spans="1:2" ht="15" customHeight="1" x14ac:dyDescent="0.25">
      <c r="A1731" t="s">
        <v>55</v>
      </c>
      <c r="B1731" s="32">
        <f t="shared" ca="1" si="24"/>
        <v>44450</v>
      </c>
    </row>
    <row r="1732" spans="1:2" ht="15" customHeight="1" x14ac:dyDescent="0.25">
      <c r="A1732" t="s">
        <v>55</v>
      </c>
      <c r="B1732" s="32">
        <f t="shared" ca="1" si="24"/>
        <v>44450</v>
      </c>
    </row>
    <row r="1733" spans="1:2" ht="15" customHeight="1" x14ac:dyDescent="0.25">
      <c r="A1733" t="s">
        <v>55</v>
      </c>
      <c r="B1733" s="32">
        <f t="shared" ca="1" si="24"/>
        <v>44450</v>
      </c>
    </row>
    <row r="1734" spans="1:2" ht="15" customHeight="1" x14ac:dyDescent="0.25">
      <c r="A1734" t="s">
        <v>55</v>
      </c>
      <c r="B1734" s="32">
        <f t="shared" ca="1" si="24"/>
        <v>44450</v>
      </c>
    </row>
    <row r="1735" spans="1:2" ht="15" customHeight="1" x14ac:dyDescent="0.25">
      <c r="A1735" t="s">
        <v>56</v>
      </c>
      <c r="B1735" s="32">
        <f t="shared" ref="B1735:B1798" ca="1" si="25">TODAY()-150</f>
        <v>44450</v>
      </c>
    </row>
    <row r="1736" spans="1:2" ht="15" customHeight="1" x14ac:dyDescent="0.25">
      <c r="A1736" t="s">
        <v>56</v>
      </c>
      <c r="B1736" s="32">
        <f t="shared" ca="1" si="25"/>
        <v>44450</v>
      </c>
    </row>
    <row r="1737" spans="1:2" ht="15" customHeight="1" x14ac:dyDescent="0.25">
      <c r="A1737" t="s">
        <v>56</v>
      </c>
      <c r="B1737" s="32">
        <f t="shared" ca="1" si="25"/>
        <v>44450</v>
      </c>
    </row>
    <row r="1738" spans="1:2" ht="15" customHeight="1" x14ac:dyDescent="0.25">
      <c r="A1738" t="s">
        <v>56</v>
      </c>
      <c r="B1738" s="32">
        <f t="shared" ca="1" si="25"/>
        <v>44450</v>
      </c>
    </row>
    <row r="1739" spans="1:2" ht="15" customHeight="1" x14ac:dyDescent="0.25">
      <c r="A1739" t="s">
        <v>56</v>
      </c>
      <c r="B1739" s="32">
        <f t="shared" ca="1" si="25"/>
        <v>44450</v>
      </c>
    </row>
    <row r="1740" spans="1:2" ht="15" customHeight="1" x14ac:dyDescent="0.25">
      <c r="A1740" t="s">
        <v>113</v>
      </c>
      <c r="B1740" s="32">
        <f t="shared" ca="1" si="25"/>
        <v>44450</v>
      </c>
    </row>
    <row r="1741" spans="1:2" ht="15" customHeight="1" x14ac:dyDescent="0.25">
      <c r="A1741" t="s">
        <v>113</v>
      </c>
      <c r="B1741" s="32">
        <f t="shared" ca="1" si="25"/>
        <v>44450</v>
      </c>
    </row>
    <row r="1742" spans="1:2" ht="15" customHeight="1" x14ac:dyDescent="0.25">
      <c r="A1742" t="s">
        <v>113</v>
      </c>
      <c r="B1742" s="32">
        <f t="shared" ca="1" si="25"/>
        <v>44450</v>
      </c>
    </row>
    <row r="1743" spans="1:2" ht="15" customHeight="1" x14ac:dyDescent="0.25">
      <c r="A1743" t="s">
        <v>92</v>
      </c>
      <c r="B1743" s="32">
        <f t="shared" ca="1" si="25"/>
        <v>44450</v>
      </c>
    </row>
    <row r="1744" spans="1:2" ht="15" customHeight="1" x14ac:dyDescent="0.25">
      <c r="A1744" t="s">
        <v>92</v>
      </c>
      <c r="B1744" s="32">
        <f t="shared" ca="1" si="25"/>
        <v>44450</v>
      </c>
    </row>
    <row r="1745" spans="1:2" ht="15" customHeight="1" x14ac:dyDescent="0.25">
      <c r="A1745" t="s">
        <v>92</v>
      </c>
      <c r="B1745" s="32">
        <f t="shared" ca="1" si="25"/>
        <v>44450</v>
      </c>
    </row>
    <row r="1746" spans="1:2" ht="15" customHeight="1" x14ac:dyDescent="0.25">
      <c r="A1746" t="s">
        <v>92</v>
      </c>
      <c r="B1746" s="32">
        <f t="shared" ca="1" si="25"/>
        <v>44450</v>
      </c>
    </row>
    <row r="1747" spans="1:2" ht="15" customHeight="1" x14ac:dyDescent="0.25">
      <c r="A1747" t="s">
        <v>79</v>
      </c>
      <c r="B1747" s="32">
        <f t="shared" ca="1" si="25"/>
        <v>44450</v>
      </c>
    </row>
    <row r="1748" spans="1:2" ht="15" customHeight="1" x14ac:dyDescent="0.25">
      <c r="A1748" t="s">
        <v>79</v>
      </c>
      <c r="B1748" s="32">
        <f t="shared" ca="1" si="25"/>
        <v>44450</v>
      </c>
    </row>
    <row r="1749" spans="1:2" ht="15" customHeight="1" x14ac:dyDescent="0.25">
      <c r="A1749" t="s">
        <v>79</v>
      </c>
      <c r="B1749" s="32">
        <f t="shared" ca="1" si="25"/>
        <v>44450</v>
      </c>
    </row>
    <row r="1750" spans="1:2" ht="15" customHeight="1" x14ac:dyDescent="0.25">
      <c r="A1750" t="s">
        <v>79</v>
      </c>
      <c r="B1750" s="32">
        <f t="shared" ca="1" si="25"/>
        <v>44450</v>
      </c>
    </row>
    <row r="1751" spans="1:2" ht="15" customHeight="1" x14ac:dyDescent="0.25">
      <c r="A1751" t="s">
        <v>79</v>
      </c>
      <c r="B1751" s="32">
        <f t="shared" ca="1" si="25"/>
        <v>44450</v>
      </c>
    </row>
    <row r="1752" spans="1:2" ht="15" customHeight="1" x14ac:dyDescent="0.25">
      <c r="A1752" t="s">
        <v>80</v>
      </c>
      <c r="B1752" s="32">
        <f t="shared" ca="1" si="25"/>
        <v>44450</v>
      </c>
    </row>
    <row r="1753" spans="1:2" ht="15" customHeight="1" x14ac:dyDescent="0.25">
      <c r="A1753" t="s">
        <v>80</v>
      </c>
      <c r="B1753" s="32">
        <f t="shared" ca="1" si="25"/>
        <v>44450</v>
      </c>
    </row>
    <row r="1754" spans="1:2" ht="15" customHeight="1" x14ac:dyDescent="0.25">
      <c r="A1754" t="s">
        <v>80</v>
      </c>
      <c r="B1754" s="32">
        <f t="shared" ca="1" si="25"/>
        <v>44450</v>
      </c>
    </row>
    <row r="1755" spans="1:2" ht="15" customHeight="1" x14ac:dyDescent="0.25">
      <c r="A1755" t="s">
        <v>80</v>
      </c>
      <c r="B1755" s="32">
        <f t="shared" ca="1" si="25"/>
        <v>44450</v>
      </c>
    </row>
    <row r="1756" spans="1:2" ht="15" customHeight="1" x14ac:dyDescent="0.25">
      <c r="A1756" t="s">
        <v>80</v>
      </c>
      <c r="B1756" s="32">
        <f t="shared" ca="1" si="25"/>
        <v>44450</v>
      </c>
    </row>
    <row r="1757" spans="1:2" ht="15" customHeight="1" x14ac:dyDescent="0.25">
      <c r="A1757" t="s">
        <v>93</v>
      </c>
      <c r="B1757" s="32">
        <f t="shared" ca="1" si="25"/>
        <v>44450</v>
      </c>
    </row>
    <row r="1758" spans="1:2" ht="15" customHeight="1" x14ac:dyDescent="0.25">
      <c r="A1758" t="s">
        <v>93</v>
      </c>
      <c r="B1758" s="32">
        <f t="shared" ca="1" si="25"/>
        <v>44450</v>
      </c>
    </row>
    <row r="1759" spans="1:2" ht="15" customHeight="1" x14ac:dyDescent="0.25">
      <c r="A1759" t="s">
        <v>93</v>
      </c>
      <c r="B1759" s="32">
        <f t="shared" ca="1" si="25"/>
        <v>44450</v>
      </c>
    </row>
    <row r="1760" spans="1:2" ht="15" customHeight="1" x14ac:dyDescent="0.25">
      <c r="A1760" t="s">
        <v>93</v>
      </c>
      <c r="B1760" s="32">
        <f t="shared" ca="1" si="25"/>
        <v>44450</v>
      </c>
    </row>
    <row r="1761" spans="1:2" ht="15" customHeight="1" x14ac:dyDescent="0.25">
      <c r="A1761" t="s">
        <v>93</v>
      </c>
      <c r="B1761" s="32">
        <f t="shared" ca="1" si="25"/>
        <v>44450</v>
      </c>
    </row>
    <row r="1762" spans="1:2" ht="15" customHeight="1" x14ac:dyDescent="0.25">
      <c r="A1762" t="s">
        <v>94</v>
      </c>
      <c r="B1762" s="32">
        <f t="shared" ca="1" si="25"/>
        <v>44450</v>
      </c>
    </row>
    <row r="1763" spans="1:2" ht="15" customHeight="1" x14ac:dyDescent="0.25">
      <c r="A1763" t="s">
        <v>94</v>
      </c>
      <c r="B1763" s="32">
        <f t="shared" ca="1" si="25"/>
        <v>44450</v>
      </c>
    </row>
    <row r="1764" spans="1:2" ht="15" customHeight="1" x14ac:dyDescent="0.25">
      <c r="A1764" t="s">
        <v>94</v>
      </c>
      <c r="B1764" s="32">
        <f t="shared" ca="1" si="25"/>
        <v>44450</v>
      </c>
    </row>
    <row r="1765" spans="1:2" ht="15" customHeight="1" x14ac:dyDescent="0.25">
      <c r="A1765" t="s">
        <v>94</v>
      </c>
      <c r="B1765" s="32">
        <f t="shared" ca="1" si="25"/>
        <v>44450</v>
      </c>
    </row>
    <row r="1766" spans="1:2" ht="15" customHeight="1" x14ac:dyDescent="0.25">
      <c r="A1766" t="s">
        <v>94</v>
      </c>
      <c r="B1766" s="32">
        <f t="shared" ca="1" si="25"/>
        <v>44450</v>
      </c>
    </row>
    <row r="1767" spans="1:2" ht="15" customHeight="1" x14ac:dyDescent="0.25">
      <c r="A1767" t="s">
        <v>81</v>
      </c>
      <c r="B1767" s="32">
        <f t="shared" ca="1" si="25"/>
        <v>44450</v>
      </c>
    </row>
    <row r="1768" spans="1:2" ht="15" customHeight="1" x14ac:dyDescent="0.25">
      <c r="A1768" t="s">
        <v>81</v>
      </c>
      <c r="B1768" s="32">
        <f t="shared" ca="1" si="25"/>
        <v>44450</v>
      </c>
    </row>
    <row r="1769" spans="1:2" ht="15" customHeight="1" x14ac:dyDescent="0.25">
      <c r="A1769" t="s">
        <v>81</v>
      </c>
      <c r="B1769" s="32">
        <f t="shared" ca="1" si="25"/>
        <v>44450</v>
      </c>
    </row>
    <row r="1770" spans="1:2" ht="15" customHeight="1" x14ac:dyDescent="0.25">
      <c r="A1770" t="s">
        <v>82</v>
      </c>
      <c r="B1770" s="32">
        <f t="shared" ca="1" si="25"/>
        <v>44450</v>
      </c>
    </row>
    <row r="1771" spans="1:2" ht="15" customHeight="1" x14ac:dyDescent="0.25">
      <c r="A1771" t="s">
        <v>82</v>
      </c>
      <c r="B1771" s="32">
        <f t="shared" ca="1" si="25"/>
        <v>44450</v>
      </c>
    </row>
    <row r="1772" spans="1:2" ht="15" customHeight="1" x14ac:dyDescent="0.25">
      <c r="A1772" t="s">
        <v>82</v>
      </c>
      <c r="B1772" s="32">
        <f t="shared" ca="1" si="25"/>
        <v>44450</v>
      </c>
    </row>
    <row r="1773" spans="1:2" ht="15" customHeight="1" x14ac:dyDescent="0.25">
      <c r="A1773" t="s">
        <v>57</v>
      </c>
      <c r="B1773" s="32">
        <f t="shared" ca="1" si="25"/>
        <v>44450</v>
      </c>
    </row>
    <row r="1774" spans="1:2" ht="15" customHeight="1" x14ac:dyDescent="0.25">
      <c r="A1774" t="s">
        <v>57</v>
      </c>
      <c r="B1774" s="32">
        <f t="shared" ca="1" si="25"/>
        <v>44450</v>
      </c>
    </row>
    <row r="1775" spans="1:2" ht="15" customHeight="1" x14ac:dyDescent="0.25">
      <c r="A1775" t="s">
        <v>57</v>
      </c>
      <c r="B1775" s="32">
        <f t="shared" ca="1" si="25"/>
        <v>44450</v>
      </c>
    </row>
    <row r="1776" spans="1:2" ht="15" customHeight="1" x14ac:dyDescent="0.25">
      <c r="A1776" t="s">
        <v>58</v>
      </c>
      <c r="B1776" s="32">
        <f t="shared" ca="1" si="25"/>
        <v>44450</v>
      </c>
    </row>
    <row r="1777" spans="1:2" ht="15" customHeight="1" x14ac:dyDescent="0.25">
      <c r="A1777" t="s">
        <v>58</v>
      </c>
      <c r="B1777" s="32">
        <f t="shared" ca="1" si="25"/>
        <v>44450</v>
      </c>
    </row>
    <row r="1778" spans="1:2" ht="15" customHeight="1" x14ac:dyDescent="0.25">
      <c r="A1778" t="s">
        <v>58</v>
      </c>
      <c r="B1778" s="32">
        <f t="shared" ca="1" si="25"/>
        <v>44450</v>
      </c>
    </row>
    <row r="1779" spans="1:2" ht="15" customHeight="1" x14ac:dyDescent="0.25">
      <c r="A1779" t="s">
        <v>58</v>
      </c>
      <c r="B1779" s="32">
        <f t="shared" ca="1" si="25"/>
        <v>44450</v>
      </c>
    </row>
    <row r="1780" spans="1:2" ht="15" customHeight="1" x14ac:dyDescent="0.25">
      <c r="A1780" t="s">
        <v>58</v>
      </c>
      <c r="B1780" s="32">
        <f t="shared" ca="1" si="25"/>
        <v>44450</v>
      </c>
    </row>
    <row r="1781" spans="1:2" ht="15" customHeight="1" x14ac:dyDescent="0.25">
      <c r="A1781" t="s">
        <v>0</v>
      </c>
      <c r="B1781" s="32">
        <f t="shared" ca="1" si="25"/>
        <v>44450</v>
      </c>
    </row>
    <row r="1782" spans="1:2" ht="15" customHeight="1" x14ac:dyDescent="0.25">
      <c r="A1782" t="s">
        <v>59</v>
      </c>
      <c r="B1782" s="32">
        <f t="shared" ca="1" si="25"/>
        <v>44450</v>
      </c>
    </row>
    <row r="1783" spans="1:2" ht="15" customHeight="1" x14ac:dyDescent="0.25">
      <c r="A1783" t="s">
        <v>59</v>
      </c>
      <c r="B1783" s="32">
        <f t="shared" ca="1" si="25"/>
        <v>44450</v>
      </c>
    </row>
    <row r="1784" spans="1:2" ht="15" customHeight="1" x14ac:dyDescent="0.25">
      <c r="A1784" t="s">
        <v>59</v>
      </c>
      <c r="B1784" s="32">
        <f t="shared" ca="1" si="25"/>
        <v>44450</v>
      </c>
    </row>
    <row r="1785" spans="1:2" ht="15" customHeight="1" x14ac:dyDescent="0.25">
      <c r="A1785" t="s">
        <v>59</v>
      </c>
      <c r="B1785" s="32">
        <f t="shared" ca="1" si="25"/>
        <v>44450</v>
      </c>
    </row>
    <row r="1786" spans="1:2" ht="15" customHeight="1" x14ac:dyDescent="0.25">
      <c r="A1786" t="s">
        <v>59</v>
      </c>
      <c r="B1786" s="32">
        <f t="shared" ca="1" si="25"/>
        <v>44450</v>
      </c>
    </row>
    <row r="1787" spans="1:2" ht="15" customHeight="1" x14ac:dyDescent="0.25">
      <c r="A1787" t="s">
        <v>83</v>
      </c>
      <c r="B1787" s="32">
        <f t="shared" ca="1" si="25"/>
        <v>44450</v>
      </c>
    </row>
    <row r="1788" spans="1:2" ht="15" customHeight="1" x14ac:dyDescent="0.25">
      <c r="A1788" t="s">
        <v>83</v>
      </c>
      <c r="B1788" s="32">
        <f t="shared" ca="1" si="25"/>
        <v>44450</v>
      </c>
    </row>
    <row r="1789" spans="1:2" ht="15" customHeight="1" x14ac:dyDescent="0.25">
      <c r="A1789" t="s">
        <v>83</v>
      </c>
      <c r="B1789" s="32">
        <f t="shared" ca="1" si="25"/>
        <v>44450</v>
      </c>
    </row>
    <row r="1790" spans="1:2" ht="15" customHeight="1" x14ac:dyDescent="0.25">
      <c r="A1790" t="s">
        <v>83</v>
      </c>
      <c r="B1790" s="32">
        <f t="shared" ca="1" si="25"/>
        <v>44450</v>
      </c>
    </row>
    <row r="1791" spans="1:2" ht="15" customHeight="1" x14ac:dyDescent="0.25">
      <c r="A1791" t="s">
        <v>83</v>
      </c>
      <c r="B1791" s="32">
        <f t="shared" ca="1" si="25"/>
        <v>44450</v>
      </c>
    </row>
    <row r="1792" spans="1:2" ht="15" customHeight="1" x14ac:dyDescent="0.25">
      <c r="A1792" t="s">
        <v>84</v>
      </c>
      <c r="B1792" s="32">
        <f t="shared" ca="1" si="25"/>
        <v>44450</v>
      </c>
    </row>
    <row r="1793" spans="1:2" ht="15" customHeight="1" x14ac:dyDescent="0.25">
      <c r="A1793" t="s">
        <v>84</v>
      </c>
      <c r="B1793" s="32">
        <f t="shared" ca="1" si="25"/>
        <v>44450</v>
      </c>
    </row>
    <row r="1794" spans="1:2" ht="15" customHeight="1" x14ac:dyDescent="0.25">
      <c r="A1794" t="s">
        <v>84</v>
      </c>
      <c r="B1794" s="32">
        <f t="shared" ca="1" si="25"/>
        <v>44450</v>
      </c>
    </row>
    <row r="1795" spans="1:2" ht="15" customHeight="1" x14ac:dyDescent="0.25">
      <c r="A1795" t="s">
        <v>84</v>
      </c>
      <c r="B1795" s="32">
        <f t="shared" ca="1" si="25"/>
        <v>44450</v>
      </c>
    </row>
    <row r="1796" spans="1:2" ht="15" customHeight="1" x14ac:dyDescent="0.25">
      <c r="A1796" t="s">
        <v>84</v>
      </c>
      <c r="B1796" s="32">
        <f t="shared" ca="1" si="25"/>
        <v>44450</v>
      </c>
    </row>
    <row r="1797" spans="1:2" ht="15" customHeight="1" x14ac:dyDescent="0.25">
      <c r="A1797" t="s">
        <v>85</v>
      </c>
      <c r="B1797" s="32">
        <f t="shared" ca="1" si="25"/>
        <v>44450</v>
      </c>
    </row>
    <row r="1798" spans="1:2" ht="15" customHeight="1" x14ac:dyDescent="0.25">
      <c r="A1798" t="s">
        <v>85</v>
      </c>
      <c r="B1798" s="32">
        <f t="shared" ca="1" si="25"/>
        <v>44450</v>
      </c>
    </row>
    <row r="1799" spans="1:2" ht="15" customHeight="1" x14ac:dyDescent="0.25">
      <c r="A1799" t="s">
        <v>86</v>
      </c>
      <c r="B1799" s="32">
        <f t="shared" ref="B1799:B1862" ca="1" si="26">TODAY()-150</f>
        <v>44450</v>
      </c>
    </row>
    <row r="1800" spans="1:2" ht="15" customHeight="1" x14ac:dyDescent="0.25">
      <c r="A1800" t="s">
        <v>86</v>
      </c>
      <c r="B1800" s="32">
        <f t="shared" ca="1" si="26"/>
        <v>44450</v>
      </c>
    </row>
    <row r="1801" spans="1:2" ht="15" customHeight="1" x14ac:dyDescent="0.25">
      <c r="A1801" t="s">
        <v>86</v>
      </c>
      <c r="B1801" s="32">
        <f t="shared" ca="1" si="26"/>
        <v>44450</v>
      </c>
    </row>
    <row r="1802" spans="1:2" ht="15" customHeight="1" x14ac:dyDescent="0.25">
      <c r="A1802" t="s">
        <v>87</v>
      </c>
      <c r="B1802" s="32">
        <f t="shared" ca="1" si="26"/>
        <v>44450</v>
      </c>
    </row>
    <row r="1803" spans="1:2" ht="15" customHeight="1" x14ac:dyDescent="0.25">
      <c r="A1803" t="s">
        <v>87</v>
      </c>
      <c r="B1803" s="32">
        <f t="shared" ca="1" si="26"/>
        <v>44450</v>
      </c>
    </row>
    <row r="1804" spans="1:2" ht="15" customHeight="1" x14ac:dyDescent="0.25">
      <c r="A1804" t="s">
        <v>87</v>
      </c>
      <c r="B1804" s="32">
        <f t="shared" ca="1" si="26"/>
        <v>44450</v>
      </c>
    </row>
    <row r="1805" spans="1:2" ht="15" customHeight="1" x14ac:dyDescent="0.25">
      <c r="A1805" t="s">
        <v>87</v>
      </c>
      <c r="B1805" s="32">
        <f t="shared" ca="1" si="26"/>
        <v>44450</v>
      </c>
    </row>
    <row r="1806" spans="1:2" ht="15" customHeight="1" x14ac:dyDescent="0.25">
      <c r="A1806" t="s">
        <v>87</v>
      </c>
      <c r="B1806" s="32">
        <f t="shared" ca="1" si="26"/>
        <v>44450</v>
      </c>
    </row>
    <row r="1807" spans="1:2" ht="15" customHeight="1" x14ac:dyDescent="0.25">
      <c r="A1807" t="s">
        <v>87</v>
      </c>
      <c r="B1807" s="32">
        <f t="shared" ca="1" si="26"/>
        <v>44450</v>
      </c>
    </row>
    <row r="1808" spans="1:2" ht="15" customHeight="1" x14ac:dyDescent="0.25">
      <c r="A1808" t="s">
        <v>88</v>
      </c>
      <c r="B1808" s="32">
        <f t="shared" ca="1" si="26"/>
        <v>44450</v>
      </c>
    </row>
    <row r="1809" spans="1:2" ht="15" customHeight="1" x14ac:dyDescent="0.25">
      <c r="A1809" t="s">
        <v>88</v>
      </c>
      <c r="B1809" s="32">
        <f t="shared" ca="1" si="26"/>
        <v>44450</v>
      </c>
    </row>
    <row r="1810" spans="1:2" ht="15" customHeight="1" x14ac:dyDescent="0.25">
      <c r="A1810" t="s">
        <v>86</v>
      </c>
      <c r="B1810" s="32">
        <f t="shared" ca="1" si="26"/>
        <v>44450</v>
      </c>
    </row>
    <row r="1811" spans="1:2" ht="15" customHeight="1" x14ac:dyDescent="0.25">
      <c r="A1811" t="s">
        <v>88</v>
      </c>
      <c r="B1811" s="32">
        <f t="shared" ca="1" si="26"/>
        <v>44450</v>
      </c>
    </row>
    <row r="1812" spans="1:2" ht="15" customHeight="1" x14ac:dyDescent="0.25">
      <c r="A1812" t="s">
        <v>88</v>
      </c>
      <c r="B1812" s="32">
        <f t="shared" ca="1" si="26"/>
        <v>44450</v>
      </c>
    </row>
    <row r="1813" spans="1:2" ht="15" customHeight="1" x14ac:dyDescent="0.25">
      <c r="A1813" t="s">
        <v>88</v>
      </c>
      <c r="B1813" s="32">
        <f t="shared" ca="1" si="26"/>
        <v>44450</v>
      </c>
    </row>
    <row r="1814" spans="1:2" ht="15" customHeight="1" x14ac:dyDescent="0.25">
      <c r="A1814" t="s">
        <v>89</v>
      </c>
      <c r="B1814" s="32">
        <f t="shared" ca="1" si="26"/>
        <v>44450</v>
      </c>
    </row>
    <row r="1815" spans="1:2" ht="15" customHeight="1" x14ac:dyDescent="0.25">
      <c r="A1815" t="s">
        <v>89</v>
      </c>
      <c r="B1815" s="32">
        <f t="shared" ca="1" si="26"/>
        <v>44450</v>
      </c>
    </row>
    <row r="1816" spans="1:2" ht="15" customHeight="1" x14ac:dyDescent="0.25">
      <c r="A1816" t="s">
        <v>89</v>
      </c>
      <c r="B1816" s="32">
        <f t="shared" ca="1" si="26"/>
        <v>44450</v>
      </c>
    </row>
    <row r="1817" spans="1:2" ht="15" customHeight="1" x14ac:dyDescent="0.25">
      <c r="A1817" t="s">
        <v>89</v>
      </c>
      <c r="B1817" s="32">
        <f t="shared" ca="1" si="26"/>
        <v>44450</v>
      </c>
    </row>
    <row r="1818" spans="1:2" ht="15" customHeight="1" x14ac:dyDescent="0.25">
      <c r="A1818" t="s">
        <v>89</v>
      </c>
      <c r="B1818" s="32">
        <f t="shared" ca="1" si="26"/>
        <v>44450</v>
      </c>
    </row>
    <row r="1819" spans="1:2" ht="15" customHeight="1" x14ac:dyDescent="0.25">
      <c r="A1819" t="s">
        <v>90</v>
      </c>
      <c r="B1819" s="32">
        <f t="shared" ca="1" si="26"/>
        <v>44450</v>
      </c>
    </row>
    <row r="1820" spans="1:2" ht="15" customHeight="1" x14ac:dyDescent="0.25">
      <c r="A1820" t="s">
        <v>90</v>
      </c>
      <c r="B1820" s="32">
        <f t="shared" ca="1" si="26"/>
        <v>44450</v>
      </c>
    </row>
    <row r="1821" spans="1:2" ht="15" customHeight="1" x14ac:dyDescent="0.25">
      <c r="A1821" t="s">
        <v>90</v>
      </c>
      <c r="B1821" s="32">
        <f t="shared" ca="1" si="26"/>
        <v>44450</v>
      </c>
    </row>
    <row r="1822" spans="1:2" ht="15" customHeight="1" x14ac:dyDescent="0.25">
      <c r="A1822" t="s">
        <v>90</v>
      </c>
      <c r="B1822" s="32">
        <f t="shared" ca="1" si="26"/>
        <v>44450</v>
      </c>
    </row>
    <row r="1823" spans="1:2" ht="15" customHeight="1" x14ac:dyDescent="0.25">
      <c r="A1823" t="s">
        <v>90</v>
      </c>
      <c r="B1823" s="32">
        <f t="shared" ca="1" si="26"/>
        <v>44450</v>
      </c>
    </row>
    <row r="1824" spans="1:2" ht="15" customHeight="1" x14ac:dyDescent="0.25">
      <c r="A1824" t="s">
        <v>99</v>
      </c>
      <c r="B1824" s="32">
        <f t="shared" ca="1" si="26"/>
        <v>44450</v>
      </c>
    </row>
    <row r="1825" spans="1:2" ht="15" customHeight="1" x14ac:dyDescent="0.25">
      <c r="A1825" t="s">
        <v>99</v>
      </c>
      <c r="B1825" s="32">
        <f t="shared" ca="1" si="26"/>
        <v>44450</v>
      </c>
    </row>
    <row r="1826" spans="1:2" ht="15" customHeight="1" x14ac:dyDescent="0.25">
      <c r="A1826" t="s">
        <v>100</v>
      </c>
      <c r="B1826" s="32">
        <f t="shared" ca="1" si="26"/>
        <v>44450</v>
      </c>
    </row>
    <row r="1827" spans="1:2" ht="15" customHeight="1" x14ac:dyDescent="0.25">
      <c r="A1827" t="s">
        <v>100</v>
      </c>
      <c r="B1827" s="32">
        <f t="shared" ca="1" si="26"/>
        <v>44450</v>
      </c>
    </row>
    <row r="1828" spans="1:2" ht="15" customHeight="1" x14ac:dyDescent="0.25">
      <c r="A1828" t="s">
        <v>100</v>
      </c>
      <c r="B1828" s="32">
        <f t="shared" ca="1" si="26"/>
        <v>44450</v>
      </c>
    </row>
    <row r="1829" spans="1:2" ht="15" customHeight="1" x14ac:dyDescent="0.25">
      <c r="A1829" t="s">
        <v>101</v>
      </c>
      <c r="B1829" s="32">
        <f t="shared" ca="1" si="26"/>
        <v>44450</v>
      </c>
    </row>
    <row r="1830" spans="1:2" ht="15" customHeight="1" x14ac:dyDescent="0.25">
      <c r="A1830" t="s">
        <v>101</v>
      </c>
      <c r="B1830" s="32">
        <f t="shared" ca="1" si="26"/>
        <v>44450</v>
      </c>
    </row>
    <row r="1831" spans="1:2" ht="15" customHeight="1" x14ac:dyDescent="0.25">
      <c r="A1831" t="s">
        <v>101</v>
      </c>
      <c r="B1831" s="32">
        <f t="shared" ca="1" si="26"/>
        <v>44450</v>
      </c>
    </row>
    <row r="1832" spans="1:2" ht="15" customHeight="1" x14ac:dyDescent="0.25">
      <c r="A1832" t="s">
        <v>108</v>
      </c>
      <c r="B1832" s="32">
        <f t="shared" ca="1" si="26"/>
        <v>44450</v>
      </c>
    </row>
    <row r="1833" spans="1:2" ht="15" customHeight="1" x14ac:dyDescent="0.25">
      <c r="A1833" t="s">
        <v>108</v>
      </c>
      <c r="B1833" s="32">
        <f t="shared" ca="1" si="26"/>
        <v>44450</v>
      </c>
    </row>
    <row r="1834" spans="1:2" ht="15" customHeight="1" x14ac:dyDescent="0.25">
      <c r="A1834" t="s">
        <v>109</v>
      </c>
      <c r="B1834" s="32">
        <f t="shared" ca="1" si="26"/>
        <v>44450</v>
      </c>
    </row>
    <row r="1835" spans="1:2" ht="15" customHeight="1" x14ac:dyDescent="0.25">
      <c r="A1835" t="s">
        <v>109</v>
      </c>
      <c r="B1835" s="32">
        <f t="shared" ca="1" si="26"/>
        <v>44450</v>
      </c>
    </row>
    <row r="1836" spans="1:2" ht="15" customHeight="1" x14ac:dyDescent="0.25">
      <c r="A1836" t="s">
        <v>109</v>
      </c>
      <c r="B1836" s="32">
        <f t="shared" ca="1" si="26"/>
        <v>44450</v>
      </c>
    </row>
    <row r="1837" spans="1:2" ht="15" customHeight="1" x14ac:dyDescent="0.25">
      <c r="A1837" t="s">
        <v>109</v>
      </c>
      <c r="B1837" s="32">
        <f t="shared" ca="1" si="26"/>
        <v>44450</v>
      </c>
    </row>
    <row r="1838" spans="1:2" ht="15" customHeight="1" x14ac:dyDescent="0.25">
      <c r="A1838" t="s">
        <v>109</v>
      </c>
      <c r="B1838" s="32">
        <f t="shared" ca="1" si="26"/>
        <v>44450</v>
      </c>
    </row>
    <row r="1839" spans="1:2" ht="15" customHeight="1" x14ac:dyDescent="0.25">
      <c r="A1839" t="s">
        <v>110</v>
      </c>
      <c r="B1839" s="32">
        <f t="shared" ca="1" si="26"/>
        <v>44450</v>
      </c>
    </row>
    <row r="1840" spans="1:2" ht="15" customHeight="1" x14ac:dyDescent="0.25">
      <c r="A1840" t="s">
        <v>110</v>
      </c>
      <c r="B1840" s="32">
        <f t="shared" ca="1" si="26"/>
        <v>44450</v>
      </c>
    </row>
    <row r="1841" spans="1:2" ht="15" customHeight="1" x14ac:dyDescent="0.25">
      <c r="A1841" t="s">
        <v>110</v>
      </c>
      <c r="B1841" s="32">
        <f t="shared" ca="1" si="26"/>
        <v>44450</v>
      </c>
    </row>
    <row r="1842" spans="1:2" ht="15" customHeight="1" x14ac:dyDescent="0.25">
      <c r="A1842" t="s">
        <v>110</v>
      </c>
      <c r="B1842" s="32">
        <f t="shared" ca="1" si="26"/>
        <v>44450</v>
      </c>
    </row>
    <row r="1843" spans="1:2" ht="15" customHeight="1" x14ac:dyDescent="0.25">
      <c r="A1843" t="s">
        <v>110</v>
      </c>
      <c r="B1843" s="32">
        <f t="shared" ca="1" si="26"/>
        <v>44450</v>
      </c>
    </row>
    <row r="1844" spans="1:2" ht="15" customHeight="1" x14ac:dyDescent="0.25">
      <c r="A1844" t="s">
        <v>102</v>
      </c>
      <c r="B1844" s="32">
        <f t="shared" ca="1" si="26"/>
        <v>44450</v>
      </c>
    </row>
    <row r="1845" spans="1:2" ht="15" customHeight="1" x14ac:dyDescent="0.25">
      <c r="A1845" t="s">
        <v>102</v>
      </c>
      <c r="B1845" s="32">
        <f t="shared" ca="1" si="26"/>
        <v>44450</v>
      </c>
    </row>
    <row r="1846" spans="1:2" ht="15" customHeight="1" x14ac:dyDescent="0.25">
      <c r="A1846" t="s">
        <v>102</v>
      </c>
      <c r="B1846" s="32">
        <f t="shared" ca="1" si="26"/>
        <v>44450</v>
      </c>
    </row>
    <row r="1847" spans="1:2" ht="15" customHeight="1" x14ac:dyDescent="0.25">
      <c r="A1847" t="s">
        <v>103</v>
      </c>
      <c r="B1847" s="32">
        <f t="shared" ca="1" si="26"/>
        <v>44450</v>
      </c>
    </row>
    <row r="1848" spans="1:2" ht="15" customHeight="1" x14ac:dyDescent="0.25">
      <c r="A1848" t="s">
        <v>103</v>
      </c>
      <c r="B1848" s="32">
        <f t="shared" ca="1" si="26"/>
        <v>44450</v>
      </c>
    </row>
    <row r="1849" spans="1:2" ht="15" customHeight="1" x14ac:dyDescent="0.25">
      <c r="A1849" t="s">
        <v>103</v>
      </c>
      <c r="B1849" s="32">
        <f t="shared" ca="1" si="26"/>
        <v>44450</v>
      </c>
    </row>
    <row r="1850" spans="1:2" ht="15" customHeight="1" x14ac:dyDescent="0.25">
      <c r="A1850" t="s">
        <v>103</v>
      </c>
      <c r="B1850" s="32">
        <f t="shared" ca="1" si="26"/>
        <v>44450</v>
      </c>
    </row>
    <row r="1851" spans="1:2" ht="15" customHeight="1" x14ac:dyDescent="0.25">
      <c r="A1851" t="s">
        <v>104</v>
      </c>
      <c r="B1851" s="32">
        <f t="shared" ca="1" si="26"/>
        <v>44450</v>
      </c>
    </row>
    <row r="1852" spans="1:2" ht="15" customHeight="1" x14ac:dyDescent="0.25">
      <c r="A1852" t="s">
        <v>104</v>
      </c>
      <c r="B1852" s="32">
        <f t="shared" ca="1" si="26"/>
        <v>44450</v>
      </c>
    </row>
    <row r="1853" spans="1:2" ht="15" customHeight="1" x14ac:dyDescent="0.25">
      <c r="A1853" t="s">
        <v>104</v>
      </c>
      <c r="B1853" s="32">
        <f t="shared" ca="1" si="26"/>
        <v>44450</v>
      </c>
    </row>
    <row r="1854" spans="1:2" ht="15" customHeight="1" x14ac:dyDescent="0.25">
      <c r="A1854" t="s">
        <v>104</v>
      </c>
      <c r="B1854" s="32">
        <f t="shared" ca="1" si="26"/>
        <v>44450</v>
      </c>
    </row>
    <row r="1855" spans="1:2" ht="15" customHeight="1" x14ac:dyDescent="0.25">
      <c r="A1855" t="s">
        <v>105</v>
      </c>
      <c r="B1855" s="32">
        <f t="shared" ca="1" si="26"/>
        <v>44450</v>
      </c>
    </row>
    <row r="1856" spans="1:2" ht="15" customHeight="1" x14ac:dyDescent="0.25">
      <c r="A1856" t="s">
        <v>105</v>
      </c>
      <c r="B1856" s="32">
        <f t="shared" ca="1" si="26"/>
        <v>44450</v>
      </c>
    </row>
    <row r="1857" spans="1:2" ht="15" customHeight="1" x14ac:dyDescent="0.25">
      <c r="A1857" t="s">
        <v>106</v>
      </c>
      <c r="B1857" s="32">
        <f t="shared" ca="1" si="26"/>
        <v>44450</v>
      </c>
    </row>
    <row r="1858" spans="1:2" ht="15" customHeight="1" x14ac:dyDescent="0.25">
      <c r="A1858" t="s">
        <v>106</v>
      </c>
      <c r="B1858" s="32">
        <f t="shared" ca="1" si="26"/>
        <v>44450</v>
      </c>
    </row>
    <row r="1859" spans="1:2" ht="15" customHeight="1" x14ac:dyDescent="0.25">
      <c r="A1859" t="s">
        <v>106</v>
      </c>
      <c r="B1859" s="32">
        <f t="shared" ca="1" si="26"/>
        <v>44450</v>
      </c>
    </row>
    <row r="1860" spans="1:2" ht="15" customHeight="1" x14ac:dyDescent="0.25">
      <c r="A1860" t="s">
        <v>106</v>
      </c>
      <c r="B1860" s="32">
        <f t="shared" ca="1" si="26"/>
        <v>44450</v>
      </c>
    </row>
    <row r="1861" spans="1:2" ht="15" customHeight="1" x14ac:dyDescent="0.25">
      <c r="A1861" t="s">
        <v>107</v>
      </c>
      <c r="B1861" s="32">
        <f t="shared" ca="1" si="26"/>
        <v>44450</v>
      </c>
    </row>
    <row r="1862" spans="1:2" ht="15" customHeight="1" x14ac:dyDescent="0.25">
      <c r="A1862" t="s">
        <v>107</v>
      </c>
      <c r="B1862" s="32">
        <f t="shared" ca="1" si="26"/>
        <v>44450</v>
      </c>
    </row>
    <row r="1863" spans="1:2" ht="15" customHeight="1" x14ac:dyDescent="0.25">
      <c r="A1863" t="s">
        <v>107</v>
      </c>
      <c r="B1863" s="32">
        <f t="shared" ref="B1863:B1924" ca="1" si="27">TODAY()-150</f>
        <v>44450</v>
      </c>
    </row>
    <row r="1864" spans="1:2" ht="15" customHeight="1" x14ac:dyDescent="0.25">
      <c r="A1864" t="s">
        <v>107</v>
      </c>
      <c r="B1864" s="32">
        <f t="shared" ca="1" si="27"/>
        <v>44450</v>
      </c>
    </row>
    <row r="1865" spans="1:2" ht="15" customHeight="1" x14ac:dyDescent="0.25">
      <c r="A1865" t="s">
        <v>145</v>
      </c>
      <c r="B1865" s="32">
        <f t="shared" ca="1" si="27"/>
        <v>44450</v>
      </c>
    </row>
    <row r="1866" spans="1:2" ht="15" customHeight="1" x14ac:dyDescent="0.25">
      <c r="A1866" t="s">
        <v>145</v>
      </c>
      <c r="B1866" s="32">
        <f t="shared" ca="1" si="27"/>
        <v>44450</v>
      </c>
    </row>
    <row r="1867" spans="1:2" ht="15" customHeight="1" x14ac:dyDescent="0.25">
      <c r="A1867" t="s">
        <v>145</v>
      </c>
      <c r="B1867" s="32">
        <f t="shared" ca="1" si="27"/>
        <v>44450</v>
      </c>
    </row>
    <row r="1868" spans="1:2" ht="15" customHeight="1" x14ac:dyDescent="0.25">
      <c r="A1868" t="s">
        <v>60</v>
      </c>
      <c r="B1868" s="32">
        <f t="shared" ca="1" si="27"/>
        <v>44450</v>
      </c>
    </row>
    <row r="1869" spans="1:2" ht="15" customHeight="1" x14ac:dyDescent="0.25">
      <c r="A1869" t="s">
        <v>60</v>
      </c>
      <c r="B1869" s="32">
        <f t="shared" ca="1" si="27"/>
        <v>44450</v>
      </c>
    </row>
    <row r="1870" spans="1:2" ht="15" customHeight="1" x14ac:dyDescent="0.25">
      <c r="A1870" t="s">
        <v>60</v>
      </c>
      <c r="B1870" s="32">
        <f t="shared" ca="1" si="27"/>
        <v>44450</v>
      </c>
    </row>
    <row r="1871" spans="1:2" ht="15" customHeight="1" x14ac:dyDescent="0.25">
      <c r="A1871" t="s">
        <v>61</v>
      </c>
      <c r="B1871" s="32">
        <f t="shared" ca="1" si="27"/>
        <v>44450</v>
      </c>
    </row>
    <row r="1872" spans="1:2" ht="15" customHeight="1" x14ac:dyDescent="0.25">
      <c r="A1872" t="s">
        <v>61</v>
      </c>
      <c r="B1872" s="32">
        <f t="shared" ca="1" si="27"/>
        <v>44450</v>
      </c>
    </row>
    <row r="1873" spans="1:2" ht="15" customHeight="1" x14ac:dyDescent="0.25">
      <c r="A1873" t="s">
        <v>61</v>
      </c>
      <c r="B1873" s="32">
        <f t="shared" ca="1" si="27"/>
        <v>44450</v>
      </c>
    </row>
    <row r="1874" spans="1:2" ht="15" customHeight="1" x14ac:dyDescent="0.25">
      <c r="A1874" t="s">
        <v>111</v>
      </c>
      <c r="B1874" s="32">
        <f t="shared" ca="1" si="27"/>
        <v>44450</v>
      </c>
    </row>
    <row r="1875" spans="1:2" ht="15" customHeight="1" x14ac:dyDescent="0.25">
      <c r="A1875" t="s">
        <v>111</v>
      </c>
      <c r="B1875" s="32">
        <f t="shared" ca="1" si="27"/>
        <v>44450</v>
      </c>
    </row>
    <row r="1876" spans="1:2" ht="15" customHeight="1" x14ac:dyDescent="0.25">
      <c r="A1876" t="s">
        <v>111</v>
      </c>
      <c r="B1876" s="32">
        <f t="shared" ca="1" si="27"/>
        <v>44450</v>
      </c>
    </row>
    <row r="1877" spans="1:2" ht="15" customHeight="1" x14ac:dyDescent="0.25">
      <c r="A1877" t="s">
        <v>69</v>
      </c>
      <c r="B1877" s="32">
        <f t="shared" ca="1" si="27"/>
        <v>44450</v>
      </c>
    </row>
    <row r="1878" spans="1:2" ht="15" customHeight="1" x14ac:dyDescent="0.25">
      <c r="A1878" t="s">
        <v>62</v>
      </c>
      <c r="B1878" s="32">
        <f t="shared" ca="1" si="27"/>
        <v>44450</v>
      </c>
    </row>
    <row r="1879" spans="1:2" ht="15" customHeight="1" x14ac:dyDescent="0.25">
      <c r="A1879" t="s">
        <v>62</v>
      </c>
      <c r="B1879" s="32">
        <f t="shared" ca="1" si="27"/>
        <v>44450</v>
      </c>
    </row>
    <row r="1880" spans="1:2" ht="15" customHeight="1" x14ac:dyDescent="0.25">
      <c r="A1880" t="s">
        <v>62</v>
      </c>
      <c r="B1880" s="32">
        <f t="shared" ca="1" si="27"/>
        <v>44450</v>
      </c>
    </row>
    <row r="1881" spans="1:2" ht="15" customHeight="1" x14ac:dyDescent="0.25">
      <c r="A1881" t="s">
        <v>62</v>
      </c>
      <c r="B1881" s="32">
        <f t="shared" ca="1" si="27"/>
        <v>44450</v>
      </c>
    </row>
    <row r="1882" spans="1:2" ht="15" customHeight="1" x14ac:dyDescent="0.25">
      <c r="A1882" t="s">
        <v>63</v>
      </c>
      <c r="B1882" s="32">
        <f t="shared" ca="1" si="27"/>
        <v>44450</v>
      </c>
    </row>
    <row r="1883" spans="1:2" ht="15" customHeight="1" x14ac:dyDescent="0.25">
      <c r="A1883" t="s">
        <v>63</v>
      </c>
      <c r="B1883" s="32">
        <f t="shared" ca="1" si="27"/>
        <v>44450</v>
      </c>
    </row>
    <row r="1884" spans="1:2" ht="15" customHeight="1" x14ac:dyDescent="0.25">
      <c r="A1884" t="s">
        <v>63</v>
      </c>
      <c r="B1884" s="32">
        <f t="shared" ca="1" si="27"/>
        <v>44450</v>
      </c>
    </row>
    <row r="1885" spans="1:2" ht="15" customHeight="1" x14ac:dyDescent="0.25">
      <c r="A1885" t="s">
        <v>63</v>
      </c>
      <c r="B1885" s="32">
        <f t="shared" ca="1" si="27"/>
        <v>44450</v>
      </c>
    </row>
    <row r="1886" spans="1:2" ht="15" customHeight="1" x14ac:dyDescent="0.25">
      <c r="A1886" t="s">
        <v>95</v>
      </c>
      <c r="B1886" s="32">
        <f t="shared" ca="1" si="27"/>
        <v>44450</v>
      </c>
    </row>
    <row r="1887" spans="1:2" ht="15" customHeight="1" x14ac:dyDescent="0.25">
      <c r="A1887" t="s">
        <v>95</v>
      </c>
      <c r="B1887" s="32">
        <f t="shared" ca="1" si="27"/>
        <v>44450</v>
      </c>
    </row>
    <row r="1888" spans="1:2" ht="15" customHeight="1" x14ac:dyDescent="0.25">
      <c r="A1888" t="s">
        <v>95</v>
      </c>
      <c r="B1888" s="32">
        <f t="shared" ca="1" si="27"/>
        <v>44450</v>
      </c>
    </row>
    <row r="1889" spans="1:2" ht="15" customHeight="1" x14ac:dyDescent="0.25">
      <c r="A1889" t="s">
        <v>95</v>
      </c>
      <c r="B1889" s="32">
        <f t="shared" ca="1" si="27"/>
        <v>44450</v>
      </c>
    </row>
    <row r="1890" spans="1:2" ht="15" customHeight="1" x14ac:dyDescent="0.25">
      <c r="A1890" t="s">
        <v>95</v>
      </c>
      <c r="B1890" s="32">
        <f t="shared" ca="1" si="27"/>
        <v>44450</v>
      </c>
    </row>
    <row r="1891" spans="1:2" ht="15" customHeight="1" x14ac:dyDescent="0.25">
      <c r="A1891" t="s">
        <v>96</v>
      </c>
      <c r="B1891" s="32">
        <f t="shared" ca="1" si="27"/>
        <v>44450</v>
      </c>
    </row>
    <row r="1892" spans="1:2" ht="15" customHeight="1" x14ac:dyDescent="0.25">
      <c r="A1892" t="s">
        <v>96</v>
      </c>
      <c r="B1892" s="32">
        <f t="shared" ca="1" si="27"/>
        <v>44450</v>
      </c>
    </row>
    <row r="1893" spans="1:2" ht="15" customHeight="1" x14ac:dyDescent="0.25">
      <c r="A1893" t="s">
        <v>96</v>
      </c>
      <c r="B1893" s="32">
        <f t="shared" ca="1" si="27"/>
        <v>44450</v>
      </c>
    </row>
    <row r="1894" spans="1:2" ht="15" customHeight="1" x14ac:dyDescent="0.25">
      <c r="A1894" t="s">
        <v>96</v>
      </c>
      <c r="B1894" s="32">
        <f t="shared" ca="1" si="27"/>
        <v>44450</v>
      </c>
    </row>
    <row r="1895" spans="1:2" ht="15" customHeight="1" x14ac:dyDescent="0.25">
      <c r="A1895" t="s">
        <v>96</v>
      </c>
      <c r="B1895" s="32">
        <f t="shared" ca="1" si="27"/>
        <v>44450</v>
      </c>
    </row>
    <row r="1896" spans="1:2" ht="15" customHeight="1" x14ac:dyDescent="0.25">
      <c r="A1896" t="s">
        <v>97</v>
      </c>
      <c r="B1896" s="32">
        <f t="shared" ca="1" si="27"/>
        <v>44450</v>
      </c>
    </row>
    <row r="1897" spans="1:2" ht="15" customHeight="1" x14ac:dyDescent="0.25">
      <c r="A1897" t="s">
        <v>97</v>
      </c>
      <c r="B1897" s="32">
        <f t="shared" ca="1" si="27"/>
        <v>44450</v>
      </c>
    </row>
    <row r="1898" spans="1:2" ht="15" customHeight="1" x14ac:dyDescent="0.25">
      <c r="A1898" t="s">
        <v>97</v>
      </c>
      <c r="B1898" s="32">
        <f t="shared" ca="1" si="27"/>
        <v>44450</v>
      </c>
    </row>
    <row r="1899" spans="1:2" ht="15" customHeight="1" x14ac:dyDescent="0.25">
      <c r="A1899" t="s">
        <v>97</v>
      </c>
      <c r="B1899" s="32">
        <f t="shared" ca="1" si="27"/>
        <v>44450</v>
      </c>
    </row>
    <row r="1900" spans="1:2" ht="15" customHeight="1" x14ac:dyDescent="0.25">
      <c r="A1900" t="s">
        <v>97</v>
      </c>
      <c r="B1900" s="32">
        <f t="shared" ca="1" si="27"/>
        <v>44450</v>
      </c>
    </row>
    <row r="1901" spans="1:2" ht="15" customHeight="1" x14ac:dyDescent="0.25">
      <c r="A1901" t="s">
        <v>64</v>
      </c>
      <c r="B1901" s="32">
        <f t="shared" ca="1" si="27"/>
        <v>44450</v>
      </c>
    </row>
    <row r="1902" spans="1:2" ht="15" customHeight="1" x14ac:dyDescent="0.25">
      <c r="A1902" t="s">
        <v>64</v>
      </c>
      <c r="B1902" s="32">
        <f t="shared" ca="1" si="27"/>
        <v>44450</v>
      </c>
    </row>
    <row r="1903" spans="1:2" ht="15" customHeight="1" x14ac:dyDescent="0.25">
      <c r="A1903" t="s">
        <v>64</v>
      </c>
      <c r="B1903" s="32">
        <f t="shared" ca="1" si="27"/>
        <v>44450</v>
      </c>
    </row>
    <row r="1904" spans="1:2" ht="15" customHeight="1" x14ac:dyDescent="0.25">
      <c r="A1904" t="s">
        <v>65</v>
      </c>
      <c r="B1904" s="32">
        <f t="shared" ca="1" si="27"/>
        <v>44450</v>
      </c>
    </row>
    <row r="1905" spans="1:2" ht="15" customHeight="1" x14ac:dyDescent="0.25">
      <c r="A1905" t="s">
        <v>65</v>
      </c>
      <c r="B1905" s="32">
        <f t="shared" ca="1" si="27"/>
        <v>44450</v>
      </c>
    </row>
    <row r="1906" spans="1:2" ht="15" customHeight="1" x14ac:dyDescent="0.25">
      <c r="A1906" t="s">
        <v>65</v>
      </c>
      <c r="B1906" s="32">
        <f t="shared" ca="1" si="27"/>
        <v>44450</v>
      </c>
    </row>
    <row r="1907" spans="1:2" ht="15" customHeight="1" x14ac:dyDescent="0.25">
      <c r="A1907" t="s">
        <v>73</v>
      </c>
      <c r="B1907" s="32">
        <f t="shared" ca="1" si="27"/>
        <v>44450</v>
      </c>
    </row>
    <row r="1908" spans="1:2" ht="15" customHeight="1" x14ac:dyDescent="0.25">
      <c r="A1908" t="s">
        <v>73</v>
      </c>
      <c r="B1908" s="32">
        <f t="shared" ca="1" si="27"/>
        <v>44450</v>
      </c>
    </row>
    <row r="1909" spans="1:2" ht="15" customHeight="1" x14ac:dyDescent="0.25">
      <c r="A1909" t="s">
        <v>73</v>
      </c>
      <c r="B1909" s="32">
        <f t="shared" ca="1" si="27"/>
        <v>44450</v>
      </c>
    </row>
    <row r="1910" spans="1:2" ht="15" customHeight="1" x14ac:dyDescent="0.25">
      <c r="A1910" t="s">
        <v>74</v>
      </c>
      <c r="B1910" s="32">
        <f t="shared" ca="1" si="27"/>
        <v>44450</v>
      </c>
    </row>
    <row r="1911" spans="1:2" ht="15" customHeight="1" x14ac:dyDescent="0.25">
      <c r="A1911" t="s">
        <v>74</v>
      </c>
      <c r="B1911" s="32">
        <f t="shared" ca="1" si="27"/>
        <v>44450</v>
      </c>
    </row>
    <row r="1912" spans="1:2" ht="15" customHeight="1" x14ac:dyDescent="0.25">
      <c r="A1912" t="s">
        <v>74</v>
      </c>
      <c r="B1912" s="32">
        <f t="shared" ca="1" si="27"/>
        <v>44450</v>
      </c>
    </row>
    <row r="1913" spans="1:2" ht="15" customHeight="1" x14ac:dyDescent="0.25">
      <c r="A1913" t="s">
        <v>74</v>
      </c>
      <c r="B1913" s="32">
        <f t="shared" ca="1" si="27"/>
        <v>44450</v>
      </c>
    </row>
    <row r="1914" spans="1:2" ht="15" customHeight="1" x14ac:dyDescent="0.25">
      <c r="A1914" t="s">
        <v>91</v>
      </c>
      <c r="B1914" s="32">
        <f t="shared" ca="1" si="27"/>
        <v>44450</v>
      </c>
    </row>
    <row r="1915" spans="1:2" ht="15" customHeight="1" x14ac:dyDescent="0.25">
      <c r="A1915" t="s">
        <v>146</v>
      </c>
      <c r="B1915" s="32">
        <f t="shared" ca="1" si="27"/>
        <v>44450</v>
      </c>
    </row>
    <row r="1916" spans="1:2" ht="15" customHeight="1" x14ac:dyDescent="0.25">
      <c r="A1916" t="s">
        <v>66</v>
      </c>
      <c r="B1916" s="32">
        <f t="shared" ca="1" si="27"/>
        <v>44450</v>
      </c>
    </row>
    <row r="1917" spans="1:2" ht="15" customHeight="1" x14ac:dyDescent="0.25">
      <c r="A1917" t="s">
        <v>67</v>
      </c>
      <c r="B1917" s="32">
        <f t="shared" ca="1" si="27"/>
        <v>44450</v>
      </c>
    </row>
    <row r="1918" spans="1:2" ht="15" customHeight="1" x14ac:dyDescent="0.25">
      <c r="A1918" t="s">
        <v>68</v>
      </c>
      <c r="B1918" s="32">
        <f t="shared" ca="1" si="27"/>
        <v>44450</v>
      </c>
    </row>
    <row r="1919" spans="1:2" ht="15" customHeight="1" x14ac:dyDescent="0.25">
      <c r="A1919" t="s">
        <v>68</v>
      </c>
      <c r="B1919" s="32">
        <f t="shared" ca="1" si="27"/>
        <v>44450</v>
      </c>
    </row>
    <row r="1920" spans="1:2" ht="15" customHeight="1" x14ac:dyDescent="0.25">
      <c r="A1920" t="s">
        <v>68</v>
      </c>
      <c r="B1920" s="32">
        <f t="shared" ca="1" si="27"/>
        <v>44450</v>
      </c>
    </row>
    <row r="1921" spans="1:2" ht="15" customHeight="1" x14ac:dyDescent="0.25">
      <c r="A1921" t="s">
        <v>72</v>
      </c>
      <c r="B1921" s="32">
        <f t="shared" ca="1" si="27"/>
        <v>44450</v>
      </c>
    </row>
    <row r="1922" spans="1:2" ht="15" customHeight="1" x14ac:dyDescent="0.25">
      <c r="A1922" t="s">
        <v>72</v>
      </c>
      <c r="B1922" s="32">
        <f t="shared" ca="1" si="27"/>
        <v>44450</v>
      </c>
    </row>
    <row r="1923" spans="1:2" ht="15" customHeight="1" x14ac:dyDescent="0.25">
      <c r="A1923" t="s">
        <v>72</v>
      </c>
      <c r="B1923" s="32">
        <f t="shared" ca="1" si="27"/>
        <v>44450</v>
      </c>
    </row>
    <row r="1924" spans="1:2" ht="15" customHeight="1" x14ac:dyDescent="0.25">
      <c r="A1924" t="s">
        <v>72</v>
      </c>
      <c r="B1924" s="32">
        <f t="shared" ca="1" si="27"/>
        <v>44450</v>
      </c>
    </row>
    <row r="1925" spans="1:2" ht="15" customHeight="1" x14ac:dyDescent="0.25">
      <c r="A1925" t="s">
        <v>72</v>
      </c>
    </row>
    <row r="1926" spans="1:2" ht="15" customHeight="1" x14ac:dyDescent="0.25">
      <c r="A1926" t="s">
        <v>70</v>
      </c>
    </row>
    <row r="1927" spans="1:2" ht="15" customHeight="1" x14ac:dyDescent="0.25">
      <c r="A1927" t="s">
        <v>70</v>
      </c>
    </row>
    <row r="1928" spans="1:2" ht="15" customHeight="1" x14ac:dyDescent="0.25">
      <c r="A1928" t="s">
        <v>70</v>
      </c>
    </row>
    <row r="1929" spans="1:2" ht="15" customHeight="1" x14ac:dyDescent="0.25">
      <c r="A1929" t="s">
        <v>70</v>
      </c>
    </row>
    <row r="1930" spans="1:2" ht="15" customHeight="1" x14ac:dyDescent="0.25">
      <c r="A1930" t="s">
        <v>70</v>
      </c>
    </row>
    <row r="1931" spans="1:2" ht="15" customHeight="1" x14ac:dyDescent="0.25">
      <c r="A1931" t="s">
        <v>78</v>
      </c>
    </row>
    <row r="1932" spans="1:2" ht="15" customHeight="1" x14ac:dyDescent="0.25">
      <c r="A1932" t="s">
        <v>78</v>
      </c>
    </row>
    <row r="1933" spans="1:2" ht="15" customHeight="1" x14ac:dyDescent="0.25">
      <c r="A1933" t="s">
        <v>78</v>
      </c>
    </row>
    <row r="1934" spans="1:2" ht="15" customHeight="1" x14ac:dyDescent="0.25">
      <c r="A1934" t="s">
        <v>78</v>
      </c>
    </row>
    <row r="1935" spans="1:2" ht="15" customHeight="1" x14ac:dyDescent="0.25">
      <c r="A1935" t="s">
        <v>78</v>
      </c>
    </row>
    <row r="1936" spans="1:2" ht="15" customHeight="1" x14ac:dyDescent="0.25">
      <c r="A1936" t="s">
        <v>71</v>
      </c>
    </row>
    <row r="1937" spans="1:1" ht="15" customHeight="1" x14ac:dyDescent="0.25">
      <c r="A1937" t="s">
        <v>98</v>
      </c>
    </row>
    <row r="1938" spans="1:1" ht="15" customHeight="1" x14ac:dyDescent="0.25">
      <c r="A1938" t="s">
        <v>147</v>
      </c>
    </row>
    <row r="1939" spans="1:1" ht="15" customHeight="1" x14ac:dyDescent="0.25">
      <c r="A1939" t="s">
        <v>147</v>
      </c>
    </row>
    <row r="1940" spans="1:1" ht="15" customHeight="1" x14ac:dyDescent="0.25">
      <c r="A1940" t="s">
        <v>147</v>
      </c>
    </row>
    <row r="1941" spans="1:1" ht="15" customHeight="1" x14ac:dyDescent="0.25">
      <c r="A1941" t="s">
        <v>147</v>
      </c>
    </row>
    <row r="1942" spans="1:1" ht="15" customHeight="1" x14ac:dyDescent="0.25">
      <c r="A1942" t="s">
        <v>147</v>
      </c>
    </row>
    <row r="1943" spans="1:1" ht="15" customHeight="1" x14ac:dyDescent="0.25">
      <c r="A1943" t="s">
        <v>69</v>
      </c>
    </row>
    <row r="1944" spans="1:1" ht="15" customHeight="1" x14ac:dyDescent="0.25">
      <c r="A1944" t="s">
        <v>69</v>
      </c>
    </row>
    <row r="1945" spans="1:1" ht="15" customHeight="1" x14ac:dyDescent="0.25">
      <c r="A1945" t="s">
        <v>69</v>
      </c>
    </row>
    <row r="1946" spans="1:1" ht="15" customHeight="1" x14ac:dyDescent="0.25">
      <c r="A1946" t="s">
        <v>69</v>
      </c>
    </row>
    <row r="1947" spans="1:1" ht="15" customHeight="1" x14ac:dyDescent="0.25">
      <c r="A1947" t="s">
        <v>69</v>
      </c>
    </row>
    <row r="1948" spans="1:1" ht="15" customHeight="1" x14ac:dyDescent="0.25">
      <c r="A1948" t="s">
        <v>148</v>
      </c>
    </row>
    <row r="1949" spans="1:1" ht="15" customHeight="1" x14ac:dyDescent="0.25">
      <c r="A1949" t="s">
        <v>149</v>
      </c>
    </row>
    <row r="1950" spans="1:1" ht="15" customHeight="1" x14ac:dyDescent="0.25">
      <c r="A1950" t="s">
        <v>150</v>
      </c>
    </row>
    <row r="1951" spans="1:1" ht="15" customHeight="1" x14ac:dyDescent="0.25">
      <c r="A1951" t="s">
        <v>151</v>
      </c>
    </row>
    <row r="1952" spans="1:1" ht="15" customHeight="1" x14ac:dyDescent="0.25">
      <c r="A1952" t="s">
        <v>152</v>
      </c>
    </row>
    <row r="1953" spans="1:1" ht="15" customHeight="1" x14ac:dyDescent="0.25">
      <c r="A1953" t="s">
        <v>141</v>
      </c>
    </row>
    <row r="1954" spans="1:1" ht="15" customHeight="1" x14ac:dyDescent="0.25">
      <c r="A1954" t="s">
        <v>153</v>
      </c>
    </row>
    <row r="1955" spans="1:1" ht="15" customHeight="1" x14ac:dyDescent="0.25">
      <c r="A1955" t="s">
        <v>154</v>
      </c>
    </row>
    <row r="1956" spans="1:1" ht="15" customHeight="1" x14ac:dyDescent="0.25">
      <c r="A1956" t="s">
        <v>155</v>
      </c>
    </row>
    <row r="1957" spans="1:1" ht="15" customHeight="1" x14ac:dyDescent="0.25">
      <c r="A1957" t="s">
        <v>156</v>
      </c>
    </row>
    <row r="1958" spans="1:1" ht="15" customHeight="1" x14ac:dyDescent="0.25">
      <c r="A1958" t="s">
        <v>157</v>
      </c>
    </row>
    <row r="1959" spans="1:1" ht="15" customHeight="1" x14ac:dyDescent="0.25">
      <c r="A1959" t="s">
        <v>158</v>
      </c>
    </row>
    <row r="1960" spans="1:1" ht="15" customHeight="1" x14ac:dyDescent="0.25">
      <c r="A1960" t="s">
        <v>159</v>
      </c>
    </row>
    <row r="1961" spans="1:1" ht="15" customHeight="1" x14ac:dyDescent="0.25">
      <c r="A1961" t="s">
        <v>160</v>
      </c>
    </row>
    <row r="1962" spans="1:1" ht="15" customHeight="1" x14ac:dyDescent="0.25">
      <c r="A1962" t="s">
        <v>161</v>
      </c>
    </row>
    <row r="1963" spans="1:1" ht="15" customHeight="1" x14ac:dyDescent="0.25">
      <c r="A1963" t="s">
        <v>162</v>
      </c>
    </row>
    <row r="1964" spans="1:1" ht="15" customHeight="1" x14ac:dyDescent="0.25">
      <c r="A1964" t="s">
        <v>163</v>
      </c>
    </row>
    <row r="1965" spans="1:1" ht="15" customHeight="1" x14ac:dyDescent="0.25">
      <c r="A1965" t="s">
        <v>164</v>
      </c>
    </row>
    <row r="1966" spans="1:1" ht="15" customHeight="1" x14ac:dyDescent="0.25">
      <c r="A1966" t="s">
        <v>165</v>
      </c>
    </row>
    <row r="1967" spans="1:1" ht="15" customHeight="1" x14ac:dyDescent="0.25">
      <c r="A1967" t="s">
        <v>166</v>
      </c>
    </row>
    <row r="1968" spans="1:1" ht="15" customHeight="1" x14ac:dyDescent="0.25">
      <c r="A1968" t="s">
        <v>167</v>
      </c>
    </row>
    <row r="1969" spans="1:1" ht="15" customHeight="1" x14ac:dyDescent="0.25">
      <c r="A1969" t="s">
        <v>113</v>
      </c>
    </row>
    <row r="1970" spans="1:1" ht="15" customHeight="1" x14ac:dyDescent="0.25">
      <c r="A1970" t="s">
        <v>168</v>
      </c>
    </row>
    <row r="1971" spans="1:1" ht="15" customHeight="1" x14ac:dyDescent="0.25">
      <c r="A1971" t="s">
        <v>169</v>
      </c>
    </row>
    <row r="1972" spans="1:1" ht="15" customHeight="1" x14ac:dyDescent="0.25">
      <c r="A1972" t="s">
        <v>170</v>
      </c>
    </row>
    <row r="1973" spans="1:1" ht="15" customHeight="1" x14ac:dyDescent="0.25">
      <c r="A1973" t="s">
        <v>171</v>
      </c>
    </row>
    <row r="1974" spans="1:1" ht="15" customHeight="1" x14ac:dyDescent="0.25">
      <c r="A1974" t="s">
        <v>172</v>
      </c>
    </row>
    <row r="1975" spans="1:1" ht="15" customHeight="1" x14ac:dyDescent="0.25">
      <c r="A1975" t="s">
        <v>173</v>
      </c>
    </row>
    <row r="1976" spans="1:1" ht="15" customHeight="1" x14ac:dyDescent="0.25">
      <c r="A1976" t="s">
        <v>174</v>
      </c>
    </row>
    <row r="1977" spans="1:1" ht="15" customHeight="1" x14ac:dyDescent="0.25">
      <c r="A1977" t="s">
        <v>175</v>
      </c>
    </row>
    <row r="1978" spans="1:1" ht="15" customHeight="1" x14ac:dyDescent="0.25">
      <c r="A1978" t="s">
        <v>176</v>
      </c>
    </row>
    <row r="1979" spans="1:1" ht="15" customHeight="1" x14ac:dyDescent="0.25">
      <c r="A1979" t="s">
        <v>142</v>
      </c>
    </row>
    <row r="1980" spans="1:1" ht="15" customHeight="1" x14ac:dyDescent="0.25">
      <c r="A1980" t="s">
        <v>177</v>
      </c>
    </row>
    <row r="1981" spans="1:1" ht="15" customHeight="1" x14ac:dyDescent="0.25">
      <c r="A1981" t="s">
        <v>178</v>
      </c>
    </row>
    <row r="1982" spans="1:1" ht="15" customHeight="1" x14ac:dyDescent="0.25">
      <c r="A1982" t="s">
        <v>143</v>
      </c>
    </row>
    <row r="1983" spans="1:1" ht="15" customHeight="1" x14ac:dyDescent="0.25">
      <c r="A1983" t="s">
        <v>144</v>
      </c>
    </row>
    <row r="1984" spans="1:1" ht="15" customHeight="1" x14ac:dyDescent="0.25">
      <c r="A1984" t="s">
        <v>179</v>
      </c>
    </row>
    <row r="1985" spans="1:1" ht="15" customHeight="1" x14ac:dyDescent="0.25">
      <c r="A1985" t="s">
        <v>1</v>
      </c>
    </row>
    <row r="1986" spans="1:1" ht="15" customHeight="1" x14ac:dyDescent="0.25">
      <c r="A1986" t="s">
        <v>2</v>
      </c>
    </row>
    <row r="1987" spans="1:1" ht="15" customHeight="1" x14ac:dyDescent="0.25">
      <c r="A1987" t="s">
        <v>3</v>
      </c>
    </row>
    <row r="1988" spans="1:1" ht="15" customHeight="1" x14ac:dyDescent="0.25">
      <c r="A1988" t="s">
        <v>4</v>
      </c>
    </row>
  </sheetData>
  <mergeCells count="1">
    <mergeCell ref="A2:B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73C6C-5EAB-4E38-985D-8B83E9948881}">
  <sheetPr codeName="Planilha2"/>
  <dimension ref="A2:AD5"/>
  <sheetViews>
    <sheetView zoomScaleNormal="100" workbookViewId="0">
      <selection activeCell="B9" sqref="B9"/>
    </sheetView>
  </sheetViews>
  <sheetFormatPr defaultRowHeight="15" x14ac:dyDescent="0.25"/>
  <cols>
    <col min="1" max="2" width="25.7109375" customWidth="1"/>
    <col min="3" max="4" width="25.7109375" style="9" customWidth="1"/>
    <col min="5" max="5" width="25.7109375" style="5" customWidth="1"/>
    <col min="6" max="6" width="25.7109375" style="1" customWidth="1"/>
    <col min="7" max="7" width="25.7109375" style="25" customWidth="1"/>
    <col min="8" max="8" width="25.7109375" style="1" customWidth="1"/>
    <col min="9" max="9" width="25.7109375" style="14" customWidth="1"/>
    <col min="10" max="10" width="25.7109375" style="1" customWidth="1"/>
    <col min="11" max="11" width="25.7109375" style="14" customWidth="1"/>
    <col min="12" max="15" width="25.7109375" style="1" customWidth="1"/>
    <col min="16" max="30" width="25.7109375" style="5" customWidth="1"/>
    <col min="31" max="31" width="25.7109375" customWidth="1"/>
  </cols>
  <sheetData>
    <row r="2" spans="1:24" s="11" customFormat="1" ht="15" customHeight="1" x14ac:dyDescent="0.25">
      <c r="A2" s="4"/>
      <c r="B2" s="4"/>
      <c r="C2" s="41" t="s">
        <v>180</v>
      </c>
      <c r="D2" s="40"/>
      <c r="E2" s="22"/>
      <c r="F2" s="10"/>
      <c r="G2" s="12"/>
      <c r="H2" s="10"/>
      <c r="I2" s="12"/>
      <c r="J2" s="10"/>
      <c r="K2" s="10"/>
      <c r="L2" s="10"/>
      <c r="M2" s="10"/>
      <c r="N2" s="10"/>
      <c r="O2" s="10"/>
    </row>
    <row r="3" spans="1:24" s="11" customFormat="1" ht="15" customHeight="1" x14ac:dyDescent="0.25">
      <c r="A3" s="4"/>
      <c r="C3" s="41"/>
      <c r="D3" s="10"/>
      <c r="E3" s="22"/>
      <c r="F3" s="10"/>
      <c r="G3" s="12"/>
      <c r="H3" s="10"/>
      <c r="I3" s="12"/>
      <c r="J3" s="10"/>
      <c r="K3" s="10"/>
      <c r="L3" s="10"/>
      <c r="M3" s="10"/>
      <c r="N3" s="10"/>
      <c r="O3" s="10"/>
      <c r="W3" s="7"/>
    </row>
    <row r="4" spans="1:24" s="7" customFormat="1" ht="15" customHeight="1" x14ac:dyDescent="0.25">
      <c r="A4" s="4"/>
      <c r="B4" s="4"/>
      <c r="C4" s="8"/>
      <c r="D4" s="8"/>
      <c r="F4" s="25"/>
      <c r="G4" s="23"/>
      <c r="H4" s="6"/>
      <c r="I4" s="13"/>
      <c r="J4" s="6"/>
      <c r="K4" s="13"/>
      <c r="L4" s="6"/>
      <c r="M4" s="6"/>
      <c r="N4" s="6"/>
      <c r="O4" s="6"/>
      <c r="W4" s="7">
        <f>COUNTIFS(V:V,"KIMONO BATUR AMARELO",L:L,"Devoluções*")</f>
        <v>0</v>
      </c>
      <c r="X4" s="39">
        <f>COUNTIFS(V:V,"KIMONO BATUR AMARELO",J:J,"Devolução*",L:L,"&lt;&gt;Devoluções*")</f>
        <v>0</v>
      </c>
    </row>
    <row r="5" spans="1:24" x14ac:dyDescent="0.25">
      <c r="A5" s="16" t="s">
        <v>27</v>
      </c>
      <c r="B5" s="16" t="s">
        <v>28</v>
      </c>
      <c r="C5" s="16" t="s">
        <v>39</v>
      </c>
      <c r="D5" s="16" t="s">
        <v>29</v>
      </c>
      <c r="E5" s="16" t="s">
        <v>30</v>
      </c>
      <c r="F5" s="16" t="s">
        <v>31</v>
      </c>
      <c r="G5" s="24" t="s">
        <v>40</v>
      </c>
      <c r="H5" s="16" t="s">
        <v>41</v>
      </c>
      <c r="I5" s="16" t="s">
        <v>11</v>
      </c>
      <c r="J5" s="16" t="s">
        <v>32</v>
      </c>
      <c r="K5" s="16" t="s">
        <v>33</v>
      </c>
      <c r="L5" s="16" t="s">
        <v>34</v>
      </c>
      <c r="M5" s="18" t="s">
        <v>35</v>
      </c>
      <c r="N5" s="16" t="s">
        <v>36</v>
      </c>
      <c r="O5" s="16" t="s">
        <v>42</v>
      </c>
      <c r="P5" s="33" t="s">
        <v>43</v>
      </c>
      <c r="Q5" s="33" t="s">
        <v>37</v>
      </c>
      <c r="R5" s="33" t="s">
        <v>44</v>
      </c>
      <c r="S5" s="33" t="s">
        <v>38</v>
      </c>
      <c r="T5" s="33" t="s">
        <v>20</v>
      </c>
      <c r="U5" s="33" t="s">
        <v>18</v>
      </c>
      <c r="V5" s="33" t="s">
        <v>45</v>
      </c>
      <c r="X5" s="25"/>
    </row>
  </sheetData>
  <mergeCells count="1">
    <mergeCell ref="C2:C3"/>
  </mergeCells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17D71-C088-4E6D-847B-AE9E06E9E0C8}">
  <sheetPr codeName="Planilha5"/>
  <dimension ref="A2:GL5"/>
  <sheetViews>
    <sheetView zoomScaleNormal="100" workbookViewId="0">
      <selection activeCell="C2" sqref="C2:C3"/>
    </sheetView>
  </sheetViews>
  <sheetFormatPr defaultRowHeight="15" customHeight="1" outlineLevelCol="1" x14ac:dyDescent="0.25"/>
  <cols>
    <col min="1" max="1" width="25.7109375" style="30" customWidth="1"/>
    <col min="2" max="2" width="25.7109375" style="3" customWidth="1"/>
    <col min="3" max="5" width="25.7109375" customWidth="1"/>
    <col min="6" max="6" width="25.7109375" style="1" customWidth="1"/>
    <col min="7" max="7" width="25.7109375" customWidth="1"/>
    <col min="8" max="8" width="25.7109375" style="1" customWidth="1"/>
    <col min="9" max="9" width="18" style="27" bestFit="1" customWidth="1"/>
    <col min="10" max="10" width="18" style="27" customWidth="1"/>
    <col min="11" max="16" width="6.7109375" style="27" hidden="1" customWidth="1" outlineLevel="1"/>
    <col min="17" max="17" width="7.7109375" style="27" hidden="1" customWidth="1" outlineLevel="1"/>
    <col min="18" max="28" width="6.7109375" style="27" hidden="1" customWidth="1" outlineLevel="1"/>
    <col min="29" max="29" width="13.140625" style="27" customWidth="1" collapsed="1"/>
    <col min="30" max="35" width="6.7109375" style="27" hidden="1" customWidth="1" outlineLevel="1"/>
    <col min="36" max="36" width="7.7109375" style="27" hidden="1" customWidth="1" outlineLevel="1"/>
    <col min="37" max="47" width="6.7109375" style="27" hidden="1" customWidth="1" outlineLevel="1"/>
    <col min="48" max="48" width="14.140625" style="27" bestFit="1" customWidth="1" collapsed="1"/>
    <col min="49" max="54" width="6.7109375" style="27" hidden="1" customWidth="1" outlineLevel="1"/>
    <col min="55" max="55" width="7.7109375" style="27" hidden="1" customWidth="1" outlineLevel="1"/>
    <col min="56" max="66" width="6.7109375" style="27" hidden="1" customWidth="1" outlineLevel="1"/>
    <col min="67" max="67" width="14.140625" style="27" bestFit="1" customWidth="1" collapsed="1"/>
    <col min="68" max="68" width="6.7109375" style="27" hidden="1" customWidth="1" outlineLevel="1"/>
    <col min="69" max="73" width="6.5703125" style="27" hidden="1" customWidth="1" outlineLevel="1"/>
    <col min="74" max="74" width="7.7109375" style="27" hidden="1" customWidth="1" outlineLevel="1"/>
    <col min="75" max="85" width="6.5703125" style="27" hidden="1" customWidth="1" outlineLevel="1"/>
    <col min="86" max="86" width="14.140625" style="27" bestFit="1" customWidth="1" collapsed="1"/>
    <col min="87" max="92" width="6.7109375" style="27" hidden="1" customWidth="1" outlineLevel="1"/>
    <col min="93" max="93" width="7.7109375" style="27" hidden="1" customWidth="1" outlineLevel="1"/>
    <col min="94" max="104" width="6.7109375" style="27" hidden="1" customWidth="1" outlineLevel="1"/>
    <col min="105" max="105" width="14.140625" style="27" bestFit="1" customWidth="1" collapsed="1"/>
    <col min="106" max="111" width="6.7109375" style="27" hidden="1" customWidth="1" outlineLevel="1"/>
    <col min="112" max="112" width="7.7109375" style="27" hidden="1" customWidth="1" outlineLevel="1"/>
    <col min="113" max="123" width="6.7109375" style="27" hidden="1" customWidth="1" outlineLevel="1"/>
    <col min="124" max="124" width="14.140625" style="27" bestFit="1" customWidth="1" collapsed="1"/>
    <col min="125" max="130" width="6.7109375" style="27" hidden="1" customWidth="1" outlineLevel="1"/>
    <col min="131" max="131" width="7.7109375" style="27" hidden="1" customWidth="1" outlineLevel="1"/>
    <col min="132" max="142" width="6.7109375" style="27" hidden="1" customWidth="1" outlineLevel="1"/>
    <col min="143" max="143" width="14.140625" style="27" bestFit="1" customWidth="1" collapsed="1"/>
    <col min="144" max="149" width="6.7109375" style="27" hidden="1" customWidth="1" outlineLevel="1"/>
    <col min="150" max="150" width="7.7109375" style="27" hidden="1" customWidth="1" outlineLevel="1"/>
    <col min="151" max="161" width="6.7109375" style="27" hidden="1" customWidth="1" outlineLevel="1"/>
    <col min="162" max="162" width="14.140625" style="27" bestFit="1" customWidth="1" collapsed="1"/>
    <col min="163" max="168" width="6.7109375" style="34" hidden="1" customWidth="1" outlineLevel="1"/>
    <col min="169" max="169" width="7.7109375" style="34" hidden="1" customWidth="1" outlineLevel="1"/>
    <col min="170" max="180" width="6.7109375" style="34" hidden="1" customWidth="1" outlineLevel="1"/>
    <col min="181" max="181" width="14.140625" style="34" bestFit="1" customWidth="1" collapsed="1"/>
    <col min="182" max="190" width="12.7109375" style="37" bestFit="1" customWidth="1"/>
    <col min="191" max="191" width="16" style="28" bestFit="1" customWidth="1"/>
    <col min="192" max="192" width="14.85546875" style="29" bestFit="1" customWidth="1"/>
    <col min="193" max="193" width="13.140625" style="29" bestFit="1" customWidth="1"/>
    <col min="194" max="194" width="17.85546875" style="28" bestFit="1" customWidth="1"/>
    <col min="195" max="16384" width="9.140625" style="28"/>
  </cols>
  <sheetData>
    <row r="2" spans="1:194" ht="15" customHeight="1" x14ac:dyDescent="0.25">
      <c r="C2" s="41" t="s">
        <v>180</v>
      </c>
      <c r="D2" s="1"/>
      <c r="E2" s="15"/>
      <c r="G2" s="27"/>
      <c r="H2" s="27"/>
      <c r="FE2" s="31"/>
      <c r="FF2" s="31"/>
    </row>
    <row r="3" spans="1:194" ht="15" customHeight="1" x14ac:dyDescent="0.25">
      <c r="C3" s="41"/>
      <c r="D3" s="1"/>
      <c r="E3" s="15"/>
      <c r="G3" s="27"/>
      <c r="H3" s="27"/>
      <c r="FE3" s="31"/>
      <c r="FF3" s="31"/>
    </row>
    <row r="5" spans="1:194" ht="15" customHeight="1" x14ac:dyDescent="0.25">
      <c r="A5" s="24" t="s">
        <v>75</v>
      </c>
      <c r="B5" s="16" t="s">
        <v>114</v>
      </c>
      <c r="C5" s="16" t="s">
        <v>46</v>
      </c>
      <c r="D5" s="16" t="s">
        <v>18</v>
      </c>
      <c r="E5" s="16" t="s">
        <v>12</v>
      </c>
      <c r="F5" s="19" t="s">
        <v>76</v>
      </c>
      <c r="G5" s="16" t="s">
        <v>77</v>
      </c>
      <c r="H5" s="19" t="s">
        <v>127</v>
      </c>
      <c r="I5" s="26" t="s">
        <v>115</v>
      </c>
      <c r="J5" s="26" t="s">
        <v>128</v>
      </c>
      <c r="K5" s="26" t="s">
        <v>21</v>
      </c>
      <c r="L5" s="26" t="s">
        <v>22</v>
      </c>
      <c r="M5" s="26" t="s">
        <v>23</v>
      </c>
      <c r="N5" s="26" t="s">
        <v>24</v>
      </c>
      <c r="O5" s="26" t="s">
        <v>25</v>
      </c>
      <c r="P5" s="26" t="s">
        <v>26</v>
      </c>
      <c r="Q5" s="26" t="s">
        <v>112</v>
      </c>
      <c r="R5" s="26">
        <v>34</v>
      </c>
      <c r="S5" s="26">
        <v>35</v>
      </c>
      <c r="T5" s="26">
        <v>36</v>
      </c>
      <c r="U5" s="26">
        <v>37</v>
      </c>
      <c r="V5" s="26">
        <v>38</v>
      </c>
      <c r="W5" s="26">
        <v>39</v>
      </c>
      <c r="X5" s="26">
        <v>40</v>
      </c>
      <c r="Y5" s="26">
        <v>42</v>
      </c>
      <c r="Z5" s="26">
        <v>44</v>
      </c>
      <c r="AA5" s="26">
        <v>46</v>
      </c>
      <c r="AB5" s="26" t="s">
        <v>120</v>
      </c>
      <c r="AC5" s="26" t="s">
        <v>129</v>
      </c>
      <c r="AD5" s="26" t="s">
        <v>21</v>
      </c>
      <c r="AE5" s="26" t="s">
        <v>22</v>
      </c>
      <c r="AF5" s="26" t="s">
        <v>23</v>
      </c>
      <c r="AG5" s="26" t="s">
        <v>24</v>
      </c>
      <c r="AH5" s="26" t="s">
        <v>25</v>
      </c>
      <c r="AI5" s="26" t="s">
        <v>26</v>
      </c>
      <c r="AJ5" s="26" t="s">
        <v>112</v>
      </c>
      <c r="AK5" s="26">
        <v>34</v>
      </c>
      <c r="AL5" s="26">
        <v>35</v>
      </c>
      <c r="AM5" s="26">
        <v>36</v>
      </c>
      <c r="AN5" s="26">
        <v>37</v>
      </c>
      <c r="AO5" s="26">
        <v>38</v>
      </c>
      <c r="AP5" s="26">
        <v>39</v>
      </c>
      <c r="AQ5" s="26">
        <v>40</v>
      </c>
      <c r="AR5" s="26">
        <v>42</v>
      </c>
      <c r="AS5" s="26">
        <v>44</v>
      </c>
      <c r="AT5" s="26">
        <v>46</v>
      </c>
      <c r="AU5" s="26" t="s">
        <v>120</v>
      </c>
      <c r="AV5" s="26" t="s">
        <v>116</v>
      </c>
      <c r="AW5" s="26" t="s">
        <v>21</v>
      </c>
      <c r="AX5" s="26" t="s">
        <v>22</v>
      </c>
      <c r="AY5" s="26" t="s">
        <v>23</v>
      </c>
      <c r="AZ5" s="26" t="s">
        <v>24</v>
      </c>
      <c r="BA5" s="26" t="s">
        <v>25</v>
      </c>
      <c r="BB5" s="26" t="s">
        <v>26</v>
      </c>
      <c r="BC5" s="26" t="s">
        <v>112</v>
      </c>
      <c r="BD5" s="26">
        <v>34</v>
      </c>
      <c r="BE5" s="26">
        <v>35</v>
      </c>
      <c r="BF5" s="26">
        <v>36</v>
      </c>
      <c r="BG5" s="26">
        <v>37</v>
      </c>
      <c r="BH5" s="26">
        <v>38</v>
      </c>
      <c r="BI5" s="26">
        <v>39</v>
      </c>
      <c r="BJ5" s="26">
        <v>40</v>
      </c>
      <c r="BK5" s="26">
        <v>42</v>
      </c>
      <c r="BL5" s="26">
        <v>44</v>
      </c>
      <c r="BM5" s="26">
        <v>46</v>
      </c>
      <c r="BN5" s="26" t="s">
        <v>120</v>
      </c>
      <c r="BO5" s="26" t="s">
        <v>117</v>
      </c>
      <c r="BP5" s="26" t="s">
        <v>21</v>
      </c>
      <c r="BQ5" s="26" t="s">
        <v>22</v>
      </c>
      <c r="BR5" s="26" t="s">
        <v>23</v>
      </c>
      <c r="BS5" s="26" t="s">
        <v>24</v>
      </c>
      <c r="BT5" s="26" t="s">
        <v>25</v>
      </c>
      <c r="BU5" s="26" t="s">
        <v>26</v>
      </c>
      <c r="BV5" s="26" t="s">
        <v>112</v>
      </c>
      <c r="BW5" s="26">
        <v>34</v>
      </c>
      <c r="BX5" s="26">
        <v>35</v>
      </c>
      <c r="BY5" s="26">
        <v>36</v>
      </c>
      <c r="BZ5" s="26">
        <v>37</v>
      </c>
      <c r="CA5" s="26">
        <v>38</v>
      </c>
      <c r="CB5" s="26">
        <v>39</v>
      </c>
      <c r="CC5" s="26">
        <v>40</v>
      </c>
      <c r="CD5" s="26">
        <v>42</v>
      </c>
      <c r="CE5" s="26">
        <v>44</v>
      </c>
      <c r="CF5" s="26">
        <v>46</v>
      </c>
      <c r="CG5" s="26" t="s">
        <v>120</v>
      </c>
      <c r="CH5" s="26" t="s">
        <v>130</v>
      </c>
      <c r="CI5" s="26" t="s">
        <v>21</v>
      </c>
      <c r="CJ5" s="26" t="s">
        <v>22</v>
      </c>
      <c r="CK5" s="26" t="s">
        <v>23</v>
      </c>
      <c r="CL5" s="26" t="s">
        <v>24</v>
      </c>
      <c r="CM5" s="26" t="s">
        <v>25</v>
      </c>
      <c r="CN5" s="26" t="s">
        <v>26</v>
      </c>
      <c r="CO5" s="26" t="s">
        <v>112</v>
      </c>
      <c r="CP5" s="26">
        <v>34</v>
      </c>
      <c r="CQ5" s="26">
        <v>35</v>
      </c>
      <c r="CR5" s="26">
        <v>36</v>
      </c>
      <c r="CS5" s="26">
        <v>37</v>
      </c>
      <c r="CT5" s="26">
        <v>38</v>
      </c>
      <c r="CU5" s="26">
        <v>39</v>
      </c>
      <c r="CV5" s="26">
        <v>40</v>
      </c>
      <c r="CW5" s="26">
        <v>42</v>
      </c>
      <c r="CX5" s="26">
        <v>44</v>
      </c>
      <c r="CY5" s="26">
        <v>46</v>
      </c>
      <c r="CZ5" s="26" t="s">
        <v>120</v>
      </c>
      <c r="DA5" s="26" t="s">
        <v>118</v>
      </c>
      <c r="DB5" s="26" t="s">
        <v>21</v>
      </c>
      <c r="DC5" s="26" t="s">
        <v>22</v>
      </c>
      <c r="DD5" s="26" t="s">
        <v>23</v>
      </c>
      <c r="DE5" s="26" t="s">
        <v>24</v>
      </c>
      <c r="DF5" s="26" t="s">
        <v>25</v>
      </c>
      <c r="DG5" s="26" t="s">
        <v>26</v>
      </c>
      <c r="DH5" s="26" t="s">
        <v>112</v>
      </c>
      <c r="DI5" s="26">
        <v>34</v>
      </c>
      <c r="DJ5" s="26">
        <v>35</v>
      </c>
      <c r="DK5" s="26">
        <v>36</v>
      </c>
      <c r="DL5" s="26">
        <v>37</v>
      </c>
      <c r="DM5" s="26">
        <v>38</v>
      </c>
      <c r="DN5" s="26">
        <v>39</v>
      </c>
      <c r="DO5" s="26">
        <v>40</v>
      </c>
      <c r="DP5" s="26">
        <v>42</v>
      </c>
      <c r="DQ5" s="26">
        <v>44</v>
      </c>
      <c r="DR5" s="26">
        <v>46</v>
      </c>
      <c r="DS5" s="26" t="s">
        <v>120</v>
      </c>
      <c r="DT5" s="26" t="s">
        <v>131</v>
      </c>
      <c r="DU5" s="26" t="s">
        <v>21</v>
      </c>
      <c r="DV5" s="26" t="s">
        <v>22</v>
      </c>
      <c r="DW5" s="26" t="s">
        <v>23</v>
      </c>
      <c r="DX5" s="26" t="s">
        <v>24</v>
      </c>
      <c r="DY5" s="26" t="s">
        <v>25</v>
      </c>
      <c r="DZ5" s="26" t="s">
        <v>26</v>
      </c>
      <c r="EA5" s="26" t="s">
        <v>112</v>
      </c>
      <c r="EB5" s="26">
        <v>34</v>
      </c>
      <c r="EC5" s="26">
        <v>35</v>
      </c>
      <c r="ED5" s="26">
        <v>36</v>
      </c>
      <c r="EE5" s="26">
        <v>37</v>
      </c>
      <c r="EF5" s="26">
        <v>38</v>
      </c>
      <c r="EG5" s="26">
        <v>39</v>
      </c>
      <c r="EH5" s="26">
        <v>40</v>
      </c>
      <c r="EI5" s="26">
        <v>42</v>
      </c>
      <c r="EJ5" s="26">
        <v>44</v>
      </c>
      <c r="EK5" s="26">
        <v>46</v>
      </c>
      <c r="EL5" s="26" t="s">
        <v>120</v>
      </c>
      <c r="EM5" s="26" t="s">
        <v>132</v>
      </c>
      <c r="EN5" s="26" t="s">
        <v>21</v>
      </c>
      <c r="EO5" s="26" t="s">
        <v>22</v>
      </c>
      <c r="EP5" s="26" t="s">
        <v>23</v>
      </c>
      <c r="EQ5" s="26" t="s">
        <v>24</v>
      </c>
      <c r="ER5" s="26" t="s">
        <v>25</v>
      </c>
      <c r="ES5" s="26" t="s">
        <v>26</v>
      </c>
      <c r="ET5" s="26" t="s">
        <v>112</v>
      </c>
      <c r="EU5" s="26">
        <v>34</v>
      </c>
      <c r="EV5" s="26">
        <v>35</v>
      </c>
      <c r="EW5" s="26">
        <v>36</v>
      </c>
      <c r="EX5" s="26">
        <v>37</v>
      </c>
      <c r="EY5" s="26">
        <v>38</v>
      </c>
      <c r="EZ5" s="26">
        <v>39</v>
      </c>
      <c r="FA5" s="26">
        <v>40</v>
      </c>
      <c r="FB5" s="26">
        <v>42</v>
      </c>
      <c r="FC5" s="26">
        <v>44</v>
      </c>
      <c r="FD5" s="26">
        <v>46</v>
      </c>
      <c r="FE5" s="26" t="s">
        <v>120</v>
      </c>
      <c r="FF5" s="26" t="s">
        <v>119</v>
      </c>
      <c r="FG5" s="35" t="s">
        <v>21</v>
      </c>
      <c r="FH5" s="35" t="s">
        <v>22</v>
      </c>
      <c r="FI5" s="35" t="s">
        <v>23</v>
      </c>
      <c r="FJ5" s="35" t="s">
        <v>24</v>
      </c>
      <c r="FK5" s="35" t="s">
        <v>25</v>
      </c>
      <c r="FL5" s="35" t="s">
        <v>26</v>
      </c>
      <c r="FM5" s="35" t="s">
        <v>112</v>
      </c>
      <c r="FN5" s="35">
        <v>34</v>
      </c>
      <c r="FO5" s="35">
        <v>35</v>
      </c>
      <c r="FP5" s="35">
        <v>36</v>
      </c>
      <c r="FQ5" s="35">
        <v>37</v>
      </c>
      <c r="FR5" s="35">
        <v>38</v>
      </c>
      <c r="FS5" s="35">
        <v>39</v>
      </c>
      <c r="FT5" s="35">
        <v>40</v>
      </c>
      <c r="FU5" s="35">
        <v>42</v>
      </c>
      <c r="FV5" s="35">
        <v>44</v>
      </c>
      <c r="FW5" s="35">
        <v>46</v>
      </c>
      <c r="FX5" s="35" t="s">
        <v>120</v>
      </c>
      <c r="FY5" s="35" t="s">
        <v>137</v>
      </c>
      <c r="FZ5" s="38" t="s">
        <v>133</v>
      </c>
      <c r="GA5" s="38" t="s">
        <v>123</v>
      </c>
      <c r="GB5" s="38" t="s">
        <v>124</v>
      </c>
      <c r="GC5" s="38" t="s">
        <v>134</v>
      </c>
      <c r="GD5" s="38" t="s">
        <v>125</v>
      </c>
      <c r="GE5" s="38" t="s">
        <v>135</v>
      </c>
      <c r="GF5" s="38" t="s">
        <v>136</v>
      </c>
      <c r="GG5" s="38" t="s">
        <v>126</v>
      </c>
      <c r="GH5" s="38" t="s">
        <v>138</v>
      </c>
      <c r="GI5" s="35" t="s">
        <v>139</v>
      </c>
      <c r="GJ5" s="36" t="s">
        <v>121</v>
      </c>
      <c r="GK5" s="36" t="s">
        <v>122</v>
      </c>
      <c r="GL5" s="35" t="s">
        <v>140</v>
      </c>
    </row>
  </sheetData>
  <autoFilter ref="A5:J5" xr:uid="{B9417D71-C088-4E6D-847B-AE9E06E9E0C8}"/>
  <mergeCells count="1">
    <mergeCell ref="C2:C3"/>
  </mergeCells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895A6-6A6C-4369-A065-D04B36B97306}">
  <sheetPr codeName="Planilha3"/>
  <dimension ref="A1"/>
  <sheetViews>
    <sheetView zoomScaleNormal="100" workbookViewId="0"/>
  </sheetViews>
  <sheetFormatPr defaultColWidth="12.7109375"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BASE_PRODUTOS</vt:lpstr>
      <vt:lpstr>BASE_APOIO</vt:lpstr>
      <vt:lpstr>BASE_VENDAS</vt:lpstr>
      <vt:lpstr>BASE_GIRO</vt:lpstr>
      <vt:lpstr>BASE_RESUMO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Hardoim</dc:creator>
  <cp:lastModifiedBy>Gabriel Hardoim</cp:lastModifiedBy>
  <dcterms:created xsi:type="dcterms:W3CDTF">2021-10-26T22:34:38Z</dcterms:created>
  <dcterms:modified xsi:type="dcterms:W3CDTF">2022-02-09T01:43:08Z</dcterms:modified>
</cp:coreProperties>
</file>